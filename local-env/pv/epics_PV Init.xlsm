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4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drawings/drawing5.xml" ContentType="application/vnd.openxmlformats-officedocument.drawing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6.xml" ContentType="application/vnd.openxmlformats-officedocument.drawing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33405" windowHeight="24825" tabRatio="424" activeTab="1"/>
  </bookViews>
  <sheets>
    <sheet name="org" sheetId="1" r:id="rId1"/>
    <sheet name="EVS001" sheetId="11" r:id="rId2"/>
    <sheet name="EVG001" sheetId="16" r:id="rId3"/>
    <sheet name="EVR001" sheetId="12" r:id="rId4"/>
    <sheet name="EVRUP001" sheetId="15" r:id="rId5"/>
    <sheet name="EVF001" sheetId="10" r:id="rId6"/>
    <sheet name="ZQ9R001" sheetId="14" r:id="rId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3" i="11" l="1"/>
  <c r="G271" i="11"/>
  <c r="G258" i="11"/>
  <c r="A2057" i="16" l="1"/>
  <c r="A2056" i="16"/>
  <c r="A2055" i="16"/>
  <c r="A2054" i="16"/>
  <c r="A2053" i="16"/>
  <c r="A2052" i="16"/>
  <c r="A2051" i="16"/>
  <c r="A2050" i="16"/>
  <c r="A2049" i="16"/>
  <c r="A2048" i="16"/>
  <c r="A2047" i="16"/>
  <c r="A2046" i="16"/>
  <c r="A2045" i="16"/>
  <c r="A2044" i="16"/>
  <c r="A2043" i="16"/>
  <c r="A2042" i="16"/>
  <c r="R2041" i="16"/>
  <c r="P2041" i="16"/>
  <c r="A2041" i="16"/>
  <c r="R2040" i="16"/>
  <c r="P2040" i="16"/>
  <c r="A2040" i="16"/>
  <c r="R2039" i="16"/>
  <c r="P2039" i="16"/>
  <c r="A2039" i="16"/>
  <c r="R2038" i="16"/>
  <c r="P2038" i="16"/>
  <c r="A2038" i="16"/>
  <c r="R2037" i="16"/>
  <c r="P2037" i="16"/>
  <c r="A2037" i="16"/>
  <c r="R2036" i="16"/>
  <c r="P2036" i="16"/>
  <c r="A2036" i="16"/>
  <c r="R2035" i="16"/>
  <c r="P2035" i="16"/>
  <c r="A2035" i="16"/>
  <c r="R2034" i="16"/>
  <c r="P2034" i="16"/>
  <c r="A2034" i="16"/>
  <c r="R2033" i="16"/>
  <c r="P2033" i="16"/>
  <c r="A2033" i="16"/>
  <c r="R2032" i="16"/>
  <c r="P2032" i="16"/>
  <c r="A2032" i="16"/>
  <c r="R2031" i="16"/>
  <c r="P2031" i="16"/>
  <c r="A2031" i="16"/>
  <c r="R2030" i="16"/>
  <c r="P2030" i="16"/>
  <c r="A2030" i="16"/>
  <c r="R2029" i="16"/>
  <c r="P2029" i="16"/>
  <c r="A2029" i="16"/>
  <c r="R2028" i="16"/>
  <c r="P2028" i="16"/>
  <c r="A2028" i="16"/>
  <c r="R2027" i="16"/>
  <c r="P2027" i="16"/>
  <c r="A2027" i="16"/>
  <c r="R2026" i="16"/>
  <c r="P2026" i="16"/>
  <c r="A2026" i="16"/>
  <c r="R2025" i="16"/>
  <c r="P2025" i="16"/>
  <c r="A2025" i="16"/>
  <c r="R2024" i="16"/>
  <c r="P2024" i="16"/>
  <c r="A2024" i="16"/>
  <c r="R2023" i="16"/>
  <c r="P2023" i="16"/>
  <c r="A2023" i="16"/>
  <c r="R2022" i="16"/>
  <c r="P2022" i="16"/>
  <c r="A2022" i="16"/>
  <c r="R2021" i="16"/>
  <c r="P2021" i="16"/>
  <c r="A2021" i="16"/>
  <c r="R2020" i="16"/>
  <c r="P2020" i="16"/>
  <c r="A2020" i="16"/>
  <c r="R2019" i="16"/>
  <c r="P2019" i="16"/>
  <c r="A2019" i="16"/>
  <c r="R2018" i="16"/>
  <c r="P2018" i="16"/>
  <c r="A2018" i="16"/>
  <c r="R2017" i="16"/>
  <c r="P2017" i="16"/>
  <c r="A2017" i="16"/>
  <c r="R2016" i="16"/>
  <c r="P2016" i="16"/>
  <c r="A2016" i="16"/>
  <c r="R2015" i="16"/>
  <c r="P2015" i="16"/>
  <c r="A2015" i="16"/>
  <c r="R2014" i="16"/>
  <c r="P2014" i="16"/>
  <c r="A2014" i="16"/>
  <c r="R2013" i="16"/>
  <c r="P2013" i="16"/>
  <c r="A2013" i="16"/>
  <c r="R2012" i="16"/>
  <c r="P2012" i="16"/>
  <c r="A2012" i="16"/>
  <c r="R2011" i="16"/>
  <c r="P2011" i="16"/>
  <c r="A2011" i="16"/>
  <c r="R2010" i="16"/>
  <c r="P2010" i="16"/>
  <c r="A2010" i="16"/>
  <c r="R2009" i="16"/>
  <c r="P2009" i="16"/>
  <c r="A2009" i="16"/>
  <c r="R2008" i="16"/>
  <c r="P2008" i="16"/>
  <c r="A2008" i="16"/>
  <c r="R2007" i="16"/>
  <c r="P2007" i="16"/>
  <c r="A2007" i="16"/>
  <c r="R2006" i="16"/>
  <c r="P2006" i="16"/>
  <c r="A2006" i="16"/>
  <c r="R2005" i="16"/>
  <c r="P2005" i="16"/>
  <c r="A2005" i="16"/>
  <c r="R2004" i="16"/>
  <c r="P2004" i="16"/>
  <c r="A2004" i="16"/>
  <c r="R2003" i="16"/>
  <c r="P2003" i="16"/>
  <c r="A2003" i="16"/>
  <c r="R2002" i="16"/>
  <c r="P2002" i="16"/>
  <c r="A2002" i="16"/>
  <c r="R2001" i="16"/>
  <c r="P2001" i="16"/>
  <c r="A2001" i="16"/>
  <c r="R2000" i="16"/>
  <c r="P2000" i="16"/>
  <c r="A2000" i="16"/>
  <c r="R1999" i="16"/>
  <c r="P1999" i="16"/>
  <c r="A1999" i="16"/>
  <c r="R1998" i="16"/>
  <c r="P1998" i="16"/>
  <c r="A1998" i="16"/>
  <c r="R1997" i="16"/>
  <c r="P1997" i="16"/>
  <c r="A1997" i="16"/>
  <c r="R1996" i="16"/>
  <c r="P1996" i="16"/>
  <c r="A1996" i="16"/>
  <c r="R1995" i="16"/>
  <c r="P1995" i="16"/>
  <c r="A1995" i="16"/>
  <c r="R1994" i="16"/>
  <c r="P1994" i="16"/>
  <c r="A1994" i="16"/>
  <c r="R1993" i="16"/>
  <c r="P1993" i="16"/>
  <c r="A1993" i="16"/>
  <c r="R1992" i="16"/>
  <c r="P1992" i="16"/>
  <c r="A1992" i="16"/>
  <c r="R1991" i="16"/>
  <c r="P1991" i="16"/>
  <c r="A1991" i="16"/>
  <c r="R1990" i="16"/>
  <c r="P1990" i="16"/>
  <c r="A1990" i="16"/>
  <c r="R1989" i="16"/>
  <c r="P1989" i="16"/>
  <c r="A1989" i="16"/>
  <c r="R1988" i="16"/>
  <c r="P1988" i="16"/>
  <c r="A1988" i="16"/>
  <c r="R1987" i="16"/>
  <c r="P1987" i="16"/>
  <c r="A1987" i="16"/>
  <c r="R1986" i="16"/>
  <c r="P1986" i="16"/>
  <c r="A1986" i="16"/>
  <c r="R1985" i="16"/>
  <c r="P1985" i="16"/>
  <c r="A1985" i="16"/>
  <c r="R1984" i="16"/>
  <c r="P1984" i="16"/>
  <c r="A1984" i="16"/>
  <c r="R1983" i="16"/>
  <c r="P1983" i="16"/>
  <c r="A1983" i="16"/>
  <c r="R1982" i="16"/>
  <c r="P1982" i="16"/>
  <c r="A1982" i="16"/>
  <c r="R1981" i="16"/>
  <c r="P1981" i="16"/>
  <c r="A1981" i="16"/>
  <c r="R1980" i="16"/>
  <c r="P1980" i="16"/>
  <c r="A1980" i="16"/>
  <c r="R1979" i="16"/>
  <c r="P1979" i="16"/>
  <c r="A1979" i="16"/>
  <c r="R1978" i="16"/>
  <c r="P1978" i="16"/>
  <c r="A1978" i="16"/>
  <c r="R1977" i="16"/>
  <c r="P1977" i="16"/>
  <c r="A1977" i="16"/>
  <c r="R1976" i="16"/>
  <c r="P1976" i="16"/>
  <c r="A1976" i="16"/>
  <c r="R1975" i="16"/>
  <c r="P1975" i="16"/>
  <c r="A1975" i="16"/>
  <c r="R1974" i="16"/>
  <c r="P1974" i="16"/>
  <c r="A1974" i="16"/>
  <c r="R1973" i="16"/>
  <c r="P1973" i="16"/>
  <c r="A1973" i="16"/>
  <c r="R1972" i="16"/>
  <c r="P1972" i="16"/>
  <c r="A1972" i="16"/>
  <c r="R1971" i="16"/>
  <c r="P1971" i="16"/>
  <c r="A1971" i="16"/>
  <c r="R1970" i="16"/>
  <c r="P1970" i="16"/>
  <c r="A1970" i="16"/>
  <c r="R1969" i="16"/>
  <c r="P1969" i="16"/>
  <c r="A1969" i="16"/>
  <c r="R1968" i="16"/>
  <c r="P1968" i="16"/>
  <c r="A1968" i="16"/>
  <c r="R1967" i="16"/>
  <c r="P1967" i="16"/>
  <c r="A1967" i="16"/>
  <c r="R1966" i="16"/>
  <c r="P1966" i="16"/>
  <c r="A1966" i="16"/>
  <c r="R1965" i="16"/>
  <c r="P1965" i="16"/>
  <c r="A1965" i="16"/>
  <c r="R1964" i="16"/>
  <c r="P1964" i="16"/>
  <c r="A1964" i="16"/>
  <c r="R1963" i="16"/>
  <c r="P1963" i="16"/>
  <c r="A1963" i="16"/>
  <c r="R1962" i="16"/>
  <c r="P1962" i="16"/>
  <c r="A1962" i="16"/>
  <c r="R1961" i="16"/>
  <c r="P1961" i="16"/>
  <c r="A1961" i="16"/>
  <c r="R1960" i="16"/>
  <c r="P1960" i="16"/>
  <c r="A1960" i="16"/>
  <c r="R1959" i="16"/>
  <c r="P1959" i="16"/>
  <c r="A1959" i="16"/>
  <c r="R1958" i="16"/>
  <c r="P1958" i="16"/>
  <c r="A1958" i="16"/>
  <c r="R1957" i="16"/>
  <c r="P1957" i="16"/>
  <c r="A1957" i="16"/>
  <c r="R1956" i="16"/>
  <c r="P1956" i="16"/>
  <c r="A1956" i="16"/>
  <c r="R1955" i="16"/>
  <c r="P1955" i="16"/>
  <c r="A1955" i="16"/>
  <c r="R1954" i="16"/>
  <c r="P1954" i="16"/>
  <c r="A1954" i="16"/>
  <c r="R1953" i="16"/>
  <c r="P1953" i="16"/>
  <c r="A1953" i="16"/>
  <c r="R1952" i="16"/>
  <c r="P1952" i="16"/>
  <c r="A1952" i="16"/>
  <c r="R1951" i="16"/>
  <c r="P1951" i="16"/>
  <c r="A1951" i="16"/>
  <c r="R1950" i="16"/>
  <c r="P1950" i="16"/>
  <c r="A1950" i="16"/>
  <c r="R1949" i="16"/>
  <c r="P1949" i="16"/>
  <c r="A1949" i="16"/>
  <c r="R1948" i="16"/>
  <c r="P1948" i="16"/>
  <c r="A1948" i="16"/>
  <c r="R1947" i="16"/>
  <c r="P1947" i="16"/>
  <c r="A1947" i="16"/>
  <c r="R1946" i="16"/>
  <c r="P1946" i="16"/>
  <c r="A1946" i="16"/>
  <c r="R1945" i="16"/>
  <c r="P1945" i="16"/>
  <c r="A1945" i="16"/>
  <c r="R1944" i="16"/>
  <c r="P1944" i="16"/>
  <c r="A1944" i="16"/>
  <c r="R1943" i="16"/>
  <c r="P1943" i="16"/>
  <c r="A1943" i="16"/>
  <c r="R1942" i="16"/>
  <c r="P1942" i="16"/>
  <c r="A1942" i="16"/>
  <c r="R1941" i="16"/>
  <c r="P1941" i="16"/>
  <c r="A1941" i="16"/>
  <c r="R1940" i="16"/>
  <c r="P1940" i="16"/>
  <c r="A1940" i="16"/>
  <c r="R1939" i="16"/>
  <c r="P1939" i="16"/>
  <c r="A1939" i="16"/>
  <c r="R1938" i="16"/>
  <c r="P1938" i="16"/>
  <c r="A1938" i="16"/>
  <c r="R1937" i="16"/>
  <c r="P1937" i="16"/>
  <c r="A1937" i="16"/>
  <c r="R1936" i="16"/>
  <c r="P1936" i="16"/>
  <c r="A1936" i="16"/>
  <c r="R1935" i="16"/>
  <c r="P1935" i="16"/>
  <c r="A1935" i="16"/>
  <c r="R1934" i="16"/>
  <c r="P1934" i="16"/>
  <c r="A1934" i="16"/>
  <c r="R1933" i="16"/>
  <c r="P1933" i="16"/>
  <c r="A1933" i="16"/>
  <c r="R1932" i="16"/>
  <c r="P1932" i="16"/>
  <c r="A1932" i="16"/>
  <c r="R1931" i="16"/>
  <c r="P1931" i="16"/>
  <c r="A1931" i="16"/>
  <c r="R1930" i="16"/>
  <c r="P1930" i="16"/>
  <c r="A1930" i="16"/>
  <c r="R1929" i="16"/>
  <c r="P1929" i="16"/>
  <c r="A1929" i="16"/>
  <c r="R1928" i="16"/>
  <c r="P1928" i="16"/>
  <c r="A1928" i="16"/>
  <c r="R1927" i="16"/>
  <c r="P1927" i="16"/>
  <c r="A1927" i="16"/>
  <c r="R1926" i="16"/>
  <c r="P1926" i="16"/>
  <c r="A1926" i="16"/>
  <c r="R1925" i="16"/>
  <c r="P1925" i="16"/>
  <c r="A1925" i="16"/>
  <c r="R1924" i="16"/>
  <c r="P1924" i="16"/>
  <c r="A1924" i="16"/>
  <c r="R1923" i="16"/>
  <c r="P1923" i="16"/>
  <c r="A1923" i="16"/>
  <c r="R1922" i="16"/>
  <c r="P1922" i="16"/>
  <c r="A1922" i="16"/>
  <c r="R1921" i="16"/>
  <c r="P1921" i="16"/>
  <c r="A1921" i="16"/>
  <c r="R1920" i="16"/>
  <c r="P1920" i="16"/>
  <c r="A1920" i="16"/>
  <c r="R1919" i="16"/>
  <c r="P1919" i="16"/>
  <c r="A1919" i="16"/>
  <c r="R1918" i="16"/>
  <c r="P1918" i="16"/>
  <c r="A1918" i="16"/>
  <c r="R1917" i="16"/>
  <c r="P1917" i="16"/>
  <c r="A1917" i="16"/>
  <c r="R1916" i="16"/>
  <c r="P1916" i="16"/>
  <c r="A1916" i="16"/>
  <c r="R1915" i="16"/>
  <c r="P1915" i="16"/>
  <c r="A1915" i="16"/>
  <c r="R1914" i="16"/>
  <c r="P1914" i="16"/>
  <c r="A1914" i="16"/>
  <c r="R1913" i="16"/>
  <c r="P1913" i="16"/>
  <c r="A1913" i="16"/>
  <c r="R1912" i="16"/>
  <c r="P1912" i="16"/>
  <c r="A1912" i="16"/>
  <c r="R1911" i="16"/>
  <c r="P1911" i="16"/>
  <c r="A1911" i="16"/>
  <c r="R1910" i="16"/>
  <c r="P1910" i="16"/>
  <c r="A1910" i="16"/>
  <c r="R1909" i="16"/>
  <c r="P1909" i="16"/>
  <c r="A1909" i="16"/>
  <c r="R1908" i="16"/>
  <c r="P1908" i="16"/>
  <c r="A1908" i="16"/>
  <c r="R1907" i="16"/>
  <c r="P1907" i="16"/>
  <c r="A1907" i="16"/>
  <c r="R1906" i="16"/>
  <c r="P1906" i="16"/>
  <c r="A1906" i="16"/>
  <c r="R1905" i="16"/>
  <c r="P1905" i="16"/>
  <c r="A1905" i="16"/>
  <c r="R1904" i="16"/>
  <c r="P1904" i="16"/>
  <c r="A1904" i="16"/>
  <c r="R1903" i="16"/>
  <c r="P1903" i="16"/>
  <c r="A1903" i="16"/>
  <c r="R1902" i="16"/>
  <c r="P1902" i="16"/>
  <c r="A1902" i="16"/>
  <c r="R1901" i="16"/>
  <c r="P1901" i="16"/>
  <c r="A1901" i="16"/>
  <c r="R1900" i="16"/>
  <c r="P1900" i="16"/>
  <c r="A1900" i="16"/>
  <c r="R1899" i="16"/>
  <c r="P1899" i="16"/>
  <c r="A1899" i="16"/>
  <c r="R1898" i="16"/>
  <c r="P1898" i="16"/>
  <c r="A1898" i="16"/>
  <c r="R1897" i="16"/>
  <c r="P1897" i="16"/>
  <c r="A1897" i="16"/>
  <c r="R1896" i="16"/>
  <c r="P1896" i="16"/>
  <c r="A1896" i="16"/>
  <c r="R1895" i="16"/>
  <c r="P1895" i="16"/>
  <c r="A1895" i="16"/>
  <c r="R1894" i="16"/>
  <c r="P1894" i="16"/>
  <c r="A1894" i="16"/>
  <c r="R1893" i="16"/>
  <c r="P1893" i="16"/>
  <c r="A1893" i="16"/>
  <c r="R1892" i="16"/>
  <c r="P1892" i="16"/>
  <c r="A1892" i="16"/>
  <c r="R1891" i="16"/>
  <c r="P1891" i="16"/>
  <c r="A1891" i="16"/>
  <c r="R1890" i="16"/>
  <c r="P1890" i="16"/>
  <c r="A1890" i="16"/>
  <c r="R1889" i="16"/>
  <c r="P1889" i="16"/>
  <c r="A1889" i="16"/>
  <c r="R1888" i="16"/>
  <c r="P1888" i="16"/>
  <c r="A1888" i="16"/>
  <c r="R1887" i="16"/>
  <c r="P1887" i="16"/>
  <c r="A1887" i="16"/>
  <c r="R1886" i="16"/>
  <c r="P1886" i="16"/>
  <c r="A1886" i="16"/>
  <c r="R1885" i="16"/>
  <c r="P1885" i="16"/>
  <c r="A1885" i="16"/>
  <c r="R1884" i="16"/>
  <c r="P1884" i="16"/>
  <c r="A1884" i="16"/>
  <c r="R1883" i="16"/>
  <c r="P1883" i="16"/>
  <c r="A1883" i="16"/>
  <c r="R1882" i="16"/>
  <c r="P1882" i="16"/>
  <c r="A1882" i="16"/>
  <c r="R1881" i="16"/>
  <c r="P1881" i="16"/>
  <c r="A1881" i="16"/>
  <c r="R1880" i="16"/>
  <c r="P1880" i="16"/>
  <c r="A1880" i="16"/>
  <c r="R1879" i="16"/>
  <c r="P1879" i="16"/>
  <c r="A1879" i="16"/>
  <c r="R1878" i="16"/>
  <c r="P1878" i="16"/>
  <c r="A1878" i="16"/>
  <c r="R1877" i="16"/>
  <c r="P1877" i="16"/>
  <c r="A1877" i="16"/>
  <c r="R1876" i="16"/>
  <c r="P1876" i="16"/>
  <c r="A1876" i="16"/>
  <c r="R1875" i="16"/>
  <c r="P1875" i="16"/>
  <c r="A1875" i="16"/>
  <c r="R1874" i="16"/>
  <c r="P1874" i="16"/>
  <c r="A1874" i="16"/>
  <c r="R1873" i="16"/>
  <c r="P1873" i="16"/>
  <c r="A1873" i="16"/>
  <c r="R1872" i="16"/>
  <c r="P1872" i="16"/>
  <c r="A1872" i="16"/>
  <c r="R1871" i="16"/>
  <c r="P1871" i="16"/>
  <c r="A1871" i="16"/>
  <c r="R1870" i="16"/>
  <c r="P1870" i="16"/>
  <c r="A1870" i="16"/>
  <c r="R1869" i="16"/>
  <c r="P1869" i="16"/>
  <c r="A1869" i="16"/>
  <c r="R1868" i="16"/>
  <c r="P1868" i="16"/>
  <c r="A1868" i="16"/>
  <c r="R1867" i="16"/>
  <c r="P1867" i="16"/>
  <c r="A1867" i="16"/>
  <c r="R1866" i="16"/>
  <c r="P1866" i="16"/>
  <c r="A1866" i="16"/>
  <c r="R1865" i="16"/>
  <c r="P1865" i="16"/>
  <c r="A1865" i="16"/>
  <c r="R1864" i="16"/>
  <c r="P1864" i="16"/>
  <c r="A1864" i="16"/>
  <c r="R1863" i="16"/>
  <c r="P1863" i="16"/>
  <c r="A1863" i="16"/>
  <c r="R1862" i="16"/>
  <c r="P1862" i="16"/>
  <c r="A1862" i="16"/>
  <c r="R1861" i="16"/>
  <c r="P1861" i="16"/>
  <c r="A1861" i="16"/>
  <c r="R1860" i="16"/>
  <c r="P1860" i="16"/>
  <c r="A1860" i="16"/>
  <c r="R1859" i="16"/>
  <c r="P1859" i="16"/>
  <c r="A1859" i="16"/>
  <c r="R1858" i="16"/>
  <c r="P1858" i="16"/>
  <c r="A1858" i="16"/>
  <c r="R1857" i="16"/>
  <c r="P1857" i="16"/>
  <c r="A1857" i="16"/>
  <c r="R1856" i="16"/>
  <c r="P1856" i="16"/>
  <c r="A1856" i="16"/>
  <c r="R1855" i="16"/>
  <c r="P1855" i="16"/>
  <c r="A1855" i="16"/>
  <c r="R1854" i="16"/>
  <c r="P1854" i="16"/>
  <c r="A1854" i="16"/>
  <c r="R1853" i="16"/>
  <c r="P1853" i="16"/>
  <c r="A1853" i="16"/>
  <c r="R1852" i="16"/>
  <c r="P1852" i="16"/>
  <c r="A1852" i="16"/>
  <c r="R1851" i="16"/>
  <c r="P1851" i="16"/>
  <c r="A1851" i="16"/>
  <c r="R1850" i="16"/>
  <c r="P1850" i="16"/>
  <c r="A1850" i="16"/>
  <c r="R1849" i="16"/>
  <c r="P1849" i="16"/>
  <c r="A1849" i="16"/>
  <c r="R1848" i="16"/>
  <c r="P1848" i="16"/>
  <c r="A1848" i="16"/>
  <c r="R1847" i="16"/>
  <c r="P1847" i="16"/>
  <c r="A1847" i="16"/>
  <c r="R1846" i="16"/>
  <c r="P1846" i="16"/>
  <c r="A1846" i="16"/>
  <c r="R1845" i="16"/>
  <c r="P1845" i="16"/>
  <c r="A1845" i="16"/>
  <c r="R1844" i="16"/>
  <c r="P1844" i="16"/>
  <c r="A1844" i="16"/>
  <c r="R1843" i="16"/>
  <c r="P1843" i="16"/>
  <c r="A1843" i="16"/>
  <c r="R1842" i="16"/>
  <c r="P1842" i="16"/>
  <c r="A1842" i="16"/>
  <c r="R1841" i="16"/>
  <c r="P1841" i="16"/>
  <c r="A1841" i="16"/>
  <c r="R1840" i="16"/>
  <c r="P1840" i="16"/>
  <c r="A1840" i="16"/>
  <c r="R1839" i="16"/>
  <c r="P1839" i="16"/>
  <c r="A1839" i="16"/>
  <c r="R1838" i="16"/>
  <c r="P1838" i="16"/>
  <c r="A1838" i="16"/>
  <c r="R1837" i="16"/>
  <c r="P1837" i="16"/>
  <c r="A1837" i="16"/>
  <c r="R1836" i="16"/>
  <c r="P1836" i="16"/>
  <c r="A1836" i="16"/>
  <c r="R1835" i="16"/>
  <c r="P1835" i="16"/>
  <c r="A1835" i="16"/>
  <c r="R1834" i="16"/>
  <c r="P1834" i="16"/>
  <c r="A1834" i="16"/>
  <c r="R1833" i="16"/>
  <c r="P1833" i="16"/>
  <c r="A1833" i="16"/>
  <c r="R1832" i="16"/>
  <c r="P1832" i="16"/>
  <c r="A1832" i="16"/>
  <c r="R1831" i="16"/>
  <c r="P1831" i="16"/>
  <c r="A1831" i="16"/>
  <c r="R1830" i="16"/>
  <c r="P1830" i="16"/>
  <c r="A1830" i="16"/>
  <c r="R1829" i="16"/>
  <c r="P1829" i="16"/>
  <c r="A1829" i="16"/>
  <c r="R1828" i="16"/>
  <c r="P1828" i="16"/>
  <c r="A1828" i="16"/>
  <c r="R1827" i="16"/>
  <c r="P1827" i="16"/>
  <c r="A1827" i="16"/>
  <c r="R1826" i="16"/>
  <c r="P1826" i="16"/>
  <c r="A1826" i="16"/>
  <c r="R1825" i="16"/>
  <c r="P1825" i="16"/>
  <c r="A1825" i="16"/>
  <c r="R1824" i="16"/>
  <c r="P1824" i="16"/>
  <c r="A1824" i="16"/>
  <c r="R1823" i="16"/>
  <c r="P1823" i="16"/>
  <c r="A1823" i="16"/>
  <c r="R1822" i="16"/>
  <c r="P1822" i="16"/>
  <c r="A1822" i="16"/>
  <c r="R1821" i="16"/>
  <c r="P1821" i="16"/>
  <c r="A1821" i="16"/>
  <c r="R1820" i="16"/>
  <c r="P1820" i="16"/>
  <c r="A1820" i="16"/>
  <c r="R1819" i="16"/>
  <c r="P1819" i="16"/>
  <c r="A1819" i="16"/>
  <c r="R1818" i="16"/>
  <c r="P1818" i="16"/>
  <c r="A1818" i="16"/>
  <c r="R1817" i="16"/>
  <c r="P1817" i="16"/>
  <c r="A1817" i="16"/>
  <c r="R1816" i="16"/>
  <c r="P1816" i="16"/>
  <c r="A1816" i="16"/>
  <c r="R1815" i="16"/>
  <c r="P1815" i="16"/>
  <c r="A1815" i="16"/>
  <c r="R1814" i="16"/>
  <c r="P1814" i="16"/>
  <c r="A1814" i="16"/>
  <c r="R1813" i="16"/>
  <c r="P1813" i="16"/>
  <c r="A1813" i="16"/>
  <c r="R1812" i="16"/>
  <c r="P1812" i="16"/>
  <c r="A1812" i="16"/>
  <c r="R1811" i="16"/>
  <c r="P1811" i="16"/>
  <c r="A1811" i="16"/>
  <c r="R1810" i="16"/>
  <c r="P1810" i="16"/>
  <c r="A1810" i="16"/>
  <c r="R1809" i="16"/>
  <c r="P1809" i="16"/>
  <c r="A1809" i="16"/>
  <c r="R1808" i="16"/>
  <c r="P1808" i="16"/>
  <c r="A1808" i="16"/>
  <c r="R1807" i="16"/>
  <c r="P1807" i="16"/>
  <c r="A1807" i="16"/>
  <c r="R1806" i="16"/>
  <c r="P1806" i="16"/>
  <c r="A1806" i="16"/>
  <c r="R1805" i="16"/>
  <c r="P1805" i="16"/>
  <c r="A1805" i="16"/>
  <c r="R1804" i="16"/>
  <c r="P1804" i="16"/>
  <c r="A1804" i="16"/>
  <c r="R1803" i="16"/>
  <c r="P1803" i="16"/>
  <c r="A1803" i="16"/>
  <c r="R1802" i="16"/>
  <c r="P1802" i="16"/>
  <c r="A1802" i="16"/>
  <c r="R1801" i="16"/>
  <c r="P1801" i="16"/>
  <c r="A1801" i="16"/>
  <c r="R1800" i="16"/>
  <c r="P1800" i="16"/>
  <c r="A1800" i="16"/>
  <c r="R1799" i="16"/>
  <c r="P1799" i="16"/>
  <c r="A1799" i="16"/>
  <c r="R1798" i="16"/>
  <c r="P1798" i="16"/>
  <c r="A1798" i="16"/>
  <c r="R1797" i="16"/>
  <c r="P1797" i="16"/>
  <c r="A1797" i="16"/>
  <c r="R1796" i="16"/>
  <c r="P1796" i="16"/>
  <c r="A1796" i="16"/>
  <c r="R1795" i="16"/>
  <c r="P1795" i="16"/>
  <c r="A1795" i="16"/>
  <c r="R1794" i="16"/>
  <c r="P1794" i="16"/>
  <c r="A1794" i="16"/>
  <c r="R1793" i="16"/>
  <c r="P1793" i="16"/>
  <c r="A1793" i="16"/>
  <c r="R1792" i="16"/>
  <c r="P1792" i="16"/>
  <c r="A1792" i="16"/>
  <c r="R1791" i="16"/>
  <c r="P1791" i="16"/>
  <c r="A1791" i="16"/>
  <c r="R1790" i="16"/>
  <c r="P1790" i="16"/>
  <c r="A1790" i="16"/>
  <c r="R1789" i="16"/>
  <c r="P1789" i="16"/>
  <c r="A1789" i="16"/>
  <c r="R1788" i="16"/>
  <c r="P1788" i="16"/>
  <c r="A1788" i="16"/>
  <c r="R1787" i="16"/>
  <c r="P1787" i="16"/>
  <c r="A1787" i="16"/>
  <c r="R1786" i="16"/>
  <c r="P1786" i="16"/>
  <c r="A1786" i="16"/>
  <c r="R1785" i="16"/>
  <c r="P1785" i="16"/>
  <c r="A1785" i="16"/>
  <c r="R1784" i="16"/>
  <c r="P1784" i="16"/>
  <c r="A1784" i="16"/>
  <c r="R1783" i="16"/>
  <c r="P1783" i="16"/>
  <c r="A1783" i="16"/>
  <c r="R1782" i="16"/>
  <c r="P1782" i="16"/>
  <c r="A1782" i="16"/>
  <c r="R1781" i="16"/>
  <c r="P1781" i="16"/>
  <c r="A1781" i="16"/>
  <c r="R1780" i="16"/>
  <c r="P1780" i="16"/>
  <c r="A1780" i="16"/>
  <c r="R1779" i="16"/>
  <c r="P1779" i="16"/>
  <c r="A1779" i="16"/>
  <c r="R1778" i="16"/>
  <c r="P1778" i="16"/>
  <c r="A1778" i="16"/>
  <c r="R1777" i="16"/>
  <c r="P1777" i="16"/>
  <c r="A1777" i="16"/>
  <c r="R1776" i="16"/>
  <c r="P1776" i="16"/>
  <c r="A1776" i="16"/>
  <c r="R1775" i="16"/>
  <c r="P1775" i="16"/>
  <c r="A1775" i="16"/>
  <c r="R1774" i="16"/>
  <c r="P1774" i="16"/>
  <c r="A1774" i="16"/>
  <c r="R1773" i="16"/>
  <c r="P1773" i="16"/>
  <c r="A1773" i="16"/>
  <c r="R1772" i="16"/>
  <c r="P1772" i="16"/>
  <c r="A1772" i="16"/>
  <c r="R1771" i="16"/>
  <c r="P1771" i="16"/>
  <c r="A1771" i="16"/>
  <c r="R1770" i="16"/>
  <c r="P1770" i="16"/>
  <c r="A1770" i="16"/>
  <c r="R1769" i="16"/>
  <c r="P1769" i="16"/>
  <c r="A1769" i="16"/>
  <c r="R1768" i="16"/>
  <c r="P1768" i="16"/>
  <c r="A1768" i="16"/>
  <c r="R1767" i="16"/>
  <c r="P1767" i="16"/>
  <c r="A1767" i="16"/>
  <c r="R1766" i="16"/>
  <c r="P1766" i="16"/>
  <c r="A1766" i="16"/>
  <c r="R1765" i="16"/>
  <c r="P1765" i="16"/>
  <c r="A1765" i="16"/>
  <c r="R1764" i="16"/>
  <c r="P1764" i="16"/>
  <c r="A1764" i="16"/>
  <c r="R1763" i="16"/>
  <c r="P1763" i="16"/>
  <c r="A1763" i="16"/>
  <c r="R1762" i="16"/>
  <c r="P1762" i="16"/>
  <c r="A1762" i="16"/>
  <c r="R1761" i="16"/>
  <c r="P1761" i="16"/>
  <c r="A1761" i="16"/>
  <c r="R1760" i="16"/>
  <c r="P1760" i="16"/>
  <c r="A1760" i="16"/>
  <c r="R1759" i="16"/>
  <c r="P1759" i="16"/>
  <c r="A1759" i="16"/>
  <c r="R1758" i="16"/>
  <c r="P1758" i="16"/>
  <c r="A1758" i="16"/>
  <c r="R1757" i="16"/>
  <c r="P1757" i="16"/>
  <c r="A1757" i="16"/>
  <c r="R1756" i="16"/>
  <c r="P1756" i="16"/>
  <c r="A1756" i="16"/>
  <c r="R1755" i="16"/>
  <c r="P1755" i="16"/>
  <c r="A1755" i="16"/>
  <c r="R1754" i="16"/>
  <c r="P1754" i="16"/>
  <c r="A1754" i="16"/>
  <c r="R1753" i="16"/>
  <c r="P1753" i="16"/>
  <c r="A1753" i="16"/>
  <c r="R1752" i="16"/>
  <c r="P1752" i="16"/>
  <c r="A1752" i="16"/>
  <c r="R1751" i="16"/>
  <c r="P1751" i="16"/>
  <c r="A1751" i="16"/>
  <c r="R1750" i="16"/>
  <c r="P1750" i="16"/>
  <c r="A1750" i="16"/>
  <c r="R1749" i="16"/>
  <c r="P1749" i="16"/>
  <c r="A1749" i="16"/>
  <c r="R1748" i="16"/>
  <c r="P1748" i="16"/>
  <c r="A1748" i="16"/>
  <c r="R1747" i="16"/>
  <c r="P1747" i="16"/>
  <c r="A1747" i="16"/>
  <c r="R1746" i="16"/>
  <c r="P1746" i="16"/>
  <c r="A1746" i="16"/>
  <c r="R1745" i="16"/>
  <c r="P1745" i="16"/>
  <c r="A1745" i="16"/>
  <c r="R1744" i="16"/>
  <c r="P1744" i="16"/>
  <c r="A1744" i="16"/>
  <c r="R1743" i="16"/>
  <c r="P1743" i="16"/>
  <c r="A1743" i="16"/>
  <c r="R1742" i="16"/>
  <c r="P1742" i="16"/>
  <c r="A1742" i="16"/>
  <c r="R1741" i="16"/>
  <c r="P1741" i="16"/>
  <c r="A1741" i="16"/>
  <c r="R1740" i="16"/>
  <c r="P1740" i="16"/>
  <c r="A1740" i="16"/>
  <c r="R1739" i="16"/>
  <c r="P1739" i="16"/>
  <c r="A1739" i="16"/>
  <c r="R1738" i="16"/>
  <c r="P1738" i="16"/>
  <c r="A1738" i="16"/>
  <c r="R1737" i="16"/>
  <c r="P1737" i="16"/>
  <c r="A1737" i="16"/>
  <c r="R1736" i="16"/>
  <c r="P1736" i="16"/>
  <c r="A1736" i="16"/>
  <c r="R1735" i="16"/>
  <c r="P1735" i="16"/>
  <c r="A1735" i="16"/>
  <c r="R1734" i="16"/>
  <c r="P1734" i="16"/>
  <c r="A1734" i="16"/>
  <c r="R1733" i="16"/>
  <c r="P1733" i="16"/>
  <c r="A1733" i="16"/>
  <c r="R1732" i="16"/>
  <c r="P1732" i="16"/>
  <c r="A1732" i="16"/>
  <c r="R1731" i="16"/>
  <c r="P1731" i="16"/>
  <c r="A1731" i="16"/>
  <c r="R1730" i="16"/>
  <c r="P1730" i="16"/>
  <c r="A1730" i="16"/>
  <c r="R1729" i="16"/>
  <c r="P1729" i="16"/>
  <c r="A1729" i="16"/>
  <c r="R1728" i="16"/>
  <c r="P1728" i="16"/>
  <c r="A1728" i="16"/>
  <c r="R1727" i="16"/>
  <c r="P1727" i="16"/>
  <c r="A1727" i="16"/>
  <c r="R1726" i="16"/>
  <c r="P1726" i="16"/>
  <c r="A1726" i="16"/>
  <c r="R1725" i="16"/>
  <c r="P1725" i="16"/>
  <c r="A1725" i="16"/>
  <c r="R1724" i="16"/>
  <c r="P1724" i="16"/>
  <c r="A1724" i="16"/>
  <c r="R1723" i="16"/>
  <c r="P1723" i="16"/>
  <c r="A1723" i="16"/>
  <c r="R1722" i="16"/>
  <c r="P1722" i="16"/>
  <c r="A1722" i="16"/>
  <c r="R1721" i="16"/>
  <c r="P1721" i="16"/>
  <c r="A1721" i="16"/>
  <c r="R1720" i="16"/>
  <c r="P1720" i="16"/>
  <c r="A1720" i="16"/>
  <c r="R1719" i="16"/>
  <c r="P1719" i="16"/>
  <c r="A1719" i="16"/>
  <c r="R1718" i="16"/>
  <c r="P1718" i="16"/>
  <c r="A1718" i="16"/>
  <c r="R1717" i="16"/>
  <c r="P1717" i="16"/>
  <c r="A1717" i="16"/>
  <c r="R1716" i="16"/>
  <c r="P1716" i="16"/>
  <c r="A1716" i="16"/>
  <c r="R1715" i="16"/>
  <c r="P1715" i="16"/>
  <c r="A1715" i="16"/>
  <c r="R1714" i="16"/>
  <c r="P1714" i="16"/>
  <c r="A1714" i="16"/>
  <c r="R1713" i="16"/>
  <c r="P1713" i="16"/>
  <c r="A1713" i="16"/>
  <c r="R1712" i="16"/>
  <c r="P1712" i="16"/>
  <c r="A1712" i="16"/>
  <c r="R1711" i="16"/>
  <c r="P1711" i="16"/>
  <c r="A1711" i="16"/>
  <c r="R1710" i="16"/>
  <c r="P1710" i="16"/>
  <c r="A1710" i="16"/>
  <c r="R1709" i="16"/>
  <c r="P1709" i="16"/>
  <c r="A1709" i="16"/>
  <c r="R1708" i="16"/>
  <c r="P1708" i="16"/>
  <c r="A1708" i="16"/>
  <c r="R1707" i="16"/>
  <c r="P1707" i="16"/>
  <c r="A1707" i="16"/>
  <c r="R1706" i="16"/>
  <c r="P1706" i="16"/>
  <c r="A1706" i="16"/>
  <c r="R1705" i="16"/>
  <c r="P1705" i="16"/>
  <c r="A1705" i="16"/>
  <c r="R1704" i="16"/>
  <c r="P1704" i="16"/>
  <c r="A1704" i="16"/>
  <c r="R1703" i="16"/>
  <c r="P1703" i="16"/>
  <c r="A1703" i="16"/>
  <c r="R1702" i="16"/>
  <c r="P1702" i="16"/>
  <c r="A1702" i="16"/>
  <c r="R1701" i="16"/>
  <c r="P1701" i="16"/>
  <c r="A1701" i="16"/>
  <c r="R1700" i="16"/>
  <c r="P1700" i="16"/>
  <c r="A1700" i="16"/>
  <c r="R1699" i="16"/>
  <c r="P1699" i="16"/>
  <c r="A1699" i="16"/>
  <c r="R1698" i="16"/>
  <c r="P1698" i="16"/>
  <c r="A1698" i="16"/>
  <c r="R1697" i="16"/>
  <c r="P1697" i="16"/>
  <c r="A1697" i="16"/>
  <c r="R1696" i="16"/>
  <c r="P1696" i="16"/>
  <c r="A1696" i="16"/>
  <c r="R1695" i="16"/>
  <c r="P1695" i="16"/>
  <c r="A1695" i="16"/>
  <c r="R1694" i="16"/>
  <c r="P1694" i="16"/>
  <c r="A1694" i="16"/>
  <c r="R1693" i="16"/>
  <c r="P1693" i="16"/>
  <c r="A1693" i="16"/>
  <c r="R1692" i="16"/>
  <c r="P1692" i="16"/>
  <c r="A1692" i="16"/>
  <c r="R1691" i="16"/>
  <c r="P1691" i="16"/>
  <c r="A1691" i="16"/>
  <c r="R1690" i="16"/>
  <c r="P1690" i="16"/>
  <c r="A1690" i="16"/>
  <c r="R1689" i="16"/>
  <c r="P1689" i="16"/>
  <c r="A1689" i="16"/>
  <c r="R1688" i="16"/>
  <c r="P1688" i="16"/>
  <c r="A1688" i="16"/>
  <c r="R1687" i="16"/>
  <c r="P1687" i="16"/>
  <c r="A1687" i="16"/>
  <c r="R1686" i="16"/>
  <c r="P1686" i="16"/>
  <c r="A1686" i="16"/>
  <c r="R1685" i="16"/>
  <c r="P1685" i="16"/>
  <c r="A1685" i="16"/>
  <c r="R1684" i="16"/>
  <c r="P1684" i="16"/>
  <c r="A1684" i="16"/>
  <c r="R1683" i="16"/>
  <c r="P1683" i="16"/>
  <c r="A1683" i="16"/>
  <c r="R1682" i="16"/>
  <c r="P1682" i="16"/>
  <c r="A1682" i="16"/>
  <c r="R1681" i="16"/>
  <c r="P1681" i="16"/>
  <c r="A1681" i="16"/>
  <c r="R1680" i="16"/>
  <c r="P1680" i="16"/>
  <c r="A1680" i="16"/>
  <c r="R1679" i="16"/>
  <c r="P1679" i="16"/>
  <c r="A1679" i="16"/>
  <c r="R1678" i="16"/>
  <c r="P1678" i="16"/>
  <c r="A1678" i="16"/>
  <c r="R1677" i="16"/>
  <c r="P1677" i="16"/>
  <c r="A1677" i="16"/>
  <c r="R1676" i="16"/>
  <c r="P1676" i="16"/>
  <c r="A1676" i="16"/>
  <c r="R1675" i="16"/>
  <c r="P1675" i="16"/>
  <c r="A1675" i="16"/>
  <c r="R1674" i="16"/>
  <c r="P1674" i="16"/>
  <c r="A1674" i="16"/>
  <c r="R1673" i="16"/>
  <c r="P1673" i="16"/>
  <c r="A1673" i="16"/>
  <c r="R1672" i="16"/>
  <c r="P1672" i="16"/>
  <c r="A1672" i="16"/>
  <c r="R1671" i="16"/>
  <c r="P1671" i="16"/>
  <c r="A1671" i="16"/>
  <c r="R1670" i="16"/>
  <c r="P1670" i="16"/>
  <c r="A1670" i="16"/>
  <c r="R1669" i="16"/>
  <c r="P1669" i="16"/>
  <c r="A1669" i="16"/>
  <c r="R1668" i="16"/>
  <c r="P1668" i="16"/>
  <c r="A1668" i="16"/>
  <c r="R1667" i="16"/>
  <c r="P1667" i="16"/>
  <c r="A1667" i="16"/>
  <c r="R1666" i="16"/>
  <c r="P1666" i="16"/>
  <c r="A1666" i="16"/>
  <c r="R1665" i="16"/>
  <c r="P1665" i="16"/>
  <c r="A1665" i="16"/>
  <c r="R1664" i="16"/>
  <c r="P1664" i="16"/>
  <c r="A1664" i="16"/>
  <c r="R1663" i="16"/>
  <c r="P1663" i="16"/>
  <c r="A1663" i="16"/>
  <c r="R1662" i="16"/>
  <c r="P1662" i="16"/>
  <c r="A1662" i="16"/>
  <c r="R1661" i="16"/>
  <c r="P1661" i="16"/>
  <c r="A1661" i="16"/>
  <c r="R1660" i="16"/>
  <c r="P1660" i="16"/>
  <c r="A1660" i="16"/>
  <c r="R1659" i="16"/>
  <c r="P1659" i="16"/>
  <c r="A1659" i="16"/>
  <c r="R1658" i="16"/>
  <c r="P1658" i="16"/>
  <c r="A1658" i="16"/>
  <c r="R1657" i="16"/>
  <c r="P1657" i="16"/>
  <c r="A1657" i="16"/>
  <c r="R1656" i="16"/>
  <c r="P1656" i="16"/>
  <c r="A1656" i="16"/>
  <c r="R1655" i="16"/>
  <c r="P1655" i="16"/>
  <c r="A1655" i="16"/>
  <c r="R1654" i="16"/>
  <c r="P1654" i="16"/>
  <c r="A1654" i="16"/>
  <c r="R1653" i="16"/>
  <c r="P1653" i="16"/>
  <c r="A1653" i="16"/>
  <c r="R1652" i="16"/>
  <c r="P1652" i="16"/>
  <c r="A1652" i="16"/>
  <c r="R1651" i="16"/>
  <c r="P1651" i="16"/>
  <c r="A1651" i="16"/>
  <c r="R1650" i="16"/>
  <c r="P1650" i="16"/>
  <c r="A1650" i="16"/>
  <c r="R1649" i="16"/>
  <c r="P1649" i="16"/>
  <c r="A1649" i="16"/>
  <c r="R1648" i="16"/>
  <c r="P1648" i="16"/>
  <c r="A1648" i="16"/>
  <c r="R1647" i="16"/>
  <c r="P1647" i="16"/>
  <c r="A1647" i="16"/>
  <c r="R1646" i="16"/>
  <c r="P1646" i="16"/>
  <c r="A1646" i="16"/>
  <c r="R1645" i="16"/>
  <c r="P1645" i="16"/>
  <c r="A1645" i="16"/>
  <c r="R1644" i="16"/>
  <c r="P1644" i="16"/>
  <c r="A1644" i="16"/>
  <c r="R1643" i="16"/>
  <c r="P1643" i="16"/>
  <c r="A1643" i="16"/>
  <c r="R1642" i="16"/>
  <c r="P1642" i="16"/>
  <c r="A1642" i="16"/>
  <c r="R1641" i="16"/>
  <c r="P1641" i="16"/>
  <c r="A1641" i="16"/>
  <c r="R1640" i="16"/>
  <c r="P1640" i="16"/>
  <c r="A1640" i="16"/>
  <c r="R1639" i="16"/>
  <c r="P1639" i="16"/>
  <c r="A1639" i="16"/>
  <c r="R1638" i="16"/>
  <c r="P1638" i="16"/>
  <c r="A1638" i="16"/>
  <c r="R1637" i="16"/>
  <c r="P1637" i="16"/>
  <c r="A1637" i="16"/>
  <c r="R1636" i="16"/>
  <c r="P1636" i="16"/>
  <c r="A1636" i="16"/>
  <c r="R1635" i="16"/>
  <c r="P1635" i="16"/>
  <c r="A1635" i="16"/>
  <c r="R1634" i="16"/>
  <c r="P1634" i="16"/>
  <c r="A1634" i="16"/>
  <c r="R1633" i="16"/>
  <c r="P1633" i="16"/>
  <c r="A1633" i="16"/>
  <c r="R1632" i="16"/>
  <c r="P1632" i="16"/>
  <c r="A1632" i="16"/>
  <c r="R1631" i="16"/>
  <c r="P1631" i="16"/>
  <c r="A1631" i="16"/>
  <c r="R1630" i="16"/>
  <c r="P1630" i="16"/>
  <c r="A1630" i="16"/>
  <c r="R1629" i="16"/>
  <c r="P1629" i="16"/>
  <c r="A1629" i="16"/>
  <c r="R1628" i="16"/>
  <c r="P1628" i="16"/>
  <c r="A1628" i="16"/>
  <c r="R1627" i="16"/>
  <c r="P1627" i="16"/>
  <c r="A1627" i="16"/>
  <c r="R1626" i="16"/>
  <c r="P1626" i="16"/>
  <c r="A1626" i="16"/>
  <c r="R1625" i="16"/>
  <c r="P1625" i="16"/>
  <c r="A1625" i="16"/>
  <c r="R1624" i="16"/>
  <c r="P1624" i="16"/>
  <c r="A1624" i="16"/>
  <c r="R1623" i="16"/>
  <c r="P1623" i="16"/>
  <c r="A1623" i="16"/>
  <c r="R1622" i="16"/>
  <c r="P1622" i="16"/>
  <c r="A1622" i="16"/>
  <c r="R1621" i="16"/>
  <c r="P1621" i="16"/>
  <c r="A1621" i="16"/>
  <c r="R1620" i="16"/>
  <c r="P1620" i="16"/>
  <c r="A1620" i="16"/>
  <c r="R1619" i="16"/>
  <c r="P1619" i="16"/>
  <c r="A1619" i="16"/>
  <c r="R1618" i="16"/>
  <c r="P1618" i="16"/>
  <c r="A1618" i="16"/>
  <c r="R1617" i="16"/>
  <c r="P1617" i="16"/>
  <c r="A1617" i="16"/>
  <c r="R1616" i="16"/>
  <c r="P1616" i="16"/>
  <c r="A1616" i="16"/>
  <c r="R1615" i="16"/>
  <c r="P1615" i="16"/>
  <c r="A1615" i="16"/>
  <c r="R1614" i="16"/>
  <c r="P1614" i="16"/>
  <c r="A1614" i="16"/>
  <c r="R1613" i="16"/>
  <c r="P1613" i="16"/>
  <c r="A1613" i="16"/>
  <c r="R1612" i="16"/>
  <c r="P1612" i="16"/>
  <c r="A1612" i="16"/>
  <c r="R1611" i="16"/>
  <c r="P1611" i="16"/>
  <c r="A1611" i="16"/>
  <c r="R1610" i="16"/>
  <c r="P1610" i="16"/>
  <c r="A1610" i="16"/>
  <c r="R1609" i="16"/>
  <c r="P1609" i="16"/>
  <c r="A1609" i="16"/>
  <c r="R1608" i="16"/>
  <c r="P1608" i="16"/>
  <c r="A1608" i="16"/>
  <c r="R1607" i="16"/>
  <c r="P1607" i="16"/>
  <c r="A1607" i="16"/>
  <c r="R1606" i="16"/>
  <c r="P1606" i="16"/>
  <c r="A1606" i="16"/>
  <c r="R1605" i="16"/>
  <c r="P1605" i="16"/>
  <c r="A1605" i="16"/>
  <c r="R1604" i="16"/>
  <c r="P1604" i="16"/>
  <c r="A1604" i="16"/>
  <c r="R1603" i="16"/>
  <c r="P1603" i="16"/>
  <c r="A1603" i="16"/>
  <c r="R1602" i="16"/>
  <c r="P1602" i="16"/>
  <c r="A1602" i="16"/>
  <c r="R1601" i="16"/>
  <c r="P1601" i="16"/>
  <c r="A1601" i="16"/>
  <c r="R1600" i="16"/>
  <c r="P1600" i="16"/>
  <c r="A1600" i="16"/>
  <c r="R1599" i="16"/>
  <c r="P1599" i="16"/>
  <c r="A1599" i="16"/>
  <c r="R1598" i="16"/>
  <c r="P1598" i="16"/>
  <c r="A1598" i="16"/>
  <c r="R1597" i="16"/>
  <c r="P1597" i="16"/>
  <c r="A1597" i="16"/>
  <c r="R1596" i="16"/>
  <c r="P1596" i="16"/>
  <c r="A1596" i="16"/>
  <c r="R1595" i="16"/>
  <c r="P1595" i="16"/>
  <c r="A1595" i="16"/>
  <c r="R1594" i="16"/>
  <c r="P1594" i="16"/>
  <c r="A1594" i="16"/>
  <c r="R1593" i="16"/>
  <c r="P1593" i="16"/>
  <c r="A1593" i="16"/>
  <c r="R1592" i="16"/>
  <c r="P1592" i="16"/>
  <c r="A1592" i="16"/>
  <c r="R1591" i="16"/>
  <c r="P1591" i="16"/>
  <c r="A1591" i="16"/>
  <c r="R1590" i="16"/>
  <c r="P1590" i="16"/>
  <c r="A1590" i="16"/>
  <c r="R1589" i="16"/>
  <c r="P1589" i="16"/>
  <c r="A1589" i="16"/>
  <c r="R1588" i="16"/>
  <c r="P1588" i="16"/>
  <c r="A1588" i="16"/>
  <c r="R1587" i="16"/>
  <c r="P1587" i="16"/>
  <c r="A1587" i="16"/>
  <c r="R1586" i="16"/>
  <c r="P1586" i="16"/>
  <c r="A1586" i="16"/>
  <c r="R1585" i="16"/>
  <c r="P1585" i="16"/>
  <c r="A1585" i="16"/>
  <c r="R1584" i="16"/>
  <c r="P1584" i="16"/>
  <c r="A1584" i="16"/>
  <c r="R1583" i="16"/>
  <c r="P1583" i="16"/>
  <c r="A1583" i="16"/>
  <c r="R1582" i="16"/>
  <c r="P1582" i="16"/>
  <c r="A1582" i="16"/>
  <c r="R1581" i="16"/>
  <c r="P1581" i="16"/>
  <c r="A1581" i="16"/>
  <c r="R1580" i="16"/>
  <c r="P1580" i="16"/>
  <c r="A1580" i="16"/>
  <c r="R1579" i="16"/>
  <c r="P1579" i="16"/>
  <c r="A1579" i="16"/>
  <c r="R1578" i="16"/>
  <c r="P1578" i="16"/>
  <c r="A1578" i="16"/>
  <c r="R1577" i="16"/>
  <c r="P1577" i="16"/>
  <c r="A1577" i="16"/>
  <c r="R1576" i="16"/>
  <c r="P1576" i="16"/>
  <c r="A1576" i="16"/>
  <c r="R1575" i="16"/>
  <c r="P1575" i="16"/>
  <c r="A1575" i="16"/>
  <c r="R1574" i="16"/>
  <c r="P1574" i="16"/>
  <c r="A1574" i="16"/>
  <c r="R1573" i="16"/>
  <c r="P1573" i="16"/>
  <c r="A1573" i="16"/>
  <c r="R1572" i="16"/>
  <c r="P1572" i="16"/>
  <c r="A1572" i="16"/>
  <c r="R1571" i="16"/>
  <c r="P1571" i="16"/>
  <c r="A1571" i="16"/>
  <c r="R1570" i="16"/>
  <c r="P1570" i="16"/>
  <c r="A1570" i="16"/>
  <c r="R1569" i="16"/>
  <c r="P1569" i="16"/>
  <c r="A1569" i="16"/>
  <c r="R1568" i="16"/>
  <c r="P1568" i="16"/>
  <c r="A1568" i="16"/>
  <c r="R1567" i="16"/>
  <c r="P1567" i="16"/>
  <c r="A1567" i="16"/>
  <c r="R1566" i="16"/>
  <c r="P1566" i="16"/>
  <c r="A1566" i="16"/>
  <c r="R1565" i="16"/>
  <c r="P1565" i="16"/>
  <c r="A1565" i="16"/>
  <c r="R1564" i="16"/>
  <c r="P1564" i="16"/>
  <c r="A1564" i="16"/>
  <c r="R1563" i="16"/>
  <c r="P1563" i="16"/>
  <c r="A1563" i="16"/>
  <c r="R1562" i="16"/>
  <c r="P1562" i="16"/>
  <c r="A1562" i="16"/>
  <c r="R1561" i="16"/>
  <c r="P1561" i="16"/>
  <c r="A1561" i="16"/>
  <c r="R1560" i="16"/>
  <c r="P1560" i="16"/>
  <c r="A1560" i="16"/>
  <c r="R1559" i="16"/>
  <c r="P1559" i="16"/>
  <c r="A1559" i="16"/>
  <c r="R1558" i="16"/>
  <c r="P1558" i="16"/>
  <c r="A1558" i="16"/>
  <c r="R1557" i="16"/>
  <c r="P1557" i="16"/>
  <c r="A1557" i="16"/>
  <c r="R1556" i="16"/>
  <c r="P1556" i="16"/>
  <c r="A1556" i="16"/>
  <c r="R1555" i="16"/>
  <c r="P1555" i="16"/>
  <c r="A1555" i="16"/>
  <c r="R1554" i="16"/>
  <c r="P1554" i="16"/>
  <c r="A1554" i="16"/>
  <c r="R1553" i="16"/>
  <c r="P1553" i="16"/>
  <c r="A1553" i="16"/>
  <c r="R1552" i="16"/>
  <c r="P1552" i="16"/>
  <c r="A1552" i="16"/>
  <c r="R1551" i="16"/>
  <c r="P1551" i="16"/>
  <c r="A1551" i="16"/>
  <c r="R1550" i="16"/>
  <c r="P1550" i="16"/>
  <c r="A1550" i="16"/>
  <c r="R1549" i="16"/>
  <c r="P1549" i="16"/>
  <c r="A1549" i="16"/>
  <c r="R1548" i="16"/>
  <c r="P1548" i="16"/>
  <c r="A1548" i="16"/>
  <c r="R1547" i="16"/>
  <c r="P1547" i="16"/>
  <c r="A1547" i="16"/>
  <c r="R1546" i="16"/>
  <c r="P1546" i="16"/>
  <c r="A1546" i="16"/>
  <c r="R1545" i="16"/>
  <c r="P1545" i="16"/>
  <c r="A1545" i="16"/>
  <c r="R1544" i="16"/>
  <c r="P1544" i="16"/>
  <c r="A1544" i="16"/>
  <c r="R1543" i="16"/>
  <c r="P1543" i="16"/>
  <c r="A1543" i="16"/>
  <c r="R1542" i="16"/>
  <c r="P1542" i="16"/>
  <c r="A1542" i="16"/>
  <c r="R1541" i="16"/>
  <c r="P1541" i="16"/>
  <c r="A1541" i="16"/>
  <c r="R1540" i="16"/>
  <c r="P1540" i="16"/>
  <c r="A1540" i="16"/>
  <c r="R1539" i="16"/>
  <c r="P1539" i="16"/>
  <c r="A1539" i="16"/>
  <c r="R1538" i="16"/>
  <c r="P1538" i="16"/>
  <c r="A1538" i="16"/>
  <c r="R1537" i="16"/>
  <c r="P1537" i="16"/>
  <c r="A1537" i="16"/>
  <c r="R1536" i="16"/>
  <c r="P1536" i="16"/>
  <c r="A1536" i="16"/>
  <c r="R1535" i="16"/>
  <c r="P1535" i="16"/>
  <c r="A1535" i="16"/>
  <c r="R1534" i="16"/>
  <c r="P1534" i="16"/>
  <c r="A1534" i="16"/>
  <c r="R1533" i="16"/>
  <c r="P1533" i="16"/>
  <c r="A1533" i="16"/>
  <c r="R1532" i="16"/>
  <c r="P1532" i="16"/>
  <c r="A1532" i="16"/>
  <c r="R1531" i="16"/>
  <c r="P1531" i="16"/>
  <c r="A1531" i="16"/>
  <c r="R1530" i="16"/>
  <c r="P1530" i="16"/>
  <c r="A1530" i="16"/>
  <c r="R1529" i="16"/>
  <c r="P1529" i="16"/>
  <c r="A1529" i="16"/>
  <c r="R1528" i="16"/>
  <c r="P1528" i="16"/>
  <c r="A1528" i="16"/>
  <c r="R1527" i="16"/>
  <c r="P1527" i="16"/>
  <c r="A1527" i="16"/>
  <c r="R1526" i="16"/>
  <c r="P1526" i="16"/>
  <c r="A1526" i="16"/>
  <c r="R1525" i="16"/>
  <c r="P1525" i="16"/>
  <c r="A1525" i="16"/>
  <c r="R1524" i="16"/>
  <c r="P1524" i="16"/>
  <c r="A1524" i="16"/>
  <c r="R1523" i="16"/>
  <c r="P1523" i="16"/>
  <c r="A1523" i="16"/>
  <c r="R1522" i="16"/>
  <c r="P1522" i="16"/>
  <c r="A1522" i="16"/>
  <c r="R1521" i="16"/>
  <c r="P1521" i="16"/>
  <c r="A1521" i="16"/>
  <c r="R1520" i="16"/>
  <c r="P1520" i="16"/>
  <c r="A1520" i="16"/>
  <c r="R1519" i="16"/>
  <c r="P1519" i="16"/>
  <c r="A1519" i="16"/>
  <c r="R1518" i="16"/>
  <c r="P1518" i="16"/>
  <c r="A1518" i="16"/>
  <c r="R1517" i="16"/>
  <c r="P1517" i="16"/>
  <c r="A1517" i="16"/>
  <c r="R1516" i="16"/>
  <c r="P1516" i="16"/>
  <c r="A1516" i="16"/>
  <c r="R1515" i="16"/>
  <c r="P1515" i="16"/>
  <c r="A1515" i="16"/>
  <c r="R1514" i="16"/>
  <c r="P1514" i="16"/>
  <c r="A1514" i="16"/>
  <c r="R1513" i="16"/>
  <c r="P1513" i="16"/>
  <c r="A1513" i="16"/>
  <c r="R1512" i="16"/>
  <c r="P1512" i="16"/>
  <c r="A1512" i="16"/>
  <c r="R1511" i="16"/>
  <c r="P1511" i="16"/>
  <c r="A1511" i="16"/>
  <c r="R1510" i="16"/>
  <c r="P1510" i="16"/>
  <c r="A1510" i="16"/>
  <c r="R1509" i="16"/>
  <c r="P1509" i="16"/>
  <c r="A1509" i="16"/>
  <c r="R1508" i="16"/>
  <c r="P1508" i="16"/>
  <c r="A1508" i="16"/>
  <c r="R1507" i="16"/>
  <c r="P1507" i="16"/>
  <c r="A1507" i="16"/>
  <c r="R1506" i="16"/>
  <c r="P1506" i="16"/>
  <c r="A1506" i="16"/>
  <c r="R1505" i="16"/>
  <c r="P1505" i="16"/>
  <c r="A1505" i="16"/>
  <c r="R1504" i="16"/>
  <c r="P1504" i="16"/>
  <c r="A1504" i="16"/>
  <c r="R1503" i="16"/>
  <c r="P1503" i="16"/>
  <c r="A1503" i="16"/>
  <c r="R1502" i="16"/>
  <c r="P1502" i="16"/>
  <c r="A1502" i="16"/>
  <c r="R1501" i="16"/>
  <c r="P1501" i="16"/>
  <c r="A1501" i="16"/>
  <c r="R1500" i="16"/>
  <c r="P1500" i="16"/>
  <c r="A1500" i="16"/>
  <c r="R1499" i="16"/>
  <c r="P1499" i="16"/>
  <c r="A1499" i="16"/>
  <c r="R1498" i="16"/>
  <c r="P1498" i="16"/>
  <c r="A1498" i="16"/>
  <c r="R1497" i="16"/>
  <c r="P1497" i="16"/>
  <c r="A1497" i="16"/>
  <c r="R1496" i="16"/>
  <c r="P1496" i="16"/>
  <c r="A1496" i="16"/>
  <c r="R1495" i="16"/>
  <c r="P1495" i="16"/>
  <c r="A1495" i="16"/>
  <c r="R1494" i="16"/>
  <c r="P1494" i="16"/>
  <c r="A1494" i="16"/>
  <c r="R1493" i="16"/>
  <c r="P1493" i="16"/>
  <c r="A1493" i="16"/>
  <c r="R1492" i="16"/>
  <c r="P1492" i="16"/>
  <c r="A1492" i="16"/>
  <c r="R1491" i="16"/>
  <c r="P1491" i="16"/>
  <c r="A1491" i="16"/>
  <c r="R1490" i="16"/>
  <c r="P1490" i="16"/>
  <c r="A1490" i="16"/>
  <c r="R1489" i="16"/>
  <c r="P1489" i="16"/>
  <c r="A1489" i="16"/>
  <c r="R1488" i="16"/>
  <c r="P1488" i="16"/>
  <c r="A1488" i="16"/>
  <c r="R1487" i="16"/>
  <c r="P1487" i="16"/>
  <c r="A1487" i="16"/>
  <c r="R1486" i="16"/>
  <c r="P1486" i="16"/>
  <c r="A1486" i="16"/>
  <c r="R1485" i="16"/>
  <c r="P1485" i="16"/>
  <c r="A1485" i="16"/>
  <c r="R1484" i="16"/>
  <c r="P1484" i="16"/>
  <c r="A1484" i="16"/>
  <c r="R1483" i="16"/>
  <c r="P1483" i="16"/>
  <c r="A1483" i="16"/>
  <c r="R1482" i="16"/>
  <c r="P1482" i="16"/>
  <c r="A1482" i="16"/>
  <c r="R1481" i="16"/>
  <c r="P1481" i="16"/>
  <c r="A1481" i="16"/>
  <c r="R1480" i="16"/>
  <c r="P1480" i="16"/>
  <c r="A1480" i="16"/>
  <c r="R1479" i="16"/>
  <c r="P1479" i="16"/>
  <c r="A1479" i="16"/>
  <c r="R1478" i="16"/>
  <c r="P1478" i="16"/>
  <c r="A1478" i="16"/>
  <c r="R1477" i="16"/>
  <c r="P1477" i="16"/>
  <c r="A1477" i="16"/>
  <c r="R1476" i="16"/>
  <c r="P1476" i="16"/>
  <c r="A1476" i="16"/>
  <c r="R1475" i="16"/>
  <c r="P1475" i="16"/>
  <c r="A1475" i="16"/>
  <c r="R1474" i="16"/>
  <c r="P1474" i="16"/>
  <c r="A1474" i="16"/>
  <c r="R1473" i="16"/>
  <c r="P1473" i="16"/>
  <c r="A1473" i="16"/>
  <c r="R1472" i="16"/>
  <c r="P1472" i="16"/>
  <c r="A1472" i="16"/>
  <c r="R1471" i="16"/>
  <c r="P1471" i="16"/>
  <c r="A1471" i="16"/>
  <c r="R1470" i="16"/>
  <c r="P1470" i="16"/>
  <c r="A1470" i="16"/>
  <c r="R1469" i="16"/>
  <c r="P1469" i="16"/>
  <c r="A1469" i="16"/>
  <c r="R1468" i="16"/>
  <c r="P1468" i="16"/>
  <c r="A1468" i="16"/>
  <c r="R1467" i="16"/>
  <c r="P1467" i="16"/>
  <c r="A1467" i="16"/>
  <c r="R1466" i="16"/>
  <c r="P1466" i="16"/>
  <c r="A1466" i="16"/>
  <c r="R1465" i="16"/>
  <c r="P1465" i="16"/>
  <c r="A1465" i="16"/>
  <c r="R1464" i="16"/>
  <c r="P1464" i="16"/>
  <c r="A1464" i="16"/>
  <c r="R1463" i="16"/>
  <c r="P1463" i="16"/>
  <c r="A1463" i="16"/>
  <c r="R1462" i="16"/>
  <c r="P1462" i="16"/>
  <c r="A1462" i="16"/>
  <c r="R1461" i="16"/>
  <c r="P1461" i="16"/>
  <c r="A1461" i="16"/>
  <c r="R1460" i="16"/>
  <c r="P1460" i="16"/>
  <c r="A1460" i="16"/>
  <c r="R1459" i="16"/>
  <c r="P1459" i="16"/>
  <c r="A1459" i="16"/>
  <c r="R1458" i="16"/>
  <c r="P1458" i="16"/>
  <c r="A1458" i="16"/>
  <c r="R1457" i="16"/>
  <c r="P1457" i="16"/>
  <c r="A1457" i="16"/>
  <c r="R1456" i="16"/>
  <c r="P1456" i="16"/>
  <c r="A1456" i="16"/>
  <c r="R1455" i="16"/>
  <c r="P1455" i="16"/>
  <c r="A1455" i="16"/>
  <c r="R1454" i="16"/>
  <c r="P1454" i="16"/>
  <c r="A1454" i="16"/>
  <c r="R1453" i="16"/>
  <c r="P1453" i="16"/>
  <c r="A1453" i="16"/>
  <c r="R1452" i="16"/>
  <c r="P1452" i="16"/>
  <c r="A1452" i="16"/>
  <c r="R1451" i="16"/>
  <c r="P1451" i="16"/>
  <c r="A1451" i="16"/>
  <c r="R1450" i="16"/>
  <c r="P1450" i="16"/>
  <c r="A1450" i="16"/>
  <c r="R1449" i="16"/>
  <c r="P1449" i="16"/>
  <c r="A1449" i="16"/>
  <c r="R1448" i="16"/>
  <c r="P1448" i="16"/>
  <c r="A1448" i="16"/>
  <c r="R1447" i="16"/>
  <c r="P1447" i="16"/>
  <c r="A1447" i="16"/>
  <c r="R1446" i="16"/>
  <c r="P1446" i="16"/>
  <c r="A1446" i="16"/>
  <c r="R1445" i="16"/>
  <c r="P1445" i="16"/>
  <c r="A1445" i="16"/>
  <c r="R1444" i="16"/>
  <c r="P1444" i="16"/>
  <c r="A1444" i="16"/>
  <c r="R1443" i="16"/>
  <c r="P1443" i="16"/>
  <c r="A1443" i="16"/>
  <c r="R1442" i="16"/>
  <c r="P1442" i="16"/>
  <c r="A1442" i="16"/>
  <c r="R1441" i="16"/>
  <c r="P1441" i="16"/>
  <c r="A1441" i="16"/>
  <c r="R1440" i="16"/>
  <c r="P1440" i="16"/>
  <c r="A1440" i="16"/>
  <c r="R1439" i="16"/>
  <c r="P1439" i="16"/>
  <c r="A1439" i="16"/>
  <c r="R1438" i="16"/>
  <c r="P1438" i="16"/>
  <c r="A1438" i="16"/>
  <c r="R1437" i="16"/>
  <c r="P1437" i="16"/>
  <c r="A1437" i="16"/>
  <c r="R1436" i="16"/>
  <c r="P1436" i="16"/>
  <c r="A1436" i="16"/>
  <c r="R1435" i="16"/>
  <c r="P1435" i="16"/>
  <c r="A1435" i="16"/>
  <c r="R1434" i="16"/>
  <c r="P1434" i="16"/>
  <c r="A1434" i="16"/>
  <c r="R1433" i="16"/>
  <c r="P1433" i="16"/>
  <c r="A1433" i="16"/>
  <c r="R1432" i="16"/>
  <c r="P1432" i="16"/>
  <c r="A1432" i="16"/>
  <c r="R1431" i="16"/>
  <c r="P1431" i="16"/>
  <c r="A1431" i="16"/>
  <c r="R1430" i="16"/>
  <c r="P1430" i="16"/>
  <c r="A1430" i="16"/>
  <c r="R1429" i="16"/>
  <c r="P1429" i="16"/>
  <c r="A1429" i="16"/>
  <c r="R1428" i="16"/>
  <c r="P1428" i="16"/>
  <c r="A1428" i="16"/>
  <c r="R1427" i="16"/>
  <c r="P1427" i="16"/>
  <c r="A1427" i="16"/>
  <c r="R1426" i="16"/>
  <c r="P1426" i="16"/>
  <c r="A1426" i="16"/>
  <c r="R1425" i="16"/>
  <c r="P1425" i="16"/>
  <c r="A1425" i="16"/>
  <c r="R1424" i="16"/>
  <c r="P1424" i="16"/>
  <c r="A1424" i="16"/>
  <c r="R1423" i="16"/>
  <c r="P1423" i="16"/>
  <c r="A1423" i="16"/>
  <c r="R1422" i="16"/>
  <c r="P1422" i="16"/>
  <c r="A1422" i="16"/>
  <c r="R1421" i="16"/>
  <c r="P1421" i="16"/>
  <c r="A1421" i="16"/>
  <c r="R1420" i="16"/>
  <c r="P1420" i="16"/>
  <c r="A1420" i="16"/>
  <c r="R1419" i="16"/>
  <c r="P1419" i="16"/>
  <c r="A1419" i="16"/>
  <c r="R1418" i="16"/>
  <c r="P1418" i="16"/>
  <c r="A1418" i="16"/>
  <c r="R1417" i="16"/>
  <c r="P1417" i="16"/>
  <c r="A1417" i="16"/>
  <c r="R1416" i="16"/>
  <c r="P1416" i="16"/>
  <c r="A1416" i="16"/>
  <c r="R1415" i="16"/>
  <c r="P1415" i="16"/>
  <c r="A1415" i="16"/>
  <c r="R1414" i="16"/>
  <c r="P1414" i="16"/>
  <c r="A1414" i="16"/>
  <c r="R1413" i="16"/>
  <c r="P1413" i="16"/>
  <c r="A1413" i="16"/>
  <c r="R1412" i="16"/>
  <c r="P1412" i="16"/>
  <c r="A1412" i="16"/>
  <c r="R1411" i="16"/>
  <c r="P1411" i="16"/>
  <c r="A1411" i="16"/>
  <c r="R1410" i="16"/>
  <c r="P1410" i="16"/>
  <c r="A1410" i="16"/>
  <c r="R1409" i="16"/>
  <c r="P1409" i="16"/>
  <c r="A1409" i="16"/>
  <c r="R1408" i="16"/>
  <c r="P1408" i="16"/>
  <c r="A1408" i="16"/>
  <c r="R1407" i="16"/>
  <c r="P1407" i="16"/>
  <c r="A1407" i="16"/>
  <c r="R1406" i="16"/>
  <c r="P1406" i="16"/>
  <c r="A1406" i="16"/>
  <c r="R1405" i="16"/>
  <c r="P1405" i="16"/>
  <c r="A1405" i="16"/>
  <c r="R1404" i="16"/>
  <c r="P1404" i="16"/>
  <c r="A1404" i="16"/>
  <c r="R1403" i="16"/>
  <c r="P1403" i="16"/>
  <c r="A1403" i="16"/>
  <c r="R1402" i="16"/>
  <c r="P1402" i="16"/>
  <c r="A1402" i="16"/>
  <c r="R1401" i="16"/>
  <c r="P1401" i="16"/>
  <c r="A1401" i="16"/>
  <c r="R1400" i="16"/>
  <c r="P1400" i="16"/>
  <c r="A1400" i="16"/>
  <c r="R1399" i="16"/>
  <c r="P1399" i="16"/>
  <c r="A1399" i="16"/>
  <c r="R1398" i="16"/>
  <c r="P1398" i="16"/>
  <c r="A1398" i="16"/>
  <c r="R1397" i="16"/>
  <c r="P1397" i="16"/>
  <c r="A1397" i="16"/>
  <c r="R1396" i="16"/>
  <c r="P1396" i="16"/>
  <c r="A1396" i="16"/>
  <c r="R1395" i="16"/>
  <c r="P1395" i="16"/>
  <c r="A1395" i="16"/>
  <c r="R1394" i="16"/>
  <c r="P1394" i="16"/>
  <c r="A1394" i="16"/>
  <c r="R1393" i="16"/>
  <c r="P1393" i="16"/>
  <c r="A1393" i="16"/>
  <c r="R1392" i="16"/>
  <c r="P1392" i="16"/>
  <c r="A1392" i="16"/>
  <c r="R1391" i="16"/>
  <c r="P1391" i="16"/>
  <c r="A1391" i="16"/>
  <c r="R1390" i="16"/>
  <c r="P1390" i="16"/>
  <c r="A1390" i="16"/>
  <c r="R1389" i="16"/>
  <c r="P1389" i="16"/>
  <c r="A1389" i="16"/>
  <c r="R1388" i="16"/>
  <c r="P1388" i="16"/>
  <c r="A1388" i="16"/>
  <c r="R1387" i="16"/>
  <c r="P1387" i="16"/>
  <c r="A1387" i="16"/>
  <c r="R1386" i="16"/>
  <c r="P1386" i="16"/>
  <c r="A1386" i="16"/>
  <c r="R1385" i="16"/>
  <c r="P1385" i="16"/>
  <c r="A1385" i="16"/>
  <c r="R1384" i="16"/>
  <c r="P1384" i="16"/>
  <c r="A1384" i="16"/>
  <c r="R1383" i="16"/>
  <c r="P1383" i="16"/>
  <c r="A1383" i="16"/>
  <c r="R1382" i="16"/>
  <c r="P1382" i="16"/>
  <c r="A1382" i="16"/>
  <c r="R1381" i="16"/>
  <c r="P1381" i="16"/>
  <c r="A1381" i="16"/>
  <c r="R1380" i="16"/>
  <c r="P1380" i="16"/>
  <c r="A1380" i="16"/>
  <c r="R1379" i="16"/>
  <c r="P1379" i="16"/>
  <c r="A1379" i="16"/>
  <c r="R1378" i="16"/>
  <c r="P1378" i="16"/>
  <c r="A1378" i="16"/>
  <c r="R1377" i="16"/>
  <c r="P1377" i="16"/>
  <c r="A1377" i="16"/>
  <c r="R1376" i="16"/>
  <c r="P1376" i="16"/>
  <c r="A1376" i="16"/>
  <c r="R1375" i="16"/>
  <c r="P1375" i="16"/>
  <c r="A1375" i="16"/>
  <c r="R1374" i="16"/>
  <c r="P1374" i="16"/>
  <c r="A1374" i="16"/>
  <c r="R1373" i="16"/>
  <c r="P1373" i="16"/>
  <c r="A1373" i="16"/>
  <c r="R1372" i="16"/>
  <c r="P1372" i="16"/>
  <c r="A1372" i="16"/>
  <c r="R1371" i="16"/>
  <c r="P1371" i="16"/>
  <c r="A1371" i="16"/>
  <c r="R1370" i="16"/>
  <c r="P1370" i="16"/>
  <c r="A1370" i="16"/>
  <c r="R1369" i="16"/>
  <c r="P1369" i="16"/>
  <c r="A1369" i="16"/>
  <c r="R1368" i="16"/>
  <c r="P1368" i="16"/>
  <c r="A1368" i="16"/>
  <c r="R1367" i="16"/>
  <c r="P1367" i="16"/>
  <c r="A1367" i="16"/>
  <c r="R1366" i="16"/>
  <c r="P1366" i="16"/>
  <c r="A1366" i="16"/>
  <c r="R1365" i="16"/>
  <c r="P1365" i="16"/>
  <c r="A1365" i="16"/>
  <c r="R1364" i="16"/>
  <c r="P1364" i="16"/>
  <c r="A1364" i="16"/>
  <c r="R1363" i="16"/>
  <c r="P1363" i="16"/>
  <c r="A1363" i="16"/>
  <c r="R1362" i="16"/>
  <c r="P1362" i="16"/>
  <c r="A1362" i="16"/>
  <c r="R1361" i="16"/>
  <c r="P1361" i="16"/>
  <c r="A1361" i="16"/>
  <c r="R1360" i="16"/>
  <c r="P1360" i="16"/>
  <c r="A1360" i="16"/>
  <c r="R1359" i="16"/>
  <c r="P1359" i="16"/>
  <c r="A1359" i="16"/>
  <c r="R1358" i="16"/>
  <c r="P1358" i="16"/>
  <c r="A1358" i="16"/>
  <c r="R1357" i="16"/>
  <c r="P1357" i="16"/>
  <c r="A1357" i="16"/>
  <c r="R1356" i="16"/>
  <c r="P1356" i="16"/>
  <c r="A1356" i="16"/>
  <c r="R1355" i="16"/>
  <c r="P1355" i="16"/>
  <c r="A1355" i="16"/>
  <c r="R1354" i="16"/>
  <c r="P1354" i="16"/>
  <c r="A1354" i="16"/>
  <c r="R1353" i="16"/>
  <c r="P1353" i="16"/>
  <c r="A1353" i="16"/>
  <c r="R1352" i="16"/>
  <c r="P1352" i="16"/>
  <c r="A1352" i="16"/>
  <c r="R1351" i="16"/>
  <c r="P1351" i="16"/>
  <c r="A1351" i="16"/>
  <c r="R1350" i="16"/>
  <c r="P1350" i="16"/>
  <c r="A1350" i="16"/>
  <c r="R1349" i="16"/>
  <c r="P1349" i="16"/>
  <c r="A1349" i="16"/>
  <c r="R1348" i="16"/>
  <c r="P1348" i="16"/>
  <c r="A1348" i="16"/>
  <c r="R1347" i="16"/>
  <c r="P1347" i="16"/>
  <c r="A1347" i="16"/>
  <c r="R1346" i="16"/>
  <c r="P1346" i="16"/>
  <c r="A1346" i="16"/>
  <c r="R1345" i="16"/>
  <c r="P1345" i="16"/>
  <c r="A1345" i="16"/>
  <c r="R1344" i="16"/>
  <c r="P1344" i="16"/>
  <c r="A1344" i="16"/>
  <c r="R1343" i="16"/>
  <c r="P1343" i="16"/>
  <c r="A1343" i="16"/>
  <c r="R1342" i="16"/>
  <c r="P1342" i="16"/>
  <c r="A1342" i="16"/>
  <c r="R1341" i="16"/>
  <c r="P1341" i="16"/>
  <c r="A1341" i="16"/>
  <c r="R1340" i="16"/>
  <c r="P1340" i="16"/>
  <c r="A1340" i="16"/>
  <c r="R1339" i="16"/>
  <c r="P1339" i="16"/>
  <c r="A1339" i="16"/>
  <c r="R1338" i="16"/>
  <c r="P1338" i="16"/>
  <c r="A1338" i="16"/>
  <c r="R1337" i="16"/>
  <c r="P1337" i="16"/>
  <c r="A1337" i="16"/>
  <c r="R1336" i="16"/>
  <c r="P1336" i="16"/>
  <c r="A1336" i="16"/>
  <c r="R1335" i="16"/>
  <c r="P1335" i="16"/>
  <c r="A1335" i="16"/>
  <c r="R1334" i="16"/>
  <c r="P1334" i="16"/>
  <c r="A1334" i="16"/>
  <c r="R1333" i="16"/>
  <c r="P1333" i="16"/>
  <c r="A1333" i="16"/>
  <c r="R1332" i="16"/>
  <c r="P1332" i="16"/>
  <c r="A1332" i="16"/>
  <c r="R1331" i="16"/>
  <c r="P1331" i="16"/>
  <c r="A1331" i="16"/>
  <c r="R1330" i="16"/>
  <c r="P1330" i="16"/>
  <c r="A1330" i="16"/>
  <c r="R1329" i="16"/>
  <c r="P1329" i="16"/>
  <c r="A1329" i="16"/>
  <c r="R1328" i="16"/>
  <c r="P1328" i="16"/>
  <c r="A1328" i="16"/>
  <c r="R1327" i="16"/>
  <c r="P1327" i="16"/>
  <c r="A1327" i="16"/>
  <c r="R1326" i="16"/>
  <c r="P1326" i="16"/>
  <c r="A1326" i="16"/>
  <c r="R1325" i="16"/>
  <c r="P1325" i="16"/>
  <c r="A1325" i="16"/>
  <c r="R1324" i="16"/>
  <c r="P1324" i="16"/>
  <c r="A1324" i="16"/>
  <c r="R1323" i="16"/>
  <c r="P1323" i="16"/>
  <c r="A1323" i="16"/>
  <c r="R1322" i="16"/>
  <c r="P1322" i="16"/>
  <c r="A1322" i="16"/>
  <c r="R1321" i="16"/>
  <c r="P1321" i="16"/>
  <c r="A1321" i="16"/>
  <c r="R1320" i="16"/>
  <c r="P1320" i="16"/>
  <c r="A1320" i="16"/>
  <c r="R1319" i="16"/>
  <c r="P1319" i="16"/>
  <c r="A1319" i="16"/>
  <c r="R1318" i="16"/>
  <c r="P1318" i="16"/>
  <c r="A1318" i="16"/>
  <c r="R1317" i="16"/>
  <c r="P1317" i="16"/>
  <c r="A1317" i="16"/>
  <c r="R1316" i="16"/>
  <c r="P1316" i="16"/>
  <c r="A1316" i="16"/>
  <c r="R1315" i="16"/>
  <c r="P1315" i="16"/>
  <c r="A1315" i="16"/>
  <c r="R1314" i="16"/>
  <c r="P1314" i="16"/>
  <c r="A1314" i="16"/>
  <c r="R1313" i="16"/>
  <c r="P1313" i="16"/>
  <c r="A1313" i="16"/>
  <c r="R1312" i="16"/>
  <c r="P1312" i="16"/>
  <c r="A1312" i="16"/>
  <c r="R1311" i="16"/>
  <c r="P1311" i="16"/>
  <c r="A1311" i="16"/>
  <c r="R1310" i="16"/>
  <c r="P1310" i="16"/>
  <c r="A1310" i="16"/>
  <c r="R1309" i="16"/>
  <c r="P1309" i="16"/>
  <c r="A1309" i="16"/>
  <c r="R1308" i="16"/>
  <c r="P1308" i="16"/>
  <c r="A1308" i="16"/>
  <c r="R1307" i="16"/>
  <c r="P1307" i="16"/>
  <c r="A1307" i="16"/>
  <c r="R1306" i="16"/>
  <c r="P1306" i="16"/>
  <c r="A1306" i="16"/>
  <c r="R1305" i="16"/>
  <c r="P1305" i="16"/>
  <c r="A1305" i="16"/>
  <c r="R1304" i="16"/>
  <c r="P1304" i="16"/>
  <c r="A1304" i="16"/>
  <c r="R1303" i="16"/>
  <c r="P1303" i="16"/>
  <c r="A1303" i="16"/>
  <c r="R1302" i="16"/>
  <c r="P1302" i="16"/>
  <c r="A1302" i="16"/>
  <c r="R1301" i="16"/>
  <c r="P1301" i="16"/>
  <c r="A1301" i="16"/>
  <c r="R1300" i="16"/>
  <c r="P1300" i="16"/>
  <c r="A1300" i="16"/>
  <c r="R1299" i="16"/>
  <c r="P1299" i="16"/>
  <c r="A1299" i="16"/>
  <c r="R1298" i="16"/>
  <c r="P1298" i="16"/>
  <c r="A1298" i="16"/>
  <c r="R1297" i="16"/>
  <c r="P1297" i="16"/>
  <c r="A1297" i="16"/>
  <c r="R1296" i="16"/>
  <c r="P1296" i="16"/>
  <c r="A1296" i="16"/>
  <c r="R1295" i="16"/>
  <c r="P1295" i="16"/>
  <c r="A1295" i="16"/>
  <c r="R1294" i="16"/>
  <c r="P1294" i="16"/>
  <c r="A1294" i="16"/>
  <c r="R1293" i="16"/>
  <c r="P1293" i="16"/>
  <c r="A1293" i="16"/>
  <c r="R1292" i="16"/>
  <c r="P1292" i="16"/>
  <c r="A1292" i="16"/>
  <c r="R1291" i="16"/>
  <c r="P1291" i="16"/>
  <c r="A1291" i="16"/>
  <c r="R1290" i="16"/>
  <c r="P1290" i="16"/>
  <c r="A1290" i="16"/>
  <c r="R1289" i="16"/>
  <c r="P1289" i="16"/>
  <c r="A1289" i="16"/>
  <c r="R1288" i="16"/>
  <c r="P1288" i="16"/>
  <c r="A1288" i="16"/>
  <c r="R1287" i="16"/>
  <c r="P1287" i="16"/>
  <c r="A1287" i="16"/>
  <c r="R1286" i="16"/>
  <c r="P1286" i="16"/>
  <c r="A1286" i="16"/>
  <c r="R1285" i="16"/>
  <c r="P1285" i="16"/>
  <c r="A1285" i="16"/>
  <c r="R1284" i="16"/>
  <c r="P1284" i="16"/>
  <c r="A1284" i="16"/>
  <c r="R1283" i="16"/>
  <c r="P1283" i="16"/>
  <c r="A1283" i="16"/>
  <c r="R1282" i="16"/>
  <c r="P1282" i="16"/>
  <c r="A1282" i="16"/>
  <c r="R1281" i="16"/>
  <c r="P1281" i="16"/>
  <c r="A1281" i="16"/>
  <c r="R1280" i="16"/>
  <c r="P1280" i="16"/>
  <c r="A1280" i="16"/>
  <c r="R1279" i="16"/>
  <c r="P1279" i="16"/>
  <c r="A1279" i="16"/>
  <c r="R1278" i="16"/>
  <c r="P1278" i="16"/>
  <c r="A1278" i="16"/>
  <c r="R1277" i="16"/>
  <c r="P1277" i="16"/>
  <c r="A1277" i="16"/>
  <c r="R1276" i="16"/>
  <c r="P1276" i="16"/>
  <c r="A1276" i="16"/>
  <c r="R1275" i="16"/>
  <c r="P1275" i="16"/>
  <c r="A1275" i="16"/>
  <c r="R1274" i="16"/>
  <c r="P1274" i="16"/>
  <c r="A1274" i="16"/>
  <c r="R1273" i="16"/>
  <c r="P1273" i="16"/>
  <c r="A1273" i="16"/>
  <c r="R1272" i="16"/>
  <c r="P1272" i="16"/>
  <c r="A1272" i="16"/>
  <c r="R1271" i="16"/>
  <c r="P1271" i="16"/>
  <c r="A1271" i="16"/>
  <c r="R1270" i="16"/>
  <c r="P1270" i="16"/>
  <c r="A1270" i="16"/>
  <c r="R1269" i="16"/>
  <c r="P1269" i="16"/>
  <c r="A1269" i="16"/>
  <c r="R1268" i="16"/>
  <c r="P1268" i="16"/>
  <c r="A1268" i="16"/>
  <c r="R1267" i="16"/>
  <c r="P1267" i="16"/>
  <c r="A1267" i="16"/>
  <c r="R1266" i="16"/>
  <c r="P1266" i="16"/>
  <c r="A1266" i="16"/>
  <c r="R1265" i="16"/>
  <c r="P1265" i="16"/>
  <c r="A1265" i="16"/>
  <c r="R1264" i="16"/>
  <c r="P1264" i="16"/>
  <c r="A1264" i="16"/>
  <c r="R1263" i="16"/>
  <c r="P1263" i="16"/>
  <c r="A1263" i="16"/>
  <c r="R1262" i="16"/>
  <c r="P1262" i="16"/>
  <c r="A1262" i="16"/>
  <c r="R1261" i="16"/>
  <c r="P1261" i="16"/>
  <c r="A1261" i="16"/>
  <c r="R1260" i="16"/>
  <c r="P1260" i="16"/>
  <c r="A1260" i="16"/>
  <c r="R1259" i="16"/>
  <c r="P1259" i="16"/>
  <c r="A1259" i="16"/>
  <c r="R1258" i="16"/>
  <c r="P1258" i="16"/>
  <c r="A1258" i="16"/>
  <c r="R1257" i="16"/>
  <c r="P1257" i="16"/>
  <c r="A1257" i="16"/>
  <c r="R1256" i="16"/>
  <c r="P1256" i="16"/>
  <c r="A1256" i="16"/>
  <c r="R1255" i="16"/>
  <c r="P1255" i="16"/>
  <c r="A1255" i="16"/>
  <c r="R1254" i="16"/>
  <c r="P1254" i="16"/>
  <c r="A1254" i="16"/>
  <c r="R1253" i="16"/>
  <c r="P1253" i="16"/>
  <c r="A1253" i="16"/>
  <c r="R1252" i="16"/>
  <c r="P1252" i="16"/>
  <c r="A1252" i="16"/>
  <c r="R1251" i="16"/>
  <c r="P1251" i="16"/>
  <c r="A1251" i="16"/>
  <c r="R1250" i="16"/>
  <c r="P1250" i="16"/>
  <c r="A1250" i="16"/>
  <c r="R1249" i="16"/>
  <c r="P1249" i="16"/>
  <c r="A1249" i="16"/>
  <c r="R1248" i="16"/>
  <c r="P1248" i="16"/>
  <c r="A1248" i="16"/>
  <c r="R1247" i="16"/>
  <c r="P1247" i="16"/>
  <c r="A1247" i="16"/>
  <c r="R1246" i="16"/>
  <c r="P1246" i="16"/>
  <c r="A1246" i="16"/>
  <c r="R1245" i="16"/>
  <c r="P1245" i="16"/>
  <c r="A1245" i="16"/>
  <c r="R1244" i="16"/>
  <c r="P1244" i="16"/>
  <c r="A1244" i="16"/>
  <c r="R1243" i="16"/>
  <c r="P1243" i="16"/>
  <c r="A1243" i="16"/>
  <c r="R1242" i="16"/>
  <c r="P1242" i="16"/>
  <c r="A1242" i="16"/>
  <c r="R1241" i="16"/>
  <c r="P1241" i="16"/>
  <c r="A1241" i="16"/>
  <c r="R1240" i="16"/>
  <c r="P1240" i="16"/>
  <c r="A1240" i="16"/>
  <c r="R1239" i="16"/>
  <c r="P1239" i="16"/>
  <c r="A1239" i="16"/>
  <c r="R1238" i="16"/>
  <c r="P1238" i="16"/>
  <c r="A1238" i="16"/>
  <c r="R1237" i="16"/>
  <c r="P1237" i="16"/>
  <c r="A1237" i="16"/>
  <c r="R1236" i="16"/>
  <c r="P1236" i="16"/>
  <c r="A1236" i="16"/>
  <c r="R1235" i="16"/>
  <c r="P1235" i="16"/>
  <c r="A1235" i="16"/>
  <c r="R1234" i="16"/>
  <c r="P1234" i="16"/>
  <c r="A1234" i="16"/>
  <c r="R1233" i="16"/>
  <c r="P1233" i="16"/>
  <c r="A1233" i="16"/>
  <c r="R1232" i="16"/>
  <c r="P1232" i="16"/>
  <c r="A1232" i="16"/>
  <c r="R1231" i="16"/>
  <c r="P1231" i="16"/>
  <c r="A1231" i="16"/>
  <c r="R1230" i="16"/>
  <c r="P1230" i="16"/>
  <c r="A1230" i="16"/>
  <c r="R1229" i="16"/>
  <c r="P1229" i="16"/>
  <c r="A1229" i="16"/>
  <c r="R1228" i="16"/>
  <c r="P1228" i="16"/>
  <c r="A1228" i="16"/>
  <c r="R1227" i="16"/>
  <c r="P1227" i="16"/>
  <c r="A1227" i="16"/>
  <c r="R1226" i="16"/>
  <c r="P1226" i="16"/>
  <c r="A1226" i="16"/>
  <c r="R1225" i="16"/>
  <c r="P1225" i="16"/>
  <c r="A1225" i="16"/>
  <c r="R1224" i="16"/>
  <c r="P1224" i="16"/>
  <c r="A1224" i="16"/>
  <c r="R1223" i="16"/>
  <c r="P1223" i="16"/>
  <c r="A1223" i="16"/>
  <c r="R1222" i="16"/>
  <c r="P1222" i="16"/>
  <c r="A1222" i="16"/>
  <c r="R1221" i="16"/>
  <c r="P1221" i="16"/>
  <c r="A1221" i="16"/>
  <c r="R1220" i="16"/>
  <c r="P1220" i="16"/>
  <c r="A1220" i="16"/>
  <c r="R1219" i="16"/>
  <c r="P1219" i="16"/>
  <c r="A1219" i="16"/>
  <c r="R1218" i="16"/>
  <c r="P1218" i="16"/>
  <c r="A1218" i="16"/>
  <c r="R1217" i="16"/>
  <c r="P1217" i="16"/>
  <c r="A1217" i="16"/>
  <c r="R1216" i="16"/>
  <c r="P1216" i="16"/>
  <c r="A1216" i="16"/>
  <c r="R1215" i="16"/>
  <c r="P1215" i="16"/>
  <c r="A1215" i="16"/>
  <c r="R1214" i="16"/>
  <c r="P1214" i="16"/>
  <c r="A1214" i="16"/>
  <c r="R1213" i="16"/>
  <c r="P1213" i="16"/>
  <c r="A1213" i="16"/>
  <c r="R1212" i="16"/>
  <c r="P1212" i="16"/>
  <c r="A1212" i="16"/>
  <c r="R1211" i="16"/>
  <c r="P1211" i="16"/>
  <c r="A1211" i="16"/>
  <c r="R1210" i="16"/>
  <c r="P1210" i="16"/>
  <c r="A1210" i="16"/>
  <c r="R1209" i="16"/>
  <c r="P1209" i="16"/>
  <c r="A1209" i="16"/>
  <c r="R1208" i="16"/>
  <c r="P1208" i="16"/>
  <c r="A1208" i="16"/>
  <c r="R1207" i="16"/>
  <c r="P1207" i="16"/>
  <c r="A1207" i="16"/>
  <c r="R1206" i="16"/>
  <c r="P1206" i="16"/>
  <c r="A1206" i="16"/>
  <c r="R1205" i="16"/>
  <c r="P1205" i="16"/>
  <c r="A1205" i="16"/>
  <c r="R1204" i="16"/>
  <c r="P1204" i="16"/>
  <c r="A1204" i="16"/>
  <c r="R1203" i="16"/>
  <c r="P1203" i="16"/>
  <c r="A1203" i="16"/>
  <c r="R1202" i="16"/>
  <c r="P1202" i="16"/>
  <c r="A1202" i="16"/>
  <c r="R1201" i="16"/>
  <c r="P1201" i="16"/>
  <c r="A1201" i="16"/>
  <c r="R1200" i="16"/>
  <c r="P1200" i="16"/>
  <c r="A1200" i="16"/>
  <c r="R1199" i="16"/>
  <c r="P1199" i="16"/>
  <c r="A1199" i="16"/>
  <c r="R1198" i="16"/>
  <c r="P1198" i="16"/>
  <c r="A1198" i="16"/>
  <c r="R1197" i="16"/>
  <c r="P1197" i="16"/>
  <c r="A1197" i="16"/>
  <c r="R1196" i="16"/>
  <c r="P1196" i="16"/>
  <c r="A1196" i="16"/>
  <c r="R1195" i="16"/>
  <c r="P1195" i="16"/>
  <c r="A1195" i="16"/>
  <c r="R1194" i="16"/>
  <c r="P1194" i="16"/>
  <c r="A1194" i="16"/>
  <c r="R1193" i="16"/>
  <c r="P1193" i="16"/>
  <c r="A1193" i="16"/>
  <c r="R1192" i="16"/>
  <c r="P1192" i="16"/>
  <c r="A1192" i="16"/>
  <c r="R1191" i="16"/>
  <c r="P1191" i="16"/>
  <c r="A1191" i="16"/>
  <c r="R1190" i="16"/>
  <c r="P1190" i="16"/>
  <c r="A1190" i="16"/>
  <c r="R1189" i="16"/>
  <c r="P1189" i="16"/>
  <c r="A1189" i="16"/>
  <c r="R1188" i="16"/>
  <c r="P1188" i="16"/>
  <c r="A1188" i="16"/>
  <c r="R1187" i="16"/>
  <c r="P1187" i="16"/>
  <c r="A1187" i="16"/>
  <c r="R1186" i="16"/>
  <c r="P1186" i="16"/>
  <c r="A1186" i="16"/>
  <c r="R1185" i="16"/>
  <c r="P1185" i="16"/>
  <c r="A1185" i="16"/>
  <c r="R1184" i="16"/>
  <c r="P1184" i="16"/>
  <c r="A1184" i="16"/>
  <c r="R1183" i="16"/>
  <c r="P1183" i="16"/>
  <c r="A1183" i="16"/>
  <c r="R1182" i="16"/>
  <c r="P1182" i="16"/>
  <c r="A1182" i="16"/>
  <c r="R1181" i="16"/>
  <c r="P1181" i="16"/>
  <c r="A1181" i="16"/>
  <c r="R1180" i="16"/>
  <c r="P1180" i="16"/>
  <c r="A1180" i="16"/>
  <c r="R1179" i="16"/>
  <c r="P1179" i="16"/>
  <c r="A1179" i="16"/>
  <c r="R1178" i="16"/>
  <c r="P1178" i="16"/>
  <c r="A1178" i="16"/>
  <c r="R1177" i="16"/>
  <c r="P1177" i="16"/>
  <c r="A1177" i="16"/>
  <c r="R1176" i="16"/>
  <c r="P1176" i="16"/>
  <c r="A1176" i="16"/>
  <c r="R1175" i="16"/>
  <c r="P1175" i="16"/>
  <c r="A1175" i="16"/>
  <c r="R1174" i="16"/>
  <c r="P1174" i="16"/>
  <c r="A1174" i="16"/>
  <c r="R1173" i="16"/>
  <c r="P1173" i="16"/>
  <c r="A1173" i="16"/>
  <c r="R1172" i="16"/>
  <c r="P1172" i="16"/>
  <c r="A1172" i="16"/>
  <c r="R1171" i="16"/>
  <c r="P1171" i="16"/>
  <c r="A1171" i="16"/>
  <c r="R1170" i="16"/>
  <c r="P1170" i="16"/>
  <c r="A1170" i="16"/>
  <c r="R1169" i="16"/>
  <c r="P1169" i="16"/>
  <c r="A1169" i="16"/>
  <c r="R1168" i="16"/>
  <c r="P1168" i="16"/>
  <c r="A1168" i="16"/>
  <c r="R1167" i="16"/>
  <c r="P1167" i="16"/>
  <c r="A1167" i="16"/>
  <c r="R1166" i="16"/>
  <c r="P1166" i="16"/>
  <c r="A1166" i="16"/>
  <c r="R1165" i="16"/>
  <c r="P1165" i="16"/>
  <c r="A1165" i="16"/>
  <c r="R1164" i="16"/>
  <c r="P1164" i="16"/>
  <c r="A1164" i="16"/>
  <c r="R1163" i="16"/>
  <c r="P1163" i="16"/>
  <c r="A1163" i="16"/>
  <c r="R1162" i="16"/>
  <c r="P1162" i="16"/>
  <c r="A1162" i="16"/>
  <c r="R1161" i="16"/>
  <c r="P1161" i="16"/>
  <c r="A1161" i="16"/>
  <c r="R1160" i="16"/>
  <c r="P1160" i="16"/>
  <c r="A1160" i="16"/>
  <c r="R1159" i="16"/>
  <c r="P1159" i="16"/>
  <c r="A1159" i="16"/>
  <c r="R1158" i="16"/>
  <c r="P1158" i="16"/>
  <c r="A1158" i="16"/>
  <c r="R1157" i="16"/>
  <c r="P1157" i="16"/>
  <c r="A1157" i="16"/>
  <c r="R1156" i="16"/>
  <c r="P1156" i="16"/>
  <c r="A1156" i="16"/>
  <c r="R1155" i="16"/>
  <c r="P1155" i="16"/>
  <c r="A1155" i="16"/>
  <c r="R1154" i="16"/>
  <c r="P1154" i="16"/>
  <c r="A1154" i="16"/>
  <c r="R1153" i="16"/>
  <c r="P1153" i="16"/>
  <c r="A1153" i="16"/>
  <c r="R1152" i="16"/>
  <c r="P1152" i="16"/>
  <c r="A1152" i="16"/>
  <c r="R1151" i="16"/>
  <c r="P1151" i="16"/>
  <c r="A1151" i="16"/>
  <c r="R1150" i="16"/>
  <c r="P1150" i="16"/>
  <c r="A1150" i="16"/>
  <c r="R1149" i="16"/>
  <c r="P1149" i="16"/>
  <c r="A1149" i="16"/>
  <c r="R1148" i="16"/>
  <c r="P1148" i="16"/>
  <c r="A1148" i="16"/>
  <c r="R1147" i="16"/>
  <c r="P1147" i="16"/>
  <c r="A1147" i="16"/>
  <c r="R1146" i="16"/>
  <c r="P1146" i="16"/>
  <c r="A1146" i="16"/>
  <c r="R1145" i="16"/>
  <c r="P1145" i="16"/>
  <c r="A1145" i="16"/>
  <c r="R1144" i="16"/>
  <c r="P1144" i="16"/>
  <c r="A1144" i="16"/>
  <c r="R1143" i="16"/>
  <c r="P1143" i="16"/>
  <c r="A1143" i="16"/>
  <c r="R1142" i="16"/>
  <c r="P1142" i="16"/>
  <c r="A1142" i="16"/>
  <c r="R1141" i="16"/>
  <c r="P1141" i="16"/>
  <c r="A1141" i="16"/>
  <c r="R1140" i="16"/>
  <c r="P1140" i="16"/>
  <c r="A1140" i="16"/>
  <c r="R1139" i="16"/>
  <c r="P1139" i="16"/>
  <c r="A1139" i="16"/>
  <c r="R1138" i="16"/>
  <c r="P1138" i="16"/>
  <c r="A1138" i="16"/>
  <c r="R1137" i="16"/>
  <c r="P1137" i="16"/>
  <c r="A1137" i="16"/>
  <c r="R1136" i="16"/>
  <c r="P1136" i="16"/>
  <c r="A1136" i="16"/>
  <c r="R1135" i="16"/>
  <c r="P1135" i="16"/>
  <c r="A1135" i="16"/>
  <c r="R1134" i="16"/>
  <c r="P1134" i="16"/>
  <c r="A1134" i="16"/>
  <c r="R1133" i="16"/>
  <c r="P1133" i="16"/>
  <c r="A1133" i="16"/>
  <c r="R1132" i="16"/>
  <c r="P1132" i="16"/>
  <c r="A1132" i="16"/>
  <c r="R1131" i="16"/>
  <c r="P1131" i="16"/>
  <c r="A1131" i="16"/>
  <c r="R1130" i="16"/>
  <c r="P1130" i="16"/>
  <c r="A1130" i="16"/>
  <c r="R1129" i="16"/>
  <c r="P1129" i="16"/>
  <c r="A1129" i="16"/>
  <c r="R1128" i="16"/>
  <c r="P1128" i="16"/>
  <c r="A1128" i="16"/>
  <c r="R1127" i="16"/>
  <c r="P1127" i="16"/>
  <c r="A1127" i="16"/>
  <c r="R1126" i="16"/>
  <c r="P1126" i="16"/>
  <c r="A1126" i="16"/>
  <c r="R1125" i="16"/>
  <c r="P1125" i="16"/>
  <c r="A1125" i="16"/>
  <c r="R1124" i="16"/>
  <c r="P1124" i="16"/>
  <c r="A1124" i="16"/>
  <c r="R1123" i="16"/>
  <c r="P1123" i="16"/>
  <c r="A1123" i="16"/>
  <c r="R1122" i="16"/>
  <c r="P1122" i="16"/>
  <c r="A1122" i="16"/>
  <c r="R1121" i="16"/>
  <c r="P1121" i="16"/>
  <c r="A1121" i="16"/>
  <c r="R1120" i="16"/>
  <c r="P1120" i="16"/>
  <c r="A1120" i="16"/>
  <c r="R1119" i="16"/>
  <c r="P1119" i="16"/>
  <c r="A1119" i="16"/>
  <c r="R1118" i="16"/>
  <c r="P1118" i="16"/>
  <c r="A1118" i="16"/>
  <c r="R1117" i="16"/>
  <c r="P1117" i="16"/>
  <c r="A1117" i="16"/>
  <c r="R1116" i="16"/>
  <c r="P1116" i="16"/>
  <c r="A1116" i="16"/>
  <c r="R1115" i="16"/>
  <c r="P1115" i="16"/>
  <c r="A1115" i="16"/>
  <c r="R1114" i="16"/>
  <c r="P1114" i="16"/>
  <c r="A1114" i="16"/>
  <c r="R1113" i="16"/>
  <c r="P1113" i="16"/>
  <c r="A1113" i="16"/>
  <c r="R1112" i="16"/>
  <c r="P1112" i="16"/>
  <c r="A1112" i="16"/>
  <c r="R1111" i="16"/>
  <c r="P1111" i="16"/>
  <c r="A1111" i="16"/>
  <c r="R1110" i="16"/>
  <c r="P1110" i="16"/>
  <c r="A1110" i="16"/>
  <c r="R1109" i="16"/>
  <c r="P1109" i="16"/>
  <c r="A1109" i="16"/>
  <c r="R1108" i="16"/>
  <c r="P1108" i="16"/>
  <c r="A1108" i="16"/>
  <c r="R1107" i="16"/>
  <c r="P1107" i="16"/>
  <c r="A1107" i="16"/>
  <c r="R1106" i="16"/>
  <c r="P1106" i="16"/>
  <c r="A1106" i="16"/>
  <c r="R1105" i="16"/>
  <c r="P1105" i="16"/>
  <c r="A1105" i="16"/>
  <c r="R1104" i="16"/>
  <c r="P1104" i="16"/>
  <c r="A1104" i="16"/>
  <c r="R1103" i="16"/>
  <c r="P1103" i="16"/>
  <c r="A1103" i="16"/>
  <c r="R1102" i="16"/>
  <c r="P1102" i="16"/>
  <c r="A1102" i="16"/>
  <c r="R1101" i="16"/>
  <c r="P1101" i="16"/>
  <c r="A1101" i="16"/>
  <c r="R1100" i="16"/>
  <c r="P1100" i="16"/>
  <c r="A1100" i="16"/>
  <c r="R1099" i="16"/>
  <c r="P1099" i="16"/>
  <c r="A1099" i="16"/>
  <c r="R1098" i="16"/>
  <c r="P1098" i="16"/>
  <c r="A1098" i="16"/>
  <c r="R1097" i="16"/>
  <c r="P1097" i="16"/>
  <c r="A1097" i="16"/>
  <c r="R1096" i="16"/>
  <c r="P1096" i="16"/>
  <c r="A1096" i="16"/>
  <c r="R1095" i="16"/>
  <c r="P1095" i="16"/>
  <c r="A1095" i="16"/>
  <c r="R1094" i="16"/>
  <c r="P1094" i="16"/>
  <c r="A1094" i="16"/>
  <c r="R1093" i="16"/>
  <c r="P1093" i="16"/>
  <c r="A1093" i="16"/>
  <c r="R1092" i="16"/>
  <c r="P1092" i="16"/>
  <c r="A1092" i="16"/>
  <c r="R1091" i="16"/>
  <c r="P1091" i="16"/>
  <c r="A1091" i="16"/>
  <c r="R1090" i="16"/>
  <c r="P1090" i="16"/>
  <c r="A1090" i="16"/>
  <c r="R1089" i="16"/>
  <c r="P1089" i="16"/>
  <c r="A1089" i="16"/>
  <c r="R1088" i="16"/>
  <c r="P1088" i="16"/>
  <c r="A1088" i="16"/>
  <c r="R1087" i="16"/>
  <c r="P1087" i="16"/>
  <c r="A1087" i="16"/>
  <c r="R1086" i="16"/>
  <c r="P1086" i="16"/>
  <c r="A1086" i="16"/>
  <c r="R1085" i="16"/>
  <c r="P1085" i="16"/>
  <c r="A1085" i="16"/>
  <c r="R1084" i="16"/>
  <c r="P1084" i="16"/>
  <c r="A1084" i="16"/>
  <c r="R1083" i="16"/>
  <c r="P1083" i="16"/>
  <c r="A1083" i="16"/>
  <c r="R1082" i="16"/>
  <c r="P1082" i="16"/>
  <c r="A1082" i="16"/>
  <c r="R1081" i="16"/>
  <c r="P1081" i="16"/>
  <c r="A1081" i="16"/>
  <c r="R1080" i="16"/>
  <c r="P1080" i="16"/>
  <c r="A1080" i="16"/>
  <c r="R1079" i="16"/>
  <c r="P1079" i="16"/>
  <c r="A1079" i="16"/>
  <c r="R1078" i="16"/>
  <c r="P1078" i="16"/>
  <c r="A1078" i="16"/>
  <c r="R1077" i="16"/>
  <c r="P1077" i="16"/>
  <c r="A1077" i="16"/>
  <c r="R1076" i="16"/>
  <c r="P1076" i="16"/>
  <c r="A1076" i="16"/>
  <c r="R1075" i="16"/>
  <c r="P1075" i="16"/>
  <c r="A1075" i="16"/>
  <c r="R1074" i="16"/>
  <c r="P1074" i="16"/>
  <c r="A1074" i="16"/>
  <c r="R1073" i="16"/>
  <c r="P1073" i="16"/>
  <c r="A1073" i="16"/>
  <c r="R1072" i="16"/>
  <c r="P1072" i="16"/>
  <c r="A1072" i="16"/>
  <c r="R1071" i="16"/>
  <c r="P1071" i="16"/>
  <c r="A1071" i="16"/>
  <c r="R1070" i="16"/>
  <c r="P1070" i="16"/>
  <c r="A1070" i="16"/>
  <c r="R1069" i="16"/>
  <c r="P1069" i="16"/>
  <c r="A1069" i="16"/>
  <c r="R1068" i="16"/>
  <c r="P1068" i="16"/>
  <c r="A1068" i="16"/>
  <c r="R1067" i="16"/>
  <c r="P1067" i="16"/>
  <c r="A1067" i="16"/>
  <c r="R1066" i="16"/>
  <c r="P1066" i="16"/>
  <c r="A1066" i="16"/>
  <c r="R1065" i="16"/>
  <c r="P1065" i="16"/>
  <c r="A1065" i="16"/>
  <c r="R1064" i="16"/>
  <c r="P1064" i="16"/>
  <c r="A1064" i="16"/>
  <c r="R1063" i="16"/>
  <c r="P1063" i="16"/>
  <c r="A1063" i="16"/>
  <c r="R1062" i="16"/>
  <c r="P1062" i="16"/>
  <c r="A1062" i="16"/>
  <c r="R1061" i="16"/>
  <c r="P1061" i="16"/>
  <c r="A1061" i="16"/>
  <c r="R1060" i="16"/>
  <c r="P1060" i="16"/>
  <c r="A1060" i="16"/>
  <c r="R1059" i="16"/>
  <c r="P1059" i="16"/>
  <c r="A1059" i="16"/>
  <c r="R1058" i="16"/>
  <c r="P1058" i="16"/>
  <c r="A1058" i="16"/>
  <c r="R1057" i="16"/>
  <c r="P1057" i="16"/>
  <c r="A1057" i="16"/>
  <c r="R1056" i="16"/>
  <c r="P1056" i="16"/>
  <c r="A1056" i="16"/>
  <c r="R1055" i="16"/>
  <c r="P1055" i="16"/>
  <c r="A1055" i="16"/>
  <c r="R1054" i="16"/>
  <c r="P1054" i="16"/>
  <c r="A1054" i="16"/>
  <c r="R1053" i="16"/>
  <c r="P1053" i="16"/>
  <c r="A1053" i="16"/>
  <c r="R1052" i="16"/>
  <c r="P1052" i="16"/>
  <c r="A1052" i="16"/>
  <c r="R1051" i="16"/>
  <c r="P1051" i="16"/>
  <c r="A1051" i="16"/>
  <c r="R1050" i="16"/>
  <c r="P1050" i="16"/>
  <c r="A1050" i="16"/>
  <c r="R1049" i="16"/>
  <c r="P1049" i="16"/>
  <c r="A1049" i="16"/>
  <c r="R1048" i="16"/>
  <c r="P1048" i="16"/>
  <c r="A1048" i="16"/>
  <c r="R1047" i="16"/>
  <c r="P1047" i="16"/>
  <c r="A1047" i="16"/>
  <c r="R1046" i="16"/>
  <c r="P1046" i="16"/>
  <c r="A1046" i="16"/>
  <c r="R1045" i="16"/>
  <c r="P1045" i="16"/>
  <c r="A1045" i="16"/>
  <c r="R1044" i="16"/>
  <c r="P1044" i="16"/>
  <c r="A1044" i="16"/>
  <c r="R1043" i="16"/>
  <c r="P1043" i="16"/>
  <c r="A1043" i="16"/>
  <c r="R1042" i="16"/>
  <c r="P1042" i="16"/>
  <c r="A1042" i="16"/>
  <c r="R1041" i="16"/>
  <c r="P1041" i="16"/>
  <c r="A1041" i="16"/>
  <c r="R1040" i="16"/>
  <c r="P1040" i="16"/>
  <c r="A1040" i="16"/>
  <c r="R1039" i="16"/>
  <c r="P1039" i="16"/>
  <c r="A1039" i="16"/>
  <c r="R1038" i="16"/>
  <c r="P1038" i="16"/>
  <c r="A1038" i="16"/>
  <c r="R1037" i="16"/>
  <c r="P1037" i="16"/>
  <c r="A1037" i="16"/>
  <c r="R1036" i="16"/>
  <c r="P1036" i="16"/>
  <c r="A1036" i="16"/>
  <c r="R1035" i="16"/>
  <c r="P1035" i="16"/>
  <c r="A1035" i="16"/>
  <c r="R1034" i="16"/>
  <c r="P1034" i="16"/>
  <c r="A1034" i="16"/>
  <c r="R1033" i="16"/>
  <c r="P1033" i="16"/>
  <c r="A1033" i="16"/>
  <c r="R1032" i="16"/>
  <c r="P1032" i="16"/>
  <c r="A1032" i="16"/>
  <c r="R1031" i="16"/>
  <c r="P1031" i="16"/>
  <c r="A1031" i="16"/>
  <c r="R1030" i="16"/>
  <c r="P1030" i="16"/>
  <c r="A1030" i="16"/>
  <c r="R1029" i="16"/>
  <c r="P1029" i="16"/>
  <c r="A1029" i="16"/>
  <c r="R1028" i="16"/>
  <c r="P1028" i="16"/>
  <c r="A1028" i="16"/>
  <c r="R1027" i="16"/>
  <c r="P1027" i="16"/>
  <c r="A1027" i="16"/>
  <c r="R1026" i="16"/>
  <c r="P1026" i="16"/>
  <c r="A1026" i="16"/>
  <c r="R1025" i="16"/>
  <c r="P1025" i="16"/>
  <c r="A1025" i="16"/>
  <c r="R1024" i="16"/>
  <c r="P1024" i="16"/>
  <c r="A1024" i="16"/>
  <c r="R1023" i="16"/>
  <c r="P1023" i="16"/>
  <c r="A1023" i="16"/>
  <c r="R1022" i="16"/>
  <c r="P1022" i="16"/>
  <c r="A1022" i="16"/>
  <c r="R1021" i="16"/>
  <c r="P1021" i="16"/>
  <c r="A1021" i="16"/>
  <c r="R1020" i="16"/>
  <c r="P1020" i="16"/>
  <c r="A1020" i="16"/>
  <c r="R1019" i="16"/>
  <c r="P1019" i="16"/>
  <c r="A1019" i="16"/>
  <c r="R1018" i="16"/>
  <c r="P1018" i="16"/>
  <c r="A1018" i="16"/>
  <c r="R1017" i="16"/>
  <c r="P1017" i="16"/>
  <c r="A1017" i="16"/>
  <c r="R1016" i="16"/>
  <c r="P1016" i="16"/>
  <c r="A1016" i="16"/>
  <c r="R1015" i="16"/>
  <c r="P1015" i="16"/>
  <c r="A1015" i="16"/>
  <c r="R1014" i="16"/>
  <c r="P1014" i="16"/>
  <c r="A1014" i="16"/>
  <c r="R1013" i="16"/>
  <c r="P1013" i="16"/>
  <c r="A1013" i="16"/>
  <c r="R1012" i="16"/>
  <c r="P1012" i="16"/>
  <c r="A1012" i="16"/>
  <c r="R1011" i="16"/>
  <c r="P1011" i="16"/>
  <c r="A1011" i="16"/>
  <c r="R1010" i="16"/>
  <c r="P1010" i="16"/>
  <c r="A1010" i="16"/>
  <c r="R1009" i="16"/>
  <c r="P1009" i="16"/>
  <c r="A1009" i="16"/>
  <c r="R1008" i="16"/>
  <c r="P1008" i="16"/>
  <c r="A1008" i="16"/>
  <c r="R1007" i="16"/>
  <c r="P1007" i="16"/>
  <c r="A1007" i="16"/>
  <c r="R1006" i="16"/>
  <c r="P1006" i="16"/>
  <c r="A1006" i="16"/>
  <c r="R1005" i="16"/>
  <c r="P1005" i="16"/>
  <c r="A1005" i="16"/>
  <c r="R1004" i="16"/>
  <c r="P1004" i="16"/>
  <c r="A1004" i="16"/>
  <c r="R1003" i="16"/>
  <c r="P1003" i="16"/>
  <c r="A1003" i="16"/>
  <c r="R1002" i="16"/>
  <c r="P1002" i="16"/>
  <c r="A1002" i="16"/>
  <c r="R1001" i="16"/>
  <c r="P1001" i="16"/>
  <c r="A1001" i="16"/>
  <c r="R1000" i="16"/>
  <c r="P1000" i="16"/>
  <c r="A1000" i="16"/>
  <c r="R999" i="16"/>
  <c r="P999" i="16"/>
  <c r="A999" i="16"/>
  <c r="R998" i="16"/>
  <c r="P998" i="16"/>
  <c r="A998" i="16"/>
  <c r="R997" i="16"/>
  <c r="P997" i="16"/>
  <c r="A997" i="16"/>
  <c r="R996" i="16"/>
  <c r="P996" i="16"/>
  <c r="A996" i="16"/>
  <c r="R995" i="16"/>
  <c r="P995" i="16"/>
  <c r="A995" i="16"/>
  <c r="R994" i="16"/>
  <c r="P994" i="16"/>
  <c r="A994" i="16"/>
  <c r="R993" i="16"/>
  <c r="P993" i="16"/>
  <c r="A993" i="16"/>
  <c r="R992" i="16"/>
  <c r="P992" i="16"/>
  <c r="A992" i="16"/>
  <c r="R991" i="16"/>
  <c r="P991" i="16"/>
  <c r="A991" i="16"/>
  <c r="R990" i="16"/>
  <c r="P990" i="16"/>
  <c r="A990" i="16"/>
  <c r="R989" i="16"/>
  <c r="P989" i="16"/>
  <c r="A989" i="16"/>
  <c r="R988" i="16"/>
  <c r="P988" i="16"/>
  <c r="A988" i="16"/>
  <c r="R987" i="16"/>
  <c r="P987" i="16"/>
  <c r="A987" i="16"/>
  <c r="R986" i="16"/>
  <c r="P986" i="16"/>
  <c r="A986" i="16"/>
  <c r="R985" i="16"/>
  <c r="P985" i="16"/>
  <c r="A985" i="16"/>
  <c r="R984" i="16"/>
  <c r="P984" i="16"/>
  <c r="A984" i="16"/>
  <c r="R983" i="16"/>
  <c r="P983" i="16"/>
  <c r="A983" i="16"/>
  <c r="R982" i="16"/>
  <c r="P982" i="16"/>
  <c r="A982" i="16"/>
  <c r="R981" i="16"/>
  <c r="P981" i="16"/>
  <c r="A981" i="16"/>
  <c r="R980" i="16"/>
  <c r="P980" i="16"/>
  <c r="A980" i="16"/>
  <c r="R979" i="16"/>
  <c r="P979" i="16"/>
  <c r="A979" i="16"/>
  <c r="R978" i="16"/>
  <c r="P978" i="16"/>
  <c r="A978" i="16"/>
  <c r="R977" i="16"/>
  <c r="P977" i="16"/>
  <c r="A977" i="16"/>
  <c r="R976" i="16"/>
  <c r="P976" i="16"/>
  <c r="A976" i="16"/>
  <c r="R975" i="16"/>
  <c r="P975" i="16"/>
  <c r="A975" i="16"/>
  <c r="R974" i="16"/>
  <c r="P974" i="16"/>
  <c r="A974" i="16"/>
  <c r="R973" i="16"/>
  <c r="P973" i="16"/>
  <c r="A973" i="16"/>
  <c r="R972" i="16"/>
  <c r="P972" i="16"/>
  <c r="A972" i="16"/>
  <c r="R971" i="16"/>
  <c r="P971" i="16"/>
  <c r="A971" i="16"/>
  <c r="R970" i="16"/>
  <c r="P970" i="16"/>
  <c r="A970" i="16"/>
  <c r="R969" i="16"/>
  <c r="P969" i="16"/>
  <c r="A969" i="16"/>
  <c r="R968" i="16"/>
  <c r="P968" i="16"/>
  <c r="A968" i="16"/>
  <c r="R967" i="16"/>
  <c r="P967" i="16"/>
  <c r="A967" i="16"/>
  <c r="R966" i="16"/>
  <c r="P966" i="16"/>
  <c r="A966" i="16"/>
  <c r="R965" i="16"/>
  <c r="P965" i="16"/>
  <c r="A965" i="16"/>
  <c r="R964" i="16"/>
  <c r="P964" i="16"/>
  <c r="A964" i="16"/>
  <c r="R963" i="16"/>
  <c r="P963" i="16"/>
  <c r="A963" i="16"/>
  <c r="R962" i="16"/>
  <c r="P962" i="16"/>
  <c r="A962" i="16"/>
  <c r="R961" i="16"/>
  <c r="P961" i="16"/>
  <c r="A961" i="16"/>
  <c r="R960" i="16"/>
  <c r="P960" i="16"/>
  <c r="A960" i="16"/>
  <c r="R959" i="16"/>
  <c r="P959" i="16"/>
  <c r="A959" i="16"/>
  <c r="R958" i="16"/>
  <c r="P958" i="16"/>
  <c r="A958" i="16"/>
  <c r="R957" i="16"/>
  <c r="P957" i="16"/>
  <c r="A957" i="16"/>
  <c r="R956" i="16"/>
  <c r="P956" i="16"/>
  <c r="A956" i="16"/>
  <c r="R955" i="16"/>
  <c r="P955" i="16"/>
  <c r="A955" i="16"/>
  <c r="R954" i="16"/>
  <c r="P954" i="16"/>
  <c r="A954" i="16"/>
  <c r="R953" i="16"/>
  <c r="P953" i="16"/>
  <c r="A953" i="16"/>
  <c r="R952" i="16"/>
  <c r="P952" i="16"/>
  <c r="A952" i="16"/>
  <c r="R951" i="16"/>
  <c r="P951" i="16"/>
  <c r="A951" i="16"/>
  <c r="R950" i="16"/>
  <c r="P950" i="16"/>
  <c r="A950" i="16"/>
  <c r="R949" i="16"/>
  <c r="P949" i="16"/>
  <c r="A949" i="16"/>
  <c r="R948" i="16"/>
  <c r="P948" i="16"/>
  <c r="A948" i="16"/>
  <c r="R947" i="16"/>
  <c r="P947" i="16"/>
  <c r="A947" i="16"/>
  <c r="R946" i="16"/>
  <c r="P946" i="16"/>
  <c r="A946" i="16"/>
  <c r="R945" i="16"/>
  <c r="P945" i="16"/>
  <c r="A945" i="16"/>
  <c r="R944" i="16"/>
  <c r="P944" i="16"/>
  <c r="A944" i="16"/>
  <c r="R943" i="16"/>
  <c r="P943" i="16"/>
  <c r="A943" i="16"/>
  <c r="R942" i="16"/>
  <c r="P942" i="16"/>
  <c r="A942" i="16"/>
  <c r="R941" i="16"/>
  <c r="P941" i="16"/>
  <c r="A941" i="16"/>
  <c r="R940" i="16"/>
  <c r="P940" i="16"/>
  <c r="A940" i="16"/>
  <c r="R939" i="16"/>
  <c r="P939" i="16"/>
  <c r="A939" i="16"/>
  <c r="R938" i="16"/>
  <c r="P938" i="16"/>
  <c r="A938" i="16"/>
  <c r="R937" i="16"/>
  <c r="P937" i="16"/>
  <c r="A937" i="16"/>
  <c r="R936" i="16"/>
  <c r="P936" i="16"/>
  <c r="A936" i="16"/>
  <c r="R935" i="16"/>
  <c r="P935" i="16"/>
  <c r="A935" i="16"/>
  <c r="R934" i="16"/>
  <c r="P934" i="16"/>
  <c r="A934" i="16"/>
  <c r="R933" i="16"/>
  <c r="P933" i="16"/>
  <c r="A933" i="16"/>
  <c r="R932" i="16"/>
  <c r="P932" i="16"/>
  <c r="A932" i="16"/>
  <c r="R931" i="16"/>
  <c r="P931" i="16"/>
  <c r="A931" i="16"/>
  <c r="R930" i="16"/>
  <c r="P930" i="16"/>
  <c r="A930" i="16"/>
  <c r="R929" i="16"/>
  <c r="P929" i="16"/>
  <c r="A929" i="16"/>
  <c r="R928" i="16"/>
  <c r="P928" i="16"/>
  <c r="A928" i="16"/>
  <c r="R927" i="16"/>
  <c r="P927" i="16"/>
  <c r="A927" i="16"/>
  <c r="R926" i="16"/>
  <c r="P926" i="16"/>
  <c r="A926" i="16"/>
  <c r="R925" i="16"/>
  <c r="P925" i="16"/>
  <c r="A925" i="16"/>
  <c r="R924" i="16"/>
  <c r="P924" i="16"/>
  <c r="A924" i="16"/>
  <c r="R923" i="16"/>
  <c r="P923" i="16"/>
  <c r="A923" i="16"/>
  <c r="R922" i="16"/>
  <c r="P922" i="16"/>
  <c r="A922" i="16"/>
  <c r="R921" i="16"/>
  <c r="P921" i="16"/>
  <c r="A921" i="16"/>
  <c r="R920" i="16"/>
  <c r="P920" i="16"/>
  <c r="A920" i="16"/>
  <c r="R919" i="16"/>
  <c r="P919" i="16"/>
  <c r="A919" i="16"/>
  <c r="R918" i="16"/>
  <c r="P918" i="16"/>
  <c r="A918" i="16"/>
  <c r="R917" i="16"/>
  <c r="P917" i="16"/>
  <c r="A917" i="16"/>
  <c r="R916" i="16"/>
  <c r="P916" i="16"/>
  <c r="A916" i="16"/>
  <c r="R915" i="16"/>
  <c r="P915" i="16"/>
  <c r="A915" i="16"/>
  <c r="R914" i="16"/>
  <c r="P914" i="16"/>
  <c r="A914" i="16"/>
  <c r="R913" i="16"/>
  <c r="P913" i="16"/>
  <c r="A913" i="16"/>
  <c r="R912" i="16"/>
  <c r="P912" i="16"/>
  <c r="A912" i="16"/>
  <c r="R911" i="16"/>
  <c r="P911" i="16"/>
  <c r="A911" i="16"/>
  <c r="R910" i="16"/>
  <c r="P910" i="16"/>
  <c r="A910" i="16"/>
  <c r="R909" i="16"/>
  <c r="P909" i="16"/>
  <c r="A909" i="16"/>
  <c r="R908" i="16"/>
  <c r="P908" i="16"/>
  <c r="A908" i="16"/>
  <c r="R907" i="16"/>
  <c r="P907" i="16"/>
  <c r="A907" i="16"/>
  <c r="R906" i="16"/>
  <c r="P906" i="16"/>
  <c r="A906" i="16"/>
  <c r="R905" i="16"/>
  <c r="P905" i="16"/>
  <c r="A905" i="16"/>
  <c r="R904" i="16"/>
  <c r="P904" i="16"/>
  <c r="A904" i="16"/>
  <c r="R903" i="16"/>
  <c r="P903" i="16"/>
  <c r="A903" i="16"/>
  <c r="R902" i="16"/>
  <c r="P902" i="16"/>
  <c r="A902" i="16"/>
  <c r="R901" i="16"/>
  <c r="P901" i="16"/>
  <c r="A901" i="16"/>
  <c r="R900" i="16"/>
  <c r="P900" i="16"/>
  <c r="A900" i="16"/>
  <c r="R899" i="16"/>
  <c r="P899" i="16"/>
  <c r="A899" i="16"/>
  <c r="R898" i="16"/>
  <c r="P898" i="16"/>
  <c r="A898" i="16"/>
  <c r="R897" i="16"/>
  <c r="P897" i="16"/>
  <c r="A897" i="16"/>
  <c r="R896" i="16"/>
  <c r="P896" i="16"/>
  <c r="A896" i="16"/>
  <c r="R895" i="16"/>
  <c r="P895" i="16"/>
  <c r="A895" i="16"/>
  <c r="R894" i="16"/>
  <c r="P894" i="16"/>
  <c r="A894" i="16"/>
  <c r="R893" i="16"/>
  <c r="P893" i="16"/>
  <c r="A893" i="16"/>
  <c r="R892" i="16"/>
  <c r="P892" i="16"/>
  <c r="A892" i="16"/>
  <c r="R891" i="16"/>
  <c r="P891" i="16"/>
  <c r="A891" i="16"/>
  <c r="R890" i="16"/>
  <c r="P890" i="16"/>
  <c r="A890" i="16"/>
  <c r="R889" i="16"/>
  <c r="P889" i="16"/>
  <c r="A889" i="16"/>
  <c r="R888" i="16"/>
  <c r="P888" i="16"/>
  <c r="A888" i="16"/>
  <c r="R887" i="16"/>
  <c r="P887" i="16"/>
  <c r="A887" i="16"/>
  <c r="R886" i="16"/>
  <c r="P886" i="16"/>
  <c r="A886" i="16"/>
  <c r="R885" i="16"/>
  <c r="P885" i="16"/>
  <c r="A885" i="16"/>
  <c r="R884" i="16"/>
  <c r="P884" i="16"/>
  <c r="A884" i="16"/>
  <c r="R883" i="16"/>
  <c r="P883" i="16"/>
  <c r="A883" i="16"/>
  <c r="R882" i="16"/>
  <c r="P882" i="16"/>
  <c r="A882" i="16"/>
  <c r="R881" i="16"/>
  <c r="P881" i="16"/>
  <c r="A881" i="16"/>
  <c r="R880" i="16"/>
  <c r="P880" i="16"/>
  <c r="A880" i="16"/>
  <c r="R879" i="16"/>
  <c r="P879" i="16"/>
  <c r="A879" i="16"/>
  <c r="R878" i="16"/>
  <c r="P878" i="16"/>
  <c r="A878" i="16"/>
  <c r="R877" i="16"/>
  <c r="P877" i="16"/>
  <c r="A877" i="16"/>
  <c r="R876" i="16"/>
  <c r="P876" i="16"/>
  <c r="A876" i="16"/>
  <c r="R875" i="16"/>
  <c r="P875" i="16"/>
  <c r="A875" i="16"/>
  <c r="R874" i="16"/>
  <c r="P874" i="16"/>
  <c r="A874" i="16"/>
  <c r="R873" i="16"/>
  <c r="P873" i="16"/>
  <c r="A873" i="16"/>
  <c r="R872" i="16"/>
  <c r="P872" i="16"/>
  <c r="A872" i="16"/>
  <c r="R871" i="16"/>
  <c r="P871" i="16"/>
  <c r="A871" i="16"/>
  <c r="R870" i="16"/>
  <c r="P870" i="16"/>
  <c r="A870" i="16"/>
  <c r="R869" i="16"/>
  <c r="P869" i="16"/>
  <c r="A869" i="16"/>
  <c r="R868" i="16"/>
  <c r="P868" i="16"/>
  <c r="A868" i="16"/>
  <c r="R867" i="16"/>
  <c r="P867" i="16"/>
  <c r="A867" i="16"/>
  <c r="R866" i="16"/>
  <c r="P866" i="16"/>
  <c r="A866" i="16"/>
  <c r="R865" i="16"/>
  <c r="P865" i="16"/>
  <c r="A865" i="16"/>
  <c r="R864" i="16"/>
  <c r="P864" i="16"/>
  <c r="A864" i="16"/>
  <c r="R863" i="16"/>
  <c r="P863" i="16"/>
  <c r="A863" i="16"/>
  <c r="R862" i="16"/>
  <c r="P862" i="16"/>
  <c r="A862" i="16"/>
  <c r="R861" i="16"/>
  <c r="P861" i="16"/>
  <c r="A861" i="16"/>
  <c r="R860" i="16"/>
  <c r="P860" i="16"/>
  <c r="A860" i="16"/>
  <c r="R859" i="16"/>
  <c r="P859" i="16"/>
  <c r="A859" i="16"/>
  <c r="R858" i="16"/>
  <c r="P858" i="16"/>
  <c r="A858" i="16"/>
  <c r="R857" i="16"/>
  <c r="P857" i="16"/>
  <c r="A857" i="16"/>
  <c r="R856" i="16"/>
  <c r="P856" i="16"/>
  <c r="A856" i="16"/>
  <c r="R855" i="16"/>
  <c r="P855" i="16"/>
  <c r="A855" i="16"/>
  <c r="R854" i="16"/>
  <c r="P854" i="16"/>
  <c r="A854" i="16"/>
  <c r="R853" i="16"/>
  <c r="P853" i="16"/>
  <c r="A853" i="16"/>
  <c r="R852" i="16"/>
  <c r="P852" i="16"/>
  <c r="A852" i="16"/>
  <c r="R851" i="16"/>
  <c r="P851" i="16"/>
  <c r="A851" i="16"/>
  <c r="R850" i="16"/>
  <c r="P850" i="16"/>
  <c r="A850" i="16"/>
  <c r="R849" i="16"/>
  <c r="P849" i="16"/>
  <c r="A849" i="16"/>
  <c r="R848" i="16"/>
  <c r="P848" i="16"/>
  <c r="A848" i="16"/>
  <c r="R847" i="16"/>
  <c r="P847" i="16"/>
  <c r="A847" i="16"/>
  <c r="R846" i="16"/>
  <c r="P846" i="16"/>
  <c r="A846" i="16"/>
  <c r="R845" i="16"/>
  <c r="P845" i="16"/>
  <c r="A845" i="16"/>
  <c r="R844" i="16"/>
  <c r="P844" i="16"/>
  <c r="A844" i="16"/>
  <c r="R843" i="16"/>
  <c r="P843" i="16"/>
  <c r="A843" i="16"/>
  <c r="R842" i="16"/>
  <c r="P842" i="16"/>
  <c r="A842" i="16"/>
  <c r="R841" i="16"/>
  <c r="P841" i="16"/>
  <c r="A841" i="16"/>
  <c r="R840" i="16"/>
  <c r="P840" i="16"/>
  <c r="A840" i="16"/>
  <c r="R839" i="16"/>
  <c r="P839" i="16"/>
  <c r="A839" i="16"/>
  <c r="R838" i="16"/>
  <c r="P838" i="16"/>
  <c r="A838" i="16"/>
  <c r="R837" i="16"/>
  <c r="P837" i="16"/>
  <c r="A837" i="16"/>
  <c r="R836" i="16"/>
  <c r="P836" i="16"/>
  <c r="A836" i="16"/>
  <c r="R835" i="16"/>
  <c r="P835" i="16"/>
  <c r="A835" i="16"/>
  <c r="R834" i="16"/>
  <c r="P834" i="16"/>
  <c r="A834" i="16"/>
  <c r="R833" i="16"/>
  <c r="P833" i="16"/>
  <c r="A833" i="16"/>
  <c r="R832" i="16"/>
  <c r="P832" i="16"/>
  <c r="A832" i="16"/>
  <c r="R831" i="16"/>
  <c r="P831" i="16"/>
  <c r="A831" i="16"/>
  <c r="R830" i="16"/>
  <c r="P830" i="16"/>
  <c r="A830" i="16"/>
  <c r="R829" i="16"/>
  <c r="P829" i="16"/>
  <c r="A829" i="16"/>
  <c r="R828" i="16"/>
  <c r="P828" i="16"/>
  <c r="A828" i="16"/>
  <c r="R827" i="16"/>
  <c r="P827" i="16"/>
  <c r="A827" i="16"/>
  <c r="R826" i="16"/>
  <c r="P826" i="16"/>
  <c r="A826" i="16"/>
  <c r="R825" i="16"/>
  <c r="P825" i="16"/>
  <c r="A825" i="16"/>
  <c r="R824" i="16"/>
  <c r="P824" i="16"/>
  <c r="A824" i="16"/>
  <c r="R823" i="16"/>
  <c r="P823" i="16"/>
  <c r="A823" i="16"/>
  <c r="R822" i="16"/>
  <c r="P822" i="16"/>
  <c r="A822" i="16"/>
  <c r="R821" i="16"/>
  <c r="P821" i="16"/>
  <c r="A821" i="16"/>
  <c r="R820" i="16"/>
  <c r="P820" i="16"/>
  <c r="A820" i="16"/>
  <c r="R819" i="16"/>
  <c r="P819" i="16"/>
  <c r="A819" i="16"/>
  <c r="R818" i="16"/>
  <c r="P818" i="16"/>
  <c r="A818" i="16"/>
  <c r="R817" i="16"/>
  <c r="P817" i="16"/>
  <c r="A817" i="16"/>
  <c r="R816" i="16"/>
  <c r="P816" i="16"/>
  <c r="A816" i="16"/>
  <c r="R815" i="16"/>
  <c r="P815" i="16"/>
  <c r="A815" i="16"/>
  <c r="R814" i="16"/>
  <c r="P814" i="16"/>
  <c r="A814" i="16"/>
  <c r="R813" i="16"/>
  <c r="P813" i="16"/>
  <c r="A813" i="16"/>
  <c r="R812" i="16"/>
  <c r="P812" i="16"/>
  <c r="A812" i="16"/>
  <c r="R811" i="16"/>
  <c r="P811" i="16"/>
  <c r="A811" i="16"/>
  <c r="R810" i="16"/>
  <c r="P810" i="16"/>
  <c r="A810" i="16"/>
  <c r="R809" i="16"/>
  <c r="P809" i="16"/>
  <c r="A809" i="16"/>
  <c r="R808" i="16"/>
  <c r="P808" i="16"/>
  <c r="A808" i="16"/>
  <c r="R807" i="16"/>
  <c r="P807" i="16"/>
  <c r="A807" i="16"/>
  <c r="R806" i="16"/>
  <c r="P806" i="16"/>
  <c r="A806" i="16"/>
  <c r="R805" i="16"/>
  <c r="P805" i="16"/>
  <c r="A805" i="16"/>
  <c r="R804" i="16"/>
  <c r="P804" i="16"/>
  <c r="A804" i="16"/>
  <c r="R803" i="16"/>
  <c r="P803" i="16"/>
  <c r="A803" i="16"/>
  <c r="R802" i="16"/>
  <c r="P802" i="16"/>
  <c r="A802" i="16"/>
  <c r="R801" i="16"/>
  <c r="P801" i="16"/>
  <c r="A801" i="16"/>
  <c r="R800" i="16"/>
  <c r="P800" i="16"/>
  <c r="A800" i="16"/>
  <c r="R799" i="16"/>
  <c r="P799" i="16"/>
  <c r="A799" i="16"/>
  <c r="R798" i="16"/>
  <c r="P798" i="16"/>
  <c r="A798" i="16"/>
  <c r="R797" i="16"/>
  <c r="P797" i="16"/>
  <c r="A797" i="16"/>
  <c r="R796" i="16"/>
  <c r="P796" i="16"/>
  <c r="A796" i="16"/>
  <c r="R795" i="16"/>
  <c r="P795" i="16"/>
  <c r="A795" i="16"/>
  <c r="R794" i="16"/>
  <c r="P794" i="16"/>
  <c r="A794" i="16"/>
  <c r="R793" i="16"/>
  <c r="P793" i="16"/>
  <c r="A793" i="16"/>
  <c r="R792" i="16"/>
  <c r="P792" i="16"/>
  <c r="A792" i="16"/>
  <c r="R791" i="16"/>
  <c r="P791" i="16"/>
  <c r="A791" i="16"/>
  <c r="R790" i="16"/>
  <c r="P790" i="16"/>
  <c r="A790" i="16"/>
  <c r="R789" i="16"/>
  <c r="P789" i="16"/>
  <c r="A789" i="16"/>
  <c r="R788" i="16"/>
  <c r="P788" i="16"/>
  <c r="A788" i="16"/>
  <c r="R787" i="16"/>
  <c r="P787" i="16"/>
  <c r="A787" i="16"/>
  <c r="R786" i="16"/>
  <c r="P786" i="16"/>
  <c r="A786" i="16"/>
  <c r="R785" i="16"/>
  <c r="P785" i="16"/>
  <c r="A785" i="16"/>
  <c r="R784" i="16"/>
  <c r="P784" i="16"/>
  <c r="A784" i="16"/>
  <c r="R783" i="16"/>
  <c r="P783" i="16"/>
  <c r="A783" i="16"/>
  <c r="R782" i="16"/>
  <c r="P782" i="16"/>
  <c r="A782" i="16"/>
  <c r="R781" i="16"/>
  <c r="P781" i="16"/>
  <c r="A781" i="16"/>
  <c r="R780" i="16"/>
  <c r="P780" i="16"/>
  <c r="A780" i="16"/>
  <c r="R779" i="16"/>
  <c r="P779" i="16"/>
  <c r="A779" i="16"/>
  <c r="R778" i="16"/>
  <c r="P778" i="16"/>
  <c r="A778" i="16"/>
  <c r="R777" i="16"/>
  <c r="P777" i="16"/>
  <c r="A777" i="16"/>
  <c r="R776" i="16"/>
  <c r="P776" i="16"/>
  <c r="A776" i="16"/>
  <c r="R775" i="16"/>
  <c r="P775" i="16"/>
  <c r="A775" i="16"/>
  <c r="R774" i="16"/>
  <c r="P774" i="16"/>
  <c r="A774" i="16"/>
  <c r="R773" i="16"/>
  <c r="P773" i="16"/>
  <c r="A773" i="16"/>
  <c r="R772" i="16"/>
  <c r="P772" i="16"/>
  <c r="A772" i="16"/>
  <c r="R771" i="16"/>
  <c r="P771" i="16"/>
  <c r="A771" i="16"/>
  <c r="R770" i="16"/>
  <c r="P770" i="16"/>
  <c r="A770" i="16"/>
  <c r="R769" i="16"/>
  <c r="P769" i="16"/>
  <c r="A769" i="16"/>
  <c r="R768" i="16"/>
  <c r="P768" i="16"/>
  <c r="A768" i="16"/>
  <c r="R767" i="16"/>
  <c r="P767" i="16"/>
  <c r="A767" i="16"/>
  <c r="R766" i="16"/>
  <c r="P766" i="16"/>
  <c r="A766" i="16"/>
  <c r="R765" i="16"/>
  <c r="P765" i="16"/>
  <c r="A765" i="16"/>
  <c r="R764" i="16"/>
  <c r="P764" i="16"/>
  <c r="A764" i="16"/>
  <c r="R763" i="16"/>
  <c r="P763" i="16"/>
  <c r="A763" i="16"/>
  <c r="R762" i="16"/>
  <c r="P762" i="16"/>
  <c r="A762" i="16"/>
  <c r="R761" i="16"/>
  <c r="P761" i="16"/>
  <c r="A761" i="16"/>
  <c r="R760" i="16"/>
  <c r="P760" i="16"/>
  <c r="A760" i="16"/>
  <c r="R759" i="16"/>
  <c r="P759" i="16"/>
  <c r="A759" i="16"/>
  <c r="R758" i="16"/>
  <c r="P758" i="16"/>
  <c r="A758" i="16"/>
  <c r="R757" i="16"/>
  <c r="P757" i="16"/>
  <c r="A757" i="16"/>
  <c r="R756" i="16"/>
  <c r="P756" i="16"/>
  <c r="A756" i="16"/>
  <c r="R755" i="16"/>
  <c r="P755" i="16"/>
  <c r="A755" i="16"/>
  <c r="R754" i="16"/>
  <c r="P754" i="16"/>
  <c r="A754" i="16"/>
  <c r="R753" i="16"/>
  <c r="P753" i="16"/>
  <c r="A753" i="16"/>
  <c r="R752" i="16"/>
  <c r="P752" i="16"/>
  <c r="A752" i="16"/>
  <c r="R751" i="16"/>
  <c r="P751" i="16"/>
  <c r="A751" i="16"/>
  <c r="R750" i="16"/>
  <c r="P750" i="16"/>
  <c r="A750" i="16"/>
  <c r="R749" i="16"/>
  <c r="P749" i="16"/>
  <c r="A749" i="16"/>
  <c r="R748" i="16"/>
  <c r="P748" i="16"/>
  <c r="A748" i="16"/>
  <c r="R747" i="16"/>
  <c r="P747" i="16"/>
  <c r="A747" i="16"/>
  <c r="R746" i="16"/>
  <c r="P746" i="16"/>
  <c r="A746" i="16"/>
  <c r="R745" i="16"/>
  <c r="P745" i="16"/>
  <c r="A745" i="16"/>
  <c r="R744" i="16"/>
  <c r="P744" i="16"/>
  <c r="A744" i="16"/>
  <c r="R743" i="16"/>
  <c r="P743" i="16"/>
  <c r="A743" i="16"/>
  <c r="R742" i="16"/>
  <c r="P742" i="16"/>
  <c r="A742" i="16"/>
  <c r="R741" i="16"/>
  <c r="P741" i="16"/>
  <c r="A741" i="16"/>
  <c r="R740" i="16"/>
  <c r="P740" i="16"/>
  <c r="A740" i="16"/>
  <c r="R739" i="16"/>
  <c r="P739" i="16"/>
  <c r="A739" i="16"/>
  <c r="R738" i="16"/>
  <c r="P738" i="16"/>
  <c r="A738" i="16"/>
  <c r="R737" i="16"/>
  <c r="P737" i="16"/>
  <c r="A737" i="16"/>
  <c r="R736" i="16"/>
  <c r="P736" i="16"/>
  <c r="A736" i="16"/>
  <c r="R735" i="16"/>
  <c r="P735" i="16"/>
  <c r="A735" i="16"/>
  <c r="R734" i="16"/>
  <c r="P734" i="16"/>
  <c r="A734" i="16"/>
  <c r="R733" i="16"/>
  <c r="P733" i="16"/>
  <c r="A733" i="16"/>
  <c r="R732" i="16"/>
  <c r="P732" i="16"/>
  <c r="A732" i="16"/>
  <c r="R731" i="16"/>
  <c r="P731" i="16"/>
  <c r="A731" i="16"/>
  <c r="R730" i="16"/>
  <c r="P730" i="16"/>
  <c r="A730" i="16"/>
  <c r="R729" i="16"/>
  <c r="P729" i="16"/>
  <c r="A729" i="16"/>
  <c r="R728" i="16"/>
  <c r="P728" i="16"/>
  <c r="A728" i="16"/>
  <c r="R727" i="16"/>
  <c r="P727" i="16"/>
  <c r="A727" i="16"/>
  <c r="R726" i="16"/>
  <c r="P726" i="16"/>
  <c r="A726" i="16"/>
  <c r="R725" i="16"/>
  <c r="P725" i="16"/>
  <c r="A725" i="16"/>
  <c r="R724" i="16"/>
  <c r="P724" i="16"/>
  <c r="A724" i="16"/>
  <c r="R723" i="16"/>
  <c r="P723" i="16"/>
  <c r="A723" i="16"/>
  <c r="R722" i="16"/>
  <c r="P722" i="16"/>
  <c r="A722" i="16"/>
  <c r="R721" i="16"/>
  <c r="P721" i="16"/>
  <c r="A721" i="16"/>
  <c r="R720" i="16"/>
  <c r="P720" i="16"/>
  <c r="A720" i="16"/>
  <c r="R719" i="16"/>
  <c r="P719" i="16"/>
  <c r="A719" i="16"/>
  <c r="R718" i="16"/>
  <c r="P718" i="16"/>
  <c r="A718" i="16"/>
  <c r="R717" i="16"/>
  <c r="P717" i="16"/>
  <c r="A717" i="16"/>
  <c r="R716" i="16"/>
  <c r="P716" i="16"/>
  <c r="A716" i="16"/>
  <c r="R715" i="16"/>
  <c r="P715" i="16"/>
  <c r="A715" i="16"/>
  <c r="R714" i="16"/>
  <c r="P714" i="16"/>
  <c r="A714" i="16"/>
  <c r="R713" i="16"/>
  <c r="P713" i="16"/>
  <c r="A713" i="16"/>
  <c r="R712" i="16"/>
  <c r="P712" i="16"/>
  <c r="A712" i="16"/>
  <c r="R711" i="16"/>
  <c r="P711" i="16"/>
  <c r="A711" i="16"/>
  <c r="R710" i="16"/>
  <c r="P710" i="16"/>
  <c r="A710" i="16"/>
  <c r="R709" i="16"/>
  <c r="P709" i="16"/>
  <c r="A709" i="16"/>
  <c r="R708" i="16"/>
  <c r="P708" i="16"/>
  <c r="A708" i="16"/>
  <c r="R707" i="16"/>
  <c r="P707" i="16"/>
  <c r="A707" i="16"/>
  <c r="R706" i="16"/>
  <c r="P706" i="16"/>
  <c r="A706" i="16"/>
  <c r="R705" i="16"/>
  <c r="P705" i="16"/>
  <c r="A705" i="16"/>
  <c r="R704" i="16"/>
  <c r="P704" i="16"/>
  <c r="A704" i="16"/>
  <c r="R703" i="16"/>
  <c r="P703" i="16"/>
  <c r="A703" i="16"/>
  <c r="R702" i="16"/>
  <c r="P702" i="16"/>
  <c r="A702" i="16"/>
  <c r="R701" i="16"/>
  <c r="P701" i="16"/>
  <c r="A701" i="16"/>
  <c r="R700" i="16"/>
  <c r="P700" i="16"/>
  <c r="A700" i="16"/>
  <c r="R699" i="16"/>
  <c r="P699" i="16"/>
  <c r="A699" i="16"/>
  <c r="R698" i="16"/>
  <c r="P698" i="16"/>
  <c r="A698" i="16"/>
  <c r="R697" i="16"/>
  <c r="P697" i="16"/>
  <c r="A697" i="16"/>
  <c r="R696" i="16"/>
  <c r="P696" i="16"/>
  <c r="A696" i="16"/>
  <c r="R695" i="16"/>
  <c r="P695" i="16"/>
  <c r="A695" i="16"/>
  <c r="R694" i="16"/>
  <c r="P694" i="16"/>
  <c r="A694" i="16"/>
  <c r="R693" i="16"/>
  <c r="P693" i="16"/>
  <c r="A693" i="16"/>
  <c r="R692" i="16"/>
  <c r="P692" i="16"/>
  <c r="A692" i="16"/>
  <c r="R691" i="16"/>
  <c r="P691" i="16"/>
  <c r="A691" i="16"/>
  <c r="R690" i="16"/>
  <c r="P690" i="16"/>
  <c r="A690" i="16"/>
  <c r="R689" i="16"/>
  <c r="P689" i="16"/>
  <c r="A689" i="16"/>
  <c r="R688" i="16"/>
  <c r="P688" i="16"/>
  <c r="A688" i="16"/>
  <c r="R687" i="16"/>
  <c r="P687" i="16"/>
  <c r="A687" i="16"/>
  <c r="R686" i="16"/>
  <c r="P686" i="16"/>
  <c r="A686" i="16"/>
  <c r="R685" i="16"/>
  <c r="P685" i="16"/>
  <c r="A685" i="16"/>
  <c r="R684" i="16"/>
  <c r="P684" i="16"/>
  <c r="A684" i="16"/>
  <c r="R683" i="16"/>
  <c r="P683" i="16"/>
  <c r="A683" i="16"/>
  <c r="R682" i="16"/>
  <c r="P682" i="16"/>
  <c r="A682" i="16"/>
  <c r="R681" i="16"/>
  <c r="P681" i="16"/>
  <c r="A681" i="16"/>
  <c r="R680" i="16"/>
  <c r="P680" i="16"/>
  <c r="A680" i="16"/>
  <c r="R679" i="16"/>
  <c r="P679" i="16"/>
  <c r="A679" i="16"/>
  <c r="R678" i="16"/>
  <c r="P678" i="16"/>
  <c r="A678" i="16"/>
  <c r="R677" i="16"/>
  <c r="P677" i="16"/>
  <c r="A677" i="16"/>
  <c r="R676" i="16"/>
  <c r="P676" i="16"/>
  <c r="A676" i="16"/>
  <c r="R675" i="16"/>
  <c r="P675" i="16"/>
  <c r="A675" i="16"/>
  <c r="R674" i="16"/>
  <c r="P674" i="16"/>
  <c r="A674" i="16"/>
  <c r="R673" i="16"/>
  <c r="P673" i="16"/>
  <c r="A673" i="16"/>
  <c r="R672" i="16"/>
  <c r="P672" i="16"/>
  <c r="A672" i="16"/>
  <c r="R671" i="16"/>
  <c r="P671" i="16"/>
  <c r="A671" i="16"/>
  <c r="R670" i="16"/>
  <c r="P670" i="16"/>
  <c r="A670" i="16"/>
  <c r="R669" i="16"/>
  <c r="P669" i="16"/>
  <c r="A669" i="16"/>
  <c r="R668" i="16"/>
  <c r="P668" i="16"/>
  <c r="A668" i="16"/>
  <c r="R667" i="16"/>
  <c r="P667" i="16"/>
  <c r="A667" i="16"/>
  <c r="R666" i="16"/>
  <c r="P666" i="16"/>
  <c r="A666" i="16"/>
  <c r="R665" i="16"/>
  <c r="P665" i="16"/>
  <c r="A665" i="16"/>
  <c r="R664" i="16"/>
  <c r="P664" i="16"/>
  <c r="A664" i="16"/>
  <c r="R663" i="16"/>
  <c r="P663" i="16"/>
  <c r="A663" i="16"/>
  <c r="R662" i="16"/>
  <c r="P662" i="16"/>
  <c r="A662" i="16"/>
  <c r="R661" i="16"/>
  <c r="P661" i="16"/>
  <c r="A661" i="16"/>
  <c r="R660" i="16"/>
  <c r="P660" i="16"/>
  <c r="A660" i="16"/>
  <c r="R659" i="16"/>
  <c r="P659" i="16"/>
  <c r="A659" i="16"/>
  <c r="R658" i="16"/>
  <c r="P658" i="16"/>
  <c r="A658" i="16"/>
  <c r="R657" i="16"/>
  <c r="P657" i="16"/>
  <c r="A657" i="16"/>
  <c r="R656" i="16"/>
  <c r="P656" i="16"/>
  <c r="A656" i="16"/>
  <c r="R655" i="16"/>
  <c r="P655" i="16"/>
  <c r="A655" i="16"/>
  <c r="R654" i="16"/>
  <c r="P654" i="16"/>
  <c r="A654" i="16"/>
  <c r="R653" i="16"/>
  <c r="P653" i="16"/>
  <c r="A653" i="16"/>
  <c r="R652" i="16"/>
  <c r="P652" i="16"/>
  <c r="A652" i="16"/>
  <c r="R651" i="16"/>
  <c r="P651" i="16"/>
  <c r="A651" i="16"/>
  <c r="R650" i="16"/>
  <c r="P650" i="16"/>
  <c r="A650" i="16"/>
  <c r="R649" i="16"/>
  <c r="P649" i="16"/>
  <c r="A649" i="16"/>
  <c r="R648" i="16"/>
  <c r="P648" i="16"/>
  <c r="A648" i="16"/>
  <c r="R647" i="16"/>
  <c r="P647" i="16"/>
  <c r="A647" i="16"/>
  <c r="R646" i="16"/>
  <c r="P646" i="16"/>
  <c r="A646" i="16"/>
  <c r="R645" i="16"/>
  <c r="P645" i="16"/>
  <c r="A645" i="16"/>
  <c r="R644" i="16"/>
  <c r="P644" i="16"/>
  <c r="A644" i="16"/>
  <c r="R643" i="16"/>
  <c r="P643" i="16"/>
  <c r="A643" i="16"/>
  <c r="R642" i="16"/>
  <c r="P642" i="16"/>
  <c r="A642" i="16"/>
  <c r="R641" i="16"/>
  <c r="P641" i="16"/>
  <c r="A641" i="16"/>
  <c r="R640" i="16"/>
  <c r="P640" i="16"/>
  <c r="A640" i="16"/>
  <c r="R639" i="16"/>
  <c r="P639" i="16"/>
  <c r="A639" i="16"/>
  <c r="R638" i="16"/>
  <c r="P638" i="16"/>
  <c r="A638" i="16"/>
  <c r="R637" i="16"/>
  <c r="P637" i="16"/>
  <c r="A637" i="16"/>
  <c r="R636" i="16"/>
  <c r="P636" i="16"/>
  <c r="A636" i="16"/>
  <c r="R635" i="16"/>
  <c r="P635" i="16"/>
  <c r="A635" i="16"/>
  <c r="R634" i="16"/>
  <c r="P634" i="16"/>
  <c r="A634" i="16"/>
  <c r="R633" i="16"/>
  <c r="P633" i="16"/>
  <c r="A633" i="16"/>
  <c r="R632" i="16"/>
  <c r="P632" i="16"/>
  <c r="A632" i="16"/>
  <c r="R631" i="16"/>
  <c r="P631" i="16"/>
  <c r="A631" i="16"/>
  <c r="R630" i="16"/>
  <c r="P630" i="16"/>
  <c r="A630" i="16"/>
  <c r="R629" i="16"/>
  <c r="P629" i="16"/>
  <c r="A629" i="16"/>
  <c r="R628" i="16"/>
  <c r="P628" i="16"/>
  <c r="A628" i="16"/>
  <c r="R627" i="16"/>
  <c r="P627" i="16"/>
  <c r="A627" i="16"/>
  <c r="R626" i="16"/>
  <c r="P626" i="16"/>
  <c r="A626" i="16"/>
  <c r="R625" i="16"/>
  <c r="P625" i="16"/>
  <c r="A625" i="16"/>
  <c r="R624" i="16"/>
  <c r="P624" i="16"/>
  <c r="A624" i="16"/>
  <c r="R623" i="16"/>
  <c r="P623" i="16"/>
  <c r="A623" i="16"/>
  <c r="R622" i="16"/>
  <c r="P622" i="16"/>
  <c r="A622" i="16"/>
  <c r="R621" i="16"/>
  <c r="P621" i="16"/>
  <c r="A621" i="16"/>
  <c r="R620" i="16"/>
  <c r="P620" i="16"/>
  <c r="A620" i="16"/>
  <c r="R619" i="16"/>
  <c r="P619" i="16"/>
  <c r="A619" i="16"/>
  <c r="R618" i="16"/>
  <c r="P618" i="16"/>
  <c r="A618" i="16"/>
  <c r="R617" i="16"/>
  <c r="P617" i="16"/>
  <c r="A617" i="16"/>
  <c r="R616" i="16"/>
  <c r="P616" i="16"/>
  <c r="A616" i="16"/>
  <c r="R615" i="16"/>
  <c r="P615" i="16"/>
  <c r="A615" i="16"/>
  <c r="R614" i="16"/>
  <c r="P614" i="16"/>
  <c r="A614" i="16"/>
  <c r="R613" i="16"/>
  <c r="P613" i="16"/>
  <c r="A613" i="16"/>
  <c r="R612" i="16"/>
  <c r="P612" i="16"/>
  <c r="A612" i="16"/>
  <c r="R611" i="16"/>
  <c r="P611" i="16"/>
  <c r="A611" i="16"/>
  <c r="R610" i="16"/>
  <c r="P610" i="16"/>
  <c r="A610" i="16"/>
  <c r="R609" i="16"/>
  <c r="P609" i="16"/>
  <c r="A609" i="16"/>
  <c r="R608" i="16"/>
  <c r="P608" i="16"/>
  <c r="A608" i="16"/>
  <c r="R607" i="16"/>
  <c r="P607" i="16"/>
  <c r="A607" i="16"/>
  <c r="R606" i="16"/>
  <c r="P606" i="16"/>
  <c r="A606" i="16"/>
  <c r="R605" i="16"/>
  <c r="P605" i="16"/>
  <c r="A605" i="16"/>
  <c r="R604" i="16"/>
  <c r="P604" i="16"/>
  <c r="A604" i="16"/>
  <c r="R603" i="16"/>
  <c r="P603" i="16"/>
  <c r="A603" i="16"/>
  <c r="R602" i="16"/>
  <c r="P602" i="16"/>
  <c r="A602" i="16"/>
  <c r="R601" i="16"/>
  <c r="P601" i="16"/>
  <c r="A601" i="16"/>
  <c r="R600" i="16"/>
  <c r="P600" i="16"/>
  <c r="A600" i="16"/>
  <c r="R599" i="16"/>
  <c r="P599" i="16"/>
  <c r="A599" i="16"/>
  <c r="R598" i="16"/>
  <c r="P598" i="16"/>
  <c r="A598" i="16"/>
  <c r="R597" i="16"/>
  <c r="P597" i="16"/>
  <c r="A597" i="16"/>
  <c r="R596" i="16"/>
  <c r="P596" i="16"/>
  <c r="A596" i="16"/>
  <c r="R595" i="16"/>
  <c r="P595" i="16"/>
  <c r="A595" i="16"/>
  <c r="R594" i="16"/>
  <c r="P594" i="16"/>
  <c r="A594" i="16"/>
  <c r="R593" i="16"/>
  <c r="P593" i="16"/>
  <c r="A593" i="16"/>
  <c r="R592" i="16"/>
  <c r="P592" i="16"/>
  <c r="A592" i="16"/>
  <c r="R591" i="16"/>
  <c r="P591" i="16"/>
  <c r="A591" i="16"/>
  <c r="R590" i="16"/>
  <c r="P590" i="16"/>
  <c r="A590" i="16"/>
  <c r="R589" i="16"/>
  <c r="P589" i="16"/>
  <c r="A589" i="16"/>
  <c r="R588" i="16"/>
  <c r="P588" i="16"/>
  <c r="A588" i="16"/>
  <c r="R587" i="16"/>
  <c r="P587" i="16"/>
  <c r="A587" i="16"/>
  <c r="R586" i="16"/>
  <c r="P586" i="16"/>
  <c r="A586" i="16"/>
  <c r="R585" i="16"/>
  <c r="P585" i="16"/>
  <c r="A585" i="16"/>
  <c r="R584" i="16"/>
  <c r="P584" i="16"/>
  <c r="A584" i="16"/>
  <c r="R583" i="16"/>
  <c r="P583" i="16"/>
  <c r="A583" i="16"/>
  <c r="R582" i="16"/>
  <c r="P582" i="16"/>
  <c r="A582" i="16"/>
  <c r="R581" i="16"/>
  <c r="P581" i="16"/>
  <c r="A581" i="16"/>
  <c r="R580" i="16"/>
  <c r="P580" i="16"/>
  <c r="A580" i="16"/>
  <c r="R579" i="16"/>
  <c r="P579" i="16"/>
  <c r="A579" i="16"/>
  <c r="R578" i="16"/>
  <c r="P578" i="16"/>
  <c r="A578" i="16"/>
  <c r="R577" i="16"/>
  <c r="P577" i="16"/>
  <c r="A577" i="16"/>
  <c r="R576" i="16"/>
  <c r="P576" i="16"/>
  <c r="A576" i="16"/>
  <c r="R575" i="16"/>
  <c r="P575" i="16"/>
  <c r="A575" i="16"/>
  <c r="R574" i="16"/>
  <c r="P574" i="16"/>
  <c r="A574" i="16"/>
  <c r="R573" i="16"/>
  <c r="P573" i="16"/>
  <c r="A573" i="16"/>
  <c r="R572" i="16"/>
  <c r="P572" i="16"/>
  <c r="A572" i="16"/>
  <c r="R571" i="16"/>
  <c r="P571" i="16"/>
  <c r="A571" i="16"/>
  <c r="R570" i="16"/>
  <c r="P570" i="16"/>
  <c r="A570" i="16"/>
  <c r="R569" i="16"/>
  <c r="P569" i="16"/>
  <c r="A569" i="16"/>
  <c r="R568" i="16"/>
  <c r="P568" i="16"/>
  <c r="A568" i="16"/>
  <c r="R567" i="16"/>
  <c r="P567" i="16"/>
  <c r="A567" i="16"/>
  <c r="R566" i="16"/>
  <c r="P566" i="16"/>
  <c r="A566" i="16"/>
  <c r="R565" i="16"/>
  <c r="P565" i="16"/>
  <c r="A565" i="16"/>
  <c r="R564" i="16"/>
  <c r="P564" i="16"/>
  <c r="A564" i="16"/>
  <c r="R563" i="16"/>
  <c r="P563" i="16"/>
  <c r="A563" i="16"/>
  <c r="R562" i="16"/>
  <c r="P562" i="16"/>
  <c r="A562" i="16"/>
  <c r="R561" i="16"/>
  <c r="P561" i="16"/>
  <c r="A561" i="16"/>
  <c r="R560" i="16"/>
  <c r="P560" i="16"/>
  <c r="A560" i="16"/>
  <c r="R559" i="16"/>
  <c r="P559" i="16"/>
  <c r="A559" i="16"/>
  <c r="R558" i="16"/>
  <c r="P558" i="16"/>
  <c r="A558" i="16"/>
  <c r="R557" i="16"/>
  <c r="P557" i="16"/>
  <c r="A557" i="16"/>
  <c r="R556" i="16"/>
  <c r="P556" i="16"/>
  <c r="A556" i="16"/>
  <c r="R555" i="16"/>
  <c r="P555" i="16"/>
  <c r="A555" i="16"/>
  <c r="R554" i="16"/>
  <c r="P554" i="16"/>
  <c r="A554" i="16"/>
  <c r="R553" i="16"/>
  <c r="P553" i="16"/>
  <c r="A553" i="16"/>
  <c r="R552" i="16"/>
  <c r="P552" i="16"/>
  <c r="A552" i="16"/>
  <c r="R551" i="16"/>
  <c r="P551" i="16"/>
  <c r="A551" i="16"/>
  <c r="R550" i="16"/>
  <c r="P550" i="16"/>
  <c r="A550" i="16"/>
  <c r="R549" i="16"/>
  <c r="P549" i="16"/>
  <c r="A549" i="16"/>
  <c r="R548" i="16"/>
  <c r="P548" i="16"/>
  <c r="A548" i="16"/>
  <c r="R547" i="16"/>
  <c r="P547" i="16"/>
  <c r="A547" i="16"/>
  <c r="R546" i="16"/>
  <c r="P546" i="16"/>
  <c r="A546" i="16"/>
  <c r="R545" i="16"/>
  <c r="P545" i="16"/>
  <c r="A545" i="16"/>
  <c r="R544" i="16"/>
  <c r="P544" i="16"/>
  <c r="A544" i="16"/>
  <c r="R543" i="16"/>
  <c r="P543" i="16"/>
  <c r="A543" i="16"/>
  <c r="R542" i="16"/>
  <c r="P542" i="16"/>
  <c r="A542" i="16"/>
  <c r="R541" i="16"/>
  <c r="P541" i="16"/>
  <c r="A541" i="16"/>
  <c r="R540" i="16"/>
  <c r="P540" i="16"/>
  <c r="A540" i="16"/>
  <c r="R539" i="16"/>
  <c r="P539" i="16"/>
  <c r="A539" i="16"/>
  <c r="R538" i="16"/>
  <c r="P538" i="16"/>
  <c r="A538" i="16"/>
  <c r="R537" i="16"/>
  <c r="P537" i="16"/>
  <c r="A537" i="16"/>
  <c r="R536" i="16"/>
  <c r="P536" i="16"/>
  <c r="A536" i="16"/>
  <c r="R535" i="16"/>
  <c r="P535" i="16"/>
  <c r="A535" i="16"/>
  <c r="R534" i="16"/>
  <c r="P534" i="16"/>
  <c r="A534" i="16"/>
  <c r="R533" i="16"/>
  <c r="P533" i="16"/>
  <c r="A533" i="16"/>
  <c r="R532" i="16"/>
  <c r="P532" i="16"/>
  <c r="A532" i="16"/>
  <c r="R531" i="16"/>
  <c r="P531" i="16"/>
  <c r="A531" i="16"/>
  <c r="R530" i="16"/>
  <c r="P530" i="16"/>
  <c r="A530" i="16"/>
  <c r="R529" i="16"/>
  <c r="P529" i="16"/>
  <c r="A529" i="16"/>
  <c r="R528" i="16"/>
  <c r="P528" i="16"/>
  <c r="A528" i="16"/>
  <c r="R527" i="16"/>
  <c r="P527" i="16"/>
  <c r="A527" i="16"/>
  <c r="R526" i="16"/>
  <c r="P526" i="16"/>
  <c r="A526" i="16"/>
  <c r="R525" i="16"/>
  <c r="P525" i="16"/>
  <c r="A525" i="16"/>
  <c r="R524" i="16"/>
  <c r="P524" i="16"/>
  <c r="A524" i="16"/>
  <c r="R523" i="16"/>
  <c r="P523" i="16"/>
  <c r="A523" i="16"/>
  <c r="R522" i="16"/>
  <c r="P522" i="16"/>
  <c r="A522" i="16"/>
  <c r="R521" i="16"/>
  <c r="P521" i="16"/>
  <c r="A521" i="16"/>
  <c r="R520" i="16"/>
  <c r="P520" i="16"/>
  <c r="A520" i="16"/>
  <c r="R519" i="16"/>
  <c r="P519" i="16"/>
  <c r="A519" i="16"/>
  <c r="R518" i="16"/>
  <c r="P518" i="16"/>
  <c r="A518" i="16"/>
  <c r="R517" i="16"/>
  <c r="P517" i="16"/>
  <c r="A517" i="16"/>
  <c r="R516" i="16"/>
  <c r="P516" i="16"/>
  <c r="A516" i="16"/>
  <c r="R515" i="16"/>
  <c r="P515" i="16"/>
  <c r="A515" i="16"/>
  <c r="R514" i="16"/>
  <c r="P514" i="16"/>
  <c r="A514" i="16"/>
  <c r="R513" i="16"/>
  <c r="P513" i="16"/>
  <c r="A513" i="16"/>
  <c r="R512" i="16"/>
  <c r="P512" i="16"/>
  <c r="A512" i="16"/>
  <c r="R511" i="16"/>
  <c r="P511" i="16"/>
  <c r="A511" i="16"/>
  <c r="R510" i="16"/>
  <c r="P510" i="16"/>
  <c r="A510" i="16"/>
  <c r="R509" i="16"/>
  <c r="P509" i="16"/>
  <c r="A509" i="16"/>
  <c r="R508" i="16"/>
  <c r="P508" i="16"/>
  <c r="A508" i="16"/>
  <c r="R507" i="16"/>
  <c r="P507" i="16"/>
  <c r="A507" i="16"/>
  <c r="R506" i="16"/>
  <c r="P506" i="16"/>
  <c r="A506" i="16"/>
  <c r="R505" i="16"/>
  <c r="P505" i="16"/>
  <c r="A505" i="16"/>
  <c r="R504" i="16"/>
  <c r="P504" i="16"/>
  <c r="A504" i="16"/>
  <c r="R503" i="16"/>
  <c r="P503" i="16"/>
  <c r="A503" i="16"/>
  <c r="R502" i="16"/>
  <c r="P502" i="16"/>
  <c r="A502" i="16"/>
  <c r="R501" i="16"/>
  <c r="P501" i="16"/>
  <c r="A501" i="16"/>
  <c r="R500" i="16"/>
  <c r="P500" i="16"/>
  <c r="A500" i="16"/>
  <c r="R499" i="16"/>
  <c r="P499" i="16"/>
  <c r="A499" i="16"/>
  <c r="R498" i="16"/>
  <c r="P498" i="16"/>
  <c r="A498" i="16"/>
  <c r="R497" i="16"/>
  <c r="P497" i="16"/>
  <c r="A497" i="16"/>
  <c r="R496" i="16"/>
  <c r="P496" i="16"/>
  <c r="A496" i="16"/>
  <c r="R495" i="16"/>
  <c r="P495" i="16"/>
  <c r="A495" i="16"/>
  <c r="R494" i="16"/>
  <c r="P494" i="16"/>
  <c r="A494" i="16"/>
  <c r="R493" i="16"/>
  <c r="P493" i="16"/>
  <c r="A493" i="16"/>
  <c r="R492" i="16"/>
  <c r="P492" i="16"/>
  <c r="A492" i="16"/>
  <c r="R491" i="16"/>
  <c r="P491" i="16"/>
  <c r="A491" i="16"/>
  <c r="R490" i="16"/>
  <c r="P490" i="16"/>
  <c r="A490" i="16"/>
  <c r="R489" i="16"/>
  <c r="P489" i="16"/>
  <c r="A489" i="16"/>
  <c r="R488" i="16"/>
  <c r="P488" i="16"/>
  <c r="A488" i="16"/>
  <c r="R487" i="16"/>
  <c r="P487" i="16"/>
  <c r="A487" i="16"/>
  <c r="R486" i="16"/>
  <c r="P486" i="16"/>
  <c r="A486" i="16"/>
  <c r="R485" i="16"/>
  <c r="P485" i="16"/>
  <c r="A485" i="16"/>
  <c r="R484" i="16"/>
  <c r="P484" i="16"/>
  <c r="A484" i="16"/>
  <c r="R483" i="16"/>
  <c r="P483" i="16"/>
  <c r="A483" i="16"/>
  <c r="R482" i="16"/>
  <c r="P482" i="16"/>
  <c r="A482" i="16"/>
  <c r="R481" i="16"/>
  <c r="P481" i="16"/>
  <c r="A481" i="16"/>
  <c r="R480" i="16"/>
  <c r="P480" i="16"/>
  <c r="A480" i="16"/>
  <c r="R479" i="16"/>
  <c r="P479" i="16"/>
  <c r="A479" i="16"/>
  <c r="R478" i="16"/>
  <c r="P478" i="16"/>
  <c r="A478" i="16"/>
  <c r="R477" i="16"/>
  <c r="P477" i="16"/>
  <c r="A477" i="16"/>
  <c r="R476" i="16"/>
  <c r="P476" i="16"/>
  <c r="A476" i="16"/>
  <c r="R475" i="16"/>
  <c r="P475" i="16"/>
  <c r="A475" i="16"/>
  <c r="R474" i="16"/>
  <c r="P474" i="16"/>
  <c r="A474" i="16"/>
  <c r="R473" i="16"/>
  <c r="P473" i="16"/>
  <c r="A473" i="16"/>
  <c r="R472" i="16"/>
  <c r="P472" i="16"/>
  <c r="A472" i="16"/>
  <c r="R471" i="16"/>
  <c r="P471" i="16"/>
  <c r="A471" i="16"/>
  <c r="R470" i="16"/>
  <c r="P470" i="16"/>
  <c r="A470" i="16"/>
  <c r="R469" i="16"/>
  <c r="P469" i="16"/>
  <c r="A469" i="16"/>
  <c r="R468" i="16"/>
  <c r="P468" i="16"/>
  <c r="A468" i="16"/>
  <c r="R467" i="16"/>
  <c r="P467" i="16"/>
  <c r="A467" i="16"/>
  <c r="R466" i="16"/>
  <c r="P466" i="16"/>
  <c r="A466" i="16"/>
  <c r="R465" i="16"/>
  <c r="P465" i="16"/>
  <c r="A465" i="16"/>
  <c r="R464" i="16"/>
  <c r="P464" i="16"/>
  <c r="A464" i="16"/>
  <c r="R463" i="16"/>
  <c r="P463" i="16"/>
  <c r="A463" i="16"/>
  <c r="R462" i="16"/>
  <c r="P462" i="16"/>
  <c r="A462" i="16"/>
  <c r="R461" i="16"/>
  <c r="P461" i="16"/>
  <c r="A461" i="16"/>
  <c r="R460" i="16"/>
  <c r="P460" i="16"/>
  <c r="A460" i="16"/>
  <c r="R459" i="16"/>
  <c r="P459" i="16"/>
  <c r="A459" i="16"/>
  <c r="R458" i="16"/>
  <c r="P458" i="16"/>
  <c r="A458" i="16"/>
  <c r="R457" i="16"/>
  <c r="P457" i="16"/>
  <c r="A457" i="16"/>
  <c r="R456" i="16"/>
  <c r="P456" i="16"/>
  <c r="A456" i="16"/>
  <c r="R455" i="16"/>
  <c r="P455" i="16"/>
  <c r="A455" i="16"/>
  <c r="R454" i="16"/>
  <c r="P454" i="16"/>
  <c r="A454" i="16"/>
  <c r="R453" i="16"/>
  <c r="P453" i="16"/>
  <c r="A453" i="16"/>
  <c r="R452" i="16"/>
  <c r="P452" i="16"/>
  <c r="A452" i="16"/>
  <c r="R451" i="16"/>
  <c r="P451" i="16"/>
  <c r="A451" i="16"/>
  <c r="R450" i="16"/>
  <c r="P450" i="16"/>
  <c r="A450" i="16"/>
  <c r="R449" i="16"/>
  <c r="P449" i="16"/>
  <c r="A449" i="16"/>
  <c r="R448" i="16"/>
  <c r="P448" i="16"/>
  <c r="A448" i="16"/>
  <c r="R447" i="16"/>
  <c r="P447" i="16"/>
  <c r="A447" i="16"/>
  <c r="R446" i="16"/>
  <c r="P446" i="16"/>
  <c r="A446" i="16"/>
  <c r="R445" i="16"/>
  <c r="P445" i="16"/>
  <c r="A445" i="16"/>
  <c r="R444" i="16"/>
  <c r="P444" i="16"/>
  <c r="A444" i="16"/>
  <c r="R443" i="16"/>
  <c r="P443" i="16"/>
  <c r="A443" i="16"/>
  <c r="R442" i="16"/>
  <c r="P442" i="16"/>
  <c r="A442" i="16"/>
  <c r="R441" i="16"/>
  <c r="P441" i="16"/>
  <c r="A441" i="16"/>
  <c r="R440" i="16"/>
  <c r="P440" i="16"/>
  <c r="A440" i="16"/>
  <c r="R439" i="16"/>
  <c r="P439" i="16"/>
  <c r="A439" i="16"/>
  <c r="R438" i="16"/>
  <c r="P438" i="16"/>
  <c r="A438" i="16"/>
  <c r="R437" i="16"/>
  <c r="P437" i="16"/>
  <c r="A437" i="16"/>
  <c r="R436" i="16"/>
  <c r="P436" i="16"/>
  <c r="A436" i="16"/>
  <c r="R435" i="16"/>
  <c r="P435" i="16"/>
  <c r="A435" i="16"/>
  <c r="R434" i="16"/>
  <c r="P434" i="16"/>
  <c r="A434" i="16"/>
  <c r="R433" i="16"/>
  <c r="P433" i="16"/>
  <c r="A433" i="16"/>
  <c r="R432" i="16"/>
  <c r="P432" i="16"/>
  <c r="A432" i="16"/>
  <c r="R431" i="16"/>
  <c r="P431" i="16"/>
  <c r="A431" i="16"/>
  <c r="R430" i="16"/>
  <c r="P430" i="16"/>
  <c r="A430" i="16"/>
  <c r="R429" i="16"/>
  <c r="P429" i="16"/>
  <c r="A429" i="16"/>
  <c r="R428" i="16"/>
  <c r="P428" i="16"/>
  <c r="A428" i="16"/>
  <c r="R427" i="16"/>
  <c r="P427" i="16"/>
  <c r="A427" i="16"/>
  <c r="R426" i="16"/>
  <c r="P426" i="16"/>
  <c r="A426" i="16"/>
  <c r="R425" i="16"/>
  <c r="P425" i="16"/>
  <c r="A425" i="16"/>
  <c r="R424" i="16"/>
  <c r="P424" i="16"/>
  <c r="A424" i="16"/>
  <c r="R423" i="16"/>
  <c r="P423" i="16"/>
  <c r="A423" i="16"/>
  <c r="R422" i="16"/>
  <c r="P422" i="16"/>
  <c r="A422" i="16"/>
  <c r="R421" i="16"/>
  <c r="P421" i="16"/>
  <c r="A421" i="16"/>
  <c r="R420" i="16"/>
  <c r="P420" i="16"/>
  <c r="A420" i="16"/>
  <c r="R419" i="16"/>
  <c r="P419" i="16"/>
  <c r="A419" i="16"/>
  <c r="R418" i="16"/>
  <c r="P418" i="16"/>
  <c r="A418" i="16"/>
  <c r="R417" i="16"/>
  <c r="P417" i="16"/>
  <c r="A417" i="16"/>
  <c r="R416" i="16"/>
  <c r="P416" i="16"/>
  <c r="A416" i="16"/>
  <c r="R415" i="16"/>
  <c r="P415" i="16"/>
  <c r="A415" i="16"/>
  <c r="R414" i="16"/>
  <c r="P414" i="16"/>
  <c r="A414" i="16"/>
  <c r="R413" i="16"/>
  <c r="P413" i="16"/>
  <c r="A413" i="16"/>
  <c r="R412" i="16"/>
  <c r="P412" i="16"/>
  <c r="A412" i="16"/>
  <c r="R411" i="16"/>
  <c r="P411" i="16"/>
  <c r="A411" i="16"/>
  <c r="R410" i="16"/>
  <c r="P410" i="16"/>
  <c r="A410" i="16"/>
  <c r="R409" i="16"/>
  <c r="P409" i="16"/>
  <c r="A409" i="16"/>
  <c r="R408" i="16"/>
  <c r="P408" i="16"/>
  <c r="A408" i="16"/>
  <c r="R407" i="16"/>
  <c r="P407" i="16"/>
  <c r="A407" i="16"/>
  <c r="R406" i="16"/>
  <c r="P406" i="16"/>
  <c r="A406" i="16"/>
  <c r="R405" i="16"/>
  <c r="P405" i="16"/>
  <c r="A405" i="16"/>
  <c r="R404" i="16"/>
  <c r="P404" i="16"/>
  <c r="A404" i="16"/>
  <c r="R403" i="16"/>
  <c r="P403" i="16"/>
  <c r="A403" i="16"/>
  <c r="R402" i="16"/>
  <c r="P402" i="16"/>
  <c r="A402" i="16"/>
  <c r="R401" i="16"/>
  <c r="P401" i="16"/>
  <c r="A401" i="16"/>
  <c r="R400" i="16"/>
  <c r="P400" i="16"/>
  <c r="A400" i="16"/>
  <c r="R399" i="16"/>
  <c r="P399" i="16"/>
  <c r="A399" i="16"/>
  <c r="R398" i="16"/>
  <c r="P398" i="16"/>
  <c r="A398" i="16"/>
  <c r="R397" i="16"/>
  <c r="P397" i="16"/>
  <c r="A397" i="16"/>
  <c r="R396" i="16"/>
  <c r="P396" i="16"/>
  <c r="A396" i="16"/>
  <c r="R395" i="16"/>
  <c r="P395" i="16"/>
  <c r="A395" i="16"/>
  <c r="R394" i="16"/>
  <c r="P394" i="16"/>
  <c r="A394" i="16"/>
  <c r="R393" i="16"/>
  <c r="P393" i="16"/>
  <c r="A393" i="16"/>
  <c r="R392" i="16"/>
  <c r="P392" i="16"/>
  <c r="A392" i="16"/>
  <c r="R391" i="16"/>
  <c r="P391" i="16"/>
  <c r="A391" i="16"/>
  <c r="R390" i="16"/>
  <c r="P390" i="16"/>
  <c r="A390" i="16"/>
  <c r="R389" i="16"/>
  <c r="P389" i="16"/>
  <c r="A389" i="16"/>
  <c r="R388" i="16"/>
  <c r="P388" i="16"/>
  <c r="A388" i="16"/>
  <c r="R387" i="16"/>
  <c r="P387" i="16"/>
  <c r="A387" i="16"/>
  <c r="R386" i="16"/>
  <c r="P386" i="16"/>
  <c r="A386" i="16"/>
  <c r="R385" i="16"/>
  <c r="P385" i="16"/>
  <c r="A385" i="16"/>
  <c r="R384" i="16"/>
  <c r="P384" i="16"/>
  <c r="A384" i="16"/>
  <c r="R383" i="16"/>
  <c r="P383" i="16"/>
  <c r="A383" i="16"/>
  <c r="R382" i="16"/>
  <c r="P382" i="16"/>
  <c r="A382" i="16"/>
  <c r="R381" i="16"/>
  <c r="P381" i="16"/>
  <c r="A381" i="16"/>
  <c r="R380" i="16"/>
  <c r="P380" i="16"/>
  <c r="A380" i="16"/>
  <c r="R379" i="16"/>
  <c r="P379" i="16"/>
  <c r="A379" i="16"/>
  <c r="R378" i="16"/>
  <c r="P378" i="16"/>
  <c r="G378" i="16"/>
  <c r="A378" i="16"/>
  <c r="R377" i="16"/>
  <c r="P377" i="16"/>
  <c r="G377" i="16"/>
  <c r="A377" i="16"/>
  <c r="R376" i="16"/>
  <c r="P376" i="16"/>
  <c r="G376" i="16"/>
  <c r="A376" i="16"/>
  <c r="R375" i="16"/>
  <c r="P375" i="16"/>
  <c r="G375" i="16"/>
  <c r="A375" i="16"/>
  <c r="R374" i="16"/>
  <c r="P374" i="16"/>
  <c r="G374" i="16"/>
  <c r="A374" i="16"/>
  <c r="R373" i="16"/>
  <c r="P373" i="16"/>
  <c r="G373" i="16"/>
  <c r="A373" i="16"/>
  <c r="R372" i="16"/>
  <c r="P372" i="16"/>
  <c r="G372" i="16"/>
  <c r="A372" i="16"/>
  <c r="R371" i="16"/>
  <c r="P371" i="16"/>
  <c r="G371" i="16"/>
  <c r="A371" i="16"/>
  <c r="R370" i="16"/>
  <c r="P370" i="16"/>
  <c r="G370" i="16"/>
  <c r="A370" i="16"/>
  <c r="R369" i="16"/>
  <c r="P369" i="16"/>
  <c r="G369" i="16"/>
  <c r="A369" i="16"/>
  <c r="R368" i="16"/>
  <c r="P368" i="16"/>
  <c r="G368" i="16"/>
  <c r="A368" i="16"/>
  <c r="R367" i="16"/>
  <c r="P367" i="16"/>
  <c r="G367" i="16"/>
  <c r="A367" i="16"/>
  <c r="R366" i="16"/>
  <c r="P366" i="16"/>
  <c r="G366" i="16"/>
  <c r="A366" i="16"/>
  <c r="R365" i="16"/>
  <c r="P365" i="16"/>
  <c r="G365" i="16"/>
  <c r="A365" i="16"/>
  <c r="R364" i="16"/>
  <c r="P364" i="16"/>
  <c r="G364" i="16"/>
  <c r="A364" i="16"/>
  <c r="R363" i="16"/>
  <c r="P363" i="16"/>
  <c r="G363" i="16"/>
  <c r="A363" i="16"/>
  <c r="R362" i="16"/>
  <c r="P362" i="16"/>
  <c r="G362" i="16"/>
  <c r="A362" i="16"/>
  <c r="R361" i="16"/>
  <c r="P361" i="16"/>
  <c r="G361" i="16"/>
  <c r="A361" i="16"/>
  <c r="R360" i="16"/>
  <c r="P360" i="16"/>
  <c r="G360" i="16"/>
  <c r="A360" i="16"/>
  <c r="R359" i="16"/>
  <c r="P359" i="16"/>
  <c r="G359" i="16"/>
  <c r="A359" i="16"/>
  <c r="R358" i="16"/>
  <c r="P358" i="16"/>
  <c r="G358" i="16"/>
  <c r="A358" i="16"/>
  <c r="R357" i="16"/>
  <c r="P357" i="16"/>
  <c r="G357" i="16"/>
  <c r="A357" i="16"/>
  <c r="R356" i="16"/>
  <c r="P356" i="16"/>
  <c r="G356" i="16"/>
  <c r="A356" i="16"/>
  <c r="R355" i="16"/>
  <c r="P355" i="16"/>
  <c r="G355" i="16"/>
  <c r="A355" i="16"/>
  <c r="R354" i="16"/>
  <c r="P354" i="16"/>
  <c r="G354" i="16"/>
  <c r="A354" i="16"/>
  <c r="R353" i="16"/>
  <c r="P353" i="16"/>
  <c r="G353" i="16"/>
  <c r="A353" i="16"/>
  <c r="R352" i="16"/>
  <c r="P352" i="16"/>
  <c r="G352" i="16"/>
  <c r="A352" i="16"/>
  <c r="R351" i="16"/>
  <c r="P351" i="16"/>
  <c r="G351" i="16"/>
  <c r="A351" i="16"/>
  <c r="R350" i="16"/>
  <c r="P350" i="16"/>
  <c r="G350" i="16"/>
  <c r="A350" i="16"/>
  <c r="R349" i="16"/>
  <c r="P349" i="16"/>
  <c r="G349" i="16"/>
  <c r="A349" i="16"/>
  <c r="R348" i="16"/>
  <c r="P348" i="16"/>
  <c r="G348" i="16"/>
  <c r="A348" i="16"/>
  <c r="R347" i="16"/>
  <c r="P347" i="16"/>
  <c r="A347" i="16"/>
  <c r="R346" i="16"/>
  <c r="P346" i="16"/>
  <c r="G346" i="16"/>
  <c r="A346" i="16"/>
  <c r="R345" i="16"/>
  <c r="P345" i="16"/>
  <c r="G345" i="16"/>
  <c r="A345" i="16"/>
  <c r="R344" i="16"/>
  <c r="P344" i="16"/>
  <c r="G344" i="16"/>
  <c r="A344" i="16"/>
  <c r="R343" i="16"/>
  <c r="P343" i="16"/>
  <c r="G343" i="16"/>
  <c r="A343" i="16"/>
  <c r="R342" i="16"/>
  <c r="P342" i="16"/>
  <c r="G342" i="16"/>
  <c r="A342" i="16"/>
  <c r="R341" i="16"/>
  <c r="P341" i="16"/>
  <c r="G341" i="16"/>
  <c r="A341" i="16"/>
  <c r="R340" i="16"/>
  <c r="P340" i="16"/>
  <c r="G340" i="16"/>
  <c r="A340" i="16"/>
  <c r="R339" i="16"/>
  <c r="P339" i="16"/>
  <c r="G339" i="16"/>
  <c r="A339" i="16"/>
  <c r="R338" i="16"/>
  <c r="P338" i="16"/>
  <c r="G338" i="16"/>
  <c r="A338" i="16"/>
  <c r="R337" i="16"/>
  <c r="P337" i="16"/>
  <c r="G337" i="16"/>
  <c r="A337" i="16"/>
  <c r="R336" i="16"/>
  <c r="P336" i="16"/>
  <c r="G336" i="16"/>
  <c r="A336" i="16"/>
  <c r="R335" i="16"/>
  <c r="P335" i="16"/>
  <c r="G335" i="16"/>
  <c r="A335" i="16"/>
  <c r="R334" i="16"/>
  <c r="P334" i="16"/>
  <c r="G334" i="16"/>
  <c r="A334" i="16"/>
  <c r="R333" i="16"/>
  <c r="P333" i="16"/>
  <c r="G333" i="16"/>
  <c r="A333" i="16"/>
  <c r="R332" i="16"/>
  <c r="P332" i="16"/>
  <c r="G332" i="16"/>
  <c r="A332" i="16"/>
  <c r="R331" i="16"/>
  <c r="P331" i="16"/>
  <c r="G331" i="16"/>
  <c r="A331" i="16"/>
  <c r="R330" i="16"/>
  <c r="P330" i="16"/>
  <c r="G330" i="16"/>
  <c r="A330" i="16"/>
  <c r="R329" i="16"/>
  <c r="P329" i="16"/>
  <c r="G329" i="16"/>
  <c r="A329" i="16"/>
  <c r="R328" i="16"/>
  <c r="P328" i="16"/>
  <c r="G328" i="16"/>
  <c r="A328" i="16"/>
  <c r="R327" i="16"/>
  <c r="P327" i="16"/>
  <c r="G327" i="16"/>
  <c r="A327" i="16"/>
  <c r="R326" i="16"/>
  <c r="P326" i="16"/>
  <c r="G326" i="16"/>
  <c r="A326" i="16"/>
  <c r="R325" i="16"/>
  <c r="P325" i="16"/>
  <c r="G325" i="16"/>
  <c r="A325" i="16"/>
  <c r="R324" i="16"/>
  <c r="P324" i="16"/>
  <c r="G324" i="16"/>
  <c r="A324" i="16"/>
  <c r="R323" i="16"/>
  <c r="P323" i="16"/>
  <c r="G323" i="16"/>
  <c r="A323" i="16"/>
  <c r="R322" i="16"/>
  <c r="P322" i="16"/>
  <c r="G322" i="16"/>
  <c r="A322" i="16"/>
  <c r="R321" i="16"/>
  <c r="P321" i="16"/>
  <c r="G321" i="16"/>
  <c r="A321" i="16"/>
  <c r="R320" i="16"/>
  <c r="P320" i="16"/>
  <c r="G320" i="16"/>
  <c r="A320" i="16"/>
  <c r="R319" i="16"/>
  <c r="P319" i="16"/>
  <c r="G319" i="16"/>
  <c r="A319" i="16"/>
  <c r="R318" i="16"/>
  <c r="P318" i="16"/>
  <c r="G318" i="16"/>
  <c r="A318" i="16"/>
  <c r="R317" i="16"/>
  <c r="P317" i="16"/>
  <c r="G317" i="16"/>
  <c r="A317" i="16"/>
  <c r="R316" i="16"/>
  <c r="P316" i="16"/>
  <c r="G316" i="16"/>
  <c r="A316" i="16"/>
  <c r="R315" i="16"/>
  <c r="P315" i="16"/>
  <c r="A315" i="16"/>
  <c r="R314" i="16"/>
  <c r="P314" i="16"/>
  <c r="G314" i="16"/>
  <c r="A314" i="16"/>
  <c r="R313" i="16"/>
  <c r="P313" i="16"/>
  <c r="G313" i="16"/>
  <c r="A313" i="16"/>
  <c r="R312" i="16"/>
  <c r="P312" i="16"/>
  <c r="G312" i="16"/>
  <c r="A312" i="16"/>
  <c r="R311" i="16"/>
  <c r="P311" i="16"/>
  <c r="G311" i="16"/>
  <c r="A311" i="16"/>
  <c r="R310" i="16"/>
  <c r="P310" i="16"/>
  <c r="G310" i="16"/>
  <c r="A310" i="16"/>
  <c r="R309" i="16"/>
  <c r="P309" i="16"/>
  <c r="G309" i="16"/>
  <c r="A309" i="16"/>
  <c r="R308" i="16"/>
  <c r="P308" i="16"/>
  <c r="G308" i="16"/>
  <c r="A308" i="16"/>
  <c r="R307" i="16"/>
  <c r="P307" i="16"/>
  <c r="G307" i="16"/>
  <c r="A307" i="16"/>
  <c r="R306" i="16"/>
  <c r="P306" i="16"/>
  <c r="G306" i="16"/>
  <c r="A306" i="16"/>
  <c r="R305" i="16"/>
  <c r="P305" i="16"/>
  <c r="G305" i="16"/>
  <c r="A305" i="16"/>
  <c r="R304" i="16"/>
  <c r="P304" i="16"/>
  <c r="G304" i="16"/>
  <c r="A304" i="16"/>
  <c r="R303" i="16"/>
  <c r="P303" i="16"/>
  <c r="G303" i="16"/>
  <c r="A303" i="16"/>
  <c r="R302" i="16"/>
  <c r="P302" i="16"/>
  <c r="G302" i="16"/>
  <c r="A302" i="16"/>
  <c r="R301" i="16"/>
  <c r="P301" i="16"/>
  <c r="G301" i="16"/>
  <c r="A301" i="16"/>
  <c r="R300" i="16"/>
  <c r="P300" i="16"/>
  <c r="G300" i="16"/>
  <c r="A300" i="16"/>
  <c r="R299" i="16"/>
  <c r="P299" i="16"/>
  <c r="G299" i="16"/>
  <c r="A299" i="16"/>
  <c r="R298" i="16"/>
  <c r="P298" i="16"/>
  <c r="G298" i="16"/>
  <c r="A298" i="16"/>
  <c r="R297" i="16"/>
  <c r="P297" i="16"/>
  <c r="G297" i="16"/>
  <c r="A297" i="16"/>
  <c r="R296" i="16"/>
  <c r="P296" i="16"/>
  <c r="G296" i="16"/>
  <c r="A296" i="16"/>
  <c r="R295" i="16"/>
  <c r="P295" i="16"/>
  <c r="G295" i="16"/>
  <c r="A295" i="16"/>
  <c r="R294" i="16"/>
  <c r="P294" i="16"/>
  <c r="G294" i="16"/>
  <c r="A294" i="16"/>
  <c r="R293" i="16"/>
  <c r="P293" i="16"/>
  <c r="G293" i="16"/>
  <c r="A293" i="16"/>
  <c r="R292" i="16"/>
  <c r="P292" i="16"/>
  <c r="G292" i="16"/>
  <c r="A292" i="16"/>
  <c r="R291" i="16"/>
  <c r="P291" i="16"/>
  <c r="G291" i="16"/>
  <c r="A291" i="16"/>
  <c r="R290" i="16"/>
  <c r="P290" i="16"/>
  <c r="G290" i="16"/>
  <c r="A290" i="16"/>
  <c r="R289" i="16"/>
  <c r="P289" i="16"/>
  <c r="G289" i="16"/>
  <c r="A289" i="16"/>
  <c r="R288" i="16"/>
  <c r="P288" i="16"/>
  <c r="G288" i="16"/>
  <c r="A288" i="16"/>
  <c r="R287" i="16"/>
  <c r="P287" i="16"/>
  <c r="G287" i="16"/>
  <c r="A287" i="16"/>
  <c r="R286" i="16"/>
  <c r="P286" i="16"/>
  <c r="G286" i="16"/>
  <c r="A286" i="16"/>
  <c r="R285" i="16"/>
  <c r="P285" i="16"/>
  <c r="G285" i="16"/>
  <c r="A285" i="16"/>
  <c r="R284" i="16"/>
  <c r="P284" i="16"/>
  <c r="G284" i="16"/>
  <c r="A284" i="16"/>
  <c r="R283" i="16"/>
  <c r="P283" i="16"/>
  <c r="A283" i="16"/>
  <c r="R282" i="16"/>
  <c r="P282" i="16"/>
  <c r="G282" i="16"/>
  <c r="A282" i="16"/>
  <c r="R281" i="16"/>
  <c r="P281" i="16"/>
  <c r="G281" i="16"/>
  <c r="A281" i="16"/>
  <c r="R280" i="16"/>
  <c r="P280" i="16"/>
  <c r="G280" i="16"/>
  <c r="A280" i="16"/>
  <c r="R279" i="16"/>
  <c r="P279" i="16"/>
  <c r="G279" i="16"/>
  <c r="A279" i="16"/>
  <c r="R278" i="16"/>
  <c r="P278" i="16"/>
  <c r="G278" i="16"/>
  <c r="A278" i="16"/>
  <c r="R277" i="16"/>
  <c r="P277" i="16"/>
  <c r="G277" i="16"/>
  <c r="A277" i="16"/>
  <c r="R276" i="16"/>
  <c r="P276" i="16"/>
  <c r="G276" i="16"/>
  <c r="A276" i="16"/>
  <c r="R275" i="16"/>
  <c r="P275" i="16"/>
  <c r="G275" i="16"/>
  <c r="A275" i="16"/>
  <c r="R274" i="16"/>
  <c r="P274" i="16"/>
  <c r="G274" i="16"/>
  <c r="A274" i="16"/>
  <c r="R273" i="16"/>
  <c r="P273" i="16"/>
  <c r="G273" i="16"/>
  <c r="A273" i="16"/>
  <c r="R272" i="16"/>
  <c r="P272" i="16"/>
  <c r="G272" i="16"/>
  <c r="A272" i="16"/>
  <c r="R271" i="16"/>
  <c r="P271" i="16"/>
  <c r="G271" i="16"/>
  <c r="A271" i="16"/>
  <c r="R270" i="16"/>
  <c r="P270" i="16"/>
  <c r="G270" i="16"/>
  <c r="A270" i="16"/>
  <c r="R269" i="16"/>
  <c r="P269" i="16"/>
  <c r="G269" i="16"/>
  <c r="A269" i="16"/>
  <c r="R268" i="16"/>
  <c r="P268" i="16"/>
  <c r="G268" i="16"/>
  <c r="A268" i="16"/>
  <c r="R267" i="16"/>
  <c r="P267" i="16"/>
  <c r="A267" i="16"/>
  <c r="R266" i="16"/>
  <c r="P266" i="16"/>
  <c r="G266" i="16"/>
  <c r="A266" i="16"/>
  <c r="R265" i="16"/>
  <c r="P265" i="16"/>
  <c r="G265" i="16"/>
  <c r="A265" i="16"/>
  <c r="R264" i="16"/>
  <c r="P264" i="16"/>
  <c r="G264" i="16"/>
  <c r="A264" i="16"/>
  <c r="R263" i="16"/>
  <c r="P263" i="16"/>
  <c r="G263" i="16"/>
  <c r="A263" i="16"/>
  <c r="R262" i="16"/>
  <c r="P262" i="16"/>
  <c r="G262" i="16"/>
  <c r="A262" i="16"/>
  <c r="R261" i="16"/>
  <c r="P261" i="16"/>
  <c r="G261" i="16"/>
  <c r="A261" i="16"/>
  <c r="R260" i="16"/>
  <c r="P260" i="16"/>
  <c r="G260" i="16"/>
  <c r="A260" i="16"/>
  <c r="R259" i="16"/>
  <c r="P259" i="16"/>
  <c r="G259" i="16"/>
  <c r="A259" i="16"/>
  <c r="R258" i="16"/>
  <c r="P258" i="16"/>
  <c r="G258" i="16"/>
  <c r="A258" i="16"/>
  <c r="R257" i="16"/>
  <c r="P257" i="16"/>
  <c r="G257" i="16"/>
  <c r="A257" i="16"/>
  <c r="R256" i="16"/>
  <c r="P256" i="16"/>
  <c r="G256" i="16"/>
  <c r="A256" i="16"/>
  <c r="R255" i="16"/>
  <c r="P255" i="16"/>
  <c r="G255" i="16"/>
  <c r="A255" i="16"/>
  <c r="R254" i="16"/>
  <c r="P254" i="16"/>
  <c r="G254" i="16"/>
  <c r="A254" i="16"/>
  <c r="R253" i="16"/>
  <c r="P253" i="16"/>
  <c r="G253" i="16"/>
  <c r="A253" i="16"/>
  <c r="R252" i="16"/>
  <c r="P252" i="16"/>
  <c r="G252" i="16"/>
  <c r="A252" i="16"/>
  <c r="R251" i="16"/>
  <c r="P251" i="16"/>
  <c r="A251" i="16"/>
  <c r="R250" i="16"/>
  <c r="P250" i="16"/>
  <c r="A250" i="16"/>
  <c r="R249" i="16"/>
  <c r="P249" i="16"/>
  <c r="A249" i="16"/>
  <c r="R248" i="16"/>
  <c r="P248" i="16"/>
  <c r="A248" i="16"/>
  <c r="R247" i="16"/>
  <c r="P247" i="16"/>
  <c r="A247" i="16"/>
  <c r="R246" i="16"/>
  <c r="P246" i="16"/>
  <c r="A246" i="16"/>
  <c r="R245" i="16"/>
  <c r="P245" i="16"/>
  <c r="A245" i="16"/>
  <c r="R244" i="16"/>
  <c r="P244" i="16"/>
  <c r="A244" i="16"/>
  <c r="R243" i="16"/>
  <c r="P243" i="16"/>
  <c r="A243" i="16"/>
  <c r="R242" i="16"/>
  <c r="P242" i="16"/>
  <c r="A242" i="16"/>
  <c r="R241" i="16"/>
  <c r="P241" i="16"/>
  <c r="A241" i="16"/>
  <c r="R240" i="16"/>
  <c r="P240" i="16"/>
  <c r="A240" i="16"/>
  <c r="R239" i="16"/>
  <c r="P239" i="16"/>
  <c r="A239" i="16"/>
  <c r="R238" i="16"/>
  <c r="P238" i="16"/>
  <c r="A238" i="16"/>
  <c r="R237" i="16"/>
  <c r="P237" i="16"/>
  <c r="A237" i="16"/>
  <c r="R236" i="16"/>
  <c r="P236" i="16"/>
  <c r="A236" i="16"/>
  <c r="R235" i="16"/>
  <c r="P235" i="16"/>
  <c r="A235" i="16"/>
  <c r="R234" i="16"/>
  <c r="P234" i="16"/>
  <c r="A234" i="16"/>
  <c r="R233" i="16"/>
  <c r="P233" i="16"/>
  <c r="A233" i="16"/>
  <c r="R232" i="16"/>
  <c r="P232" i="16"/>
  <c r="A232" i="16"/>
  <c r="R231" i="16"/>
  <c r="P231" i="16"/>
  <c r="A231" i="16"/>
  <c r="R230" i="16"/>
  <c r="P230" i="16"/>
  <c r="A230" i="16"/>
  <c r="R229" i="16"/>
  <c r="P229" i="16"/>
  <c r="A229" i="16"/>
  <c r="R228" i="16"/>
  <c r="P228" i="16"/>
  <c r="A228" i="16"/>
  <c r="R227" i="16"/>
  <c r="P227" i="16"/>
  <c r="A227" i="16"/>
  <c r="R226" i="16"/>
  <c r="P226" i="16"/>
  <c r="A226" i="16"/>
  <c r="R225" i="16"/>
  <c r="P225" i="16"/>
  <c r="A225" i="16"/>
  <c r="R224" i="16"/>
  <c r="P224" i="16"/>
  <c r="A224" i="16"/>
  <c r="R223" i="16"/>
  <c r="P223" i="16"/>
  <c r="A223" i="16"/>
  <c r="R222" i="16"/>
  <c r="P222" i="16"/>
  <c r="A222" i="16"/>
  <c r="R221" i="16"/>
  <c r="P221" i="16"/>
  <c r="A221" i="16"/>
  <c r="R220" i="16"/>
  <c r="P220" i="16"/>
  <c r="A220" i="16"/>
  <c r="R219" i="16"/>
  <c r="P219" i="16"/>
  <c r="A219" i="16"/>
  <c r="R218" i="16"/>
  <c r="P218" i="16"/>
  <c r="A218" i="16"/>
  <c r="R217" i="16"/>
  <c r="P217" i="16"/>
  <c r="A217" i="16"/>
  <c r="R216" i="16"/>
  <c r="P216" i="16"/>
  <c r="A216" i="16"/>
  <c r="R215" i="16"/>
  <c r="P215" i="16"/>
  <c r="A215" i="16"/>
  <c r="R214" i="16"/>
  <c r="P214" i="16"/>
  <c r="A214" i="16"/>
  <c r="R213" i="16"/>
  <c r="P213" i="16"/>
  <c r="A213" i="16"/>
  <c r="R212" i="16"/>
  <c r="P212" i="16"/>
  <c r="A212" i="16"/>
  <c r="R211" i="16"/>
  <c r="P211" i="16"/>
  <c r="A211" i="16"/>
  <c r="R210" i="16"/>
  <c r="P210" i="16"/>
  <c r="A210" i="16"/>
  <c r="R209" i="16"/>
  <c r="P209" i="16"/>
  <c r="A209" i="16"/>
  <c r="R208" i="16"/>
  <c r="P208" i="16"/>
  <c r="A208" i="16"/>
  <c r="R207" i="16"/>
  <c r="P207" i="16"/>
  <c r="A207" i="16"/>
  <c r="R206" i="16"/>
  <c r="P206" i="16"/>
  <c r="A206" i="16"/>
  <c r="R205" i="16"/>
  <c r="P205" i="16"/>
  <c r="A205" i="16"/>
  <c r="R204" i="16"/>
  <c r="P204" i="16"/>
  <c r="A204" i="16"/>
  <c r="R203" i="16"/>
  <c r="P203" i="16"/>
  <c r="A203" i="16"/>
  <c r="R202" i="16"/>
  <c r="P202" i="16"/>
  <c r="A202" i="16"/>
  <c r="R201" i="16"/>
  <c r="P201" i="16"/>
  <c r="A201" i="16"/>
  <c r="R200" i="16"/>
  <c r="P200" i="16"/>
  <c r="A200" i="16"/>
  <c r="R199" i="16"/>
  <c r="P199" i="16"/>
  <c r="A199" i="16"/>
  <c r="R198" i="16"/>
  <c r="P198" i="16"/>
  <c r="A198" i="16"/>
  <c r="R197" i="16"/>
  <c r="P197" i="16"/>
  <c r="A197" i="16"/>
  <c r="R196" i="16"/>
  <c r="P196" i="16"/>
  <c r="A196" i="16"/>
  <c r="R195" i="16"/>
  <c r="P195" i="16"/>
  <c r="A195" i="16"/>
  <c r="R194" i="16"/>
  <c r="P194" i="16"/>
  <c r="A194" i="16"/>
  <c r="R193" i="16"/>
  <c r="P193" i="16"/>
  <c r="A193" i="16"/>
  <c r="R192" i="16"/>
  <c r="P192" i="16"/>
  <c r="A192" i="16"/>
  <c r="R191" i="16"/>
  <c r="P191" i="16"/>
  <c r="A191" i="16"/>
  <c r="R190" i="16"/>
  <c r="P190" i="16"/>
  <c r="A190" i="16"/>
  <c r="R189" i="16"/>
  <c r="P189" i="16"/>
  <c r="A189" i="16"/>
  <c r="R188" i="16"/>
  <c r="P188" i="16"/>
  <c r="A188" i="16"/>
  <c r="R187" i="16"/>
  <c r="P187" i="16"/>
  <c r="A187" i="16"/>
  <c r="R186" i="16"/>
  <c r="P186" i="16"/>
  <c r="A186" i="16"/>
  <c r="R185" i="16"/>
  <c r="P185" i="16"/>
  <c r="A185" i="16"/>
  <c r="R184" i="16"/>
  <c r="P184" i="16"/>
  <c r="A184" i="16"/>
  <c r="R183" i="16"/>
  <c r="P183" i="16"/>
  <c r="A183" i="16"/>
  <c r="R182" i="16"/>
  <c r="P182" i="16"/>
  <c r="A182" i="16"/>
  <c r="R181" i="16"/>
  <c r="P181" i="16"/>
  <c r="A181" i="16"/>
  <c r="R180" i="16"/>
  <c r="P180" i="16"/>
  <c r="A180" i="16"/>
  <c r="R179" i="16"/>
  <c r="P179" i="16"/>
  <c r="A179" i="16"/>
  <c r="R178" i="16"/>
  <c r="P178" i="16"/>
  <c r="A178" i="16"/>
  <c r="R177" i="16"/>
  <c r="P177" i="16"/>
  <c r="A177" i="16"/>
  <c r="R176" i="16"/>
  <c r="P176" i="16"/>
  <c r="A176" i="16"/>
  <c r="R175" i="16"/>
  <c r="P175" i="16"/>
  <c r="A175" i="16"/>
  <c r="R174" i="16"/>
  <c r="P174" i="16"/>
  <c r="A174" i="16"/>
  <c r="R173" i="16"/>
  <c r="P173" i="16"/>
  <c r="A173" i="16"/>
  <c r="R172" i="16"/>
  <c r="P172" i="16"/>
  <c r="A172" i="16"/>
  <c r="R171" i="16"/>
  <c r="P171" i="16"/>
  <c r="A171" i="16"/>
  <c r="R170" i="16"/>
  <c r="P170" i="16"/>
  <c r="A170" i="16"/>
  <c r="R169" i="16"/>
  <c r="P169" i="16"/>
  <c r="A169" i="16"/>
  <c r="R168" i="16"/>
  <c r="P168" i="16"/>
  <c r="A168" i="16"/>
  <c r="R167" i="16"/>
  <c r="P167" i="16"/>
  <c r="A167" i="16"/>
  <c r="R166" i="16"/>
  <c r="P166" i="16"/>
  <c r="A166" i="16"/>
  <c r="R165" i="16"/>
  <c r="P165" i="16"/>
  <c r="G165" i="16"/>
  <c r="A165" i="16"/>
  <c r="R164" i="16"/>
  <c r="P164" i="16"/>
  <c r="G164" i="16"/>
  <c r="A164" i="16"/>
  <c r="R163" i="16"/>
  <c r="P163" i="16"/>
  <c r="G163" i="16"/>
  <c r="A163" i="16"/>
  <c r="R162" i="16"/>
  <c r="P162" i="16"/>
  <c r="G162" i="16"/>
  <c r="A162" i="16"/>
  <c r="R161" i="16"/>
  <c r="P161" i="16"/>
  <c r="G161" i="16"/>
  <c r="A161" i="16"/>
  <c r="R160" i="16"/>
  <c r="P160" i="16"/>
  <c r="G160" i="16"/>
  <c r="A160" i="16"/>
  <c r="R159" i="16"/>
  <c r="P159" i="16"/>
  <c r="G159" i="16"/>
  <c r="A159" i="16"/>
  <c r="R158" i="16"/>
  <c r="P158" i="16"/>
  <c r="G158" i="16"/>
  <c r="A158" i="16"/>
  <c r="R157" i="16"/>
  <c r="P157" i="16"/>
  <c r="G157" i="16"/>
  <c r="A157" i="16"/>
  <c r="R156" i="16"/>
  <c r="P156" i="16"/>
  <c r="G156" i="16"/>
  <c r="A156" i="16"/>
  <c r="R155" i="16"/>
  <c r="P155" i="16"/>
  <c r="G155" i="16"/>
  <c r="A155" i="16"/>
  <c r="R154" i="16"/>
  <c r="P154" i="16"/>
  <c r="G154" i="16"/>
  <c r="A154" i="16"/>
  <c r="R153" i="16"/>
  <c r="P153" i="16"/>
  <c r="G153" i="16"/>
  <c r="A153" i="16"/>
  <c r="R152" i="16"/>
  <c r="P152" i="16"/>
  <c r="G152" i="16"/>
  <c r="A152" i="16"/>
  <c r="R151" i="16"/>
  <c r="P151" i="16"/>
  <c r="A151" i="16"/>
  <c r="R150" i="16"/>
  <c r="P150" i="16"/>
  <c r="A150" i="16"/>
  <c r="R149" i="16"/>
  <c r="P149" i="16"/>
  <c r="A149" i="16"/>
  <c r="R148" i="16"/>
  <c r="P148" i="16"/>
  <c r="A148" i="16"/>
  <c r="R147" i="16"/>
  <c r="P147" i="16"/>
  <c r="A147" i="16"/>
  <c r="R146" i="16"/>
  <c r="P146" i="16"/>
  <c r="A146" i="16"/>
  <c r="R145" i="16"/>
  <c r="P145" i="16"/>
  <c r="A145" i="16"/>
  <c r="R144" i="16"/>
  <c r="P144" i="16"/>
  <c r="A144" i="16"/>
  <c r="R143" i="16"/>
  <c r="P143" i="16"/>
  <c r="A143" i="16"/>
  <c r="R142" i="16"/>
  <c r="P142" i="16"/>
  <c r="A142" i="16"/>
  <c r="R141" i="16"/>
  <c r="P141" i="16"/>
  <c r="A141" i="16"/>
  <c r="R140" i="16"/>
  <c r="P140" i="16"/>
  <c r="A140" i="16"/>
  <c r="R139" i="16"/>
  <c r="P139" i="16"/>
  <c r="A139" i="16"/>
  <c r="R138" i="16"/>
  <c r="P138" i="16"/>
  <c r="A138" i="16"/>
  <c r="R137" i="16"/>
  <c r="P137" i="16"/>
  <c r="A137" i="16"/>
  <c r="R136" i="16"/>
  <c r="P136" i="16"/>
  <c r="A136" i="16"/>
  <c r="R135" i="16"/>
  <c r="P135" i="16"/>
  <c r="A135" i="16"/>
  <c r="R134" i="16"/>
  <c r="P134" i="16"/>
  <c r="A134" i="16"/>
  <c r="R133" i="16"/>
  <c r="P133" i="16"/>
  <c r="A133" i="16"/>
  <c r="R132" i="16"/>
  <c r="P132" i="16"/>
  <c r="A132" i="16"/>
  <c r="R131" i="16"/>
  <c r="P131" i="16"/>
  <c r="A131" i="16"/>
  <c r="R130" i="16"/>
  <c r="P130" i="16"/>
  <c r="A130" i="16"/>
  <c r="R129" i="16"/>
  <c r="P129" i="16"/>
  <c r="A129" i="16"/>
  <c r="R128" i="16"/>
  <c r="P128" i="16"/>
  <c r="A128" i="16"/>
  <c r="R127" i="16"/>
  <c r="P127" i="16"/>
  <c r="A127" i="16"/>
  <c r="R126" i="16"/>
  <c r="P126" i="16"/>
  <c r="A126" i="16"/>
  <c r="R125" i="16"/>
  <c r="P125" i="16"/>
  <c r="A125" i="16"/>
  <c r="R124" i="16"/>
  <c r="P124" i="16"/>
  <c r="A124" i="16"/>
  <c r="R123" i="16"/>
  <c r="P123" i="16"/>
  <c r="A123" i="16"/>
  <c r="R122" i="16"/>
  <c r="P122" i="16"/>
  <c r="A122" i="16"/>
  <c r="R121" i="16"/>
  <c r="P121" i="16"/>
  <c r="A121" i="16"/>
  <c r="R120" i="16"/>
  <c r="P120" i="16"/>
  <c r="A120" i="16"/>
  <c r="R119" i="16"/>
  <c r="P119" i="16"/>
  <c r="A119" i="16"/>
  <c r="R118" i="16"/>
  <c r="P118" i="16"/>
  <c r="A118" i="16"/>
  <c r="R117" i="16"/>
  <c r="P117" i="16"/>
  <c r="A117" i="16"/>
  <c r="R116" i="16"/>
  <c r="P116" i="16"/>
  <c r="A116" i="16"/>
  <c r="R115" i="16"/>
  <c r="P115" i="16"/>
  <c r="A115" i="16"/>
  <c r="R114" i="16"/>
  <c r="P114" i="16"/>
  <c r="A114" i="16"/>
  <c r="R113" i="16"/>
  <c r="P113" i="16"/>
  <c r="A113" i="16"/>
  <c r="R112" i="16"/>
  <c r="P112" i="16"/>
  <c r="A112" i="16"/>
  <c r="R111" i="16"/>
  <c r="P111" i="16"/>
  <c r="A111" i="16"/>
  <c r="R110" i="16"/>
  <c r="P110" i="16"/>
  <c r="A110" i="16"/>
  <c r="R109" i="16"/>
  <c r="P109" i="16"/>
  <c r="A109" i="16"/>
  <c r="R108" i="16"/>
  <c r="P108" i="16"/>
  <c r="A108" i="16"/>
  <c r="R107" i="16"/>
  <c r="P107" i="16"/>
  <c r="A107" i="16"/>
  <c r="R106" i="16"/>
  <c r="P106" i="16"/>
  <c r="A106" i="16"/>
  <c r="R105" i="16"/>
  <c r="P105" i="16"/>
  <c r="A105" i="16"/>
  <c r="R104" i="16"/>
  <c r="P104" i="16"/>
  <c r="A104" i="16"/>
  <c r="R103" i="16"/>
  <c r="P103" i="16"/>
  <c r="A103" i="16"/>
  <c r="R102" i="16"/>
  <c r="P102" i="16"/>
  <c r="A102" i="16"/>
  <c r="R101" i="16"/>
  <c r="P101" i="16"/>
  <c r="A101" i="16"/>
  <c r="R100" i="16"/>
  <c r="P100" i="16"/>
  <c r="A100" i="16"/>
  <c r="R99" i="16"/>
  <c r="P99" i="16"/>
  <c r="A99" i="16"/>
  <c r="R98" i="16"/>
  <c r="P98" i="16"/>
  <c r="A98" i="16"/>
  <c r="R97" i="16"/>
  <c r="P97" i="16"/>
  <c r="A97" i="16"/>
  <c r="R96" i="16"/>
  <c r="P96" i="16"/>
  <c r="A96" i="16"/>
  <c r="R95" i="16"/>
  <c r="P95" i="16"/>
  <c r="A95" i="16"/>
  <c r="R94" i="16"/>
  <c r="P94" i="16"/>
  <c r="A94" i="16"/>
  <c r="R93" i="16"/>
  <c r="P93" i="16"/>
  <c r="A93" i="16"/>
  <c r="R92" i="16"/>
  <c r="P92" i="16"/>
  <c r="A92" i="16"/>
  <c r="R91" i="16"/>
  <c r="P91" i="16"/>
  <c r="A91" i="16"/>
  <c r="R90" i="16"/>
  <c r="P90" i="16"/>
  <c r="A90" i="16"/>
  <c r="R89" i="16"/>
  <c r="P89" i="16"/>
  <c r="A89" i="16"/>
  <c r="R88" i="16"/>
  <c r="P88" i="16"/>
  <c r="A88" i="16"/>
  <c r="R87" i="16"/>
  <c r="P87" i="16"/>
  <c r="A87" i="16"/>
  <c r="R86" i="16"/>
  <c r="P86" i="16"/>
  <c r="A86" i="16"/>
  <c r="R85" i="16"/>
  <c r="P85" i="16"/>
  <c r="A85" i="16"/>
  <c r="R84" i="16"/>
  <c r="P84" i="16"/>
  <c r="A84" i="16"/>
  <c r="R83" i="16"/>
  <c r="P83" i="16"/>
  <c r="A83" i="16"/>
  <c r="R82" i="16"/>
  <c r="P82" i="16"/>
  <c r="A82" i="16"/>
  <c r="R81" i="16"/>
  <c r="P81" i="16"/>
  <c r="A81" i="16"/>
  <c r="R80" i="16"/>
  <c r="P80" i="16"/>
  <c r="A80" i="16"/>
  <c r="R79" i="16"/>
  <c r="P79" i="16"/>
  <c r="A79" i="16"/>
  <c r="R78" i="16"/>
  <c r="P78" i="16"/>
  <c r="A78" i="16"/>
  <c r="R77" i="16"/>
  <c r="P77" i="16"/>
  <c r="A77" i="16"/>
  <c r="R76" i="16"/>
  <c r="P76" i="16"/>
  <c r="A76" i="16"/>
  <c r="R75" i="16"/>
  <c r="P75" i="16"/>
  <c r="A75" i="16"/>
  <c r="R74" i="16"/>
  <c r="P74" i="16"/>
  <c r="A74" i="16"/>
  <c r="R73" i="16"/>
  <c r="P73" i="16"/>
  <c r="A73" i="16"/>
  <c r="R72" i="16"/>
  <c r="P72" i="16"/>
  <c r="A72" i="16"/>
  <c r="R71" i="16"/>
  <c r="P71" i="16"/>
  <c r="A71" i="16"/>
  <c r="R70" i="16"/>
  <c r="P70" i="16"/>
  <c r="A70" i="16"/>
  <c r="R69" i="16"/>
  <c r="P69" i="16"/>
  <c r="A69" i="16"/>
  <c r="R68" i="16"/>
  <c r="P68" i="16"/>
  <c r="A68" i="16"/>
  <c r="R67" i="16"/>
  <c r="P67" i="16"/>
  <c r="A67" i="16"/>
  <c r="R66" i="16"/>
  <c r="P66" i="16"/>
  <c r="A66" i="16"/>
  <c r="R65" i="16"/>
  <c r="P65" i="16"/>
  <c r="A65" i="16"/>
  <c r="R64" i="16"/>
  <c r="P64" i="16"/>
  <c r="A64" i="16"/>
  <c r="R63" i="16"/>
  <c r="P63" i="16"/>
  <c r="A63" i="16"/>
  <c r="R62" i="16"/>
  <c r="P62" i="16"/>
  <c r="A62" i="16"/>
  <c r="R61" i="16"/>
  <c r="P61" i="16"/>
  <c r="A61" i="16"/>
  <c r="R60" i="16"/>
  <c r="P60" i="16"/>
  <c r="A60" i="16"/>
  <c r="R59" i="16"/>
  <c r="P59" i="16"/>
  <c r="A59" i="16"/>
  <c r="R58" i="16"/>
  <c r="P58" i="16"/>
  <c r="A58" i="16"/>
  <c r="R57" i="16"/>
  <c r="P57" i="16"/>
  <c r="A57" i="16"/>
  <c r="R56" i="16"/>
  <c r="P56" i="16"/>
  <c r="A56" i="16"/>
  <c r="R55" i="16"/>
  <c r="P55" i="16"/>
  <c r="A55" i="16"/>
  <c r="R54" i="16"/>
  <c r="P54" i="16"/>
  <c r="A54" i="16"/>
  <c r="R53" i="16"/>
  <c r="P53" i="16"/>
  <c r="A53" i="16"/>
  <c r="R52" i="16"/>
  <c r="P52" i="16"/>
  <c r="A52" i="16"/>
  <c r="R51" i="16"/>
  <c r="P51" i="16"/>
  <c r="A51" i="16"/>
  <c r="R50" i="16"/>
  <c r="P50" i="16"/>
  <c r="A50" i="16"/>
  <c r="R49" i="16"/>
  <c r="P49" i="16"/>
  <c r="A49" i="16"/>
  <c r="R48" i="16"/>
  <c r="P48" i="16"/>
  <c r="A48" i="16"/>
  <c r="R47" i="16"/>
  <c r="P47" i="16"/>
  <c r="A47" i="16"/>
  <c r="R46" i="16"/>
  <c r="P46" i="16"/>
  <c r="A46" i="16"/>
  <c r="R45" i="16"/>
  <c r="P45" i="16"/>
  <c r="A45" i="16"/>
  <c r="R44" i="16"/>
  <c r="P44" i="16"/>
  <c r="A44" i="16"/>
  <c r="R43" i="16"/>
  <c r="P43" i="16"/>
  <c r="A43" i="16"/>
  <c r="R42" i="16"/>
  <c r="P42" i="16"/>
  <c r="A42" i="16"/>
  <c r="R41" i="16"/>
  <c r="P41" i="16"/>
  <c r="A41" i="16"/>
  <c r="R40" i="16"/>
  <c r="P40" i="16"/>
  <c r="A40" i="16"/>
  <c r="R39" i="16"/>
  <c r="P39" i="16"/>
  <c r="A39" i="16"/>
  <c r="R38" i="16"/>
  <c r="P38" i="16"/>
  <c r="A38" i="16"/>
  <c r="R37" i="16"/>
  <c r="P37" i="16"/>
  <c r="A37" i="16"/>
  <c r="R36" i="16"/>
  <c r="P36" i="16"/>
  <c r="A36" i="16"/>
  <c r="R35" i="16"/>
  <c r="P35" i="16"/>
  <c r="A35" i="16"/>
  <c r="R34" i="16"/>
  <c r="P34" i="16"/>
  <c r="A34" i="16"/>
  <c r="R33" i="16"/>
  <c r="P33" i="16"/>
  <c r="A33" i="16"/>
  <c r="R32" i="16"/>
  <c r="P32" i="16"/>
  <c r="A32" i="16"/>
  <c r="R31" i="16"/>
  <c r="P31" i="16"/>
  <c r="A31" i="16"/>
  <c r="R30" i="16"/>
  <c r="P30" i="16"/>
  <c r="A30" i="16"/>
  <c r="R29" i="16"/>
  <c r="P29" i="16"/>
  <c r="A29" i="16"/>
  <c r="R28" i="16"/>
  <c r="P28" i="16"/>
  <c r="A28" i="16"/>
  <c r="R27" i="16"/>
  <c r="P27" i="16"/>
  <c r="A27" i="16"/>
  <c r="R26" i="16"/>
  <c r="P26" i="16"/>
  <c r="A26" i="16"/>
  <c r="R25" i="16"/>
  <c r="P25" i="16"/>
  <c r="A25" i="16"/>
  <c r="R24" i="16"/>
  <c r="P24" i="16"/>
  <c r="A24" i="16"/>
  <c r="R23" i="16"/>
  <c r="P23" i="16"/>
  <c r="A23" i="16"/>
  <c r="R22" i="16"/>
  <c r="P22" i="16"/>
  <c r="A22" i="16"/>
  <c r="R21" i="16"/>
  <c r="P21" i="16"/>
  <c r="A21" i="16"/>
  <c r="R20" i="16"/>
  <c r="P20" i="16"/>
  <c r="A20" i="16"/>
  <c r="R19" i="16"/>
  <c r="P19" i="16"/>
  <c r="A19" i="16"/>
  <c r="R18" i="16"/>
  <c r="P18" i="16"/>
  <c r="A18" i="16"/>
  <c r="R17" i="16"/>
  <c r="P17" i="16"/>
  <c r="A17" i="16"/>
  <c r="R16" i="16"/>
  <c r="P16" i="16"/>
  <c r="A16" i="16"/>
  <c r="R15" i="16"/>
  <c r="P15" i="16"/>
  <c r="A15" i="16"/>
  <c r="R14" i="16"/>
  <c r="P14" i="16"/>
  <c r="A14" i="16"/>
  <c r="R13" i="16"/>
  <c r="P13" i="16"/>
  <c r="A13" i="16"/>
  <c r="R12" i="16"/>
  <c r="P12" i="16"/>
  <c r="A12" i="16"/>
  <c r="R11" i="16"/>
  <c r="P11" i="16"/>
  <c r="A11" i="16"/>
  <c r="A10" i="16"/>
  <c r="B6" i="16"/>
  <c r="B5" i="16"/>
  <c r="W4" i="16"/>
  <c r="V4" i="16"/>
  <c r="U4" i="16"/>
  <c r="T4" i="16"/>
  <c r="R4" i="16"/>
  <c r="Q4" i="16"/>
  <c r="P4" i="16"/>
  <c r="O4" i="16"/>
  <c r="M4" i="16"/>
  <c r="L4" i="16"/>
  <c r="J4" i="16"/>
  <c r="I4" i="16"/>
  <c r="G4" i="16"/>
  <c r="F4" i="16"/>
  <c r="E4" i="16"/>
  <c r="D4" i="16"/>
  <c r="C4" i="16"/>
  <c r="P51" i="11"/>
  <c r="P50" i="11"/>
  <c r="P49" i="11"/>
  <c r="P48" i="11"/>
  <c r="P47" i="11"/>
  <c r="P46" i="11"/>
  <c r="P45" i="11"/>
  <c r="P44" i="11"/>
  <c r="P43" i="11"/>
  <c r="P4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G178" i="14" l="1"/>
  <c r="G177" i="14"/>
  <c r="G176" i="14"/>
  <c r="G175" i="14"/>
  <c r="G174" i="14"/>
  <c r="G173" i="14"/>
  <c r="G172" i="14"/>
  <c r="G171" i="14"/>
  <c r="G170" i="14"/>
  <c r="G169" i="14"/>
  <c r="G168" i="14"/>
  <c r="G167" i="14"/>
  <c r="G166" i="14"/>
  <c r="G165" i="14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65" i="15"/>
  <c r="G164" i="15"/>
  <c r="G163" i="15"/>
  <c r="G162" i="15"/>
  <c r="G161" i="15"/>
  <c r="G160" i="15"/>
  <c r="G159" i="15"/>
  <c r="G158" i="15"/>
  <c r="G157" i="15"/>
  <c r="G156" i="15"/>
  <c r="G155" i="15"/>
  <c r="G154" i="15"/>
  <c r="G153" i="15"/>
  <c r="G152" i="15"/>
  <c r="G165" i="12"/>
  <c r="G164" i="12"/>
  <c r="G163" i="12"/>
  <c r="G162" i="12"/>
  <c r="G161" i="12"/>
  <c r="G160" i="12"/>
  <c r="G159" i="12"/>
  <c r="G158" i="12"/>
  <c r="G157" i="12"/>
  <c r="G156" i="12"/>
  <c r="G155" i="12"/>
  <c r="G154" i="12"/>
  <c r="G153" i="12"/>
  <c r="G152" i="12"/>
  <c r="G180" i="11"/>
  <c r="G179" i="11"/>
  <c r="G178" i="11"/>
  <c r="G177" i="11"/>
  <c r="G176" i="11"/>
  <c r="G175" i="11"/>
  <c r="G174" i="11"/>
  <c r="G173" i="11"/>
  <c r="G172" i="11"/>
  <c r="G171" i="11"/>
  <c r="G170" i="11"/>
  <c r="G169" i="11"/>
  <c r="G168" i="11"/>
  <c r="G167" i="11"/>
  <c r="A2057" i="15" l="1"/>
  <c r="A2056" i="15"/>
  <c r="A2055" i="15"/>
  <c r="A2054" i="15"/>
  <c r="A2053" i="15"/>
  <c r="A2052" i="15"/>
  <c r="A2051" i="15"/>
  <c r="A2050" i="15"/>
  <c r="A2049" i="15"/>
  <c r="A2048" i="15"/>
  <c r="A2047" i="15"/>
  <c r="A2046" i="15"/>
  <c r="A2045" i="15"/>
  <c r="A2044" i="15"/>
  <c r="A2043" i="15"/>
  <c r="A2042" i="15"/>
  <c r="R2041" i="15"/>
  <c r="P2041" i="15"/>
  <c r="A2041" i="15"/>
  <c r="R2040" i="15"/>
  <c r="P2040" i="15"/>
  <c r="A2040" i="15"/>
  <c r="R2039" i="15"/>
  <c r="P2039" i="15"/>
  <c r="A2039" i="15"/>
  <c r="R2038" i="15"/>
  <c r="P2038" i="15"/>
  <c r="A2038" i="15"/>
  <c r="R2037" i="15"/>
  <c r="P2037" i="15"/>
  <c r="A2037" i="15"/>
  <c r="R2036" i="15"/>
  <c r="P2036" i="15"/>
  <c r="A2036" i="15"/>
  <c r="R2035" i="15"/>
  <c r="P2035" i="15"/>
  <c r="A2035" i="15"/>
  <c r="R2034" i="15"/>
  <c r="P2034" i="15"/>
  <c r="A2034" i="15"/>
  <c r="R2033" i="15"/>
  <c r="P2033" i="15"/>
  <c r="A2033" i="15"/>
  <c r="R2032" i="15"/>
  <c r="P2032" i="15"/>
  <c r="A2032" i="15"/>
  <c r="R2031" i="15"/>
  <c r="P2031" i="15"/>
  <c r="A2031" i="15"/>
  <c r="R2030" i="15"/>
  <c r="P2030" i="15"/>
  <c r="A2030" i="15"/>
  <c r="R2029" i="15"/>
  <c r="P2029" i="15"/>
  <c r="A2029" i="15"/>
  <c r="R2028" i="15"/>
  <c r="P2028" i="15"/>
  <c r="A2028" i="15"/>
  <c r="R2027" i="15"/>
  <c r="P2027" i="15"/>
  <c r="A2027" i="15"/>
  <c r="R2026" i="15"/>
  <c r="P2026" i="15"/>
  <c r="A2026" i="15"/>
  <c r="R2025" i="15"/>
  <c r="P2025" i="15"/>
  <c r="A2025" i="15"/>
  <c r="R2024" i="15"/>
  <c r="P2024" i="15"/>
  <c r="A2024" i="15"/>
  <c r="R2023" i="15"/>
  <c r="P2023" i="15"/>
  <c r="A2023" i="15"/>
  <c r="R2022" i="15"/>
  <c r="P2022" i="15"/>
  <c r="A2022" i="15"/>
  <c r="R2021" i="15"/>
  <c r="P2021" i="15"/>
  <c r="A2021" i="15"/>
  <c r="R2020" i="15"/>
  <c r="P2020" i="15"/>
  <c r="A2020" i="15"/>
  <c r="R2019" i="15"/>
  <c r="P2019" i="15"/>
  <c r="A2019" i="15"/>
  <c r="R2018" i="15"/>
  <c r="P2018" i="15"/>
  <c r="A2018" i="15"/>
  <c r="R2017" i="15"/>
  <c r="P2017" i="15"/>
  <c r="A2017" i="15"/>
  <c r="R2016" i="15"/>
  <c r="P2016" i="15"/>
  <c r="A2016" i="15"/>
  <c r="R2015" i="15"/>
  <c r="P2015" i="15"/>
  <c r="A2015" i="15"/>
  <c r="R2014" i="15"/>
  <c r="P2014" i="15"/>
  <c r="A2014" i="15"/>
  <c r="R2013" i="15"/>
  <c r="P2013" i="15"/>
  <c r="A2013" i="15"/>
  <c r="R2012" i="15"/>
  <c r="P2012" i="15"/>
  <c r="A2012" i="15"/>
  <c r="R2011" i="15"/>
  <c r="P2011" i="15"/>
  <c r="A2011" i="15"/>
  <c r="R2010" i="15"/>
  <c r="P2010" i="15"/>
  <c r="A2010" i="15"/>
  <c r="R2009" i="15"/>
  <c r="P2009" i="15"/>
  <c r="A2009" i="15"/>
  <c r="R2008" i="15"/>
  <c r="P2008" i="15"/>
  <c r="A2008" i="15"/>
  <c r="R2007" i="15"/>
  <c r="P2007" i="15"/>
  <c r="A2007" i="15"/>
  <c r="R2006" i="15"/>
  <c r="P2006" i="15"/>
  <c r="A2006" i="15"/>
  <c r="R2005" i="15"/>
  <c r="P2005" i="15"/>
  <c r="A2005" i="15"/>
  <c r="R2004" i="15"/>
  <c r="P2004" i="15"/>
  <c r="A2004" i="15"/>
  <c r="R2003" i="15"/>
  <c r="P2003" i="15"/>
  <c r="A2003" i="15"/>
  <c r="R2002" i="15"/>
  <c r="P2002" i="15"/>
  <c r="A2002" i="15"/>
  <c r="R2001" i="15"/>
  <c r="P2001" i="15"/>
  <c r="A2001" i="15"/>
  <c r="R2000" i="15"/>
  <c r="P2000" i="15"/>
  <c r="A2000" i="15"/>
  <c r="R1999" i="15"/>
  <c r="P1999" i="15"/>
  <c r="A1999" i="15"/>
  <c r="R1998" i="15"/>
  <c r="P1998" i="15"/>
  <c r="A1998" i="15"/>
  <c r="R1997" i="15"/>
  <c r="P1997" i="15"/>
  <c r="A1997" i="15"/>
  <c r="R1996" i="15"/>
  <c r="P1996" i="15"/>
  <c r="A1996" i="15"/>
  <c r="R1995" i="15"/>
  <c r="P1995" i="15"/>
  <c r="A1995" i="15"/>
  <c r="R1994" i="15"/>
  <c r="P1994" i="15"/>
  <c r="A1994" i="15"/>
  <c r="R1993" i="15"/>
  <c r="P1993" i="15"/>
  <c r="A1993" i="15"/>
  <c r="R1992" i="15"/>
  <c r="P1992" i="15"/>
  <c r="A1992" i="15"/>
  <c r="R1991" i="15"/>
  <c r="P1991" i="15"/>
  <c r="A1991" i="15"/>
  <c r="R1990" i="15"/>
  <c r="P1990" i="15"/>
  <c r="A1990" i="15"/>
  <c r="R1989" i="15"/>
  <c r="P1989" i="15"/>
  <c r="A1989" i="15"/>
  <c r="R1988" i="15"/>
  <c r="P1988" i="15"/>
  <c r="A1988" i="15"/>
  <c r="R1987" i="15"/>
  <c r="P1987" i="15"/>
  <c r="A1987" i="15"/>
  <c r="R1986" i="15"/>
  <c r="P1986" i="15"/>
  <c r="A1986" i="15"/>
  <c r="R1985" i="15"/>
  <c r="P1985" i="15"/>
  <c r="A1985" i="15"/>
  <c r="R1984" i="15"/>
  <c r="P1984" i="15"/>
  <c r="A1984" i="15"/>
  <c r="R1983" i="15"/>
  <c r="P1983" i="15"/>
  <c r="A1983" i="15"/>
  <c r="R1982" i="15"/>
  <c r="P1982" i="15"/>
  <c r="A1982" i="15"/>
  <c r="R1981" i="15"/>
  <c r="P1981" i="15"/>
  <c r="A1981" i="15"/>
  <c r="R1980" i="15"/>
  <c r="P1980" i="15"/>
  <c r="A1980" i="15"/>
  <c r="R1979" i="15"/>
  <c r="P1979" i="15"/>
  <c r="A1979" i="15"/>
  <c r="R1978" i="15"/>
  <c r="P1978" i="15"/>
  <c r="A1978" i="15"/>
  <c r="R1977" i="15"/>
  <c r="P1977" i="15"/>
  <c r="A1977" i="15"/>
  <c r="R1976" i="15"/>
  <c r="P1976" i="15"/>
  <c r="A1976" i="15"/>
  <c r="R1975" i="15"/>
  <c r="P1975" i="15"/>
  <c r="A1975" i="15"/>
  <c r="R1974" i="15"/>
  <c r="P1974" i="15"/>
  <c r="A1974" i="15"/>
  <c r="R1973" i="15"/>
  <c r="P1973" i="15"/>
  <c r="A1973" i="15"/>
  <c r="R1972" i="15"/>
  <c r="P1972" i="15"/>
  <c r="A1972" i="15"/>
  <c r="R1971" i="15"/>
  <c r="P1971" i="15"/>
  <c r="A1971" i="15"/>
  <c r="R1970" i="15"/>
  <c r="P1970" i="15"/>
  <c r="A1970" i="15"/>
  <c r="R1969" i="15"/>
  <c r="P1969" i="15"/>
  <c r="A1969" i="15"/>
  <c r="R1968" i="15"/>
  <c r="P1968" i="15"/>
  <c r="A1968" i="15"/>
  <c r="R1967" i="15"/>
  <c r="P1967" i="15"/>
  <c r="A1967" i="15"/>
  <c r="R1966" i="15"/>
  <c r="P1966" i="15"/>
  <c r="A1966" i="15"/>
  <c r="R1965" i="15"/>
  <c r="P1965" i="15"/>
  <c r="A1965" i="15"/>
  <c r="R1964" i="15"/>
  <c r="P1964" i="15"/>
  <c r="A1964" i="15"/>
  <c r="R1963" i="15"/>
  <c r="P1963" i="15"/>
  <c r="A1963" i="15"/>
  <c r="R1962" i="15"/>
  <c r="P1962" i="15"/>
  <c r="A1962" i="15"/>
  <c r="R1961" i="15"/>
  <c r="P1961" i="15"/>
  <c r="A1961" i="15"/>
  <c r="R1960" i="15"/>
  <c r="P1960" i="15"/>
  <c r="A1960" i="15"/>
  <c r="R1959" i="15"/>
  <c r="P1959" i="15"/>
  <c r="A1959" i="15"/>
  <c r="R1958" i="15"/>
  <c r="P1958" i="15"/>
  <c r="A1958" i="15"/>
  <c r="R1957" i="15"/>
  <c r="P1957" i="15"/>
  <c r="A1957" i="15"/>
  <c r="R1956" i="15"/>
  <c r="P1956" i="15"/>
  <c r="A1956" i="15"/>
  <c r="R1955" i="15"/>
  <c r="P1955" i="15"/>
  <c r="A1955" i="15"/>
  <c r="R1954" i="15"/>
  <c r="P1954" i="15"/>
  <c r="A1954" i="15"/>
  <c r="R1953" i="15"/>
  <c r="P1953" i="15"/>
  <c r="A1953" i="15"/>
  <c r="R1952" i="15"/>
  <c r="P1952" i="15"/>
  <c r="A1952" i="15"/>
  <c r="R1951" i="15"/>
  <c r="P1951" i="15"/>
  <c r="A1951" i="15"/>
  <c r="R1950" i="15"/>
  <c r="P1950" i="15"/>
  <c r="A1950" i="15"/>
  <c r="R1949" i="15"/>
  <c r="P1949" i="15"/>
  <c r="A1949" i="15"/>
  <c r="R1948" i="15"/>
  <c r="P1948" i="15"/>
  <c r="A1948" i="15"/>
  <c r="R1947" i="15"/>
  <c r="P1947" i="15"/>
  <c r="A1947" i="15"/>
  <c r="R1946" i="15"/>
  <c r="P1946" i="15"/>
  <c r="A1946" i="15"/>
  <c r="R1945" i="15"/>
  <c r="P1945" i="15"/>
  <c r="A1945" i="15"/>
  <c r="R1944" i="15"/>
  <c r="P1944" i="15"/>
  <c r="A1944" i="15"/>
  <c r="R1943" i="15"/>
  <c r="P1943" i="15"/>
  <c r="A1943" i="15"/>
  <c r="R1942" i="15"/>
  <c r="P1942" i="15"/>
  <c r="A1942" i="15"/>
  <c r="R1941" i="15"/>
  <c r="P1941" i="15"/>
  <c r="A1941" i="15"/>
  <c r="R1940" i="15"/>
  <c r="P1940" i="15"/>
  <c r="A1940" i="15"/>
  <c r="R1939" i="15"/>
  <c r="P1939" i="15"/>
  <c r="A1939" i="15"/>
  <c r="R1938" i="15"/>
  <c r="P1938" i="15"/>
  <c r="A1938" i="15"/>
  <c r="R1937" i="15"/>
  <c r="P1937" i="15"/>
  <c r="A1937" i="15"/>
  <c r="R1936" i="15"/>
  <c r="P1936" i="15"/>
  <c r="A1936" i="15"/>
  <c r="R1935" i="15"/>
  <c r="P1935" i="15"/>
  <c r="A1935" i="15"/>
  <c r="R1934" i="15"/>
  <c r="P1934" i="15"/>
  <c r="A1934" i="15"/>
  <c r="R1933" i="15"/>
  <c r="P1933" i="15"/>
  <c r="A1933" i="15"/>
  <c r="R1932" i="15"/>
  <c r="P1932" i="15"/>
  <c r="A1932" i="15"/>
  <c r="R1931" i="15"/>
  <c r="P1931" i="15"/>
  <c r="A1931" i="15"/>
  <c r="R1930" i="15"/>
  <c r="P1930" i="15"/>
  <c r="A1930" i="15"/>
  <c r="R1929" i="15"/>
  <c r="P1929" i="15"/>
  <c r="A1929" i="15"/>
  <c r="R1928" i="15"/>
  <c r="P1928" i="15"/>
  <c r="A1928" i="15"/>
  <c r="R1927" i="15"/>
  <c r="P1927" i="15"/>
  <c r="A1927" i="15"/>
  <c r="R1926" i="15"/>
  <c r="P1926" i="15"/>
  <c r="A1926" i="15"/>
  <c r="R1925" i="15"/>
  <c r="P1925" i="15"/>
  <c r="A1925" i="15"/>
  <c r="R1924" i="15"/>
  <c r="P1924" i="15"/>
  <c r="A1924" i="15"/>
  <c r="R1923" i="15"/>
  <c r="P1923" i="15"/>
  <c r="A1923" i="15"/>
  <c r="R1922" i="15"/>
  <c r="P1922" i="15"/>
  <c r="A1922" i="15"/>
  <c r="R1921" i="15"/>
  <c r="P1921" i="15"/>
  <c r="A1921" i="15"/>
  <c r="R1920" i="15"/>
  <c r="P1920" i="15"/>
  <c r="A1920" i="15"/>
  <c r="R1919" i="15"/>
  <c r="P1919" i="15"/>
  <c r="A1919" i="15"/>
  <c r="R1918" i="15"/>
  <c r="P1918" i="15"/>
  <c r="A1918" i="15"/>
  <c r="R1917" i="15"/>
  <c r="P1917" i="15"/>
  <c r="A1917" i="15"/>
  <c r="R1916" i="15"/>
  <c r="P1916" i="15"/>
  <c r="A1916" i="15"/>
  <c r="R1915" i="15"/>
  <c r="P1915" i="15"/>
  <c r="A1915" i="15"/>
  <c r="R1914" i="15"/>
  <c r="P1914" i="15"/>
  <c r="A1914" i="15"/>
  <c r="R1913" i="15"/>
  <c r="P1913" i="15"/>
  <c r="A1913" i="15"/>
  <c r="R1912" i="15"/>
  <c r="P1912" i="15"/>
  <c r="A1912" i="15"/>
  <c r="R1911" i="15"/>
  <c r="P1911" i="15"/>
  <c r="A1911" i="15"/>
  <c r="R1910" i="15"/>
  <c r="P1910" i="15"/>
  <c r="A1910" i="15"/>
  <c r="R1909" i="15"/>
  <c r="P1909" i="15"/>
  <c r="A1909" i="15"/>
  <c r="R1908" i="15"/>
  <c r="P1908" i="15"/>
  <c r="A1908" i="15"/>
  <c r="R1907" i="15"/>
  <c r="P1907" i="15"/>
  <c r="A1907" i="15"/>
  <c r="R1906" i="15"/>
  <c r="P1906" i="15"/>
  <c r="A1906" i="15"/>
  <c r="R1905" i="15"/>
  <c r="P1905" i="15"/>
  <c r="A1905" i="15"/>
  <c r="R1904" i="15"/>
  <c r="P1904" i="15"/>
  <c r="A1904" i="15"/>
  <c r="R1903" i="15"/>
  <c r="P1903" i="15"/>
  <c r="A1903" i="15"/>
  <c r="R1902" i="15"/>
  <c r="P1902" i="15"/>
  <c r="A1902" i="15"/>
  <c r="R1901" i="15"/>
  <c r="P1901" i="15"/>
  <c r="A1901" i="15"/>
  <c r="R1900" i="15"/>
  <c r="P1900" i="15"/>
  <c r="A1900" i="15"/>
  <c r="R1899" i="15"/>
  <c r="P1899" i="15"/>
  <c r="A1899" i="15"/>
  <c r="R1898" i="15"/>
  <c r="P1898" i="15"/>
  <c r="A1898" i="15"/>
  <c r="R1897" i="15"/>
  <c r="P1897" i="15"/>
  <c r="A1897" i="15"/>
  <c r="R1896" i="15"/>
  <c r="P1896" i="15"/>
  <c r="A1896" i="15"/>
  <c r="R1895" i="15"/>
  <c r="P1895" i="15"/>
  <c r="A1895" i="15"/>
  <c r="R1894" i="15"/>
  <c r="P1894" i="15"/>
  <c r="A1894" i="15"/>
  <c r="R1893" i="15"/>
  <c r="P1893" i="15"/>
  <c r="A1893" i="15"/>
  <c r="R1892" i="15"/>
  <c r="P1892" i="15"/>
  <c r="A1892" i="15"/>
  <c r="R1891" i="15"/>
  <c r="P1891" i="15"/>
  <c r="A1891" i="15"/>
  <c r="R1890" i="15"/>
  <c r="P1890" i="15"/>
  <c r="A1890" i="15"/>
  <c r="R1889" i="15"/>
  <c r="P1889" i="15"/>
  <c r="A1889" i="15"/>
  <c r="R1888" i="15"/>
  <c r="P1888" i="15"/>
  <c r="A1888" i="15"/>
  <c r="R1887" i="15"/>
  <c r="P1887" i="15"/>
  <c r="A1887" i="15"/>
  <c r="R1886" i="15"/>
  <c r="P1886" i="15"/>
  <c r="A1886" i="15"/>
  <c r="R1885" i="15"/>
  <c r="P1885" i="15"/>
  <c r="A1885" i="15"/>
  <c r="R1884" i="15"/>
  <c r="P1884" i="15"/>
  <c r="A1884" i="15"/>
  <c r="R1883" i="15"/>
  <c r="P1883" i="15"/>
  <c r="A1883" i="15"/>
  <c r="R1882" i="15"/>
  <c r="P1882" i="15"/>
  <c r="A1882" i="15"/>
  <c r="R1881" i="15"/>
  <c r="P1881" i="15"/>
  <c r="A1881" i="15"/>
  <c r="R1880" i="15"/>
  <c r="P1880" i="15"/>
  <c r="A1880" i="15"/>
  <c r="R1879" i="15"/>
  <c r="P1879" i="15"/>
  <c r="A1879" i="15"/>
  <c r="R1878" i="15"/>
  <c r="P1878" i="15"/>
  <c r="A1878" i="15"/>
  <c r="R1877" i="15"/>
  <c r="P1877" i="15"/>
  <c r="A1877" i="15"/>
  <c r="R1876" i="15"/>
  <c r="P1876" i="15"/>
  <c r="A1876" i="15"/>
  <c r="R1875" i="15"/>
  <c r="P1875" i="15"/>
  <c r="A1875" i="15"/>
  <c r="R1874" i="15"/>
  <c r="P1874" i="15"/>
  <c r="A1874" i="15"/>
  <c r="R1873" i="15"/>
  <c r="P1873" i="15"/>
  <c r="A1873" i="15"/>
  <c r="R1872" i="15"/>
  <c r="P1872" i="15"/>
  <c r="A1872" i="15"/>
  <c r="R1871" i="15"/>
  <c r="P1871" i="15"/>
  <c r="A1871" i="15"/>
  <c r="R1870" i="15"/>
  <c r="P1870" i="15"/>
  <c r="A1870" i="15"/>
  <c r="R1869" i="15"/>
  <c r="P1869" i="15"/>
  <c r="A1869" i="15"/>
  <c r="R1868" i="15"/>
  <c r="P1868" i="15"/>
  <c r="A1868" i="15"/>
  <c r="R1867" i="15"/>
  <c r="P1867" i="15"/>
  <c r="A1867" i="15"/>
  <c r="R1866" i="15"/>
  <c r="P1866" i="15"/>
  <c r="A1866" i="15"/>
  <c r="R1865" i="15"/>
  <c r="P1865" i="15"/>
  <c r="A1865" i="15"/>
  <c r="R1864" i="15"/>
  <c r="P1864" i="15"/>
  <c r="A1864" i="15"/>
  <c r="R1863" i="15"/>
  <c r="P1863" i="15"/>
  <c r="A1863" i="15"/>
  <c r="R1862" i="15"/>
  <c r="P1862" i="15"/>
  <c r="A1862" i="15"/>
  <c r="R1861" i="15"/>
  <c r="P1861" i="15"/>
  <c r="A1861" i="15"/>
  <c r="R1860" i="15"/>
  <c r="P1860" i="15"/>
  <c r="A1860" i="15"/>
  <c r="R1859" i="15"/>
  <c r="P1859" i="15"/>
  <c r="A1859" i="15"/>
  <c r="R1858" i="15"/>
  <c r="P1858" i="15"/>
  <c r="A1858" i="15"/>
  <c r="R1857" i="15"/>
  <c r="P1857" i="15"/>
  <c r="A1857" i="15"/>
  <c r="R1856" i="15"/>
  <c r="P1856" i="15"/>
  <c r="A1856" i="15"/>
  <c r="R1855" i="15"/>
  <c r="P1855" i="15"/>
  <c r="A1855" i="15"/>
  <c r="R1854" i="15"/>
  <c r="P1854" i="15"/>
  <c r="A1854" i="15"/>
  <c r="R1853" i="15"/>
  <c r="P1853" i="15"/>
  <c r="A1853" i="15"/>
  <c r="R1852" i="15"/>
  <c r="P1852" i="15"/>
  <c r="A1852" i="15"/>
  <c r="R1851" i="15"/>
  <c r="P1851" i="15"/>
  <c r="A1851" i="15"/>
  <c r="R1850" i="15"/>
  <c r="P1850" i="15"/>
  <c r="A1850" i="15"/>
  <c r="R1849" i="15"/>
  <c r="P1849" i="15"/>
  <c r="A1849" i="15"/>
  <c r="R1848" i="15"/>
  <c r="P1848" i="15"/>
  <c r="A1848" i="15"/>
  <c r="R1847" i="15"/>
  <c r="P1847" i="15"/>
  <c r="A1847" i="15"/>
  <c r="R1846" i="15"/>
  <c r="P1846" i="15"/>
  <c r="A1846" i="15"/>
  <c r="R1845" i="15"/>
  <c r="P1845" i="15"/>
  <c r="A1845" i="15"/>
  <c r="R1844" i="15"/>
  <c r="P1844" i="15"/>
  <c r="A1844" i="15"/>
  <c r="R1843" i="15"/>
  <c r="P1843" i="15"/>
  <c r="A1843" i="15"/>
  <c r="R1842" i="15"/>
  <c r="P1842" i="15"/>
  <c r="A1842" i="15"/>
  <c r="R1841" i="15"/>
  <c r="P1841" i="15"/>
  <c r="A1841" i="15"/>
  <c r="R1840" i="15"/>
  <c r="P1840" i="15"/>
  <c r="A1840" i="15"/>
  <c r="R1839" i="15"/>
  <c r="P1839" i="15"/>
  <c r="A1839" i="15"/>
  <c r="R1838" i="15"/>
  <c r="P1838" i="15"/>
  <c r="A1838" i="15"/>
  <c r="R1837" i="15"/>
  <c r="P1837" i="15"/>
  <c r="A1837" i="15"/>
  <c r="R1836" i="15"/>
  <c r="P1836" i="15"/>
  <c r="A1836" i="15"/>
  <c r="R1835" i="15"/>
  <c r="P1835" i="15"/>
  <c r="A1835" i="15"/>
  <c r="R1834" i="15"/>
  <c r="P1834" i="15"/>
  <c r="A1834" i="15"/>
  <c r="R1833" i="15"/>
  <c r="P1833" i="15"/>
  <c r="A1833" i="15"/>
  <c r="R1832" i="15"/>
  <c r="P1832" i="15"/>
  <c r="A1832" i="15"/>
  <c r="R1831" i="15"/>
  <c r="P1831" i="15"/>
  <c r="A1831" i="15"/>
  <c r="R1830" i="15"/>
  <c r="P1830" i="15"/>
  <c r="A1830" i="15"/>
  <c r="R1829" i="15"/>
  <c r="P1829" i="15"/>
  <c r="A1829" i="15"/>
  <c r="R1828" i="15"/>
  <c r="P1828" i="15"/>
  <c r="A1828" i="15"/>
  <c r="R1827" i="15"/>
  <c r="P1827" i="15"/>
  <c r="A1827" i="15"/>
  <c r="R1826" i="15"/>
  <c r="P1826" i="15"/>
  <c r="A1826" i="15"/>
  <c r="R1825" i="15"/>
  <c r="P1825" i="15"/>
  <c r="A1825" i="15"/>
  <c r="R1824" i="15"/>
  <c r="P1824" i="15"/>
  <c r="A1824" i="15"/>
  <c r="R1823" i="15"/>
  <c r="P1823" i="15"/>
  <c r="A1823" i="15"/>
  <c r="R1822" i="15"/>
  <c r="P1822" i="15"/>
  <c r="A1822" i="15"/>
  <c r="R1821" i="15"/>
  <c r="P1821" i="15"/>
  <c r="A1821" i="15"/>
  <c r="R1820" i="15"/>
  <c r="P1820" i="15"/>
  <c r="A1820" i="15"/>
  <c r="R1819" i="15"/>
  <c r="P1819" i="15"/>
  <c r="A1819" i="15"/>
  <c r="R1818" i="15"/>
  <c r="P1818" i="15"/>
  <c r="A1818" i="15"/>
  <c r="R1817" i="15"/>
  <c r="P1817" i="15"/>
  <c r="A1817" i="15"/>
  <c r="R1816" i="15"/>
  <c r="P1816" i="15"/>
  <c r="A1816" i="15"/>
  <c r="R1815" i="15"/>
  <c r="P1815" i="15"/>
  <c r="A1815" i="15"/>
  <c r="R1814" i="15"/>
  <c r="P1814" i="15"/>
  <c r="A1814" i="15"/>
  <c r="R1813" i="15"/>
  <c r="P1813" i="15"/>
  <c r="A1813" i="15"/>
  <c r="R1812" i="15"/>
  <c r="P1812" i="15"/>
  <c r="A1812" i="15"/>
  <c r="R1811" i="15"/>
  <c r="P1811" i="15"/>
  <c r="A1811" i="15"/>
  <c r="R1810" i="15"/>
  <c r="P1810" i="15"/>
  <c r="A1810" i="15"/>
  <c r="R1809" i="15"/>
  <c r="P1809" i="15"/>
  <c r="A1809" i="15"/>
  <c r="R1808" i="15"/>
  <c r="P1808" i="15"/>
  <c r="A1808" i="15"/>
  <c r="R1807" i="15"/>
  <c r="P1807" i="15"/>
  <c r="A1807" i="15"/>
  <c r="R1806" i="15"/>
  <c r="P1806" i="15"/>
  <c r="A1806" i="15"/>
  <c r="R1805" i="15"/>
  <c r="P1805" i="15"/>
  <c r="A1805" i="15"/>
  <c r="R1804" i="15"/>
  <c r="P1804" i="15"/>
  <c r="A1804" i="15"/>
  <c r="R1803" i="15"/>
  <c r="P1803" i="15"/>
  <c r="A1803" i="15"/>
  <c r="R1802" i="15"/>
  <c r="P1802" i="15"/>
  <c r="A1802" i="15"/>
  <c r="R1801" i="15"/>
  <c r="P1801" i="15"/>
  <c r="A1801" i="15"/>
  <c r="R1800" i="15"/>
  <c r="P1800" i="15"/>
  <c r="A1800" i="15"/>
  <c r="R1799" i="15"/>
  <c r="P1799" i="15"/>
  <c r="A1799" i="15"/>
  <c r="R1798" i="15"/>
  <c r="P1798" i="15"/>
  <c r="A1798" i="15"/>
  <c r="R1797" i="15"/>
  <c r="P1797" i="15"/>
  <c r="A1797" i="15"/>
  <c r="R1796" i="15"/>
  <c r="P1796" i="15"/>
  <c r="A1796" i="15"/>
  <c r="R1795" i="15"/>
  <c r="P1795" i="15"/>
  <c r="A1795" i="15"/>
  <c r="R1794" i="15"/>
  <c r="P1794" i="15"/>
  <c r="A1794" i="15"/>
  <c r="R1793" i="15"/>
  <c r="P1793" i="15"/>
  <c r="A1793" i="15"/>
  <c r="R1792" i="15"/>
  <c r="P1792" i="15"/>
  <c r="A1792" i="15"/>
  <c r="R1791" i="15"/>
  <c r="P1791" i="15"/>
  <c r="A1791" i="15"/>
  <c r="R1790" i="15"/>
  <c r="P1790" i="15"/>
  <c r="A1790" i="15"/>
  <c r="R1789" i="15"/>
  <c r="P1789" i="15"/>
  <c r="A1789" i="15"/>
  <c r="R1788" i="15"/>
  <c r="P1788" i="15"/>
  <c r="A1788" i="15"/>
  <c r="R1787" i="15"/>
  <c r="P1787" i="15"/>
  <c r="A1787" i="15"/>
  <c r="R1786" i="15"/>
  <c r="P1786" i="15"/>
  <c r="A1786" i="15"/>
  <c r="R1785" i="15"/>
  <c r="P1785" i="15"/>
  <c r="A1785" i="15"/>
  <c r="R1784" i="15"/>
  <c r="P1784" i="15"/>
  <c r="A1784" i="15"/>
  <c r="R1783" i="15"/>
  <c r="P1783" i="15"/>
  <c r="A1783" i="15"/>
  <c r="R1782" i="15"/>
  <c r="P1782" i="15"/>
  <c r="A1782" i="15"/>
  <c r="R1781" i="15"/>
  <c r="P1781" i="15"/>
  <c r="A1781" i="15"/>
  <c r="R1780" i="15"/>
  <c r="P1780" i="15"/>
  <c r="A1780" i="15"/>
  <c r="R1779" i="15"/>
  <c r="P1779" i="15"/>
  <c r="A1779" i="15"/>
  <c r="R1778" i="15"/>
  <c r="P1778" i="15"/>
  <c r="A1778" i="15"/>
  <c r="R1777" i="15"/>
  <c r="P1777" i="15"/>
  <c r="A1777" i="15"/>
  <c r="R1776" i="15"/>
  <c r="P1776" i="15"/>
  <c r="A1776" i="15"/>
  <c r="R1775" i="15"/>
  <c r="P1775" i="15"/>
  <c r="A1775" i="15"/>
  <c r="R1774" i="15"/>
  <c r="P1774" i="15"/>
  <c r="A1774" i="15"/>
  <c r="R1773" i="15"/>
  <c r="P1773" i="15"/>
  <c r="A1773" i="15"/>
  <c r="R1772" i="15"/>
  <c r="P1772" i="15"/>
  <c r="A1772" i="15"/>
  <c r="R1771" i="15"/>
  <c r="P1771" i="15"/>
  <c r="A1771" i="15"/>
  <c r="R1770" i="15"/>
  <c r="P1770" i="15"/>
  <c r="A1770" i="15"/>
  <c r="R1769" i="15"/>
  <c r="P1769" i="15"/>
  <c r="A1769" i="15"/>
  <c r="R1768" i="15"/>
  <c r="P1768" i="15"/>
  <c r="A1768" i="15"/>
  <c r="R1767" i="15"/>
  <c r="P1767" i="15"/>
  <c r="A1767" i="15"/>
  <c r="R1766" i="15"/>
  <c r="P1766" i="15"/>
  <c r="A1766" i="15"/>
  <c r="R1765" i="15"/>
  <c r="P1765" i="15"/>
  <c r="A1765" i="15"/>
  <c r="R1764" i="15"/>
  <c r="P1764" i="15"/>
  <c r="A1764" i="15"/>
  <c r="R1763" i="15"/>
  <c r="P1763" i="15"/>
  <c r="A1763" i="15"/>
  <c r="R1762" i="15"/>
  <c r="P1762" i="15"/>
  <c r="A1762" i="15"/>
  <c r="R1761" i="15"/>
  <c r="P1761" i="15"/>
  <c r="A1761" i="15"/>
  <c r="R1760" i="15"/>
  <c r="P1760" i="15"/>
  <c r="A1760" i="15"/>
  <c r="R1759" i="15"/>
  <c r="P1759" i="15"/>
  <c r="A1759" i="15"/>
  <c r="R1758" i="15"/>
  <c r="P1758" i="15"/>
  <c r="A1758" i="15"/>
  <c r="R1757" i="15"/>
  <c r="P1757" i="15"/>
  <c r="A1757" i="15"/>
  <c r="R1756" i="15"/>
  <c r="P1756" i="15"/>
  <c r="A1756" i="15"/>
  <c r="R1755" i="15"/>
  <c r="P1755" i="15"/>
  <c r="A1755" i="15"/>
  <c r="R1754" i="15"/>
  <c r="P1754" i="15"/>
  <c r="A1754" i="15"/>
  <c r="R1753" i="15"/>
  <c r="P1753" i="15"/>
  <c r="A1753" i="15"/>
  <c r="R1752" i="15"/>
  <c r="P1752" i="15"/>
  <c r="A1752" i="15"/>
  <c r="R1751" i="15"/>
  <c r="P1751" i="15"/>
  <c r="A1751" i="15"/>
  <c r="R1750" i="15"/>
  <c r="P1750" i="15"/>
  <c r="A1750" i="15"/>
  <c r="R1749" i="15"/>
  <c r="P1749" i="15"/>
  <c r="A1749" i="15"/>
  <c r="R1748" i="15"/>
  <c r="P1748" i="15"/>
  <c r="A1748" i="15"/>
  <c r="R1747" i="15"/>
  <c r="P1747" i="15"/>
  <c r="A1747" i="15"/>
  <c r="R1746" i="15"/>
  <c r="P1746" i="15"/>
  <c r="A1746" i="15"/>
  <c r="R1745" i="15"/>
  <c r="P1745" i="15"/>
  <c r="A1745" i="15"/>
  <c r="R1744" i="15"/>
  <c r="P1744" i="15"/>
  <c r="A1744" i="15"/>
  <c r="R1743" i="15"/>
  <c r="P1743" i="15"/>
  <c r="A1743" i="15"/>
  <c r="R1742" i="15"/>
  <c r="P1742" i="15"/>
  <c r="A1742" i="15"/>
  <c r="R1741" i="15"/>
  <c r="P1741" i="15"/>
  <c r="A1741" i="15"/>
  <c r="R1740" i="15"/>
  <c r="P1740" i="15"/>
  <c r="A1740" i="15"/>
  <c r="R1739" i="15"/>
  <c r="P1739" i="15"/>
  <c r="A1739" i="15"/>
  <c r="R1738" i="15"/>
  <c r="P1738" i="15"/>
  <c r="A1738" i="15"/>
  <c r="R1737" i="15"/>
  <c r="P1737" i="15"/>
  <c r="A1737" i="15"/>
  <c r="R1736" i="15"/>
  <c r="P1736" i="15"/>
  <c r="A1736" i="15"/>
  <c r="R1735" i="15"/>
  <c r="P1735" i="15"/>
  <c r="A1735" i="15"/>
  <c r="R1734" i="15"/>
  <c r="P1734" i="15"/>
  <c r="A1734" i="15"/>
  <c r="R1733" i="15"/>
  <c r="P1733" i="15"/>
  <c r="A1733" i="15"/>
  <c r="R1732" i="15"/>
  <c r="P1732" i="15"/>
  <c r="A1732" i="15"/>
  <c r="R1731" i="15"/>
  <c r="P1731" i="15"/>
  <c r="A1731" i="15"/>
  <c r="R1730" i="15"/>
  <c r="P1730" i="15"/>
  <c r="A1730" i="15"/>
  <c r="R1729" i="15"/>
  <c r="P1729" i="15"/>
  <c r="A1729" i="15"/>
  <c r="R1728" i="15"/>
  <c r="P1728" i="15"/>
  <c r="A1728" i="15"/>
  <c r="R1727" i="15"/>
  <c r="P1727" i="15"/>
  <c r="A1727" i="15"/>
  <c r="R1726" i="15"/>
  <c r="P1726" i="15"/>
  <c r="A1726" i="15"/>
  <c r="R1725" i="15"/>
  <c r="P1725" i="15"/>
  <c r="A1725" i="15"/>
  <c r="R1724" i="15"/>
  <c r="P1724" i="15"/>
  <c r="A1724" i="15"/>
  <c r="R1723" i="15"/>
  <c r="P1723" i="15"/>
  <c r="A1723" i="15"/>
  <c r="R1722" i="15"/>
  <c r="P1722" i="15"/>
  <c r="A1722" i="15"/>
  <c r="R1721" i="15"/>
  <c r="P1721" i="15"/>
  <c r="A1721" i="15"/>
  <c r="R1720" i="15"/>
  <c r="P1720" i="15"/>
  <c r="A1720" i="15"/>
  <c r="R1719" i="15"/>
  <c r="P1719" i="15"/>
  <c r="A1719" i="15"/>
  <c r="R1718" i="15"/>
  <c r="P1718" i="15"/>
  <c r="A1718" i="15"/>
  <c r="R1717" i="15"/>
  <c r="P1717" i="15"/>
  <c r="A1717" i="15"/>
  <c r="R1716" i="15"/>
  <c r="P1716" i="15"/>
  <c r="A1716" i="15"/>
  <c r="R1715" i="15"/>
  <c r="P1715" i="15"/>
  <c r="A1715" i="15"/>
  <c r="R1714" i="15"/>
  <c r="P1714" i="15"/>
  <c r="A1714" i="15"/>
  <c r="R1713" i="15"/>
  <c r="P1713" i="15"/>
  <c r="A1713" i="15"/>
  <c r="R1712" i="15"/>
  <c r="P1712" i="15"/>
  <c r="A1712" i="15"/>
  <c r="R1711" i="15"/>
  <c r="P1711" i="15"/>
  <c r="A1711" i="15"/>
  <c r="R1710" i="15"/>
  <c r="P1710" i="15"/>
  <c r="A1710" i="15"/>
  <c r="R1709" i="15"/>
  <c r="P1709" i="15"/>
  <c r="A1709" i="15"/>
  <c r="R1708" i="15"/>
  <c r="P1708" i="15"/>
  <c r="A1708" i="15"/>
  <c r="R1707" i="15"/>
  <c r="P1707" i="15"/>
  <c r="A1707" i="15"/>
  <c r="R1706" i="15"/>
  <c r="P1706" i="15"/>
  <c r="A1706" i="15"/>
  <c r="R1705" i="15"/>
  <c r="P1705" i="15"/>
  <c r="A1705" i="15"/>
  <c r="R1704" i="15"/>
  <c r="P1704" i="15"/>
  <c r="A1704" i="15"/>
  <c r="R1703" i="15"/>
  <c r="P1703" i="15"/>
  <c r="A1703" i="15"/>
  <c r="R1702" i="15"/>
  <c r="P1702" i="15"/>
  <c r="A1702" i="15"/>
  <c r="R1701" i="15"/>
  <c r="P1701" i="15"/>
  <c r="A1701" i="15"/>
  <c r="R1700" i="15"/>
  <c r="P1700" i="15"/>
  <c r="A1700" i="15"/>
  <c r="R1699" i="15"/>
  <c r="P1699" i="15"/>
  <c r="A1699" i="15"/>
  <c r="R1698" i="15"/>
  <c r="P1698" i="15"/>
  <c r="A1698" i="15"/>
  <c r="R1697" i="15"/>
  <c r="P1697" i="15"/>
  <c r="A1697" i="15"/>
  <c r="R1696" i="15"/>
  <c r="P1696" i="15"/>
  <c r="A1696" i="15"/>
  <c r="R1695" i="15"/>
  <c r="P1695" i="15"/>
  <c r="A1695" i="15"/>
  <c r="R1694" i="15"/>
  <c r="P1694" i="15"/>
  <c r="A1694" i="15"/>
  <c r="R1693" i="15"/>
  <c r="P1693" i="15"/>
  <c r="A1693" i="15"/>
  <c r="R1692" i="15"/>
  <c r="P1692" i="15"/>
  <c r="A1692" i="15"/>
  <c r="R1691" i="15"/>
  <c r="P1691" i="15"/>
  <c r="A1691" i="15"/>
  <c r="R1690" i="15"/>
  <c r="P1690" i="15"/>
  <c r="A1690" i="15"/>
  <c r="R1689" i="15"/>
  <c r="P1689" i="15"/>
  <c r="A1689" i="15"/>
  <c r="R1688" i="15"/>
  <c r="P1688" i="15"/>
  <c r="A1688" i="15"/>
  <c r="R1687" i="15"/>
  <c r="P1687" i="15"/>
  <c r="A1687" i="15"/>
  <c r="R1686" i="15"/>
  <c r="P1686" i="15"/>
  <c r="A1686" i="15"/>
  <c r="R1685" i="15"/>
  <c r="P1685" i="15"/>
  <c r="A1685" i="15"/>
  <c r="R1684" i="15"/>
  <c r="P1684" i="15"/>
  <c r="A1684" i="15"/>
  <c r="R1683" i="15"/>
  <c r="P1683" i="15"/>
  <c r="A1683" i="15"/>
  <c r="R1682" i="15"/>
  <c r="P1682" i="15"/>
  <c r="A1682" i="15"/>
  <c r="R1681" i="15"/>
  <c r="P1681" i="15"/>
  <c r="A1681" i="15"/>
  <c r="R1680" i="15"/>
  <c r="P1680" i="15"/>
  <c r="A1680" i="15"/>
  <c r="R1679" i="15"/>
  <c r="P1679" i="15"/>
  <c r="A1679" i="15"/>
  <c r="R1678" i="15"/>
  <c r="P1678" i="15"/>
  <c r="A1678" i="15"/>
  <c r="R1677" i="15"/>
  <c r="P1677" i="15"/>
  <c r="A1677" i="15"/>
  <c r="R1676" i="15"/>
  <c r="P1676" i="15"/>
  <c r="A1676" i="15"/>
  <c r="R1675" i="15"/>
  <c r="P1675" i="15"/>
  <c r="A1675" i="15"/>
  <c r="R1674" i="15"/>
  <c r="P1674" i="15"/>
  <c r="A1674" i="15"/>
  <c r="R1673" i="15"/>
  <c r="P1673" i="15"/>
  <c r="A1673" i="15"/>
  <c r="R1672" i="15"/>
  <c r="P1672" i="15"/>
  <c r="A1672" i="15"/>
  <c r="R1671" i="15"/>
  <c r="P1671" i="15"/>
  <c r="A1671" i="15"/>
  <c r="R1670" i="15"/>
  <c r="P1670" i="15"/>
  <c r="A1670" i="15"/>
  <c r="R1669" i="15"/>
  <c r="P1669" i="15"/>
  <c r="A1669" i="15"/>
  <c r="R1668" i="15"/>
  <c r="P1668" i="15"/>
  <c r="A1668" i="15"/>
  <c r="R1667" i="15"/>
  <c r="P1667" i="15"/>
  <c r="A1667" i="15"/>
  <c r="R1666" i="15"/>
  <c r="P1666" i="15"/>
  <c r="A1666" i="15"/>
  <c r="R1665" i="15"/>
  <c r="P1665" i="15"/>
  <c r="A1665" i="15"/>
  <c r="R1664" i="15"/>
  <c r="P1664" i="15"/>
  <c r="A1664" i="15"/>
  <c r="R1663" i="15"/>
  <c r="P1663" i="15"/>
  <c r="A1663" i="15"/>
  <c r="R1662" i="15"/>
  <c r="P1662" i="15"/>
  <c r="A1662" i="15"/>
  <c r="R1661" i="15"/>
  <c r="P1661" i="15"/>
  <c r="A1661" i="15"/>
  <c r="R1660" i="15"/>
  <c r="P1660" i="15"/>
  <c r="A1660" i="15"/>
  <c r="R1659" i="15"/>
  <c r="P1659" i="15"/>
  <c r="A1659" i="15"/>
  <c r="R1658" i="15"/>
  <c r="P1658" i="15"/>
  <c r="A1658" i="15"/>
  <c r="R1657" i="15"/>
  <c r="P1657" i="15"/>
  <c r="A1657" i="15"/>
  <c r="R1656" i="15"/>
  <c r="P1656" i="15"/>
  <c r="A1656" i="15"/>
  <c r="R1655" i="15"/>
  <c r="P1655" i="15"/>
  <c r="A1655" i="15"/>
  <c r="R1654" i="15"/>
  <c r="P1654" i="15"/>
  <c r="A1654" i="15"/>
  <c r="R1653" i="15"/>
  <c r="P1653" i="15"/>
  <c r="A1653" i="15"/>
  <c r="R1652" i="15"/>
  <c r="P1652" i="15"/>
  <c r="A1652" i="15"/>
  <c r="R1651" i="15"/>
  <c r="P1651" i="15"/>
  <c r="A1651" i="15"/>
  <c r="R1650" i="15"/>
  <c r="P1650" i="15"/>
  <c r="A1650" i="15"/>
  <c r="R1649" i="15"/>
  <c r="P1649" i="15"/>
  <c r="A1649" i="15"/>
  <c r="R1648" i="15"/>
  <c r="P1648" i="15"/>
  <c r="A1648" i="15"/>
  <c r="R1647" i="15"/>
  <c r="P1647" i="15"/>
  <c r="A1647" i="15"/>
  <c r="R1646" i="15"/>
  <c r="P1646" i="15"/>
  <c r="A1646" i="15"/>
  <c r="R1645" i="15"/>
  <c r="P1645" i="15"/>
  <c r="A1645" i="15"/>
  <c r="R1644" i="15"/>
  <c r="P1644" i="15"/>
  <c r="A1644" i="15"/>
  <c r="R1643" i="15"/>
  <c r="P1643" i="15"/>
  <c r="A1643" i="15"/>
  <c r="R1642" i="15"/>
  <c r="P1642" i="15"/>
  <c r="A1642" i="15"/>
  <c r="R1641" i="15"/>
  <c r="P1641" i="15"/>
  <c r="A1641" i="15"/>
  <c r="R1640" i="15"/>
  <c r="P1640" i="15"/>
  <c r="A1640" i="15"/>
  <c r="R1639" i="15"/>
  <c r="P1639" i="15"/>
  <c r="A1639" i="15"/>
  <c r="R1638" i="15"/>
  <c r="P1638" i="15"/>
  <c r="A1638" i="15"/>
  <c r="R1637" i="15"/>
  <c r="P1637" i="15"/>
  <c r="A1637" i="15"/>
  <c r="R1636" i="15"/>
  <c r="P1636" i="15"/>
  <c r="A1636" i="15"/>
  <c r="R1635" i="15"/>
  <c r="P1635" i="15"/>
  <c r="A1635" i="15"/>
  <c r="R1634" i="15"/>
  <c r="P1634" i="15"/>
  <c r="A1634" i="15"/>
  <c r="R1633" i="15"/>
  <c r="P1633" i="15"/>
  <c r="A1633" i="15"/>
  <c r="R1632" i="15"/>
  <c r="P1632" i="15"/>
  <c r="A1632" i="15"/>
  <c r="R1631" i="15"/>
  <c r="P1631" i="15"/>
  <c r="A1631" i="15"/>
  <c r="R1630" i="15"/>
  <c r="P1630" i="15"/>
  <c r="A1630" i="15"/>
  <c r="R1629" i="15"/>
  <c r="P1629" i="15"/>
  <c r="A1629" i="15"/>
  <c r="R1628" i="15"/>
  <c r="P1628" i="15"/>
  <c r="A1628" i="15"/>
  <c r="R1627" i="15"/>
  <c r="P1627" i="15"/>
  <c r="A1627" i="15"/>
  <c r="R1626" i="15"/>
  <c r="P1626" i="15"/>
  <c r="A1626" i="15"/>
  <c r="R1625" i="15"/>
  <c r="P1625" i="15"/>
  <c r="A1625" i="15"/>
  <c r="R1624" i="15"/>
  <c r="P1624" i="15"/>
  <c r="A1624" i="15"/>
  <c r="R1623" i="15"/>
  <c r="P1623" i="15"/>
  <c r="A1623" i="15"/>
  <c r="R1622" i="15"/>
  <c r="P1622" i="15"/>
  <c r="A1622" i="15"/>
  <c r="R1621" i="15"/>
  <c r="P1621" i="15"/>
  <c r="A1621" i="15"/>
  <c r="R1620" i="15"/>
  <c r="P1620" i="15"/>
  <c r="A1620" i="15"/>
  <c r="R1619" i="15"/>
  <c r="P1619" i="15"/>
  <c r="A1619" i="15"/>
  <c r="R1618" i="15"/>
  <c r="P1618" i="15"/>
  <c r="A1618" i="15"/>
  <c r="R1617" i="15"/>
  <c r="P1617" i="15"/>
  <c r="A1617" i="15"/>
  <c r="R1616" i="15"/>
  <c r="P1616" i="15"/>
  <c r="A1616" i="15"/>
  <c r="R1615" i="15"/>
  <c r="P1615" i="15"/>
  <c r="A1615" i="15"/>
  <c r="R1614" i="15"/>
  <c r="P1614" i="15"/>
  <c r="A1614" i="15"/>
  <c r="R1613" i="15"/>
  <c r="P1613" i="15"/>
  <c r="A1613" i="15"/>
  <c r="R1612" i="15"/>
  <c r="P1612" i="15"/>
  <c r="A1612" i="15"/>
  <c r="R1611" i="15"/>
  <c r="P1611" i="15"/>
  <c r="A1611" i="15"/>
  <c r="R1610" i="15"/>
  <c r="P1610" i="15"/>
  <c r="A1610" i="15"/>
  <c r="R1609" i="15"/>
  <c r="P1609" i="15"/>
  <c r="A1609" i="15"/>
  <c r="R1608" i="15"/>
  <c r="P1608" i="15"/>
  <c r="A1608" i="15"/>
  <c r="R1607" i="15"/>
  <c r="P1607" i="15"/>
  <c r="A1607" i="15"/>
  <c r="R1606" i="15"/>
  <c r="P1606" i="15"/>
  <c r="A1606" i="15"/>
  <c r="R1605" i="15"/>
  <c r="P1605" i="15"/>
  <c r="A1605" i="15"/>
  <c r="R1604" i="15"/>
  <c r="P1604" i="15"/>
  <c r="A1604" i="15"/>
  <c r="R1603" i="15"/>
  <c r="P1603" i="15"/>
  <c r="A1603" i="15"/>
  <c r="R1602" i="15"/>
  <c r="P1602" i="15"/>
  <c r="A1602" i="15"/>
  <c r="R1601" i="15"/>
  <c r="P1601" i="15"/>
  <c r="A1601" i="15"/>
  <c r="R1600" i="15"/>
  <c r="P1600" i="15"/>
  <c r="A1600" i="15"/>
  <c r="R1599" i="15"/>
  <c r="P1599" i="15"/>
  <c r="A1599" i="15"/>
  <c r="R1598" i="15"/>
  <c r="P1598" i="15"/>
  <c r="A1598" i="15"/>
  <c r="R1597" i="15"/>
  <c r="P1597" i="15"/>
  <c r="A1597" i="15"/>
  <c r="R1596" i="15"/>
  <c r="P1596" i="15"/>
  <c r="A1596" i="15"/>
  <c r="R1595" i="15"/>
  <c r="P1595" i="15"/>
  <c r="A1595" i="15"/>
  <c r="R1594" i="15"/>
  <c r="P1594" i="15"/>
  <c r="A1594" i="15"/>
  <c r="R1593" i="15"/>
  <c r="P1593" i="15"/>
  <c r="A1593" i="15"/>
  <c r="R1592" i="15"/>
  <c r="P1592" i="15"/>
  <c r="A1592" i="15"/>
  <c r="R1591" i="15"/>
  <c r="P1591" i="15"/>
  <c r="A1591" i="15"/>
  <c r="R1590" i="15"/>
  <c r="P1590" i="15"/>
  <c r="A1590" i="15"/>
  <c r="R1589" i="15"/>
  <c r="P1589" i="15"/>
  <c r="A1589" i="15"/>
  <c r="R1588" i="15"/>
  <c r="P1588" i="15"/>
  <c r="A1588" i="15"/>
  <c r="R1587" i="15"/>
  <c r="P1587" i="15"/>
  <c r="A1587" i="15"/>
  <c r="R1586" i="15"/>
  <c r="P1586" i="15"/>
  <c r="A1586" i="15"/>
  <c r="R1585" i="15"/>
  <c r="P1585" i="15"/>
  <c r="A1585" i="15"/>
  <c r="R1584" i="15"/>
  <c r="P1584" i="15"/>
  <c r="A1584" i="15"/>
  <c r="R1583" i="15"/>
  <c r="P1583" i="15"/>
  <c r="A1583" i="15"/>
  <c r="R1582" i="15"/>
  <c r="P1582" i="15"/>
  <c r="A1582" i="15"/>
  <c r="R1581" i="15"/>
  <c r="P1581" i="15"/>
  <c r="A1581" i="15"/>
  <c r="R1580" i="15"/>
  <c r="P1580" i="15"/>
  <c r="A1580" i="15"/>
  <c r="R1579" i="15"/>
  <c r="P1579" i="15"/>
  <c r="A1579" i="15"/>
  <c r="R1578" i="15"/>
  <c r="P1578" i="15"/>
  <c r="A1578" i="15"/>
  <c r="R1577" i="15"/>
  <c r="P1577" i="15"/>
  <c r="A1577" i="15"/>
  <c r="R1576" i="15"/>
  <c r="P1576" i="15"/>
  <c r="A1576" i="15"/>
  <c r="R1575" i="15"/>
  <c r="P1575" i="15"/>
  <c r="A1575" i="15"/>
  <c r="R1574" i="15"/>
  <c r="P1574" i="15"/>
  <c r="A1574" i="15"/>
  <c r="R1573" i="15"/>
  <c r="P1573" i="15"/>
  <c r="A1573" i="15"/>
  <c r="R1572" i="15"/>
  <c r="P1572" i="15"/>
  <c r="A1572" i="15"/>
  <c r="R1571" i="15"/>
  <c r="P1571" i="15"/>
  <c r="A1571" i="15"/>
  <c r="R1570" i="15"/>
  <c r="P1570" i="15"/>
  <c r="A1570" i="15"/>
  <c r="R1569" i="15"/>
  <c r="P1569" i="15"/>
  <c r="A1569" i="15"/>
  <c r="R1568" i="15"/>
  <c r="P1568" i="15"/>
  <c r="A1568" i="15"/>
  <c r="R1567" i="15"/>
  <c r="P1567" i="15"/>
  <c r="A1567" i="15"/>
  <c r="R1566" i="15"/>
  <c r="P1566" i="15"/>
  <c r="A1566" i="15"/>
  <c r="R1565" i="15"/>
  <c r="P1565" i="15"/>
  <c r="A1565" i="15"/>
  <c r="R1564" i="15"/>
  <c r="P1564" i="15"/>
  <c r="A1564" i="15"/>
  <c r="R1563" i="15"/>
  <c r="P1563" i="15"/>
  <c r="A1563" i="15"/>
  <c r="R1562" i="15"/>
  <c r="P1562" i="15"/>
  <c r="A1562" i="15"/>
  <c r="R1561" i="15"/>
  <c r="P1561" i="15"/>
  <c r="A1561" i="15"/>
  <c r="R1560" i="15"/>
  <c r="P1560" i="15"/>
  <c r="A1560" i="15"/>
  <c r="R1559" i="15"/>
  <c r="P1559" i="15"/>
  <c r="A1559" i="15"/>
  <c r="R1558" i="15"/>
  <c r="P1558" i="15"/>
  <c r="A1558" i="15"/>
  <c r="R1557" i="15"/>
  <c r="P1557" i="15"/>
  <c r="A1557" i="15"/>
  <c r="R1556" i="15"/>
  <c r="P1556" i="15"/>
  <c r="A1556" i="15"/>
  <c r="R1555" i="15"/>
  <c r="P1555" i="15"/>
  <c r="A1555" i="15"/>
  <c r="R1554" i="15"/>
  <c r="P1554" i="15"/>
  <c r="A1554" i="15"/>
  <c r="R1553" i="15"/>
  <c r="P1553" i="15"/>
  <c r="A1553" i="15"/>
  <c r="R1552" i="15"/>
  <c r="P1552" i="15"/>
  <c r="A1552" i="15"/>
  <c r="R1551" i="15"/>
  <c r="P1551" i="15"/>
  <c r="A1551" i="15"/>
  <c r="R1550" i="15"/>
  <c r="P1550" i="15"/>
  <c r="A1550" i="15"/>
  <c r="R1549" i="15"/>
  <c r="P1549" i="15"/>
  <c r="A1549" i="15"/>
  <c r="R1548" i="15"/>
  <c r="P1548" i="15"/>
  <c r="A1548" i="15"/>
  <c r="R1547" i="15"/>
  <c r="P1547" i="15"/>
  <c r="A1547" i="15"/>
  <c r="R1546" i="15"/>
  <c r="P1546" i="15"/>
  <c r="A1546" i="15"/>
  <c r="R1545" i="15"/>
  <c r="P1545" i="15"/>
  <c r="A1545" i="15"/>
  <c r="R1544" i="15"/>
  <c r="P1544" i="15"/>
  <c r="A1544" i="15"/>
  <c r="R1543" i="15"/>
  <c r="P1543" i="15"/>
  <c r="A1543" i="15"/>
  <c r="R1542" i="15"/>
  <c r="P1542" i="15"/>
  <c r="A1542" i="15"/>
  <c r="R1541" i="15"/>
  <c r="P1541" i="15"/>
  <c r="A1541" i="15"/>
  <c r="R1540" i="15"/>
  <c r="P1540" i="15"/>
  <c r="A1540" i="15"/>
  <c r="R1539" i="15"/>
  <c r="P1539" i="15"/>
  <c r="A1539" i="15"/>
  <c r="R1538" i="15"/>
  <c r="P1538" i="15"/>
  <c r="A1538" i="15"/>
  <c r="R1537" i="15"/>
  <c r="P1537" i="15"/>
  <c r="A1537" i="15"/>
  <c r="R1536" i="15"/>
  <c r="P1536" i="15"/>
  <c r="A1536" i="15"/>
  <c r="R1535" i="15"/>
  <c r="P1535" i="15"/>
  <c r="A1535" i="15"/>
  <c r="R1534" i="15"/>
  <c r="P1534" i="15"/>
  <c r="A1534" i="15"/>
  <c r="R1533" i="15"/>
  <c r="P1533" i="15"/>
  <c r="A1533" i="15"/>
  <c r="R1532" i="15"/>
  <c r="P1532" i="15"/>
  <c r="A1532" i="15"/>
  <c r="R1531" i="15"/>
  <c r="P1531" i="15"/>
  <c r="A1531" i="15"/>
  <c r="R1530" i="15"/>
  <c r="P1530" i="15"/>
  <c r="A1530" i="15"/>
  <c r="R1529" i="15"/>
  <c r="P1529" i="15"/>
  <c r="A1529" i="15"/>
  <c r="R1528" i="15"/>
  <c r="P1528" i="15"/>
  <c r="A1528" i="15"/>
  <c r="R1527" i="15"/>
  <c r="P1527" i="15"/>
  <c r="A1527" i="15"/>
  <c r="R1526" i="15"/>
  <c r="P1526" i="15"/>
  <c r="A1526" i="15"/>
  <c r="R1525" i="15"/>
  <c r="P1525" i="15"/>
  <c r="A1525" i="15"/>
  <c r="R1524" i="15"/>
  <c r="P1524" i="15"/>
  <c r="A1524" i="15"/>
  <c r="R1523" i="15"/>
  <c r="P1523" i="15"/>
  <c r="A1523" i="15"/>
  <c r="R1522" i="15"/>
  <c r="P1522" i="15"/>
  <c r="A1522" i="15"/>
  <c r="R1521" i="15"/>
  <c r="P1521" i="15"/>
  <c r="A1521" i="15"/>
  <c r="R1520" i="15"/>
  <c r="P1520" i="15"/>
  <c r="A1520" i="15"/>
  <c r="R1519" i="15"/>
  <c r="P1519" i="15"/>
  <c r="A1519" i="15"/>
  <c r="R1518" i="15"/>
  <c r="P1518" i="15"/>
  <c r="A1518" i="15"/>
  <c r="R1517" i="15"/>
  <c r="P1517" i="15"/>
  <c r="A1517" i="15"/>
  <c r="R1516" i="15"/>
  <c r="P1516" i="15"/>
  <c r="A1516" i="15"/>
  <c r="R1515" i="15"/>
  <c r="P1515" i="15"/>
  <c r="A1515" i="15"/>
  <c r="R1514" i="15"/>
  <c r="P1514" i="15"/>
  <c r="A1514" i="15"/>
  <c r="R1513" i="15"/>
  <c r="P1513" i="15"/>
  <c r="A1513" i="15"/>
  <c r="R1512" i="15"/>
  <c r="P1512" i="15"/>
  <c r="A1512" i="15"/>
  <c r="R1511" i="15"/>
  <c r="P1511" i="15"/>
  <c r="A1511" i="15"/>
  <c r="R1510" i="15"/>
  <c r="P1510" i="15"/>
  <c r="A1510" i="15"/>
  <c r="R1509" i="15"/>
  <c r="P1509" i="15"/>
  <c r="A1509" i="15"/>
  <c r="R1508" i="15"/>
  <c r="P1508" i="15"/>
  <c r="A1508" i="15"/>
  <c r="R1507" i="15"/>
  <c r="P1507" i="15"/>
  <c r="A1507" i="15"/>
  <c r="R1506" i="15"/>
  <c r="P1506" i="15"/>
  <c r="A1506" i="15"/>
  <c r="R1505" i="15"/>
  <c r="P1505" i="15"/>
  <c r="A1505" i="15"/>
  <c r="R1504" i="15"/>
  <c r="P1504" i="15"/>
  <c r="A1504" i="15"/>
  <c r="R1503" i="15"/>
  <c r="P1503" i="15"/>
  <c r="A1503" i="15"/>
  <c r="R1502" i="15"/>
  <c r="P1502" i="15"/>
  <c r="A1502" i="15"/>
  <c r="R1501" i="15"/>
  <c r="P1501" i="15"/>
  <c r="A1501" i="15"/>
  <c r="R1500" i="15"/>
  <c r="P1500" i="15"/>
  <c r="A1500" i="15"/>
  <c r="R1499" i="15"/>
  <c r="P1499" i="15"/>
  <c r="A1499" i="15"/>
  <c r="R1498" i="15"/>
  <c r="P1498" i="15"/>
  <c r="A1498" i="15"/>
  <c r="R1497" i="15"/>
  <c r="P1497" i="15"/>
  <c r="A1497" i="15"/>
  <c r="R1496" i="15"/>
  <c r="P1496" i="15"/>
  <c r="A1496" i="15"/>
  <c r="R1495" i="15"/>
  <c r="P1495" i="15"/>
  <c r="A1495" i="15"/>
  <c r="R1494" i="15"/>
  <c r="P1494" i="15"/>
  <c r="A1494" i="15"/>
  <c r="R1493" i="15"/>
  <c r="P1493" i="15"/>
  <c r="A1493" i="15"/>
  <c r="R1492" i="15"/>
  <c r="P1492" i="15"/>
  <c r="A1492" i="15"/>
  <c r="R1491" i="15"/>
  <c r="P1491" i="15"/>
  <c r="A1491" i="15"/>
  <c r="R1490" i="15"/>
  <c r="P1490" i="15"/>
  <c r="A1490" i="15"/>
  <c r="R1489" i="15"/>
  <c r="P1489" i="15"/>
  <c r="A1489" i="15"/>
  <c r="R1488" i="15"/>
  <c r="P1488" i="15"/>
  <c r="A1488" i="15"/>
  <c r="R1487" i="15"/>
  <c r="P1487" i="15"/>
  <c r="A1487" i="15"/>
  <c r="R1486" i="15"/>
  <c r="P1486" i="15"/>
  <c r="A1486" i="15"/>
  <c r="R1485" i="15"/>
  <c r="P1485" i="15"/>
  <c r="A1485" i="15"/>
  <c r="R1484" i="15"/>
  <c r="P1484" i="15"/>
  <c r="A1484" i="15"/>
  <c r="R1483" i="15"/>
  <c r="P1483" i="15"/>
  <c r="A1483" i="15"/>
  <c r="R1482" i="15"/>
  <c r="P1482" i="15"/>
  <c r="A1482" i="15"/>
  <c r="R1481" i="15"/>
  <c r="P1481" i="15"/>
  <c r="A1481" i="15"/>
  <c r="R1480" i="15"/>
  <c r="P1480" i="15"/>
  <c r="A1480" i="15"/>
  <c r="R1479" i="15"/>
  <c r="P1479" i="15"/>
  <c r="A1479" i="15"/>
  <c r="R1478" i="15"/>
  <c r="P1478" i="15"/>
  <c r="A1478" i="15"/>
  <c r="R1477" i="15"/>
  <c r="P1477" i="15"/>
  <c r="A1477" i="15"/>
  <c r="R1476" i="15"/>
  <c r="P1476" i="15"/>
  <c r="A1476" i="15"/>
  <c r="R1475" i="15"/>
  <c r="P1475" i="15"/>
  <c r="A1475" i="15"/>
  <c r="R1474" i="15"/>
  <c r="P1474" i="15"/>
  <c r="A1474" i="15"/>
  <c r="R1473" i="15"/>
  <c r="P1473" i="15"/>
  <c r="A1473" i="15"/>
  <c r="R1472" i="15"/>
  <c r="P1472" i="15"/>
  <c r="A1472" i="15"/>
  <c r="R1471" i="15"/>
  <c r="P1471" i="15"/>
  <c r="A1471" i="15"/>
  <c r="R1470" i="15"/>
  <c r="P1470" i="15"/>
  <c r="A1470" i="15"/>
  <c r="R1469" i="15"/>
  <c r="P1469" i="15"/>
  <c r="A1469" i="15"/>
  <c r="R1468" i="15"/>
  <c r="P1468" i="15"/>
  <c r="A1468" i="15"/>
  <c r="R1467" i="15"/>
  <c r="P1467" i="15"/>
  <c r="A1467" i="15"/>
  <c r="R1466" i="15"/>
  <c r="P1466" i="15"/>
  <c r="A1466" i="15"/>
  <c r="R1465" i="15"/>
  <c r="P1465" i="15"/>
  <c r="A1465" i="15"/>
  <c r="R1464" i="15"/>
  <c r="P1464" i="15"/>
  <c r="A1464" i="15"/>
  <c r="R1463" i="15"/>
  <c r="P1463" i="15"/>
  <c r="A1463" i="15"/>
  <c r="R1462" i="15"/>
  <c r="P1462" i="15"/>
  <c r="A1462" i="15"/>
  <c r="R1461" i="15"/>
  <c r="P1461" i="15"/>
  <c r="A1461" i="15"/>
  <c r="R1460" i="15"/>
  <c r="P1460" i="15"/>
  <c r="A1460" i="15"/>
  <c r="R1459" i="15"/>
  <c r="P1459" i="15"/>
  <c r="A1459" i="15"/>
  <c r="R1458" i="15"/>
  <c r="P1458" i="15"/>
  <c r="A1458" i="15"/>
  <c r="R1457" i="15"/>
  <c r="P1457" i="15"/>
  <c r="A1457" i="15"/>
  <c r="R1456" i="15"/>
  <c r="P1456" i="15"/>
  <c r="A1456" i="15"/>
  <c r="R1455" i="15"/>
  <c r="P1455" i="15"/>
  <c r="A1455" i="15"/>
  <c r="R1454" i="15"/>
  <c r="P1454" i="15"/>
  <c r="A1454" i="15"/>
  <c r="R1453" i="15"/>
  <c r="P1453" i="15"/>
  <c r="A1453" i="15"/>
  <c r="R1452" i="15"/>
  <c r="P1452" i="15"/>
  <c r="A1452" i="15"/>
  <c r="R1451" i="15"/>
  <c r="P1451" i="15"/>
  <c r="A1451" i="15"/>
  <c r="R1450" i="15"/>
  <c r="P1450" i="15"/>
  <c r="A1450" i="15"/>
  <c r="R1449" i="15"/>
  <c r="P1449" i="15"/>
  <c r="A1449" i="15"/>
  <c r="R1448" i="15"/>
  <c r="P1448" i="15"/>
  <c r="A1448" i="15"/>
  <c r="R1447" i="15"/>
  <c r="P1447" i="15"/>
  <c r="A1447" i="15"/>
  <c r="R1446" i="15"/>
  <c r="P1446" i="15"/>
  <c r="A1446" i="15"/>
  <c r="R1445" i="15"/>
  <c r="P1445" i="15"/>
  <c r="A1445" i="15"/>
  <c r="R1444" i="15"/>
  <c r="P1444" i="15"/>
  <c r="A1444" i="15"/>
  <c r="R1443" i="15"/>
  <c r="P1443" i="15"/>
  <c r="A1443" i="15"/>
  <c r="R1442" i="15"/>
  <c r="P1442" i="15"/>
  <c r="A1442" i="15"/>
  <c r="R1441" i="15"/>
  <c r="P1441" i="15"/>
  <c r="A1441" i="15"/>
  <c r="R1440" i="15"/>
  <c r="P1440" i="15"/>
  <c r="A1440" i="15"/>
  <c r="R1439" i="15"/>
  <c r="P1439" i="15"/>
  <c r="A1439" i="15"/>
  <c r="R1438" i="15"/>
  <c r="P1438" i="15"/>
  <c r="A1438" i="15"/>
  <c r="R1437" i="15"/>
  <c r="P1437" i="15"/>
  <c r="A1437" i="15"/>
  <c r="R1436" i="15"/>
  <c r="P1436" i="15"/>
  <c r="A1436" i="15"/>
  <c r="R1435" i="15"/>
  <c r="P1435" i="15"/>
  <c r="A1435" i="15"/>
  <c r="R1434" i="15"/>
  <c r="P1434" i="15"/>
  <c r="A1434" i="15"/>
  <c r="R1433" i="15"/>
  <c r="P1433" i="15"/>
  <c r="A1433" i="15"/>
  <c r="R1432" i="15"/>
  <c r="P1432" i="15"/>
  <c r="A1432" i="15"/>
  <c r="R1431" i="15"/>
  <c r="P1431" i="15"/>
  <c r="A1431" i="15"/>
  <c r="R1430" i="15"/>
  <c r="P1430" i="15"/>
  <c r="A1430" i="15"/>
  <c r="R1429" i="15"/>
  <c r="P1429" i="15"/>
  <c r="A1429" i="15"/>
  <c r="R1428" i="15"/>
  <c r="P1428" i="15"/>
  <c r="A1428" i="15"/>
  <c r="R1427" i="15"/>
  <c r="P1427" i="15"/>
  <c r="A1427" i="15"/>
  <c r="R1426" i="15"/>
  <c r="P1426" i="15"/>
  <c r="A1426" i="15"/>
  <c r="R1425" i="15"/>
  <c r="P1425" i="15"/>
  <c r="A1425" i="15"/>
  <c r="R1424" i="15"/>
  <c r="P1424" i="15"/>
  <c r="A1424" i="15"/>
  <c r="R1423" i="15"/>
  <c r="P1423" i="15"/>
  <c r="A1423" i="15"/>
  <c r="R1422" i="15"/>
  <c r="P1422" i="15"/>
  <c r="A1422" i="15"/>
  <c r="R1421" i="15"/>
  <c r="P1421" i="15"/>
  <c r="A1421" i="15"/>
  <c r="R1420" i="15"/>
  <c r="P1420" i="15"/>
  <c r="A1420" i="15"/>
  <c r="R1419" i="15"/>
  <c r="P1419" i="15"/>
  <c r="A1419" i="15"/>
  <c r="R1418" i="15"/>
  <c r="P1418" i="15"/>
  <c r="A1418" i="15"/>
  <c r="R1417" i="15"/>
  <c r="P1417" i="15"/>
  <c r="A1417" i="15"/>
  <c r="R1416" i="15"/>
  <c r="P1416" i="15"/>
  <c r="A1416" i="15"/>
  <c r="R1415" i="15"/>
  <c r="P1415" i="15"/>
  <c r="A1415" i="15"/>
  <c r="R1414" i="15"/>
  <c r="P1414" i="15"/>
  <c r="A1414" i="15"/>
  <c r="R1413" i="15"/>
  <c r="P1413" i="15"/>
  <c r="A1413" i="15"/>
  <c r="R1412" i="15"/>
  <c r="P1412" i="15"/>
  <c r="A1412" i="15"/>
  <c r="R1411" i="15"/>
  <c r="P1411" i="15"/>
  <c r="A1411" i="15"/>
  <c r="R1410" i="15"/>
  <c r="P1410" i="15"/>
  <c r="A1410" i="15"/>
  <c r="R1409" i="15"/>
  <c r="P1409" i="15"/>
  <c r="A1409" i="15"/>
  <c r="R1408" i="15"/>
  <c r="P1408" i="15"/>
  <c r="A1408" i="15"/>
  <c r="R1407" i="15"/>
  <c r="P1407" i="15"/>
  <c r="A1407" i="15"/>
  <c r="R1406" i="15"/>
  <c r="P1406" i="15"/>
  <c r="A1406" i="15"/>
  <c r="R1405" i="15"/>
  <c r="P1405" i="15"/>
  <c r="A1405" i="15"/>
  <c r="R1404" i="15"/>
  <c r="P1404" i="15"/>
  <c r="A1404" i="15"/>
  <c r="R1403" i="15"/>
  <c r="P1403" i="15"/>
  <c r="A1403" i="15"/>
  <c r="R1402" i="15"/>
  <c r="P1402" i="15"/>
  <c r="A1402" i="15"/>
  <c r="R1401" i="15"/>
  <c r="P1401" i="15"/>
  <c r="A1401" i="15"/>
  <c r="R1400" i="15"/>
  <c r="P1400" i="15"/>
  <c r="A1400" i="15"/>
  <c r="R1399" i="15"/>
  <c r="P1399" i="15"/>
  <c r="A1399" i="15"/>
  <c r="R1398" i="15"/>
  <c r="P1398" i="15"/>
  <c r="A1398" i="15"/>
  <c r="R1397" i="15"/>
  <c r="P1397" i="15"/>
  <c r="A1397" i="15"/>
  <c r="R1396" i="15"/>
  <c r="P1396" i="15"/>
  <c r="A1396" i="15"/>
  <c r="R1395" i="15"/>
  <c r="P1395" i="15"/>
  <c r="A1395" i="15"/>
  <c r="R1394" i="15"/>
  <c r="P1394" i="15"/>
  <c r="A1394" i="15"/>
  <c r="R1393" i="15"/>
  <c r="P1393" i="15"/>
  <c r="A1393" i="15"/>
  <c r="R1392" i="15"/>
  <c r="P1392" i="15"/>
  <c r="A1392" i="15"/>
  <c r="R1391" i="15"/>
  <c r="P1391" i="15"/>
  <c r="A1391" i="15"/>
  <c r="R1390" i="15"/>
  <c r="P1390" i="15"/>
  <c r="A1390" i="15"/>
  <c r="R1389" i="15"/>
  <c r="P1389" i="15"/>
  <c r="A1389" i="15"/>
  <c r="R1388" i="15"/>
  <c r="P1388" i="15"/>
  <c r="A1388" i="15"/>
  <c r="R1387" i="15"/>
  <c r="P1387" i="15"/>
  <c r="A1387" i="15"/>
  <c r="R1386" i="15"/>
  <c r="P1386" i="15"/>
  <c r="A1386" i="15"/>
  <c r="R1385" i="15"/>
  <c r="P1385" i="15"/>
  <c r="A1385" i="15"/>
  <c r="R1384" i="15"/>
  <c r="P1384" i="15"/>
  <c r="A1384" i="15"/>
  <c r="R1383" i="15"/>
  <c r="P1383" i="15"/>
  <c r="A1383" i="15"/>
  <c r="R1382" i="15"/>
  <c r="P1382" i="15"/>
  <c r="A1382" i="15"/>
  <c r="R1381" i="15"/>
  <c r="P1381" i="15"/>
  <c r="A1381" i="15"/>
  <c r="R1380" i="15"/>
  <c r="P1380" i="15"/>
  <c r="A1380" i="15"/>
  <c r="R1379" i="15"/>
  <c r="P1379" i="15"/>
  <c r="A1379" i="15"/>
  <c r="R1378" i="15"/>
  <c r="P1378" i="15"/>
  <c r="A1378" i="15"/>
  <c r="R1377" i="15"/>
  <c r="P1377" i="15"/>
  <c r="A1377" i="15"/>
  <c r="R1376" i="15"/>
  <c r="P1376" i="15"/>
  <c r="A1376" i="15"/>
  <c r="R1375" i="15"/>
  <c r="P1375" i="15"/>
  <c r="A1375" i="15"/>
  <c r="R1374" i="15"/>
  <c r="P1374" i="15"/>
  <c r="A1374" i="15"/>
  <c r="R1373" i="15"/>
  <c r="P1373" i="15"/>
  <c r="A1373" i="15"/>
  <c r="R1372" i="15"/>
  <c r="P1372" i="15"/>
  <c r="A1372" i="15"/>
  <c r="R1371" i="15"/>
  <c r="P1371" i="15"/>
  <c r="A1371" i="15"/>
  <c r="R1370" i="15"/>
  <c r="P1370" i="15"/>
  <c r="A1370" i="15"/>
  <c r="R1369" i="15"/>
  <c r="P1369" i="15"/>
  <c r="A1369" i="15"/>
  <c r="R1368" i="15"/>
  <c r="P1368" i="15"/>
  <c r="A1368" i="15"/>
  <c r="R1367" i="15"/>
  <c r="P1367" i="15"/>
  <c r="A1367" i="15"/>
  <c r="R1366" i="15"/>
  <c r="P1366" i="15"/>
  <c r="A1366" i="15"/>
  <c r="R1365" i="15"/>
  <c r="P1365" i="15"/>
  <c r="A1365" i="15"/>
  <c r="R1364" i="15"/>
  <c r="P1364" i="15"/>
  <c r="A1364" i="15"/>
  <c r="R1363" i="15"/>
  <c r="P1363" i="15"/>
  <c r="A1363" i="15"/>
  <c r="R1362" i="15"/>
  <c r="P1362" i="15"/>
  <c r="A1362" i="15"/>
  <c r="R1361" i="15"/>
  <c r="P1361" i="15"/>
  <c r="A1361" i="15"/>
  <c r="R1360" i="15"/>
  <c r="P1360" i="15"/>
  <c r="A1360" i="15"/>
  <c r="R1359" i="15"/>
  <c r="P1359" i="15"/>
  <c r="A1359" i="15"/>
  <c r="R1358" i="15"/>
  <c r="P1358" i="15"/>
  <c r="A1358" i="15"/>
  <c r="R1357" i="15"/>
  <c r="P1357" i="15"/>
  <c r="A1357" i="15"/>
  <c r="R1356" i="15"/>
  <c r="P1356" i="15"/>
  <c r="A1356" i="15"/>
  <c r="R1355" i="15"/>
  <c r="P1355" i="15"/>
  <c r="A1355" i="15"/>
  <c r="R1354" i="15"/>
  <c r="P1354" i="15"/>
  <c r="A1354" i="15"/>
  <c r="R1353" i="15"/>
  <c r="P1353" i="15"/>
  <c r="A1353" i="15"/>
  <c r="R1352" i="15"/>
  <c r="P1352" i="15"/>
  <c r="A1352" i="15"/>
  <c r="R1351" i="15"/>
  <c r="P1351" i="15"/>
  <c r="A1351" i="15"/>
  <c r="R1350" i="15"/>
  <c r="P1350" i="15"/>
  <c r="A1350" i="15"/>
  <c r="R1349" i="15"/>
  <c r="P1349" i="15"/>
  <c r="A1349" i="15"/>
  <c r="R1348" i="15"/>
  <c r="P1348" i="15"/>
  <c r="A1348" i="15"/>
  <c r="R1347" i="15"/>
  <c r="P1347" i="15"/>
  <c r="A1347" i="15"/>
  <c r="R1346" i="15"/>
  <c r="P1346" i="15"/>
  <c r="A1346" i="15"/>
  <c r="R1345" i="15"/>
  <c r="P1345" i="15"/>
  <c r="A1345" i="15"/>
  <c r="R1344" i="15"/>
  <c r="P1344" i="15"/>
  <c r="A1344" i="15"/>
  <c r="R1343" i="15"/>
  <c r="P1343" i="15"/>
  <c r="A1343" i="15"/>
  <c r="R1342" i="15"/>
  <c r="P1342" i="15"/>
  <c r="A1342" i="15"/>
  <c r="R1341" i="15"/>
  <c r="P1341" i="15"/>
  <c r="A1341" i="15"/>
  <c r="R1340" i="15"/>
  <c r="P1340" i="15"/>
  <c r="A1340" i="15"/>
  <c r="R1339" i="15"/>
  <c r="P1339" i="15"/>
  <c r="A1339" i="15"/>
  <c r="R1338" i="15"/>
  <c r="P1338" i="15"/>
  <c r="A1338" i="15"/>
  <c r="R1337" i="15"/>
  <c r="P1337" i="15"/>
  <c r="A1337" i="15"/>
  <c r="R1336" i="15"/>
  <c r="P1336" i="15"/>
  <c r="A1336" i="15"/>
  <c r="R1335" i="15"/>
  <c r="P1335" i="15"/>
  <c r="A1335" i="15"/>
  <c r="R1334" i="15"/>
  <c r="P1334" i="15"/>
  <c r="A1334" i="15"/>
  <c r="R1333" i="15"/>
  <c r="P1333" i="15"/>
  <c r="A1333" i="15"/>
  <c r="R1332" i="15"/>
  <c r="P1332" i="15"/>
  <c r="A1332" i="15"/>
  <c r="R1331" i="15"/>
  <c r="P1331" i="15"/>
  <c r="A1331" i="15"/>
  <c r="R1330" i="15"/>
  <c r="P1330" i="15"/>
  <c r="A1330" i="15"/>
  <c r="R1329" i="15"/>
  <c r="P1329" i="15"/>
  <c r="A1329" i="15"/>
  <c r="R1328" i="15"/>
  <c r="P1328" i="15"/>
  <c r="A1328" i="15"/>
  <c r="R1327" i="15"/>
  <c r="P1327" i="15"/>
  <c r="A1327" i="15"/>
  <c r="R1326" i="15"/>
  <c r="P1326" i="15"/>
  <c r="A1326" i="15"/>
  <c r="R1325" i="15"/>
  <c r="P1325" i="15"/>
  <c r="A1325" i="15"/>
  <c r="R1324" i="15"/>
  <c r="P1324" i="15"/>
  <c r="A1324" i="15"/>
  <c r="R1323" i="15"/>
  <c r="P1323" i="15"/>
  <c r="A1323" i="15"/>
  <c r="R1322" i="15"/>
  <c r="P1322" i="15"/>
  <c r="A1322" i="15"/>
  <c r="R1321" i="15"/>
  <c r="P1321" i="15"/>
  <c r="A1321" i="15"/>
  <c r="R1320" i="15"/>
  <c r="P1320" i="15"/>
  <c r="A1320" i="15"/>
  <c r="R1319" i="15"/>
  <c r="P1319" i="15"/>
  <c r="A1319" i="15"/>
  <c r="R1318" i="15"/>
  <c r="P1318" i="15"/>
  <c r="A1318" i="15"/>
  <c r="R1317" i="15"/>
  <c r="P1317" i="15"/>
  <c r="A1317" i="15"/>
  <c r="R1316" i="15"/>
  <c r="P1316" i="15"/>
  <c r="A1316" i="15"/>
  <c r="R1315" i="15"/>
  <c r="P1315" i="15"/>
  <c r="A1315" i="15"/>
  <c r="R1314" i="15"/>
  <c r="P1314" i="15"/>
  <c r="A1314" i="15"/>
  <c r="R1313" i="15"/>
  <c r="P1313" i="15"/>
  <c r="A1313" i="15"/>
  <c r="R1312" i="15"/>
  <c r="P1312" i="15"/>
  <c r="A1312" i="15"/>
  <c r="R1311" i="15"/>
  <c r="P1311" i="15"/>
  <c r="A1311" i="15"/>
  <c r="R1310" i="15"/>
  <c r="P1310" i="15"/>
  <c r="A1310" i="15"/>
  <c r="R1309" i="15"/>
  <c r="P1309" i="15"/>
  <c r="A1309" i="15"/>
  <c r="R1308" i="15"/>
  <c r="P1308" i="15"/>
  <c r="A1308" i="15"/>
  <c r="R1307" i="15"/>
  <c r="P1307" i="15"/>
  <c r="A1307" i="15"/>
  <c r="R1306" i="15"/>
  <c r="P1306" i="15"/>
  <c r="A1306" i="15"/>
  <c r="R1305" i="15"/>
  <c r="P1305" i="15"/>
  <c r="A1305" i="15"/>
  <c r="R1304" i="15"/>
  <c r="P1304" i="15"/>
  <c r="A1304" i="15"/>
  <c r="R1303" i="15"/>
  <c r="P1303" i="15"/>
  <c r="A1303" i="15"/>
  <c r="R1302" i="15"/>
  <c r="P1302" i="15"/>
  <c r="A1302" i="15"/>
  <c r="R1301" i="15"/>
  <c r="P1301" i="15"/>
  <c r="A1301" i="15"/>
  <c r="R1300" i="15"/>
  <c r="P1300" i="15"/>
  <c r="A1300" i="15"/>
  <c r="R1299" i="15"/>
  <c r="P1299" i="15"/>
  <c r="A1299" i="15"/>
  <c r="R1298" i="15"/>
  <c r="P1298" i="15"/>
  <c r="A1298" i="15"/>
  <c r="R1297" i="15"/>
  <c r="P1297" i="15"/>
  <c r="A1297" i="15"/>
  <c r="R1296" i="15"/>
  <c r="P1296" i="15"/>
  <c r="A1296" i="15"/>
  <c r="R1295" i="15"/>
  <c r="P1295" i="15"/>
  <c r="A1295" i="15"/>
  <c r="R1294" i="15"/>
  <c r="P1294" i="15"/>
  <c r="A1294" i="15"/>
  <c r="R1293" i="15"/>
  <c r="P1293" i="15"/>
  <c r="A1293" i="15"/>
  <c r="R1292" i="15"/>
  <c r="P1292" i="15"/>
  <c r="A1292" i="15"/>
  <c r="R1291" i="15"/>
  <c r="P1291" i="15"/>
  <c r="A1291" i="15"/>
  <c r="R1290" i="15"/>
  <c r="P1290" i="15"/>
  <c r="A1290" i="15"/>
  <c r="R1289" i="15"/>
  <c r="P1289" i="15"/>
  <c r="A1289" i="15"/>
  <c r="R1288" i="15"/>
  <c r="P1288" i="15"/>
  <c r="A1288" i="15"/>
  <c r="R1287" i="15"/>
  <c r="P1287" i="15"/>
  <c r="A1287" i="15"/>
  <c r="R1286" i="15"/>
  <c r="P1286" i="15"/>
  <c r="A1286" i="15"/>
  <c r="R1285" i="15"/>
  <c r="P1285" i="15"/>
  <c r="A1285" i="15"/>
  <c r="R1284" i="15"/>
  <c r="P1284" i="15"/>
  <c r="A1284" i="15"/>
  <c r="R1283" i="15"/>
  <c r="P1283" i="15"/>
  <c r="A1283" i="15"/>
  <c r="R1282" i="15"/>
  <c r="P1282" i="15"/>
  <c r="A1282" i="15"/>
  <c r="R1281" i="15"/>
  <c r="P1281" i="15"/>
  <c r="A1281" i="15"/>
  <c r="R1280" i="15"/>
  <c r="P1280" i="15"/>
  <c r="A1280" i="15"/>
  <c r="R1279" i="15"/>
  <c r="P1279" i="15"/>
  <c r="A1279" i="15"/>
  <c r="R1278" i="15"/>
  <c r="P1278" i="15"/>
  <c r="A1278" i="15"/>
  <c r="R1277" i="15"/>
  <c r="P1277" i="15"/>
  <c r="A1277" i="15"/>
  <c r="R1276" i="15"/>
  <c r="P1276" i="15"/>
  <c r="A1276" i="15"/>
  <c r="R1275" i="15"/>
  <c r="P1275" i="15"/>
  <c r="A1275" i="15"/>
  <c r="R1274" i="15"/>
  <c r="P1274" i="15"/>
  <c r="A1274" i="15"/>
  <c r="R1273" i="15"/>
  <c r="P1273" i="15"/>
  <c r="A1273" i="15"/>
  <c r="R1272" i="15"/>
  <c r="P1272" i="15"/>
  <c r="A1272" i="15"/>
  <c r="R1271" i="15"/>
  <c r="P1271" i="15"/>
  <c r="A1271" i="15"/>
  <c r="R1270" i="15"/>
  <c r="P1270" i="15"/>
  <c r="A1270" i="15"/>
  <c r="R1269" i="15"/>
  <c r="P1269" i="15"/>
  <c r="A1269" i="15"/>
  <c r="R1268" i="15"/>
  <c r="P1268" i="15"/>
  <c r="A1268" i="15"/>
  <c r="R1267" i="15"/>
  <c r="P1267" i="15"/>
  <c r="A1267" i="15"/>
  <c r="R1266" i="15"/>
  <c r="P1266" i="15"/>
  <c r="A1266" i="15"/>
  <c r="R1265" i="15"/>
  <c r="P1265" i="15"/>
  <c r="A1265" i="15"/>
  <c r="R1264" i="15"/>
  <c r="P1264" i="15"/>
  <c r="A1264" i="15"/>
  <c r="R1263" i="15"/>
  <c r="P1263" i="15"/>
  <c r="A1263" i="15"/>
  <c r="R1262" i="15"/>
  <c r="P1262" i="15"/>
  <c r="A1262" i="15"/>
  <c r="R1261" i="15"/>
  <c r="P1261" i="15"/>
  <c r="A1261" i="15"/>
  <c r="R1260" i="15"/>
  <c r="P1260" i="15"/>
  <c r="A1260" i="15"/>
  <c r="R1259" i="15"/>
  <c r="P1259" i="15"/>
  <c r="A1259" i="15"/>
  <c r="R1258" i="15"/>
  <c r="P1258" i="15"/>
  <c r="A1258" i="15"/>
  <c r="R1257" i="15"/>
  <c r="P1257" i="15"/>
  <c r="A1257" i="15"/>
  <c r="R1256" i="15"/>
  <c r="P1256" i="15"/>
  <c r="A1256" i="15"/>
  <c r="R1255" i="15"/>
  <c r="P1255" i="15"/>
  <c r="A1255" i="15"/>
  <c r="R1254" i="15"/>
  <c r="P1254" i="15"/>
  <c r="A1254" i="15"/>
  <c r="R1253" i="15"/>
  <c r="P1253" i="15"/>
  <c r="A1253" i="15"/>
  <c r="R1252" i="15"/>
  <c r="P1252" i="15"/>
  <c r="A1252" i="15"/>
  <c r="R1251" i="15"/>
  <c r="P1251" i="15"/>
  <c r="A1251" i="15"/>
  <c r="R1250" i="15"/>
  <c r="P1250" i="15"/>
  <c r="A1250" i="15"/>
  <c r="R1249" i="15"/>
  <c r="P1249" i="15"/>
  <c r="A1249" i="15"/>
  <c r="R1248" i="15"/>
  <c r="P1248" i="15"/>
  <c r="A1248" i="15"/>
  <c r="R1247" i="15"/>
  <c r="P1247" i="15"/>
  <c r="A1247" i="15"/>
  <c r="R1246" i="15"/>
  <c r="P1246" i="15"/>
  <c r="A1246" i="15"/>
  <c r="R1245" i="15"/>
  <c r="P1245" i="15"/>
  <c r="A1245" i="15"/>
  <c r="R1244" i="15"/>
  <c r="P1244" i="15"/>
  <c r="A1244" i="15"/>
  <c r="R1243" i="15"/>
  <c r="P1243" i="15"/>
  <c r="A1243" i="15"/>
  <c r="R1242" i="15"/>
  <c r="P1242" i="15"/>
  <c r="A1242" i="15"/>
  <c r="R1241" i="15"/>
  <c r="P1241" i="15"/>
  <c r="A1241" i="15"/>
  <c r="R1240" i="15"/>
  <c r="P1240" i="15"/>
  <c r="A1240" i="15"/>
  <c r="R1239" i="15"/>
  <c r="P1239" i="15"/>
  <c r="A1239" i="15"/>
  <c r="R1238" i="15"/>
  <c r="P1238" i="15"/>
  <c r="A1238" i="15"/>
  <c r="R1237" i="15"/>
  <c r="P1237" i="15"/>
  <c r="A1237" i="15"/>
  <c r="R1236" i="15"/>
  <c r="P1236" i="15"/>
  <c r="A1236" i="15"/>
  <c r="R1235" i="15"/>
  <c r="P1235" i="15"/>
  <c r="A1235" i="15"/>
  <c r="R1234" i="15"/>
  <c r="P1234" i="15"/>
  <c r="A1234" i="15"/>
  <c r="R1233" i="15"/>
  <c r="P1233" i="15"/>
  <c r="A1233" i="15"/>
  <c r="R1232" i="15"/>
  <c r="P1232" i="15"/>
  <c r="A1232" i="15"/>
  <c r="R1231" i="15"/>
  <c r="P1231" i="15"/>
  <c r="A1231" i="15"/>
  <c r="R1230" i="15"/>
  <c r="P1230" i="15"/>
  <c r="A1230" i="15"/>
  <c r="R1229" i="15"/>
  <c r="P1229" i="15"/>
  <c r="A1229" i="15"/>
  <c r="R1228" i="15"/>
  <c r="P1228" i="15"/>
  <c r="A1228" i="15"/>
  <c r="R1227" i="15"/>
  <c r="P1227" i="15"/>
  <c r="A1227" i="15"/>
  <c r="R1226" i="15"/>
  <c r="P1226" i="15"/>
  <c r="A1226" i="15"/>
  <c r="R1225" i="15"/>
  <c r="P1225" i="15"/>
  <c r="A1225" i="15"/>
  <c r="R1224" i="15"/>
  <c r="P1224" i="15"/>
  <c r="A1224" i="15"/>
  <c r="R1223" i="15"/>
  <c r="P1223" i="15"/>
  <c r="A1223" i="15"/>
  <c r="R1222" i="15"/>
  <c r="P1222" i="15"/>
  <c r="A1222" i="15"/>
  <c r="R1221" i="15"/>
  <c r="P1221" i="15"/>
  <c r="A1221" i="15"/>
  <c r="R1220" i="15"/>
  <c r="P1220" i="15"/>
  <c r="A1220" i="15"/>
  <c r="R1219" i="15"/>
  <c r="P1219" i="15"/>
  <c r="A1219" i="15"/>
  <c r="R1218" i="15"/>
  <c r="P1218" i="15"/>
  <c r="A1218" i="15"/>
  <c r="R1217" i="15"/>
  <c r="P1217" i="15"/>
  <c r="A1217" i="15"/>
  <c r="R1216" i="15"/>
  <c r="P1216" i="15"/>
  <c r="A1216" i="15"/>
  <c r="R1215" i="15"/>
  <c r="P1215" i="15"/>
  <c r="A1215" i="15"/>
  <c r="R1214" i="15"/>
  <c r="P1214" i="15"/>
  <c r="A1214" i="15"/>
  <c r="R1213" i="15"/>
  <c r="P1213" i="15"/>
  <c r="A1213" i="15"/>
  <c r="R1212" i="15"/>
  <c r="P1212" i="15"/>
  <c r="A1212" i="15"/>
  <c r="R1211" i="15"/>
  <c r="P1211" i="15"/>
  <c r="A1211" i="15"/>
  <c r="R1210" i="15"/>
  <c r="P1210" i="15"/>
  <c r="A1210" i="15"/>
  <c r="R1209" i="15"/>
  <c r="P1209" i="15"/>
  <c r="A1209" i="15"/>
  <c r="R1208" i="15"/>
  <c r="P1208" i="15"/>
  <c r="A1208" i="15"/>
  <c r="R1207" i="15"/>
  <c r="P1207" i="15"/>
  <c r="A1207" i="15"/>
  <c r="R1206" i="15"/>
  <c r="P1206" i="15"/>
  <c r="A1206" i="15"/>
  <c r="R1205" i="15"/>
  <c r="P1205" i="15"/>
  <c r="A1205" i="15"/>
  <c r="R1204" i="15"/>
  <c r="P1204" i="15"/>
  <c r="A1204" i="15"/>
  <c r="R1203" i="15"/>
  <c r="P1203" i="15"/>
  <c r="A1203" i="15"/>
  <c r="R1202" i="15"/>
  <c r="P1202" i="15"/>
  <c r="A1202" i="15"/>
  <c r="R1201" i="15"/>
  <c r="P1201" i="15"/>
  <c r="A1201" i="15"/>
  <c r="R1200" i="15"/>
  <c r="P1200" i="15"/>
  <c r="A1200" i="15"/>
  <c r="R1199" i="15"/>
  <c r="P1199" i="15"/>
  <c r="A1199" i="15"/>
  <c r="R1198" i="15"/>
  <c r="P1198" i="15"/>
  <c r="A1198" i="15"/>
  <c r="R1197" i="15"/>
  <c r="P1197" i="15"/>
  <c r="A1197" i="15"/>
  <c r="R1196" i="15"/>
  <c r="P1196" i="15"/>
  <c r="A1196" i="15"/>
  <c r="R1195" i="15"/>
  <c r="P1195" i="15"/>
  <c r="A1195" i="15"/>
  <c r="R1194" i="15"/>
  <c r="P1194" i="15"/>
  <c r="A1194" i="15"/>
  <c r="R1193" i="15"/>
  <c r="P1193" i="15"/>
  <c r="A1193" i="15"/>
  <c r="R1192" i="15"/>
  <c r="P1192" i="15"/>
  <c r="A1192" i="15"/>
  <c r="R1191" i="15"/>
  <c r="P1191" i="15"/>
  <c r="A1191" i="15"/>
  <c r="R1190" i="15"/>
  <c r="P1190" i="15"/>
  <c r="A1190" i="15"/>
  <c r="R1189" i="15"/>
  <c r="P1189" i="15"/>
  <c r="A1189" i="15"/>
  <c r="R1188" i="15"/>
  <c r="P1188" i="15"/>
  <c r="A1188" i="15"/>
  <c r="R1187" i="15"/>
  <c r="P1187" i="15"/>
  <c r="A1187" i="15"/>
  <c r="R1186" i="15"/>
  <c r="P1186" i="15"/>
  <c r="A1186" i="15"/>
  <c r="R1185" i="15"/>
  <c r="P1185" i="15"/>
  <c r="A1185" i="15"/>
  <c r="R1184" i="15"/>
  <c r="P1184" i="15"/>
  <c r="A1184" i="15"/>
  <c r="R1183" i="15"/>
  <c r="P1183" i="15"/>
  <c r="A1183" i="15"/>
  <c r="R1182" i="15"/>
  <c r="P1182" i="15"/>
  <c r="A1182" i="15"/>
  <c r="R1181" i="15"/>
  <c r="P1181" i="15"/>
  <c r="A1181" i="15"/>
  <c r="R1180" i="15"/>
  <c r="P1180" i="15"/>
  <c r="A1180" i="15"/>
  <c r="R1179" i="15"/>
  <c r="P1179" i="15"/>
  <c r="A1179" i="15"/>
  <c r="R1178" i="15"/>
  <c r="P1178" i="15"/>
  <c r="A1178" i="15"/>
  <c r="R1177" i="15"/>
  <c r="P1177" i="15"/>
  <c r="A1177" i="15"/>
  <c r="R1176" i="15"/>
  <c r="P1176" i="15"/>
  <c r="A1176" i="15"/>
  <c r="R1175" i="15"/>
  <c r="P1175" i="15"/>
  <c r="A1175" i="15"/>
  <c r="R1174" i="15"/>
  <c r="P1174" i="15"/>
  <c r="A1174" i="15"/>
  <c r="R1173" i="15"/>
  <c r="P1173" i="15"/>
  <c r="A1173" i="15"/>
  <c r="R1172" i="15"/>
  <c r="P1172" i="15"/>
  <c r="A1172" i="15"/>
  <c r="R1171" i="15"/>
  <c r="P1171" i="15"/>
  <c r="A1171" i="15"/>
  <c r="R1170" i="15"/>
  <c r="P1170" i="15"/>
  <c r="A1170" i="15"/>
  <c r="R1169" i="15"/>
  <c r="P1169" i="15"/>
  <c r="A1169" i="15"/>
  <c r="R1168" i="15"/>
  <c r="P1168" i="15"/>
  <c r="A1168" i="15"/>
  <c r="R1167" i="15"/>
  <c r="P1167" i="15"/>
  <c r="A1167" i="15"/>
  <c r="R1166" i="15"/>
  <c r="P1166" i="15"/>
  <c r="A1166" i="15"/>
  <c r="R1165" i="15"/>
  <c r="P1165" i="15"/>
  <c r="A1165" i="15"/>
  <c r="R1164" i="15"/>
  <c r="P1164" i="15"/>
  <c r="A1164" i="15"/>
  <c r="R1163" i="15"/>
  <c r="P1163" i="15"/>
  <c r="A1163" i="15"/>
  <c r="R1162" i="15"/>
  <c r="P1162" i="15"/>
  <c r="A1162" i="15"/>
  <c r="R1161" i="15"/>
  <c r="P1161" i="15"/>
  <c r="A1161" i="15"/>
  <c r="R1160" i="15"/>
  <c r="P1160" i="15"/>
  <c r="A1160" i="15"/>
  <c r="R1159" i="15"/>
  <c r="P1159" i="15"/>
  <c r="A1159" i="15"/>
  <c r="R1158" i="15"/>
  <c r="P1158" i="15"/>
  <c r="A1158" i="15"/>
  <c r="R1157" i="15"/>
  <c r="P1157" i="15"/>
  <c r="A1157" i="15"/>
  <c r="R1156" i="15"/>
  <c r="P1156" i="15"/>
  <c r="A1156" i="15"/>
  <c r="R1155" i="15"/>
  <c r="P1155" i="15"/>
  <c r="A1155" i="15"/>
  <c r="R1154" i="15"/>
  <c r="P1154" i="15"/>
  <c r="A1154" i="15"/>
  <c r="R1153" i="15"/>
  <c r="P1153" i="15"/>
  <c r="A1153" i="15"/>
  <c r="R1152" i="15"/>
  <c r="P1152" i="15"/>
  <c r="A1152" i="15"/>
  <c r="R1151" i="15"/>
  <c r="P1151" i="15"/>
  <c r="A1151" i="15"/>
  <c r="R1150" i="15"/>
  <c r="P1150" i="15"/>
  <c r="A1150" i="15"/>
  <c r="R1149" i="15"/>
  <c r="P1149" i="15"/>
  <c r="A1149" i="15"/>
  <c r="R1148" i="15"/>
  <c r="P1148" i="15"/>
  <c r="A1148" i="15"/>
  <c r="R1147" i="15"/>
  <c r="P1147" i="15"/>
  <c r="A1147" i="15"/>
  <c r="R1146" i="15"/>
  <c r="P1146" i="15"/>
  <c r="A1146" i="15"/>
  <c r="R1145" i="15"/>
  <c r="P1145" i="15"/>
  <c r="A1145" i="15"/>
  <c r="R1144" i="15"/>
  <c r="P1144" i="15"/>
  <c r="A1144" i="15"/>
  <c r="R1143" i="15"/>
  <c r="P1143" i="15"/>
  <c r="A1143" i="15"/>
  <c r="R1142" i="15"/>
  <c r="P1142" i="15"/>
  <c r="A1142" i="15"/>
  <c r="R1141" i="15"/>
  <c r="P1141" i="15"/>
  <c r="A1141" i="15"/>
  <c r="R1140" i="15"/>
  <c r="P1140" i="15"/>
  <c r="A1140" i="15"/>
  <c r="R1139" i="15"/>
  <c r="P1139" i="15"/>
  <c r="A1139" i="15"/>
  <c r="R1138" i="15"/>
  <c r="P1138" i="15"/>
  <c r="A1138" i="15"/>
  <c r="R1137" i="15"/>
  <c r="P1137" i="15"/>
  <c r="A1137" i="15"/>
  <c r="R1136" i="15"/>
  <c r="P1136" i="15"/>
  <c r="A1136" i="15"/>
  <c r="R1135" i="15"/>
  <c r="P1135" i="15"/>
  <c r="A1135" i="15"/>
  <c r="R1134" i="15"/>
  <c r="P1134" i="15"/>
  <c r="A1134" i="15"/>
  <c r="R1133" i="15"/>
  <c r="P1133" i="15"/>
  <c r="A1133" i="15"/>
  <c r="R1132" i="15"/>
  <c r="P1132" i="15"/>
  <c r="A1132" i="15"/>
  <c r="R1131" i="15"/>
  <c r="P1131" i="15"/>
  <c r="A1131" i="15"/>
  <c r="R1130" i="15"/>
  <c r="P1130" i="15"/>
  <c r="A1130" i="15"/>
  <c r="R1129" i="15"/>
  <c r="P1129" i="15"/>
  <c r="A1129" i="15"/>
  <c r="R1128" i="15"/>
  <c r="P1128" i="15"/>
  <c r="A1128" i="15"/>
  <c r="R1127" i="15"/>
  <c r="P1127" i="15"/>
  <c r="A1127" i="15"/>
  <c r="R1126" i="15"/>
  <c r="P1126" i="15"/>
  <c r="A1126" i="15"/>
  <c r="R1125" i="15"/>
  <c r="P1125" i="15"/>
  <c r="A1125" i="15"/>
  <c r="R1124" i="15"/>
  <c r="P1124" i="15"/>
  <c r="A1124" i="15"/>
  <c r="R1123" i="15"/>
  <c r="P1123" i="15"/>
  <c r="A1123" i="15"/>
  <c r="R1122" i="15"/>
  <c r="P1122" i="15"/>
  <c r="A1122" i="15"/>
  <c r="R1121" i="15"/>
  <c r="P1121" i="15"/>
  <c r="A1121" i="15"/>
  <c r="R1120" i="15"/>
  <c r="P1120" i="15"/>
  <c r="A1120" i="15"/>
  <c r="R1119" i="15"/>
  <c r="P1119" i="15"/>
  <c r="A1119" i="15"/>
  <c r="R1118" i="15"/>
  <c r="P1118" i="15"/>
  <c r="A1118" i="15"/>
  <c r="R1117" i="15"/>
  <c r="P1117" i="15"/>
  <c r="A1117" i="15"/>
  <c r="R1116" i="15"/>
  <c r="P1116" i="15"/>
  <c r="A1116" i="15"/>
  <c r="R1115" i="15"/>
  <c r="P1115" i="15"/>
  <c r="A1115" i="15"/>
  <c r="R1114" i="15"/>
  <c r="P1114" i="15"/>
  <c r="A1114" i="15"/>
  <c r="R1113" i="15"/>
  <c r="P1113" i="15"/>
  <c r="A1113" i="15"/>
  <c r="R1112" i="15"/>
  <c r="P1112" i="15"/>
  <c r="A1112" i="15"/>
  <c r="R1111" i="15"/>
  <c r="P1111" i="15"/>
  <c r="A1111" i="15"/>
  <c r="R1110" i="15"/>
  <c r="P1110" i="15"/>
  <c r="A1110" i="15"/>
  <c r="R1109" i="15"/>
  <c r="P1109" i="15"/>
  <c r="A1109" i="15"/>
  <c r="R1108" i="15"/>
  <c r="P1108" i="15"/>
  <c r="A1108" i="15"/>
  <c r="R1107" i="15"/>
  <c r="P1107" i="15"/>
  <c r="A1107" i="15"/>
  <c r="R1106" i="15"/>
  <c r="P1106" i="15"/>
  <c r="A1106" i="15"/>
  <c r="R1105" i="15"/>
  <c r="P1105" i="15"/>
  <c r="A1105" i="15"/>
  <c r="R1104" i="15"/>
  <c r="P1104" i="15"/>
  <c r="A1104" i="15"/>
  <c r="R1103" i="15"/>
  <c r="P1103" i="15"/>
  <c r="A1103" i="15"/>
  <c r="R1102" i="15"/>
  <c r="P1102" i="15"/>
  <c r="A1102" i="15"/>
  <c r="R1101" i="15"/>
  <c r="P1101" i="15"/>
  <c r="A1101" i="15"/>
  <c r="R1100" i="15"/>
  <c r="P1100" i="15"/>
  <c r="A1100" i="15"/>
  <c r="R1099" i="15"/>
  <c r="P1099" i="15"/>
  <c r="A1099" i="15"/>
  <c r="R1098" i="15"/>
  <c r="P1098" i="15"/>
  <c r="A1098" i="15"/>
  <c r="R1097" i="15"/>
  <c r="P1097" i="15"/>
  <c r="A1097" i="15"/>
  <c r="R1096" i="15"/>
  <c r="P1096" i="15"/>
  <c r="A1096" i="15"/>
  <c r="R1095" i="15"/>
  <c r="P1095" i="15"/>
  <c r="A1095" i="15"/>
  <c r="R1094" i="15"/>
  <c r="P1094" i="15"/>
  <c r="A1094" i="15"/>
  <c r="R1093" i="15"/>
  <c r="P1093" i="15"/>
  <c r="A1093" i="15"/>
  <c r="R1092" i="15"/>
  <c r="P1092" i="15"/>
  <c r="A1092" i="15"/>
  <c r="R1091" i="15"/>
  <c r="P1091" i="15"/>
  <c r="A1091" i="15"/>
  <c r="R1090" i="15"/>
  <c r="P1090" i="15"/>
  <c r="A1090" i="15"/>
  <c r="R1089" i="15"/>
  <c r="P1089" i="15"/>
  <c r="A1089" i="15"/>
  <c r="R1088" i="15"/>
  <c r="P1088" i="15"/>
  <c r="A1088" i="15"/>
  <c r="R1087" i="15"/>
  <c r="P1087" i="15"/>
  <c r="A1087" i="15"/>
  <c r="R1086" i="15"/>
  <c r="P1086" i="15"/>
  <c r="A1086" i="15"/>
  <c r="R1085" i="15"/>
  <c r="P1085" i="15"/>
  <c r="A1085" i="15"/>
  <c r="R1084" i="15"/>
  <c r="P1084" i="15"/>
  <c r="A1084" i="15"/>
  <c r="R1083" i="15"/>
  <c r="P1083" i="15"/>
  <c r="A1083" i="15"/>
  <c r="R1082" i="15"/>
  <c r="P1082" i="15"/>
  <c r="A1082" i="15"/>
  <c r="R1081" i="15"/>
  <c r="P1081" i="15"/>
  <c r="A1081" i="15"/>
  <c r="R1080" i="15"/>
  <c r="P1080" i="15"/>
  <c r="A1080" i="15"/>
  <c r="R1079" i="15"/>
  <c r="P1079" i="15"/>
  <c r="A1079" i="15"/>
  <c r="R1078" i="15"/>
  <c r="P1078" i="15"/>
  <c r="A1078" i="15"/>
  <c r="R1077" i="15"/>
  <c r="P1077" i="15"/>
  <c r="A1077" i="15"/>
  <c r="R1076" i="15"/>
  <c r="P1076" i="15"/>
  <c r="A1076" i="15"/>
  <c r="R1075" i="15"/>
  <c r="P1075" i="15"/>
  <c r="A1075" i="15"/>
  <c r="R1074" i="15"/>
  <c r="P1074" i="15"/>
  <c r="A1074" i="15"/>
  <c r="R1073" i="15"/>
  <c r="P1073" i="15"/>
  <c r="A1073" i="15"/>
  <c r="R1072" i="15"/>
  <c r="P1072" i="15"/>
  <c r="A1072" i="15"/>
  <c r="R1071" i="15"/>
  <c r="P1071" i="15"/>
  <c r="A1071" i="15"/>
  <c r="R1070" i="15"/>
  <c r="P1070" i="15"/>
  <c r="A1070" i="15"/>
  <c r="R1069" i="15"/>
  <c r="P1069" i="15"/>
  <c r="A1069" i="15"/>
  <c r="R1068" i="15"/>
  <c r="P1068" i="15"/>
  <c r="A1068" i="15"/>
  <c r="R1067" i="15"/>
  <c r="P1067" i="15"/>
  <c r="A1067" i="15"/>
  <c r="R1066" i="15"/>
  <c r="P1066" i="15"/>
  <c r="A1066" i="15"/>
  <c r="R1065" i="15"/>
  <c r="P1065" i="15"/>
  <c r="A1065" i="15"/>
  <c r="R1064" i="15"/>
  <c r="P1064" i="15"/>
  <c r="A1064" i="15"/>
  <c r="R1063" i="15"/>
  <c r="P1063" i="15"/>
  <c r="A1063" i="15"/>
  <c r="R1062" i="15"/>
  <c r="P1062" i="15"/>
  <c r="A1062" i="15"/>
  <c r="R1061" i="15"/>
  <c r="P1061" i="15"/>
  <c r="A1061" i="15"/>
  <c r="R1060" i="15"/>
  <c r="P1060" i="15"/>
  <c r="A1060" i="15"/>
  <c r="R1059" i="15"/>
  <c r="P1059" i="15"/>
  <c r="A1059" i="15"/>
  <c r="R1058" i="15"/>
  <c r="P1058" i="15"/>
  <c r="A1058" i="15"/>
  <c r="R1057" i="15"/>
  <c r="P1057" i="15"/>
  <c r="A1057" i="15"/>
  <c r="R1056" i="15"/>
  <c r="P1056" i="15"/>
  <c r="A1056" i="15"/>
  <c r="R1055" i="15"/>
  <c r="P1055" i="15"/>
  <c r="A1055" i="15"/>
  <c r="R1054" i="15"/>
  <c r="P1054" i="15"/>
  <c r="A1054" i="15"/>
  <c r="R1053" i="15"/>
  <c r="P1053" i="15"/>
  <c r="A1053" i="15"/>
  <c r="R1052" i="15"/>
  <c r="P1052" i="15"/>
  <c r="A1052" i="15"/>
  <c r="R1051" i="15"/>
  <c r="P1051" i="15"/>
  <c r="A1051" i="15"/>
  <c r="R1050" i="15"/>
  <c r="P1050" i="15"/>
  <c r="A1050" i="15"/>
  <c r="R1049" i="15"/>
  <c r="P1049" i="15"/>
  <c r="A1049" i="15"/>
  <c r="R1048" i="15"/>
  <c r="P1048" i="15"/>
  <c r="A1048" i="15"/>
  <c r="R1047" i="15"/>
  <c r="P1047" i="15"/>
  <c r="A1047" i="15"/>
  <c r="R1046" i="15"/>
  <c r="P1046" i="15"/>
  <c r="A1046" i="15"/>
  <c r="R1045" i="15"/>
  <c r="P1045" i="15"/>
  <c r="A1045" i="15"/>
  <c r="R1044" i="15"/>
  <c r="P1044" i="15"/>
  <c r="A1044" i="15"/>
  <c r="R1043" i="15"/>
  <c r="P1043" i="15"/>
  <c r="A1043" i="15"/>
  <c r="R1042" i="15"/>
  <c r="P1042" i="15"/>
  <c r="A1042" i="15"/>
  <c r="R1041" i="15"/>
  <c r="P1041" i="15"/>
  <c r="A1041" i="15"/>
  <c r="R1040" i="15"/>
  <c r="P1040" i="15"/>
  <c r="A1040" i="15"/>
  <c r="R1039" i="15"/>
  <c r="P1039" i="15"/>
  <c r="A1039" i="15"/>
  <c r="R1038" i="15"/>
  <c r="P1038" i="15"/>
  <c r="A1038" i="15"/>
  <c r="R1037" i="15"/>
  <c r="P1037" i="15"/>
  <c r="A1037" i="15"/>
  <c r="R1036" i="15"/>
  <c r="P1036" i="15"/>
  <c r="A1036" i="15"/>
  <c r="R1035" i="15"/>
  <c r="P1035" i="15"/>
  <c r="A1035" i="15"/>
  <c r="R1034" i="15"/>
  <c r="P1034" i="15"/>
  <c r="A1034" i="15"/>
  <c r="R1033" i="15"/>
  <c r="P1033" i="15"/>
  <c r="A1033" i="15"/>
  <c r="R1032" i="15"/>
  <c r="P1032" i="15"/>
  <c r="A1032" i="15"/>
  <c r="R1031" i="15"/>
  <c r="P1031" i="15"/>
  <c r="A1031" i="15"/>
  <c r="R1030" i="15"/>
  <c r="P1030" i="15"/>
  <c r="A1030" i="15"/>
  <c r="R1029" i="15"/>
  <c r="P1029" i="15"/>
  <c r="A1029" i="15"/>
  <c r="R1028" i="15"/>
  <c r="P1028" i="15"/>
  <c r="A1028" i="15"/>
  <c r="R1027" i="15"/>
  <c r="P1027" i="15"/>
  <c r="A1027" i="15"/>
  <c r="R1026" i="15"/>
  <c r="P1026" i="15"/>
  <c r="A1026" i="15"/>
  <c r="R1025" i="15"/>
  <c r="P1025" i="15"/>
  <c r="A1025" i="15"/>
  <c r="R1024" i="15"/>
  <c r="P1024" i="15"/>
  <c r="A1024" i="15"/>
  <c r="R1023" i="15"/>
  <c r="P1023" i="15"/>
  <c r="A1023" i="15"/>
  <c r="R1022" i="15"/>
  <c r="P1022" i="15"/>
  <c r="A1022" i="15"/>
  <c r="R1021" i="15"/>
  <c r="P1021" i="15"/>
  <c r="A1021" i="15"/>
  <c r="R1020" i="15"/>
  <c r="P1020" i="15"/>
  <c r="A1020" i="15"/>
  <c r="R1019" i="15"/>
  <c r="P1019" i="15"/>
  <c r="A1019" i="15"/>
  <c r="R1018" i="15"/>
  <c r="P1018" i="15"/>
  <c r="A1018" i="15"/>
  <c r="R1017" i="15"/>
  <c r="P1017" i="15"/>
  <c r="A1017" i="15"/>
  <c r="R1016" i="15"/>
  <c r="P1016" i="15"/>
  <c r="A1016" i="15"/>
  <c r="R1015" i="15"/>
  <c r="P1015" i="15"/>
  <c r="A1015" i="15"/>
  <c r="R1014" i="15"/>
  <c r="P1014" i="15"/>
  <c r="A1014" i="15"/>
  <c r="R1013" i="15"/>
  <c r="P1013" i="15"/>
  <c r="A1013" i="15"/>
  <c r="R1012" i="15"/>
  <c r="P1012" i="15"/>
  <c r="A1012" i="15"/>
  <c r="R1011" i="15"/>
  <c r="P1011" i="15"/>
  <c r="A1011" i="15"/>
  <c r="R1010" i="15"/>
  <c r="P1010" i="15"/>
  <c r="A1010" i="15"/>
  <c r="R1009" i="15"/>
  <c r="P1009" i="15"/>
  <c r="A1009" i="15"/>
  <c r="R1008" i="15"/>
  <c r="P1008" i="15"/>
  <c r="A1008" i="15"/>
  <c r="R1007" i="15"/>
  <c r="P1007" i="15"/>
  <c r="A1007" i="15"/>
  <c r="R1006" i="15"/>
  <c r="P1006" i="15"/>
  <c r="A1006" i="15"/>
  <c r="R1005" i="15"/>
  <c r="P1005" i="15"/>
  <c r="A1005" i="15"/>
  <c r="R1004" i="15"/>
  <c r="P1004" i="15"/>
  <c r="A1004" i="15"/>
  <c r="R1003" i="15"/>
  <c r="P1003" i="15"/>
  <c r="A1003" i="15"/>
  <c r="R1002" i="15"/>
  <c r="P1002" i="15"/>
  <c r="A1002" i="15"/>
  <c r="R1001" i="15"/>
  <c r="P1001" i="15"/>
  <c r="A1001" i="15"/>
  <c r="R1000" i="15"/>
  <c r="P1000" i="15"/>
  <c r="A1000" i="15"/>
  <c r="R999" i="15"/>
  <c r="P999" i="15"/>
  <c r="A999" i="15"/>
  <c r="R998" i="15"/>
  <c r="P998" i="15"/>
  <c r="A998" i="15"/>
  <c r="R997" i="15"/>
  <c r="P997" i="15"/>
  <c r="A997" i="15"/>
  <c r="R996" i="15"/>
  <c r="P996" i="15"/>
  <c r="A996" i="15"/>
  <c r="R995" i="15"/>
  <c r="P995" i="15"/>
  <c r="A995" i="15"/>
  <c r="R994" i="15"/>
  <c r="P994" i="15"/>
  <c r="A994" i="15"/>
  <c r="R993" i="15"/>
  <c r="P993" i="15"/>
  <c r="A993" i="15"/>
  <c r="R992" i="15"/>
  <c r="P992" i="15"/>
  <c r="A992" i="15"/>
  <c r="R991" i="15"/>
  <c r="P991" i="15"/>
  <c r="A991" i="15"/>
  <c r="R990" i="15"/>
  <c r="P990" i="15"/>
  <c r="A990" i="15"/>
  <c r="R989" i="15"/>
  <c r="P989" i="15"/>
  <c r="A989" i="15"/>
  <c r="R988" i="15"/>
  <c r="P988" i="15"/>
  <c r="A988" i="15"/>
  <c r="R987" i="15"/>
  <c r="P987" i="15"/>
  <c r="A987" i="15"/>
  <c r="R986" i="15"/>
  <c r="P986" i="15"/>
  <c r="A986" i="15"/>
  <c r="R985" i="15"/>
  <c r="P985" i="15"/>
  <c r="A985" i="15"/>
  <c r="R984" i="15"/>
  <c r="P984" i="15"/>
  <c r="A984" i="15"/>
  <c r="R983" i="15"/>
  <c r="P983" i="15"/>
  <c r="A983" i="15"/>
  <c r="R982" i="15"/>
  <c r="P982" i="15"/>
  <c r="A982" i="15"/>
  <c r="R981" i="15"/>
  <c r="P981" i="15"/>
  <c r="A981" i="15"/>
  <c r="R980" i="15"/>
  <c r="P980" i="15"/>
  <c r="A980" i="15"/>
  <c r="R979" i="15"/>
  <c r="P979" i="15"/>
  <c r="A979" i="15"/>
  <c r="R978" i="15"/>
  <c r="P978" i="15"/>
  <c r="A978" i="15"/>
  <c r="R977" i="15"/>
  <c r="P977" i="15"/>
  <c r="A977" i="15"/>
  <c r="R976" i="15"/>
  <c r="P976" i="15"/>
  <c r="A976" i="15"/>
  <c r="R975" i="15"/>
  <c r="P975" i="15"/>
  <c r="A975" i="15"/>
  <c r="R974" i="15"/>
  <c r="P974" i="15"/>
  <c r="A974" i="15"/>
  <c r="R973" i="15"/>
  <c r="P973" i="15"/>
  <c r="A973" i="15"/>
  <c r="R972" i="15"/>
  <c r="P972" i="15"/>
  <c r="A972" i="15"/>
  <c r="R971" i="15"/>
  <c r="P971" i="15"/>
  <c r="A971" i="15"/>
  <c r="R970" i="15"/>
  <c r="P970" i="15"/>
  <c r="A970" i="15"/>
  <c r="R969" i="15"/>
  <c r="P969" i="15"/>
  <c r="A969" i="15"/>
  <c r="R968" i="15"/>
  <c r="P968" i="15"/>
  <c r="A968" i="15"/>
  <c r="R967" i="15"/>
  <c r="P967" i="15"/>
  <c r="A967" i="15"/>
  <c r="R966" i="15"/>
  <c r="P966" i="15"/>
  <c r="A966" i="15"/>
  <c r="R965" i="15"/>
  <c r="P965" i="15"/>
  <c r="A965" i="15"/>
  <c r="R964" i="15"/>
  <c r="P964" i="15"/>
  <c r="A964" i="15"/>
  <c r="R963" i="15"/>
  <c r="P963" i="15"/>
  <c r="A963" i="15"/>
  <c r="R962" i="15"/>
  <c r="P962" i="15"/>
  <c r="A962" i="15"/>
  <c r="R961" i="15"/>
  <c r="P961" i="15"/>
  <c r="A961" i="15"/>
  <c r="R960" i="15"/>
  <c r="P960" i="15"/>
  <c r="A960" i="15"/>
  <c r="R959" i="15"/>
  <c r="P959" i="15"/>
  <c r="A959" i="15"/>
  <c r="R958" i="15"/>
  <c r="P958" i="15"/>
  <c r="A958" i="15"/>
  <c r="R957" i="15"/>
  <c r="P957" i="15"/>
  <c r="A957" i="15"/>
  <c r="R956" i="15"/>
  <c r="P956" i="15"/>
  <c r="A956" i="15"/>
  <c r="R955" i="15"/>
  <c r="P955" i="15"/>
  <c r="A955" i="15"/>
  <c r="R954" i="15"/>
  <c r="P954" i="15"/>
  <c r="A954" i="15"/>
  <c r="R953" i="15"/>
  <c r="P953" i="15"/>
  <c r="A953" i="15"/>
  <c r="R952" i="15"/>
  <c r="P952" i="15"/>
  <c r="A952" i="15"/>
  <c r="R951" i="15"/>
  <c r="P951" i="15"/>
  <c r="A951" i="15"/>
  <c r="R950" i="15"/>
  <c r="P950" i="15"/>
  <c r="A950" i="15"/>
  <c r="R949" i="15"/>
  <c r="P949" i="15"/>
  <c r="A949" i="15"/>
  <c r="R948" i="15"/>
  <c r="P948" i="15"/>
  <c r="A948" i="15"/>
  <c r="R947" i="15"/>
  <c r="P947" i="15"/>
  <c r="A947" i="15"/>
  <c r="R946" i="15"/>
  <c r="P946" i="15"/>
  <c r="A946" i="15"/>
  <c r="R945" i="15"/>
  <c r="P945" i="15"/>
  <c r="A945" i="15"/>
  <c r="R944" i="15"/>
  <c r="P944" i="15"/>
  <c r="A944" i="15"/>
  <c r="R943" i="15"/>
  <c r="P943" i="15"/>
  <c r="A943" i="15"/>
  <c r="R942" i="15"/>
  <c r="P942" i="15"/>
  <c r="A942" i="15"/>
  <c r="R941" i="15"/>
  <c r="P941" i="15"/>
  <c r="A941" i="15"/>
  <c r="R940" i="15"/>
  <c r="P940" i="15"/>
  <c r="A940" i="15"/>
  <c r="R939" i="15"/>
  <c r="P939" i="15"/>
  <c r="A939" i="15"/>
  <c r="R938" i="15"/>
  <c r="P938" i="15"/>
  <c r="A938" i="15"/>
  <c r="R937" i="15"/>
  <c r="P937" i="15"/>
  <c r="A937" i="15"/>
  <c r="R936" i="15"/>
  <c r="P936" i="15"/>
  <c r="A936" i="15"/>
  <c r="R935" i="15"/>
  <c r="P935" i="15"/>
  <c r="A935" i="15"/>
  <c r="R934" i="15"/>
  <c r="P934" i="15"/>
  <c r="A934" i="15"/>
  <c r="R933" i="15"/>
  <c r="P933" i="15"/>
  <c r="A933" i="15"/>
  <c r="R932" i="15"/>
  <c r="P932" i="15"/>
  <c r="A932" i="15"/>
  <c r="R931" i="15"/>
  <c r="P931" i="15"/>
  <c r="A931" i="15"/>
  <c r="R930" i="15"/>
  <c r="P930" i="15"/>
  <c r="A930" i="15"/>
  <c r="R929" i="15"/>
  <c r="P929" i="15"/>
  <c r="A929" i="15"/>
  <c r="R928" i="15"/>
  <c r="P928" i="15"/>
  <c r="A928" i="15"/>
  <c r="R927" i="15"/>
  <c r="P927" i="15"/>
  <c r="A927" i="15"/>
  <c r="R926" i="15"/>
  <c r="P926" i="15"/>
  <c r="A926" i="15"/>
  <c r="R925" i="15"/>
  <c r="P925" i="15"/>
  <c r="A925" i="15"/>
  <c r="R924" i="15"/>
  <c r="P924" i="15"/>
  <c r="A924" i="15"/>
  <c r="R923" i="15"/>
  <c r="P923" i="15"/>
  <c r="A923" i="15"/>
  <c r="R922" i="15"/>
  <c r="P922" i="15"/>
  <c r="A922" i="15"/>
  <c r="R921" i="15"/>
  <c r="P921" i="15"/>
  <c r="A921" i="15"/>
  <c r="R920" i="15"/>
  <c r="P920" i="15"/>
  <c r="A920" i="15"/>
  <c r="R919" i="15"/>
  <c r="P919" i="15"/>
  <c r="A919" i="15"/>
  <c r="R918" i="15"/>
  <c r="P918" i="15"/>
  <c r="A918" i="15"/>
  <c r="R917" i="15"/>
  <c r="P917" i="15"/>
  <c r="A917" i="15"/>
  <c r="R916" i="15"/>
  <c r="P916" i="15"/>
  <c r="A916" i="15"/>
  <c r="R915" i="15"/>
  <c r="P915" i="15"/>
  <c r="A915" i="15"/>
  <c r="R914" i="15"/>
  <c r="P914" i="15"/>
  <c r="A914" i="15"/>
  <c r="R913" i="15"/>
  <c r="P913" i="15"/>
  <c r="A913" i="15"/>
  <c r="R912" i="15"/>
  <c r="P912" i="15"/>
  <c r="A912" i="15"/>
  <c r="R911" i="15"/>
  <c r="P911" i="15"/>
  <c r="A911" i="15"/>
  <c r="R910" i="15"/>
  <c r="P910" i="15"/>
  <c r="A910" i="15"/>
  <c r="R909" i="15"/>
  <c r="P909" i="15"/>
  <c r="A909" i="15"/>
  <c r="R908" i="15"/>
  <c r="P908" i="15"/>
  <c r="A908" i="15"/>
  <c r="R907" i="15"/>
  <c r="P907" i="15"/>
  <c r="A907" i="15"/>
  <c r="R906" i="15"/>
  <c r="P906" i="15"/>
  <c r="A906" i="15"/>
  <c r="R905" i="15"/>
  <c r="P905" i="15"/>
  <c r="A905" i="15"/>
  <c r="R904" i="15"/>
  <c r="P904" i="15"/>
  <c r="A904" i="15"/>
  <c r="R903" i="15"/>
  <c r="P903" i="15"/>
  <c r="A903" i="15"/>
  <c r="R902" i="15"/>
  <c r="P902" i="15"/>
  <c r="A902" i="15"/>
  <c r="R901" i="15"/>
  <c r="P901" i="15"/>
  <c r="A901" i="15"/>
  <c r="R900" i="15"/>
  <c r="P900" i="15"/>
  <c r="A900" i="15"/>
  <c r="R899" i="15"/>
  <c r="P899" i="15"/>
  <c r="A899" i="15"/>
  <c r="R898" i="15"/>
  <c r="P898" i="15"/>
  <c r="A898" i="15"/>
  <c r="R897" i="15"/>
  <c r="P897" i="15"/>
  <c r="A897" i="15"/>
  <c r="R896" i="15"/>
  <c r="P896" i="15"/>
  <c r="A896" i="15"/>
  <c r="R895" i="15"/>
  <c r="P895" i="15"/>
  <c r="A895" i="15"/>
  <c r="R894" i="15"/>
  <c r="P894" i="15"/>
  <c r="A894" i="15"/>
  <c r="R893" i="15"/>
  <c r="P893" i="15"/>
  <c r="A893" i="15"/>
  <c r="R892" i="15"/>
  <c r="P892" i="15"/>
  <c r="A892" i="15"/>
  <c r="R891" i="15"/>
  <c r="P891" i="15"/>
  <c r="A891" i="15"/>
  <c r="R890" i="15"/>
  <c r="P890" i="15"/>
  <c r="A890" i="15"/>
  <c r="R889" i="15"/>
  <c r="P889" i="15"/>
  <c r="A889" i="15"/>
  <c r="R888" i="15"/>
  <c r="P888" i="15"/>
  <c r="A888" i="15"/>
  <c r="R887" i="15"/>
  <c r="P887" i="15"/>
  <c r="A887" i="15"/>
  <c r="R886" i="15"/>
  <c r="P886" i="15"/>
  <c r="A886" i="15"/>
  <c r="R885" i="15"/>
  <c r="P885" i="15"/>
  <c r="A885" i="15"/>
  <c r="R884" i="15"/>
  <c r="P884" i="15"/>
  <c r="A884" i="15"/>
  <c r="R883" i="15"/>
  <c r="P883" i="15"/>
  <c r="A883" i="15"/>
  <c r="R882" i="15"/>
  <c r="P882" i="15"/>
  <c r="A882" i="15"/>
  <c r="R881" i="15"/>
  <c r="P881" i="15"/>
  <c r="A881" i="15"/>
  <c r="R880" i="15"/>
  <c r="P880" i="15"/>
  <c r="A880" i="15"/>
  <c r="R879" i="15"/>
  <c r="P879" i="15"/>
  <c r="A879" i="15"/>
  <c r="R878" i="15"/>
  <c r="P878" i="15"/>
  <c r="A878" i="15"/>
  <c r="R877" i="15"/>
  <c r="P877" i="15"/>
  <c r="A877" i="15"/>
  <c r="R876" i="15"/>
  <c r="P876" i="15"/>
  <c r="A876" i="15"/>
  <c r="R875" i="15"/>
  <c r="P875" i="15"/>
  <c r="A875" i="15"/>
  <c r="R874" i="15"/>
  <c r="P874" i="15"/>
  <c r="A874" i="15"/>
  <c r="R873" i="15"/>
  <c r="P873" i="15"/>
  <c r="A873" i="15"/>
  <c r="R872" i="15"/>
  <c r="P872" i="15"/>
  <c r="A872" i="15"/>
  <c r="R871" i="15"/>
  <c r="P871" i="15"/>
  <c r="A871" i="15"/>
  <c r="R870" i="15"/>
  <c r="P870" i="15"/>
  <c r="A870" i="15"/>
  <c r="R869" i="15"/>
  <c r="P869" i="15"/>
  <c r="A869" i="15"/>
  <c r="R868" i="15"/>
  <c r="P868" i="15"/>
  <c r="A868" i="15"/>
  <c r="R867" i="15"/>
  <c r="P867" i="15"/>
  <c r="A867" i="15"/>
  <c r="R866" i="15"/>
  <c r="P866" i="15"/>
  <c r="A866" i="15"/>
  <c r="R865" i="15"/>
  <c r="P865" i="15"/>
  <c r="A865" i="15"/>
  <c r="R864" i="15"/>
  <c r="P864" i="15"/>
  <c r="A864" i="15"/>
  <c r="R863" i="15"/>
  <c r="P863" i="15"/>
  <c r="A863" i="15"/>
  <c r="R862" i="15"/>
  <c r="P862" i="15"/>
  <c r="A862" i="15"/>
  <c r="R861" i="15"/>
  <c r="P861" i="15"/>
  <c r="A861" i="15"/>
  <c r="R860" i="15"/>
  <c r="P860" i="15"/>
  <c r="A860" i="15"/>
  <c r="R859" i="15"/>
  <c r="P859" i="15"/>
  <c r="A859" i="15"/>
  <c r="R858" i="15"/>
  <c r="P858" i="15"/>
  <c r="A858" i="15"/>
  <c r="R857" i="15"/>
  <c r="P857" i="15"/>
  <c r="A857" i="15"/>
  <c r="R856" i="15"/>
  <c r="P856" i="15"/>
  <c r="A856" i="15"/>
  <c r="R855" i="15"/>
  <c r="P855" i="15"/>
  <c r="A855" i="15"/>
  <c r="R854" i="15"/>
  <c r="P854" i="15"/>
  <c r="A854" i="15"/>
  <c r="R853" i="15"/>
  <c r="P853" i="15"/>
  <c r="A853" i="15"/>
  <c r="R852" i="15"/>
  <c r="P852" i="15"/>
  <c r="A852" i="15"/>
  <c r="R851" i="15"/>
  <c r="P851" i="15"/>
  <c r="A851" i="15"/>
  <c r="R850" i="15"/>
  <c r="P850" i="15"/>
  <c r="A850" i="15"/>
  <c r="R849" i="15"/>
  <c r="P849" i="15"/>
  <c r="A849" i="15"/>
  <c r="R848" i="15"/>
  <c r="P848" i="15"/>
  <c r="A848" i="15"/>
  <c r="R847" i="15"/>
  <c r="P847" i="15"/>
  <c r="A847" i="15"/>
  <c r="R846" i="15"/>
  <c r="P846" i="15"/>
  <c r="A846" i="15"/>
  <c r="R845" i="15"/>
  <c r="P845" i="15"/>
  <c r="A845" i="15"/>
  <c r="R844" i="15"/>
  <c r="P844" i="15"/>
  <c r="A844" i="15"/>
  <c r="R843" i="15"/>
  <c r="P843" i="15"/>
  <c r="A843" i="15"/>
  <c r="R842" i="15"/>
  <c r="P842" i="15"/>
  <c r="A842" i="15"/>
  <c r="R841" i="15"/>
  <c r="P841" i="15"/>
  <c r="A841" i="15"/>
  <c r="R840" i="15"/>
  <c r="P840" i="15"/>
  <c r="A840" i="15"/>
  <c r="R839" i="15"/>
  <c r="P839" i="15"/>
  <c r="A839" i="15"/>
  <c r="R838" i="15"/>
  <c r="P838" i="15"/>
  <c r="A838" i="15"/>
  <c r="R837" i="15"/>
  <c r="P837" i="15"/>
  <c r="A837" i="15"/>
  <c r="R836" i="15"/>
  <c r="P836" i="15"/>
  <c r="A836" i="15"/>
  <c r="R835" i="15"/>
  <c r="P835" i="15"/>
  <c r="A835" i="15"/>
  <c r="R834" i="15"/>
  <c r="P834" i="15"/>
  <c r="A834" i="15"/>
  <c r="R833" i="15"/>
  <c r="P833" i="15"/>
  <c r="A833" i="15"/>
  <c r="R832" i="15"/>
  <c r="P832" i="15"/>
  <c r="A832" i="15"/>
  <c r="R831" i="15"/>
  <c r="P831" i="15"/>
  <c r="A831" i="15"/>
  <c r="R830" i="15"/>
  <c r="P830" i="15"/>
  <c r="A830" i="15"/>
  <c r="R829" i="15"/>
  <c r="P829" i="15"/>
  <c r="A829" i="15"/>
  <c r="R828" i="15"/>
  <c r="P828" i="15"/>
  <c r="A828" i="15"/>
  <c r="R827" i="15"/>
  <c r="P827" i="15"/>
  <c r="A827" i="15"/>
  <c r="R826" i="15"/>
  <c r="P826" i="15"/>
  <c r="A826" i="15"/>
  <c r="R825" i="15"/>
  <c r="P825" i="15"/>
  <c r="A825" i="15"/>
  <c r="R824" i="15"/>
  <c r="P824" i="15"/>
  <c r="A824" i="15"/>
  <c r="R823" i="15"/>
  <c r="P823" i="15"/>
  <c r="A823" i="15"/>
  <c r="R822" i="15"/>
  <c r="P822" i="15"/>
  <c r="A822" i="15"/>
  <c r="R821" i="15"/>
  <c r="P821" i="15"/>
  <c r="A821" i="15"/>
  <c r="R820" i="15"/>
  <c r="P820" i="15"/>
  <c r="A820" i="15"/>
  <c r="R819" i="15"/>
  <c r="P819" i="15"/>
  <c r="A819" i="15"/>
  <c r="R818" i="15"/>
  <c r="P818" i="15"/>
  <c r="A818" i="15"/>
  <c r="R817" i="15"/>
  <c r="P817" i="15"/>
  <c r="A817" i="15"/>
  <c r="R816" i="15"/>
  <c r="P816" i="15"/>
  <c r="A816" i="15"/>
  <c r="R815" i="15"/>
  <c r="P815" i="15"/>
  <c r="A815" i="15"/>
  <c r="R814" i="15"/>
  <c r="P814" i="15"/>
  <c r="A814" i="15"/>
  <c r="R813" i="15"/>
  <c r="P813" i="15"/>
  <c r="A813" i="15"/>
  <c r="R812" i="15"/>
  <c r="P812" i="15"/>
  <c r="A812" i="15"/>
  <c r="R811" i="15"/>
  <c r="P811" i="15"/>
  <c r="A811" i="15"/>
  <c r="R810" i="15"/>
  <c r="P810" i="15"/>
  <c r="A810" i="15"/>
  <c r="R809" i="15"/>
  <c r="P809" i="15"/>
  <c r="A809" i="15"/>
  <c r="R808" i="15"/>
  <c r="P808" i="15"/>
  <c r="A808" i="15"/>
  <c r="R807" i="15"/>
  <c r="P807" i="15"/>
  <c r="A807" i="15"/>
  <c r="R806" i="15"/>
  <c r="P806" i="15"/>
  <c r="A806" i="15"/>
  <c r="R805" i="15"/>
  <c r="P805" i="15"/>
  <c r="A805" i="15"/>
  <c r="R804" i="15"/>
  <c r="P804" i="15"/>
  <c r="A804" i="15"/>
  <c r="R803" i="15"/>
  <c r="P803" i="15"/>
  <c r="A803" i="15"/>
  <c r="R802" i="15"/>
  <c r="P802" i="15"/>
  <c r="A802" i="15"/>
  <c r="R801" i="15"/>
  <c r="P801" i="15"/>
  <c r="A801" i="15"/>
  <c r="R800" i="15"/>
  <c r="P800" i="15"/>
  <c r="A800" i="15"/>
  <c r="R799" i="15"/>
  <c r="P799" i="15"/>
  <c r="A799" i="15"/>
  <c r="R798" i="15"/>
  <c r="P798" i="15"/>
  <c r="A798" i="15"/>
  <c r="R797" i="15"/>
  <c r="P797" i="15"/>
  <c r="A797" i="15"/>
  <c r="R796" i="15"/>
  <c r="P796" i="15"/>
  <c r="A796" i="15"/>
  <c r="R795" i="15"/>
  <c r="P795" i="15"/>
  <c r="A795" i="15"/>
  <c r="R794" i="15"/>
  <c r="P794" i="15"/>
  <c r="A794" i="15"/>
  <c r="R793" i="15"/>
  <c r="P793" i="15"/>
  <c r="A793" i="15"/>
  <c r="R792" i="15"/>
  <c r="P792" i="15"/>
  <c r="A792" i="15"/>
  <c r="R791" i="15"/>
  <c r="P791" i="15"/>
  <c r="A791" i="15"/>
  <c r="R790" i="15"/>
  <c r="P790" i="15"/>
  <c r="A790" i="15"/>
  <c r="R789" i="15"/>
  <c r="P789" i="15"/>
  <c r="A789" i="15"/>
  <c r="R788" i="15"/>
  <c r="P788" i="15"/>
  <c r="A788" i="15"/>
  <c r="R787" i="15"/>
  <c r="P787" i="15"/>
  <c r="A787" i="15"/>
  <c r="R786" i="15"/>
  <c r="P786" i="15"/>
  <c r="A786" i="15"/>
  <c r="R785" i="15"/>
  <c r="P785" i="15"/>
  <c r="A785" i="15"/>
  <c r="R784" i="15"/>
  <c r="P784" i="15"/>
  <c r="A784" i="15"/>
  <c r="R783" i="15"/>
  <c r="P783" i="15"/>
  <c r="A783" i="15"/>
  <c r="R782" i="15"/>
  <c r="P782" i="15"/>
  <c r="A782" i="15"/>
  <c r="R781" i="15"/>
  <c r="P781" i="15"/>
  <c r="A781" i="15"/>
  <c r="R780" i="15"/>
  <c r="P780" i="15"/>
  <c r="A780" i="15"/>
  <c r="R779" i="15"/>
  <c r="P779" i="15"/>
  <c r="A779" i="15"/>
  <c r="R778" i="15"/>
  <c r="P778" i="15"/>
  <c r="A778" i="15"/>
  <c r="R777" i="15"/>
  <c r="P777" i="15"/>
  <c r="A777" i="15"/>
  <c r="R776" i="15"/>
  <c r="P776" i="15"/>
  <c r="A776" i="15"/>
  <c r="R775" i="15"/>
  <c r="P775" i="15"/>
  <c r="A775" i="15"/>
  <c r="R774" i="15"/>
  <c r="P774" i="15"/>
  <c r="A774" i="15"/>
  <c r="R773" i="15"/>
  <c r="P773" i="15"/>
  <c r="A773" i="15"/>
  <c r="R772" i="15"/>
  <c r="P772" i="15"/>
  <c r="A772" i="15"/>
  <c r="R771" i="15"/>
  <c r="P771" i="15"/>
  <c r="A771" i="15"/>
  <c r="R770" i="15"/>
  <c r="P770" i="15"/>
  <c r="A770" i="15"/>
  <c r="R769" i="15"/>
  <c r="P769" i="15"/>
  <c r="A769" i="15"/>
  <c r="R768" i="15"/>
  <c r="P768" i="15"/>
  <c r="A768" i="15"/>
  <c r="R767" i="15"/>
  <c r="P767" i="15"/>
  <c r="A767" i="15"/>
  <c r="R766" i="15"/>
  <c r="P766" i="15"/>
  <c r="A766" i="15"/>
  <c r="R765" i="15"/>
  <c r="P765" i="15"/>
  <c r="A765" i="15"/>
  <c r="R764" i="15"/>
  <c r="P764" i="15"/>
  <c r="A764" i="15"/>
  <c r="R763" i="15"/>
  <c r="P763" i="15"/>
  <c r="A763" i="15"/>
  <c r="R762" i="15"/>
  <c r="P762" i="15"/>
  <c r="A762" i="15"/>
  <c r="R761" i="15"/>
  <c r="P761" i="15"/>
  <c r="A761" i="15"/>
  <c r="R760" i="15"/>
  <c r="P760" i="15"/>
  <c r="A760" i="15"/>
  <c r="R759" i="15"/>
  <c r="P759" i="15"/>
  <c r="A759" i="15"/>
  <c r="R758" i="15"/>
  <c r="P758" i="15"/>
  <c r="A758" i="15"/>
  <c r="R757" i="15"/>
  <c r="P757" i="15"/>
  <c r="A757" i="15"/>
  <c r="R756" i="15"/>
  <c r="P756" i="15"/>
  <c r="A756" i="15"/>
  <c r="R755" i="15"/>
  <c r="P755" i="15"/>
  <c r="A755" i="15"/>
  <c r="R754" i="15"/>
  <c r="P754" i="15"/>
  <c r="A754" i="15"/>
  <c r="R753" i="15"/>
  <c r="P753" i="15"/>
  <c r="A753" i="15"/>
  <c r="R752" i="15"/>
  <c r="P752" i="15"/>
  <c r="A752" i="15"/>
  <c r="R751" i="15"/>
  <c r="P751" i="15"/>
  <c r="A751" i="15"/>
  <c r="R750" i="15"/>
  <c r="P750" i="15"/>
  <c r="A750" i="15"/>
  <c r="R749" i="15"/>
  <c r="P749" i="15"/>
  <c r="A749" i="15"/>
  <c r="R748" i="15"/>
  <c r="P748" i="15"/>
  <c r="A748" i="15"/>
  <c r="R747" i="15"/>
  <c r="P747" i="15"/>
  <c r="A747" i="15"/>
  <c r="R746" i="15"/>
  <c r="P746" i="15"/>
  <c r="A746" i="15"/>
  <c r="R745" i="15"/>
  <c r="P745" i="15"/>
  <c r="A745" i="15"/>
  <c r="R744" i="15"/>
  <c r="P744" i="15"/>
  <c r="A744" i="15"/>
  <c r="R743" i="15"/>
  <c r="P743" i="15"/>
  <c r="A743" i="15"/>
  <c r="R742" i="15"/>
  <c r="P742" i="15"/>
  <c r="A742" i="15"/>
  <c r="R741" i="15"/>
  <c r="P741" i="15"/>
  <c r="A741" i="15"/>
  <c r="R740" i="15"/>
  <c r="P740" i="15"/>
  <c r="A740" i="15"/>
  <c r="R739" i="15"/>
  <c r="P739" i="15"/>
  <c r="A739" i="15"/>
  <c r="R738" i="15"/>
  <c r="P738" i="15"/>
  <c r="A738" i="15"/>
  <c r="R737" i="15"/>
  <c r="P737" i="15"/>
  <c r="A737" i="15"/>
  <c r="R736" i="15"/>
  <c r="P736" i="15"/>
  <c r="A736" i="15"/>
  <c r="R735" i="15"/>
  <c r="P735" i="15"/>
  <c r="A735" i="15"/>
  <c r="R734" i="15"/>
  <c r="P734" i="15"/>
  <c r="A734" i="15"/>
  <c r="R733" i="15"/>
  <c r="P733" i="15"/>
  <c r="A733" i="15"/>
  <c r="R732" i="15"/>
  <c r="P732" i="15"/>
  <c r="A732" i="15"/>
  <c r="R731" i="15"/>
  <c r="P731" i="15"/>
  <c r="A731" i="15"/>
  <c r="R730" i="15"/>
  <c r="P730" i="15"/>
  <c r="A730" i="15"/>
  <c r="R729" i="15"/>
  <c r="P729" i="15"/>
  <c r="A729" i="15"/>
  <c r="R728" i="15"/>
  <c r="P728" i="15"/>
  <c r="A728" i="15"/>
  <c r="R727" i="15"/>
  <c r="P727" i="15"/>
  <c r="A727" i="15"/>
  <c r="R726" i="15"/>
  <c r="P726" i="15"/>
  <c r="A726" i="15"/>
  <c r="R725" i="15"/>
  <c r="P725" i="15"/>
  <c r="A725" i="15"/>
  <c r="R724" i="15"/>
  <c r="P724" i="15"/>
  <c r="A724" i="15"/>
  <c r="R723" i="15"/>
  <c r="P723" i="15"/>
  <c r="A723" i="15"/>
  <c r="R722" i="15"/>
  <c r="P722" i="15"/>
  <c r="A722" i="15"/>
  <c r="R721" i="15"/>
  <c r="P721" i="15"/>
  <c r="A721" i="15"/>
  <c r="R720" i="15"/>
  <c r="P720" i="15"/>
  <c r="A720" i="15"/>
  <c r="R719" i="15"/>
  <c r="P719" i="15"/>
  <c r="A719" i="15"/>
  <c r="R718" i="15"/>
  <c r="P718" i="15"/>
  <c r="A718" i="15"/>
  <c r="R717" i="15"/>
  <c r="P717" i="15"/>
  <c r="A717" i="15"/>
  <c r="R716" i="15"/>
  <c r="P716" i="15"/>
  <c r="A716" i="15"/>
  <c r="R715" i="15"/>
  <c r="P715" i="15"/>
  <c r="A715" i="15"/>
  <c r="R714" i="15"/>
  <c r="P714" i="15"/>
  <c r="A714" i="15"/>
  <c r="R713" i="15"/>
  <c r="P713" i="15"/>
  <c r="A713" i="15"/>
  <c r="R712" i="15"/>
  <c r="P712" i="15"/>
  <c r="A712" i="15"/>
  <c r="R711" i="15"/>
  <c r="P711" i="15"/>
  <c r="A711" i="15"/>
  <c r="R710" i="15"/>
  <c r="P710" i="15"/>
  <c r="A710" i="15"/>
  <c r="R709" i="15"/>
  <c r="P709" i="15"/>
  <c r="A709" i="15"/>
  <c r="R708" i="15"/>
  <c r="P708" i="15"/>
  <c r="A708" i="15"/>
  <c r="R707" i="15"/>
  <c r="P707" i="15"/>
  <c r="A707" i="15"/>
  <c r="R706" i="15"/>
  <c r="P706" i="15"/>
  <c r="A706" i="15"/>
  <c r="R705" i="15"/>
  <c r="P705" i="15"/>
  <c r="A705" i="15"/>
  <c r="R704" i="15"/>
  <c r="P704" i="15"/>
  <c r="A704" i="15"/>
  <c r="R703" i="15"/>
  <c r="P703" i="15"/>
  <c r="A703" i="15"/>
  <c r="R702" i="15"/>
  <c r="P702" i="15"/>
  <c r="A702" i="15"/>
  <c r="R701" i="15"/>
  <c r="P701" i="15"/>
  <c r="A701" i="15"/>
  <c r="R700" i="15"/>
  <c r="P700" i="15"/>
  <c r="A700" i="15"/>
  <c r="R699" i="15"/>
  <c r="P699" i="15"/>
  <c r="A699" i="15"/>
  <c r="R698" i="15"/>
  <c r="P698" i="15"/>
  <c r="A698" i="15"/>
  <c r="R697" i="15"/>
  <c r="P697" i="15"/>
  <c r="A697" i="15"/>
  <c r="R696" i="15"/>
  <c r="P696" i="15"/>
  <c r="A696" i="15"/>
  <c r="R695" i="15"/>
  <c r="P695" i="15"/>
  <c r="A695" i="15"/>
  <c r="R694" i="15"/>
  <c r="P694" i="15"/>
  <c r="A694" i="15"/>
  <c r="R693" i="15"/>
  <c r="P693" i="15"/>
  <c r="A693" i="15"/>
  <c r="R692" i="15"/>
  <c r="P692" i="15"/>
  <c r="A692" i="15"/>
  <c r="R691" i="15"/>
  <c r="P691" i="15"/>
  <c r="A691" i="15"/>
  <c r="R690" i="15"/>
  <c r="P690" i="15"/>
  <c r="A690" i="15"/>
  <c r="R689" i="15"/>
  <c r="P689" i="15"/>
  <c r="A689" i="15"/>
  <c r="R688" i="15"/>
  <c r="P688" i="15"/>
  <c r="A688" i="15"/>
  <c r="R687" i="15"/>
  <c r="P687" i="15"/>
  <c r="A687" i="15"/>
  <c r="R686" i="15"/>
  <c r="P686" i="15"/>
  <c r="A686" i="15"/>
  <c r="R685" i="15"/>
  <c r="P685" i="15"/>
  <c r="A685" i="15"/>
  <c r="R684" i="15"/>
  <c r="P684" i="15"/>
  <c r="A684" i="15"/>
  <c r="R683" i="15"/>
  <c r="P683" i="15"/>
  <c r="A683" i="15"/>
  <c r="R682" i="15"/>
  <c r="P682" i="15"/>
  <c r="A682" i="15"/>
  <c r="R681" i="15"/>
  <c r="P681" i="15"/>
  <c r="A681" i="15"/>
  <c r="R680" i="15"/>
  <c r="P680" i="15"/>
  <c r="A680" i="15"/>
  <c r="R679" i="15"/>
  <c r="P679" i="15"/>
  <c r="A679" i="15"/>
  <c r="R678" i="15"/>
  <c r="P678" i="15"/>
  <c r="A678" i="15"/>
  <c r="R677" i="15"/>
  <c r="P677" i="15"/>
  <c r="A677" i="15"/>
  <c r="R676" i="15"/>
  <c r="P676" i="15"/>
  <c r="A676" i="15"/>
  <c r="R675" i="15"/>
  <c r="P675" i="15"/>
  <c r="A675" i="15"/>
  <c r="R674" i="15"/>
  <c r="P674" i="15"/>
  <c r="A674" i="15"/>
  <c r="R673" i="15"/>
  <c r="P673" i="15"/>
  <c r="A673" i="15"/>
  <c r="R672" i="15"/>
  <c r="P672" i="15"/>
  <c r="A672" i="15"/>
  <c r="R671" i="15"/>
  <c r="P671" i="15"/>
  <c r="A671" i="15"/>
  <c r="R670" i="15"/>
  <c r="P670" i="15"/>
  <c r="A670" i="15"/>
  <c r="R669" i="15"/>
  <c r="P669" i="15"/>
  <c r="A669" i="15"/>
  <c r="R668" i="15"/>
  <c r="P668" i="15"/>
  <c r="A668" i="15"/>
  <c r="R667" i="15"/>
  <c r="P667" i="15"/>
  <c r="A667" i="15"/>
  <c r="R666" i="15"/>
  <c r="P666" i="15"/>
  <c r="A666" i="15"/>
  <c r="R665" i="15"/>
  <c r="P665" i="15"/>
  <c r="A665" i="15"/>
  <c r="R664" i="15"/>
  <c r="P664" i="15"/>
  <c r="A664" i="15"/>
  <c r="R663" i="15"/>
  <c r="P663" i="15"/>
  <c r="A663" i="15"/>
  <c r="R662" i="15"/>
  <c r="P662" i="15"/>
  <c r="A662" i="15"/>
  <c r="R661" i="15"/>
  <c r="P661" i="15"/>
  <c r="A661" i="15"/>
  <c r="R660" i="15"/>
  <c r="P660" i="15"/>
  <c r="A660" i="15"/>
  <c r="R659" i="15"/>
  <c r="P659" i="15"/>
  <c r="A659" i="15"/>
  <c r="R658" i="15"/>
  <c r="P658" i="15"/>
  <c r="A658" i="15"/>
  <c r="R657" i="15"/>
  <c r="P657" i="15"/>
  <c r="A657" i="15"/>
  <c r="R656" i="15"/>
  <c r="P656" i="15"/>
  <c r="A656" i="15"/>
  <c r="R655" i="15"/>
  <c r="P655" i="15"/>
  <c r="A655" i="15"/>
  <c r="R654" i="15"/>
  <c r="P654" i="15"/>
  <c r="A654" i="15"/>
  <c r="R653" i="15"/>
  <c r="P653" i="15"/>
  <c r="A653" i="15"/>
  <c r="R652" i="15"/>
  <c r="P652" i="15"/>
  <c r="A652" i="15"/>
  <c r="R651" i="15"/>
  <c r="P651" i="15"/>
  <c r="A651" i="15"/>
  <c r="R650" i="15"/>
  <c r="P650" i="15"/>
  <c r="A650" i="15"/>
  <c r="R649" i="15"/>
  <c r="P649" i="15"/>
  <c r="A649" i="15"/>
  <c r="R648" i="15"/>
  <c r="P648" i="15"/>
  <c r="A648" i="15"/>
  <c r="R647" i="15"/>
  <c r="P647" i="15"/>
  <c r="A647" i="15"/>
  <c r="R646" i="15"/>
  <c r="P646" i="15"/>
  <c r="A646" i="15"/>
  <c r="R645" i="15"/>
  <c r="P645" i="15"/>
  <c r="A645" i="15"/>
  <c r="R644" i="15"/>
  <c r="P644" i="15"/>
  <c r="A644" i="15"/>
  <c r="R643" i="15"/>
  <c r="P643" i="15"/>
  <c r="A643" i="15"/>
  <c r="R642" i="15"/>
  <c r="P642" i="15"/>
  <c r="A642" i="15"/>
  <c r="R641" i="15"/>
  <c r="P641" i="15"/>
  <c r="A641" i="15"/>
  <c r="R640" i="15"/>
  <c r="P640" i="15"/>
  <c r="A640" i="15"/>
  <c r="R639" i="15"/>
  <c r="P639" i="15"/>
  <c r="A639" i="15"/>
  <c r="R638" i="15"/>
  <c r="P638" i="15"/>
  <c r="A638" i="15"/>
  <c r="R637" i="15"/>
  <c r="P637" i="15"/>
  <c r="A637" i="15"/>
  <c r="R636" i="15"/>
  <c r="P636" i="15"/>
  <c r="A636" i="15"/>
  <c r="R635" i="15"/>
  <c r="P635" i="15"/>
  <c r="A635" i="15"/>
  <c r="R634" i="15"/>
  <c r="P634" i="15"/>
  <c r="A634" i="15"/>
  <c r="R633" i="15"/>
  <c r="P633" i="15"/>
  <c r="A633" i="15"/>
  <c r="R632" i="15"/>
  <c r="P632" i="15"/>
  <c r="A632" i="15"/>
  <c r="R631" i="15"/>
  <c r="P631" i="15"/>
  <c r="A631" i="15"/>
  <c r="R630" i="15"/>
  <c r="P630" i="15"/>
  <c r="A630" i="15"/>
  <c r="R629" i="15"/>
  <c r="P629" i="15"/>
  <c r="A629" i="15"/>
  <c r="R628" i="15"/>
  <c r="P628" i="15"/>
  <c r="A628" i="15"/>
  <c r="R627" i="15"/>
  <c r="P627" i="15"/>
  <c r="A627" i="15"/>
  <c r="R626" i="15"/>
  <c r="P626" i="15"/>
  <c r="A626" i="15"/>
  <c r="R625" i="15"/>
  <c r="P625" i="15"/>
  <c r="A625" i="15"/>
  <c r="R624" i="15"/>
  <c r="P624" i="15"/>
  <c r="A624" i="15"/>
  <c r="R623" i="15"/>
  <c r="P623" i="15"/>
  <c r="A623" i="15"/>
  <c r="R622" i="15"/>
  <c r="P622" i="15"/>
  <c r="A622" i="15"/>
  <c r="R621" i="15"/>
  <c r="P621" i="15"/>
  <c r="A621" i="15"/>
  <c r="R620" i="15"/>
  <c r="P620" i="15"/>
  <c r="A620" i="15"/>
  <c r="R619" i="15"/>
  <c r="P619" i="15"/>
  <c r="A619" i="15"/>
  <c r="R618" i="15"/>
  <c r="P618" i="15"/>
  <c r="A618" i="15"/>
  <c r="R617" i="15"/>
  <c r="P617" i="15"/>
  <c r="A617" i="15"/>
  <c r="R616" i="15"/>
  <c r="P616" i="15"/>
  <c r="A616" i="15"/>
  <c r="R615" i="15"/>
  <c r="P615" i="15"/>
  <c r="A615" i="15"/>
  <c r="R614" i="15"/>
  <c r="P614" i="15"/>
  <c r="A614" i="15"/>
  <c r="R613" i="15"/>
  <c r="P613" i="15"/>
  <c r="A613" i="15"/>
  <c r="R612" i="15"/>
  <c r="P612" i="15"/>
  <c r="A612" i="15"/>
  <c r="R611" i="15"/>
  <c r="P611" i="15"/>
  <c r="A611" i="15"/>
  <c r="R610" i="15"/>
  <c r="P610" i="15"/>
  <c r="A610" i="15"/>
  <c r="R609" i="15"/>
  <c r="P609" i="15"/>
  <c r="A609" i="15"/>
  <c r="R608" i="15"/>
  <c r="P608" i="15"/>
  <c r="A608" i="15"/>
  <c r="R607" i="15"/>
  <c r="P607" i="15"/>
  <c r="A607" i="15"/>
  <c r="R606" i="15"/>
  <c r="P606" i="15"/>
  <c r="A606" i="15"/>
  <c r="R605" i="15"/>
  <c r="P605" i="15"/>
  <c r="A605" i="15"/>
  <c r="R604" i="15"/>
  <c r="P604" i="15"/>
  <c r="A604" i="15"/>
  <c r="R603" i="15"/>
  <c r="P603" i="15"/>
  <c r="A603" i="15"/>
  <c r="R602" i="15"/>
  <c r="P602" i="15"/>
  <c r="A602" i="15"/>
  <c r="R601" i="15"/>
  <c r="P601" i="15"/>
  <c r="A601" i="15"/>
  <c r="R600" i="15"/>
  <c r="P600" i="15"/>
  <c r="A600" i="15"/>
  <c r="R599" i="15"/>
  <c r="P599" i="15"/>
  <c r="A599" i="15"/>
  <c r="R598" i="15"/>
  <c r="P598" i="15"/>
  <c r="A598" i="15"/>
  <c r="R597" i="15"/>
  <c r="P597" i="15"/>
  <c r="A597" i="15"/>
  <c r="R596" i="15"/>
  <c r="P596" i="15"/>
  <c r="A596" i="15"/>
  <c r="R595" i="15"/>
  <c r="P595" i="15"/>
  <c r="A595" i="15"/>
  <c r="R594" i="15"/>
  <c r="P594" i="15"/>
  <c r="A594" i="15"/>
  <c r="R593" i="15"/>
  <c r="P593" i="15"/>
  <c r="A593" i="15"/>
  <c r="R592" i="15"/>
  <c r="P592" i="15"/>
  <c r="A592" i="15"/>
  <c r="R591" i="15"/>
  <c r="P591" i="15"/>
  <c r="A591" i="15"/>
  <c r="R590" i="15"/>
  <c r="P590" i="15"/>
  <c r="A590" i="15"/>
  <c r="R589" i="15"/>
  <c r="P589" i="15"/>
  <c r="A589" i="15"/>
  <c r="R588" i="15"/>
  <c r="P588" i="15"/>
  <c r="A588" i="15"/>
  <c r="R587" i="15"/>
  <c r="P587" i="15"/>
  <c r="A587" i="15"/>
  <c r="R586" i="15"/>
  <c r="P586" i="15"/>
  <c r="A586" i="15"/>
  <c r="R585" i="15"/>
  <c r="P585" i="15"/>
  <c r="A585" i="15"/>
  <c r="R584" i="15"/>
  <c r="P584" i="15"/>
  <c r="A584" i="15"/>
  <c r="R583" i="15"/>
  <c r="P583" i="15"/>
  <c r="A583" i="15"/>
  <c r="R582" i="15"/>
  <c r="P582" i="15"/>
  <c r="A582" i="15"/>
  <c r="R581" i="15"/>
  <c r="P581" i="15"/>
  <c r="A581" i="15"/>
  <c r="R580" i="15"/>
  <c r="P580" i="15"/>
  <c r="A580" i="15"/>
  <c r="R579" i="15"/>
  <c r="P579" i="15"/>
  <c r="A579" i="15"/>
  <c r="R578" i="15"/>
  <c r="P578" i="15"/>
  <c r="A578" i="15"/>
  <c r="R577" i="15"/>
  <c r="P577" i="15"/>
  <c r="A577" i="15"/>
  <c r="R576" i="15"/>
  <c r="P576" i="15"/>
  <c r="A576" i="15"/>
  <c r="R575" i="15"/>
  <c r="P575" i="15"/>
  <c r="A575" i="15"/>
  <c r="R574" i="15"/>
  <c r="P574" i="15"/>
  <c r="A574" i="15"/>
  <c r="R573" i="15"/>
  <c r="P573" i="15"/>
  <c r="A573" i="15"/>
  <c r="R572" i="15"/>
  <c r="P572" i="15"/>
  <c r="A572" i="15"/>
  <c r="R571" i="15"/>
  <c r="P571" i="15"/>
  <c r="A571" i="15"/>
  <c r="R570" i="15"/>
  <c r="P570" i="15"/>
  <c r="A570" i="15"/>
  <c r="R569" i="15"/>
  <c r="P569" i="15"/>
  <c r="A569" i="15"/>
  <c r="R568" i="15"/>
  <c r="P568" i="15"/>
  <c r="A568" i="15"/>
  <c r="R567" i="15"/>
  <c r="P567" i="15"/>
  <c r="A567" i="15"/>
  <c r="R566" i="15"/>
  <c r="P566" i="15"/>
  <c r="A566" i="15"/>
  <c r="R565" i="15"/>
  <c r="P565" i="15"/>
  <c r="A565" i="15"/>
  <c r="R564" i="15"/>
  <c r="P564" i="15"/>
  <c r="A564" i="15"/>
  <c r="R563" i="15"/>
  <c r="P563" i="15"/>
  <c r="A563" i="15"/>
  <c r="R562" i="15"/>
  <c r="P562" i="15"/>
  <c r="A562" i="15"/>
  <c r="R561" i="15"/>
  <c r="P561" i="15"/>
  <c r="A561" i="15"/>
  <c r="R560" i="15"/>
  <c r="P560" i="15"/>
  <c r="A560" i="15"/>
  <c r="R559" i="15"/>
  <c r="P559" i="15"/>
  <c r="A559" i="15"/>
  <c r="R558" i="15"/>
  <c r="P558" i="15"/>
  <c r="A558" i="15"/>
  <c r="R557" i="15"/>
  <c r="P557" i="15"/>
  <c r="A557" i="15"/>
  <c r="R556" i="15"/>
  <c r="P556" i="15"/>
  <c r="A556" i="15"/>
  <c r="R555" i="15"/>
  <c r="P555" i="15"/>
  <c r="A555" i="15"/>
  <c r="R554" i="15"/>
  <c r="P554" i="15"/>
  <c r="A554" i="15"/>
  <c r="R553" i="15"/>
  <c r="P553" i="15"/>
  <c r="A553" i="15"/>
  <c r="R552" i="15"/>
  <c r="P552" i="15"/>
  <c r="A552" i="15"/>
  <c r="R551" i="15"/>
  <c r="P551" i="15"/>
  <c r="A551" i="15"/>
  <c r="R550" i="15"/>
  <c r="P550" i="15"/>
  <c r="A550" i="15"/>
  <c r="R549" i="15"/>
  <c r="P549" i="15"/>
  <c r="A549" i="15"/>
  <c r="R548" i="15"/>
  <c r="P548" i="15"/>
  <c r="A548" i="15"/>
  <c r="R547" i="15"/>
  <c r="P547" i="15"/>
  <c r="A547" i="15"/>
  <c r="R546" i="15"/>
  <c r="P546" i="15"/>
  <c r="A546" i="15"/>
  <c r="R545" i="15"/>
  <c r="P545" i="15"/>
  <c r="A545" i="15"/>
  <c r="R544" i="15"/>
  <c r="P544" i="15"/>
  <c r="A544" i="15"/>
  <c r="R543" i="15"/>
  <c r="P543" i="15"/>
  <c r="A543" i="15"/>
  <c r="R542" i="15"/>
  <c r="P542" i="15"/>
  <c r="A542" i="15"/>
  <c r="R541" i="15"/>
  <c r="P541" i="15"/>
  <c r="A541" i="15"/>
  <c r="R540" i="15"/>
  <c r="P540" i="15"/>
  <c r="A540" i="15"/>
  <c r="R539" i="15"/>
  <c r="P539" i="15"/>
  <c r="A539" i="15"/>
  <c r="R538" i="15"/>
  <c r="P538" i="15"/>
  <c r="A538" i="15"/>
  <c r="R537" i="15"/>
  <c r="P537" i="15"/>
  <c r="A537" i="15"/>
  <c r="R536" i="15"/>
  <c r="P536" i="15"/>
  <c r="A536" i="15"/>
  <c r="R535" i="15"/>
  <c r="P535" i="15"/>
  <c r="A535" i="15"/>
  <c r="R534" i="15"/>
  <c r="P534" i="15"/>
  <c r="A534" i="15"/>
  <c r="R533" i="15"/>
  <c r="P533" i="15"/>
  <c r="A533" i="15"/>
  <c r="R532" i="15"/>
  <c r="P532" i="15"/>
  <c r="A532" i="15"/>
  <c r="R531" i="15"/>
  <c r="P531" i="15"/>
  <c r="A531" i="15"/>
  <c r="R530" i="15"/>
  <c r="P530" i="15"/>
  <c r="A530" i="15"/>
  <c r="R529" i="15"/>
  <c r="P529" i="15"/>
  <c r="A529" i="15"/>
  <c r="R528" i="15"/>
  <c r="P528" i="15"/>
  <c r="A528" i="15"/>
  <c r="R527" i="15"/>
  <c r="P527" i="15"/>
  <c r="A527" i="15"/>
  <c r="R526" i="15"/>
  <c r="P526" i="15"/>
  <c r="A526" i="15"/>
  <c r="R525" i="15"/>
  <c r="P525" i="15"/>
  <c r="A525" i="15"/>
  <c r="R524" i="15"/>
  <c r="P524" i="15"/>
  <c r="A524" i="15"/>
  <c r="R523" i="15"/>
  <c r="P523" i="15"/>
  <c r="A523" i="15"/>
  <c r="R522" i="15"/>
  <c r="P522" i="15"/>
  <c r="A522" i="15"/>
  <c r="R521" i="15"/>
  <c r="P521" i="15"/>
  <c r="A521" i="15"/>
  <c r="R520" i="15"/>
  <c r="P520" i="15"/>
  <c r="A520" i="15"/>
  <c r="R519" i="15"/>
  <c r="P519" i="15"/>
  <c r="A519" i="15"/>
  <c r="R518" i="15"/>
  <c r="P518" i="15"/>
  <c r="A518" i="15"/>
  <c r="R517" i="15"/>
  <c r="P517" i="15"/>
  <c r="A517" i="15"/>
  <c r="R516" i="15"/>
  <c r="P516" i="15"/>
  <c r="A516" i="15"/>
  <c r="R515" i="15"/>
  <c r="P515" i="15"/>
  <c r="A515" i="15"/>
  <c r="R514" i="15"/>
  <c r="P514" i="15"/>
  <c r="A514" i="15"/>
  <c r="R513" i="15"/>
  <c r="P513" i="15"/>
  <c r="A513" i="15"/>
  <c r="R512" i="15"/>
  <c r="P512" i="15"/>
  <c r="A512" i="15"/>
  <c r="R511" i="15"/>
  <c r="P511" i="15"/>
  <c r="A511" i="15"/>
  <c r="R510" i="15"/>
  <c r="P510" i="15"/>
  <c r="A510" i="15"/>
  <c r="R509" i="15"/>
  <c r="P509" i="15"/>
  <c r="A509" i="15"/>
  <c r="R508" i="15"/>
  <c r="P508" i="15"/>
  <c r="A508" i="15"/>
  <c r="R507" i="15"/>
  <c r="P507" i="15"/>
  <c r="A507" i="15"/>
  <c r="R506" i="15"/>
  <c r="P506" i="15"/>
  <c r="A506" i="15"/>
  <c r="R505" i="15"/>
  <c r="P505" i="15"/>
  <c r="A505" i="15"/>
  <c r="R504" i="15"/>
  <c r="P504" i="15"/>
  <c r="A504" i="15"/>
  <c r="R503" i="15"/>
  <c r="P503" i="15"/>
  <c r="A503" i="15"/>
  <c r="R502" i="15"/>
  <c r="P502" i="15"/>
  <c r="A502" i="15"/>
  <c r="R501" i="15"/>
  <c r="P501" i="15"/>
  <c r="A501" i="15"/>
  <c r="R500" i="15"/>
  <c r="P500" i="15"/>
  <c r="A500" i="15"/>
  <c r="R499" i="15"/>
  <c r="P499" i="15"/>
  <c r="A499" i="15"/>
  <c r="R498" i="15"/>
  <c r="P498" i="15"/>
  <c r="A498" i="15"/>
  <c r="R497" i="15"/>
  <c r="P497" i="15"/>
  <c r="A497" i="15"/>
  <c r="R496" i="15"/>
  <c r="P496" i="15"/>
  <c r="A496" i="15"/>
  <c r="R495" i="15"/>
  <c r="P495" i="15"/>
  <c r="A495" i="15"/>
  <c r="R494" i="15"/>
  <c r="P494" i="15"/>
  <c r="A494" i="15"/>
  <c r="R493" i="15"/>
  <c r="P493" i="15"/>
  <c r="A493" i="15"/>
  <c r="R492" i="15"/>
  <c r="P492" i="15"/>
  <c r="A492" i="15"/>
  <c r="R491" i="15"/>
  <c r="P491" i="15"/>
  <c r="A491" i="15"/>
  <c r="R490" i="15"/>
  <c r="P490" i="15"/>
  <c r="A490" i="15"/>
  <c r="R489" i="15"/>
  <c r="P489" i="15"/>
  <c r="A489" i="15"/>
  <c r="R488" i="15"/>
  <c r="P488" i="15"/>
  <c r="A488" i="15"/>
  <c r="R487" i="15"/>
  <c r="P487" i="15"/>
  <c r="A487" i="15"/>
  <c r="R486" i="15"/>
  <c r="P486" i="15"/>
  <c r="A486" i="15"/>
  <c r="R485" i="15"/>
  <c r="P485" i="15"/>
  <c r="A485" i="15"/>
  <c r="R484" i="15"/>
  <c r="P484" i="15"/>
  <c r="A484" i="15"/>
  <c r="R483" i="15"/>
  <c r="P483" i="15"/>
  <c r="A483" i="15"/>
  <c r="R482" i="15"/>
  <c r="P482" i="15"/>
  <c r="A482" i="15"/>
  <c r="R481" i="15"/>
  <c r="P481" i="15"/>
  <c r="A481" i="15"/>
  <c r="R480" i="15"/>
  <c r="P480" i="15"/>
  <c r="A480" i="15"/>
  <c r="R479" i="15"/>
  <c r="P479" i="15"/>
  <c r="A479" i="15"/>
  <c r="R478" i="15"/>
  <c r="P478" i="15"/>
  <c r="A478" i="15"/>
  <c r="R477" i="15"/>
  <c r="P477" i="15"/>
  <c r="A477" i="15"/>
  <c r="R476" i="15"/>
  <c r="P476" i="15"/>
  <c r="A476" i="15"/>
  <c r="R475" i="15"/>
  <c r="P475" i="15"/>
  <c r="A475" i="15"/>
  <c r="R474" i="15"/>
  <c r="P474" i="15"/>
  <c r="A474" i="15"/>
  <c r="R473" i="15"/>
  <c r="P473" i="15"/>
  <c r="A473" i="15"/>
  <c r="R472" i="15"/>
  <c r="P472" i="15"/>
  <c r="A472" i="15"/>
  <c r="R471" i="15"/>
  <c r="P471" i="15"/>
  <c r="A471" i="15"/>
  <c r="R470" i="15"/>
  <c r="P470" i="15"/>
  <c r="A470" i="15"/>
  <c r="R469" i="15"/>
  <c r="P469" i="15"/>
  <c r="A469" i="15"/>
  <c r="R468" i="15"/>
  <c r="P468" i="15"/>
  <c r="A468" i="15"/>
  <c r="R467" i="15"/>
  <c r="P467" i="15"/>
  <c r="A467" i="15"/>
  <c r="R466" i="15"/>
  <c r="P466" i="15"/>
  <c r="A466" i="15"/>
  <c r="R465" i="15"/>
  <c r="P465" i="15"/>
  <c r="A465" i="15"/>
  <c r="R464" i="15"/>
  <c r="P464" i="15"/>
  <c r="A464" i="15"/>
  <c r="R463" i="15"/>
  <c r="P463" i="15"/>
  <c r="A463" i="15"/>
  <c r="R462" i="15"/>
  <c r="P462" i="15"/>
  <c r="A462" i="15"/>
  <c r="R461" i="15"/>
  <c r="P461" i="15"/>
  <c r="A461" i="15"/>
  <c r="R460" i="15"/>
  <c r="P460" i="15"/>
  <c r="A460" i="15"/>
  <c r="R459" i="15"/>
  <c r="P459" i="15"/>
  <c r="A459" i="15"/>
  <c r="R458" i="15"/>
  <c r="P458" i="15"/>
  <c r="A458" i="15"/>
  <c r="R457" i="15"/>
  <c r="P457" i="15"/>
  <c r="A457" i="15"/>
  <c r="R456" i="15"/>
  <c r="P456" i="15"/>
  <c r="A456" i="15"/>
  <c r="R455" i="15"/>
  <c r="P455" i="15"/>
  <c r="A455" i="15"/>
  <c r="R454" i="15"/>
  <c r="P454" i="15"/>
  <c r="A454" i="15"/>
  <c r="R453" i="15"/>
  <c r="P453" i="15"/>
  <c r="A453" i="15"/>
  <c r="R452" i="15"/>
  <c r="P452" i="15"/>
  <c r="A452" i="15"/>
  <c r="R451" i="15"/>
  <c r="P451" i="15"/>
  <c r="A451" i="15"/>
  <c r="R450" i="15"/>
  <c r="P450" i="15"/>
  <c r="A450" i="15"/>
  <c r="R449" i="15"/>
  <c r="P449" i="15"/>
  <c r="A449" i="15"/>
  <c r="R448" i="15"/>
  <c r="P448" i="15"/>
  <c r="A448" i="15"/>
  <c r="R447" i="15"/>
  <c r="P447" i="15"/>
  <c r="A447" i="15"/>
  <c r="R446" i="15"/>
  <c r="P446" i="15"/>
  <c r="A446" i="15"/>
  <c r="R445" i="15"/>
  <c r="P445" i="15"/>
  <c r="A445" i="15"/>
  <c r="R444" i="15"/>
  <c r="P444" i="15"/>
  <c r="A444" i="15"/>
  <c r="R443" i="15"/>
  <c r="P443" i="15"/>
  <c r="A443" i="15"/>
  <c r="R442" i="15"/>
  <c r="P442" i="15"/>
  <c r="A442" i="15"/>
  <c r="R441" i="15"/>
  <c r="P441" i="15"/>
  <c r="A441" i="15"/>
  <c r="R440" i="15"/>
  <c r="P440" i="15"/>
  <c r="A440" i="15"/>
  <c r="R439" i="15"/>
  <c r="P439" i="15"/>
  <c r="A439" i="15"/>
  <c r="R438" i="15"/>
  <c r="P438" i="15"/>
  <c r="A438" i="15"/>
  <c r="R437" i="15"/>
  <c r="P437" i="15"/>
  <c r="A437" i="15"/>
  <c r="R436" i="15"/>
  <c r="P436" i="15"/>
  <c r="A436" i="15"/>
  <c r="R435" i="15"/>
  <c r="P435" i="15"/>
  <c r="A435" i="15"/>
  <c r="R434" i="15"/>
  <c r="P434" i="15"/>
  <c r="A434" i="15"/>
  <c r="R433" i="15"/>
  <c r="P433" i="15"/>
  <c r="A433" i="15"/>
  <c r="R432" i="15"/>
  <c r="P432" i="15"/>
  <c r="A432" i="15"/>
  <c r="R431" i="15"/>
  <c r="P431" i="15"/>
  <c r="A431" i="15"/>
  <c r="R430" i="15"/>
  <c r="P430" i="15"/>
  <c r="A430" i="15"/>
  <c r="R429" i="15"/>
  <c r="P429" i="15"/>
  <c r="A429" i="15"/>
  <c r="R428" i="15"/>
  <c r="P428" i="15"/>
  <c r="A428" i="15"/>
  <c r="R427" i="15"/>
  <c r="P427" i="15"/>
  <c r="A427" i="15"/>
  <c r="R426" i="15"/>
  <c r="P426" i="15"/>
  <c r="A426" i="15"/>
  <c r="R425" i="15"/>
  <c r="P425" i="15"/>
  <c r="A425" i="15"/>
  <c r="R424" i="15"/>
  <c r="P424" i="15"/>
  <c r="A424" i="15"/>
  <c r="R423" i="15"/>
  <c r="P423" i="15"/>
  <c r="A423" i="15"/>
  <c r="R422" i="15"/>
  <c r="P422" i="15"/>
  <c r="A422" i="15"/>
  <c r="R421" i="15"/>
  <c r="P421" i="15"/>
  <c r="A421" i="15"/>
  <c r="R420" i="15"/>
  <c r="P420" i="15"/>
  <c r="A420" i="15"/>
  <c r="R419" i="15"/>
  <c r="P419" i="15"/>
  <c r="A419" i="15"/>
  <c r="R418" i="15"/>
  <c r="P418" i="15"/>
  <c r="A418" i="15"/>
  <c r="R417" i="15"/>
  <c r="P417" i="15"/>
  <c r="A417" i="15"/>
  <c r="R416" i="15"/>
  <c r="P416" i="15"/>
  <c r="A416" i="15"/>
  <c r="R415" i="15"/>
  <c r="P415" i="15"/>
  <c r="A415" i="15"/>
  <c r="R414" i="15"/>
  <c r="P414" i="15"/>
  <c r="A414" i="15"/>
  <c r="R413" i="15"/>
  <c r="P413" i="15"/>
  <c r="A413" i="15"/>
  <c r="R412" i="15"/>
  <c r="P412" i="15"/>
  <c r="A412" i="15"/>
  <c r="R411" i="15"/>
  <c r="P411" i="15"/>
  <c r="A411" i="15"/>
  <c r="R410" i="15"/>
  <c r="P410" i="15"/>
  <c r="A410" i="15"/>
  <c r="R409" i="15"/>
  <c r="P409" i="15"/>
  <c r="A409" i="15"/>
  <c r="R408" i="15"/>
  <c r="P408" i="15"/>
  <c r="A408" i="15"/>
  <c r="R407" i="15"/>
  <c r="P407" i="15"/>
  <c r="A407" i="15"/>
  <c r="R406" i="15"/>
  <c r="P406" i="15"/>
  <c r="A406" i="15"/>
  <c r="R405" i="15"/>
  <c r="P405" i="15"/>
  <c r="A405" i="15"/>
  <c r="R404" i="15"/>
  <c r="P404" i="15"/>
  <c r="A404" i="15"/>
  <c r="R403" i="15"/>
  <c r="P403" i="15"/>
  <c r="A403" i="15"/>
  <c r="R402" i="15"/>
  <c r="P402" i="15"/>
  <c r="A402" i="15"/>
  <c r="R401" i="15"/>
  <c r="P401" i="15"/>
  <c r="A401" i="15"/>
  <c r="R400" i="15"/>
  <c r="P400" i="15"/>
  <c r="A400" i="15"/>
  <c r="R399" i="15"/>
  <c r="P399" i="15"/>
  <c r="A399" i="15"/>
  <c r="R398" i="15"/>
  <c r="P398" i="15"/>
  <c r="A398" i="15"/>
  <c r="R397" i="15"/>
  <c r="P397" i="15"/>
  <c r="A397" i="15"/>
  <c r="R396" i="15"/>
  <c r="P396" i="15"/>
  <c r="A396" i="15"/>
  <c r="R395" i="15"/>
  <c r="P395" i="15"/>
  <c r="A395" i="15"/>
  <c r="R394" i="15"/>
  <c r="P394" i="15"/>
  <c r="A394" i="15"/>
  <c r="R393" i="15"/>
  <c r="P393" i="15"/>
  <c r="A393" i="15"/>
  <c r="R392" i="15"/>
  <c r="P392" i="15"/>
  <c r="A392" i="15"/>
  <c r="R391" i="15"/>
  <c r="P391" i="15"/>
  <c r="A391" i="15"/>
  <c r="R390" i="15"/>
  <c r="P390" i="15"/>
  <c r="A390" i="15"/>
  <c r="R389" i="15"/>
  <c r="P389" i="15"/>
  <c r="A389" i="15"/>
  <c r="R388" i="15"/>
  <c r="P388" i="15"/>
  <c r="A388" i="15"/>
  <c r="R387" i="15"/>
  <c r="P387" i="15"/>
  <c r="A387" i="15"/>
  <c r="R386" i="15"/>
  <c r="P386" i="15"/>
  <c r="A386" i="15"/>
  <c r="R385" i="15"/>
  <c r="P385" i="15"/>
  <c r="A385" i="15"/>
  <c r="R384" i="15"/>
  <c r="P384" i="15"/>
  <c r="A384" i="15"/>
  <c r="R383" i="15"/>
  <c r="P383" i="15"/>
  <c r="A383" i="15"/>
  <c r="R382" i="15"/>
  <c r="P382" i="15"/>
  <c r="A382" i="15"/>
  <c r="R381" i="15"/>
  <c r="P381" i="15"/>
  <c r="A381" i="15"/>
  <c r="R380" i="15"/>
  <c r="P380" i="15"/>
  <c r="A380" i="15"/>
  <c r="R379" i="15"/>
  <c r="P379" i="15"/>
  <c r="A379" i="15"/>
  <c r="R378" i="15"/>
  <c r="P378" i="15"/>
  <c r="G378" i="15"/>
  <c r="A378" i="15"/>
  <c r="R377" i="15"/>
  <c r="P377" i="15"/>
  <c r="G377" i="15"/>
  <c r="A377" i="15"/>
  <c r="R376" i="15"/>
  <c r="P376" i="15"/>
  <c r="G376" i="15"/>
  <c r="A376" i="15"/>
  <c r="R375" i="15"/>
  <c r="P375" i="15"/>
  <c r="G375" i="15"/>
  <c r="A375" i="15"/>
  <c r="R374" i="15"/>
  <c r="P374" i="15"/>
  <c r="G374" i="15"/>
  <c r="A374" i="15"/>
  <c r="R373" i="15"/>
  <c r="P373" i="15"/>
  <c r="G373" i="15"/>
  <c r="A373" i="15"/>
  <c r="R372" i="15"/>
  <c r="P372" i="15"/>
  <c r="G372" i="15"/>
  <c r="A372" i="15"/>
  <c r="R371" i="15"/>
  <c r="P371" i="15"/>
  <c r="G371" i="15"/>
  <c r="A371" i="15"/>
  <c r="R370" i="15"/>
  <c r="P370" i="15"/>
  <c r="G370" i="15"/>
  <c r="A370" i="15"/>
  <c r="R369" i="15"/>
  <c r="P369" i="15"/>
  <c r="G369" i="15"/>
  <c r="A369" i="15"/>
  <c r="R368" i="15"/>
  <c r="P368" i="15"/>
  <c r="G368" i="15"/>
  <c r="A368" i="15"/>
  <c r="R367" i="15"/>
  <c r="P367" i="15"/>
  <c r="G367" i="15"/>
  <c r="A367" i="15"/>
  <c r="R366" i="15"/>
  <c r="P366" i="15"/>
  <c r="G366" i="15"/>
  <c r="A366" i="15"/>
  <c r="R365" i="15"/>
  <c r="P365" i="15"/>
  <c r="G365" i="15"/>
  <c r="A365" i="15"/>
  <c r="R364" i="15"/>
  <c r="P364" i="15"/>
  <c r="G364" i="15"/>
  <c r="A364" i="15"/>
  <c r="R363" i="15"/>
  <c r="P363" i="15"/>
  <c r="G363" i="15"/>
  <c r="A363" i="15"/>
  <c r="R362" i="15"/>
  <c r="P362" i="15"/>
  <c r="G362" i="15"/>
  <c r="A362" i="15"/>
  <c r="R361" i="15"/>
  <c r="P361" i="15"/>
  <c r="G361" i="15"/>
  <c r="A361" i="15"/>
  <c r="R360" i="15"/>
  <c r="P360" i="15"/>
  <c r="G360" i="15"/>
  <c r="A360" i="15"/>
  <c r="R359" i="15"/>
  <c r="P359" i="15"/>
  <c r="G359" i="15"/>
  <c r="A359" i="15"/>
  <c r="R358" i="15"/>
  <c r="P358" i="15"/>
  <c r="G358" i="15"/>
  <c r="A358" i="15"/>
  <c r="R357" i="15"/>
  <c r="P357" i="15"/>
  <c r="G357" i="15"/>
  <c r="A357" i="15"/>
  <c r="R356" i="15"/>
  <c r="P356" i="15"/>
  <c r="G356" i="15"/>
  <c r="A356" i="15"/>
  <c r="R355" i="15"/>
  <c r="P355" i="15"/>
  <c r="G355" i="15"/>
  <c r="A355" i="15"/>
  <c r="R354" i="15"/>
  <c r="P354" i="15"/>
  <c r="G354" i="15"/>
  <c r="A354" i="15"/>
  <c r="R353" i="15"/>
  <c r="P353" i="15"/>
  <c r="G353" i="15"/>
  <c r="A353" i="15"/>
  <c r="R352" i="15"/>
  <c r="P352" i="15"/>
  <c r="G352" i="15"/>
  <c r="A352" i="15"/>
  <c r="R351" i="15"/>
  <c r="P351" i="15"/>
  <c r="G351" i="15"/>
  <c r="A351" i="15"/>
  <c r="R350" i="15"/>
  <c r="P350" i="15"/>
  <c r="G350" i="15"/>
  <c r="A350" i="15"/>
  <c r="R349" i="15"/>
  <c r="P349" i="15"/>
  <c r="G349" i="15"/>
  <c r="A349" i="15"/>
  <c r="R348" i="15"/>
  <c r="P348" i="15"/>
  <c r="G348" i="15"/>
  <c r="A348" i="15"/>
  <c r="R347" i="15"/>
  <c r="P347" i="15"/>
  <c r="A347" i="15"/>
  <c r="R346" i="15"/>
  <c r="P346" i="15"/>
  <c r="G346" i="15"/>
  <c r="A346" i="15"/>
  <c r="R345" i="15"/>
  <c r="P345" i="15"/>
  <c r="G345" i="15"/>
  <c r="A345" i="15"/>
  <c r="R344" i="15"/>
  <c r="P344" i="15"/>
  <c r="G344" i="15"/>
  <c r="A344" i="15"/>
  <c r="R343" i="15"/>
  <c r="P343" i="15"/>
  <c r="G343" i="15"/>
  <c r="A343" i="15"/>
  <c r="R342" i="15"/>
  <c r="P342" i="15"/>
  <c r="G342" i="15"/>
  <c r="A342" i="15"/>
  <c r="R341" i="15"/>
  <c r="P341" i="15"/>
  <c r="G341" i="15"/>
  <c r="A341" i="15"/>
  <c r="R340" i="15"/>
  <c r="P340" i="15"/>
  <c r="G340" i="15"/>
  <c r="A340" i="15"/>
  <c r="R339" i="15"/>
  <c r="P339" i="15"/>
  <c r="G339" i="15"/>
  <c r="A339" i="15"/>
  <c r="R338" i="15"/>
  <c r="P338" i="15"/>
  <c r="G338" i="15"/>
  <c r="A338" i="15"/>
  <c r="R337" i="15"/>
  <c r="P337" i="15"/>
  <c r="G337" i="15"/>
  <c r="A337" i="15"/>
  <c r="R336" i="15"/>
  <c r="P336" i="15"/>
  <c r="G336" i="15"/>
  <c r="A336" i="15"/>
  <c r="R335" i="15"/>
  <c r="P335" i="15"/>
  <c r="G335" i="15"/>
  <c r="A335" i="15"/>
  <c r="R334" i="15"/>
  <c r="P334" i="15"/>
  <c r="G334" i="15"/>
  <c r="A334" i="15"/>
  <c r="R333" i="15"/>
  <c r="P333" i="15"/>
  <c r="G333" i="15"/>
  <c r="A333" i="15"/>
  <c r="R332" i="15"/>
  <c r="P332" i="15"/>
  <c r="G332" i="15"/>
  <c r="A332" i="15"/>
  <c r="R331" i="15"/>
  <c r="P331" i="15"/>
  <c r="G331" i="15"/>
  <c r="A331" i="15"/>
  <c r="R330" i="15"/>
  <c r="P330" i="15"/>
  <c r="G330" i="15"/>
  <c r="A330" i="15"/>
  <c r="R329" i="15"/>
  <c r="P329" i="15"/>
  <c r="G329" i="15"/>
  <c r="A329" i="15"/>
  <c r="R328" i="15"/>
  <c r="P328" i="15"/>
  <c r="G328" i="15"/>
  <c r="A328" i="15"/>
  <c r="R327" i="15"/>
  <c r="P327" i="15"/>
  <c r="G327" i="15"/>
  <c r="A327" i="15"/>
  <c r="R326" i="15"/>
  <c r="P326" i="15"/>
  <c r="G326" i="15"/>
  <c r="A326" i="15"/>
  <c r="R325" i="15"/>
  <c r="P325" i="15"/>
  <c r="G325" i="15"/>
  <c r="A325" i="15"/>
  <c r="R324" i="15"/>
  <c r="P324" i="15"/>
  <c r="G324" i="15"/>
  <c r="A324" i="15"/>
  <c r="R323" i="15"/>
  <c r="P323" i="15"/>
  <c r="G323" i="15"/>
  <c r="A323" i="15"/>
  <c r="R322" i="15"/>
  <c r="P322" i="15"/>
  <c r="G322" i="15"/>
  <c r="A322" i="15"/>
  <c r="R321" i="15"/>
  <c r="P321" i="15"/>
  <c r="G321" i="15"/>
  <c r="A321" i="15"/>
  <c r="R320" i="15"/>
  <c r="P320" i="15"/>
  <c r="G320" i="15"/>
  <c r="A320" i="15"/>
  <c r="R319" i="15"/>
  <c r="P319" i="15"/>
  <c r="G319" i="15"/>
  <c r="A319" i="15"/>
  <c r="R318" i="15"/>
  <c r="P318" i="15"/>
  <c r="G318" i="15"/>
  <c r="A318" i="15"/>
  <c r="R317" i="15"/>
  <c r="P317" i="15"/>
  <c r="G317" i="15"/>
  <c r="A317" i="15"/>
  <c r="R316" i="15"/>
  <c r="P316" i="15"/>
  <c r="G316" i="15"/>
  <c r="A316" i="15"/>
  <c r="R315" i="15"/>
  <c r="P315" i="15"/>
  <c r="A315" i="15"/>
  <c r="R314" i="15"/>
  <c r="P314" i="15"/>
  <c r="G314" i="15"/>
  <c r="A314" i="15"/>
  <c r="R313" i="15"/>
  <c r="P313" i="15"/>
  <c r="G313" i="15"/>
  <c r="A313" i="15"/>
  <c r="R312" i="15"/>
  <c r="P312" i="15"/>
  <c r="G312" i="15"/>
  <c r="A312" i="15"/>
  <c r="R311" i="15"/>
  <c r="P311" i="15"/>
  <c r="G311" i="15"/>
  <c r="A311" i="15"/>
  <c r="R310" i="15"/>
  <c r="P310" i="15"/>
  <c r="G310" i="15"/>
  <c r="A310" i="15"/>
  <c r="R309" i="15"/>
  <c r="P309" i="15"/>
  <c r="G309" i="15"/>
  <c r="A309" i="15"/>
  <c r="R308" i="15"/>
  <c r="P308" i="15"/>
  <c r="G308" i="15"/>
  <c r="A308" i="15"/>
  <c r="R307" i="15"/>
  <c r="P307" i="15"/>
  <c r="G307" i="15"/>
  <c r="A307" i="15"/>
  <c r="R306" i="15"/>
  <c r="P306" i="15"/>
  <c r="G306" i="15"/>
  <c r="A306" i="15"/>
  <c r="R305" i="15"/>
  <c r="P305" i="15"/>
  <c r="G305" i="15"/>
  <c r="A305" i="15"/>
  <c r="R304" i="15"/>
  <c r="P304" i="15"/>
  <c r="G304" i="15"/>
  <c r="A304" i="15"/>
  <c r="R303" i="15"/>
  <c r="P303" i="15"/>
  <c r="G303" i="15"/>
  <c r="A303" i="15"/>
  <c r="R302" i="15"/>
  <c r="P302" i="15"/>
  <c r="G302" i="15"/>
  <c r="A302" i="15"/>
  <c r="R301" i="15"/>
  <c r="P301" i="15"/>
  <c r="G301" i="15"/>
  <c r="A301" i="15"/>
  <c r="R300" i="15"/>
  <c r="P300" i="15"/>
  <c r="G300" i="15"/>
  <c r="A300" i="15"/>
  <c r="R299" i="15"/>
  <c r="P299" i="15"/>
  <c r="G299" i="15"/>
  <c r="A299" i="15"/>
  <c r="R298" i="15"/>
  <c r="P298" i="15"/>
  <c r="G298" i="15"/>
  <c r="A298" i="15"/>
  <c r="R297" i="15"/>
  <c r="P297" i="15"/>
  <c r="G297" i="15"/>
  <c r="A297" i="15"/>
  <c r="R296" i="15"/>
  <c r="P296" i="15"/>
  <c r="G296" i="15"/>
  <c r="A296" i="15"/>
  <c r="R295" i="15"/>
  <c r="P295" i="15"/>
  <c r="G295" i="15"/>
  <c r="A295" i="15"/>
  <c r="R294" i="15"/>
  <c r="P294" i="15"/>
  <c r="G294" i="15"/>
  <c r="A294" i="15"/>
  <c r="R293" i="15"/>
  <c r="P293" i="15"/>
  <c r="G293" i="15"/>
  <c r="A293" i="15"/>
  <c r="R292" i="15"/>
  <c r="P292" i="15"/>
  <c r="G292" i="15"/>
  <c r="A292" i="15"/>
  <c r="R291" i="15"/>
  <c r="P291" i="15"/>
  <c r="G291" i="15"/>
  <c r="A291" i="15"/>
  <c r="R290" i="15"/>
  <c r="P290" i="15"/>
  <c r="G290" i="15"/>
  <c r="A290" i="15"/>
  <c r="R289" i="15"/>
  <c r="P289" i="15"/>
  <c r="G289" i="15"/>
  <c r="A289" i="15"/>
  <c r="R288" i="15"/>
  <c r="P288" i="15"/>
  <c r="G288" i="15"/>
  <c r="A288" i="15"/>
  <c r="R287" i="15"/>
  <c r="P287" i="15"/>
  <c r="G287" i="15"/>
  <c r="A287" i="15"/>
  <c r="R286" i="15"/>
  <c r="P286" i="15"/>
  <c r="G286" i="15"/>
  <c r="A286" i="15"/>
  <c r="R285" i="15"/>
  <c r="P285" i="15"/>
  <c r="G285" i="15"/>
  <c r="A285" i="15"/>
  <c r="R284" i="15"/>
  <c r="P284" i="15"/>
  <c r="G284" i="15"/>
  <c r="A284" i="15"/>
  <c r="R283" i="15"/>
  <c r="P283" i="15"/>
  <c r="A283" i="15"/>
  <c r="R282" i="15"/>
  <c r="P282" i="15"/>
  <c r="G282" i="15"/>
  <c r="A282" i="15"/>
  <c r="R281" i="15"/>
  <c r="P281" i="15"/>
  <c r="G281" i="15"/>
  <c r="A281" i="15"/>
  <c r="R280" i="15"/>
  <c r="P280" i="15"/>
  <c r="G280" i="15"/>
  <c r="A280" i="15"/>
  <c r="R279" i="15"/>
  <c r="P279" i="15"/>
  <c r="G279" i="15"/>
  <c r="A279" i="15"/>
  <c r="R278" i="15"/>
  <c r="P278" i="15"/>
  <c r="G278" i="15"/>
  <c r="A278" i="15"/>
  <c r="R277" i="15"/>
  <c r="P277" i="15"/>
  <c r="G277" i="15"/>
  <c r="A277" i="15"/>
  <c r="R276" i="15"/>
  <c r="P276" i="15"/>
  <c r="G276" i="15"/>
  <c r="A276" i="15"/>
  <c r="R275" i="15"/>
  <c r="P275" i="15"/>
  <c r="G275" i="15"/>
  <c r="A275" i="15"/>
  <c r="R274" i="15"/>
  <c r="P274" i="15"/>
  <c r="G274" i="15"/>
  <c r="A274" i="15"/>
  <c r="R273" i="15"/>
  <c r="P273" i="15"/>
  <c r="G273" i="15"/>
  <c r="A273" i="15"/>
  <c r="R272" i="15"/>
  <c r="P272" i="15"/>
  <c r="G272" i="15"/>
  <c r="A272" i="15"/>
  <c r="R271" i="15"/>
  <c r="P271" i="15"/>
  <c r="G271" i="15"/>
  <c r="A271" i="15"/>
  <c r="R270" i="15"/>
  <c r="P270" i="15"/>
  <c r="G270" i="15"/>
  <c r="A270" i="15"/>
  <c r="R269" i="15"/>
  <c r="P269" i="15"/>
  <c r="G269" i="15"/>
  <c r="A269" i="15"/>
  <c r="R268" i="15"/>
  <c r="P268" i="15"/>
  <c r="G268" i="15"/>
  <c r="A268" i="15"/>
  <c r="R267" i="15"/>
  <c r="P267" i="15"/>
  <c r="G267" i="15"/>
  <c r="A267" i="15"/>
  <c r="R266" i="15"/>
  <c r="P266" i="15"/>
  <c r="G266" i="15"/>
  <c r="A266" i="15"/>
  <c r="R265" i="15"/>
  <c r="P265" i="15"/>
  <c r="G265" i="15"/>
  <c r="A265" i="15"/>
  <c r="R264" i="15"/>
  <c r="P264" i="15"/>
  <c r="G264" i="15"/>
  <c r="A264" i="15"/>
  <c r="R263" i="15"/>
  <c r="P263" i="15"/>
  <c r="G263" i="15"/>
  <c r="A263" i="15"/>
  <c r="R262" i="15"/>
  <c r="P262" i="15"/>
  <c r="G262" i="15"/>
  <c r="A262" i="15"/>
  <c r="R261" i="15"/>
  <c r="P261" i="15"/>
  <c r="G261" i="15"/>
  <c r="A261" i="15"/>
  <c r="R260" i="15"/>
  <c r="P260" i="15"/>
  <c r="G260" i="15"/>
  <c r="A260" i="15"/>
  <c r="R259" i="15"/>
  <c r="P259" i="15"/>
  <c r="G259" i="15"/>
  <c r="A259" i="15"/>
  <c r="R258" i="15"/>
  <c r="P258" i="15"/>
  <c r="G258" i="15"/>
  <c r="A258" i="15"/>
  <c r="R257" i="15"/>
  <c r="P257" i="15"/>
  <c r="G257" i="15"/>
  <c r="A257" i="15"/>
  <c r="R256" i="15"/>
  <c r="P256" i="15"/>
  <c r="G256" i="15"/>
  <c r="A256" i="15"/>
  <c r="R255" i="15"/>
  <c r="P255" i="15"/>
  <c r="G255" i="15"/>
  <c r="A255" i="15"/>
  <c r="R254" i="15"/>
  <c r="P254" i="15"/>
  <c r="G254" i="15"/>
  <c r="A254" i="15"/>
  <c r="R253" i="15"/>
  <c r="P253" i="15"/>
  <c r="G253" i="15"/>
  <c r="A253" i="15"/>
  <c r="R252" i="15"/>
  <c r="P252" i="15"/>
  <c r="G252" i="15"/>
  <c r="A252" i="15"/>
  <c r="R251" i="15"/>
  <c r="P251" i="15"/>
  <c r="A251" i="15"/>
  <c r="R250" i="15"/>
  <c r="P250" i="15"/>
  <c r="A250" i="15"/>
  <c r="R249" i="15"/>
  <c r="P249" i="15"/>
  <c r="A249" i="15"/>
  <c r="R248" i="15"/>
  <c r="P248" i="15"/>
  <c r="A248" i="15"/>
  <c r="R247" i="15"/>
  <c r="P247" i="15"/>
  <c r="A247" i="15"/>
  <c r="R246" i="15"/>
  <c r="P246" i="15"/>
  <c r="A246" i="15"/>
  <c r="R245" i="15"/>
  <c r="P245" i="15"/>
  <c r="A245" i="15"/>
  <c r="R244" i="15"/>
  <c r="P244" i="15"/>
  <c r="A244" i="15"/>
  <c r="R243" i="15"/>
  <c r="P243" i="15"/>
  <c r="A243" i="15"/>
  <c r="R242" i="15"/>
  <c r="P242" i="15"/>
  <c r="A242" i="15"/>
  <c r="R241" i="15"/>
  <c r="P241" i="15"/>
  <c r="A241" i="15"/>
  <c r="R240" i="15"/>
  <c r="P240" i="15"/>
  <c r="A240" i="15"/>
  <c r="R239" i="15"/>
  <c r="P239" i="15"/>
  <c r="A239" i="15"/>
  <c r="R238" i="15"/>
  <c r="P238" i="15"/>
  <c r="A238" i="15"/>
  <c r="R237" i="15"/>
  <c r="P237" i="15"/>
  <c r="A237" i="15"/>
  <c r="R236" i="15"/>
  <c r="P236" i="15"/>
  <c r="A236" i="15"/>
  <c r="R235" i="15"/>
  <c r="P235" i="15"/>
  <c r="A235" i="15"/>
  <c r="R234" i="15"/>
  <c r="P234" i="15"/>
  <c r="A234" i="15"/>
  <c r="R233" i="15"/>
  <c r="P233" i="15"/>
  <c r="A233" i="15"/>
  <c r="R232" i="15"/>
  <c r="P232" i="15"/>
  <c r="A232" i="15"/>
  <c r="R231" i="15"/>
  <c r="P231" i="15"/>
  <c r="A231" i="15"/>
  <c r="R230" i="15"/>
  <c r="P230" i="15"/>
  <c r="A230" i="15"/>
  <c r="R229" i="15"/>
  <c r="P229" i="15"/>
  <c r="A229" i="15"/>
  <c r="R228" i="15"/>
  <c r="P228" i="15"/>
  <c r="A228" i="15"/>
  <c r="R227" i="15"/>
  <c r="P227" i="15"/>
  <c r="A227" i="15"/>
  <c r="R226" i="15"/>
  <c r="P226" i="15"/>
  <c r="A226" i="15"/>
  <c r="R225" i="15"/>
  <c r="P225" i="15"/>
  <c r="A225" i="15"/>
  <c r="R224" i="15"/>
  <c r="P224" i="15"/>
  <c r="A224" i="15"/>
  <c r="R223" i="15"/>
  <c r="P223" i="15"/>
  <c r="A223" i="15"/>
  <c r="R222" i="15"/>
  <c r="P222" i="15"/>
  <c r="A222" i="15"/>
  <c r="R221" i="15"/>
  <c r="P221" i="15"/>
  <c r="A221" i="15"/>
  <c r="R220" i="15"/>
  <c r="P220" i="15"/>
  <c r="A220" i="15"/>
  <c r="R219" i="15"/>
  <c r="P219" i="15"/>
  <c r="A219" i="15"/>
  <c r="R218" i="15"/>
  <c r="P218" i="15"/>
  <c r="A218" i="15"/>
  <c r="R217" i="15"/>
  <c r="P217" i="15"/>
  <c r="A217" i="15"/>
  <c r="R216" i="15"/>
  <c r="P216" i="15"/>
  <c r="A216" i="15"/>
  <c r="R215" i="15"/>
  <c r="P215" i="15"/>
  <c r="A215" i="15"/>
  <c r="R214" i="15"/>
  <c r="P214" i="15"/>
  <c r="A214" i="15"/>
  <c r="R213" i="15"/>
  <c r="P213" i="15"/>
  <c r="A213" i="15"/>
  <c r="R212" i="15"/>
  <c r="P212" i="15"/>
  <c r="A212" i="15"/>
  <c r="R211" i="15"/>
  <c r="P211" i="15"/>
  <c r="A211" i="15"/>
  <c r="R210" i="15"/>
  <c r="P210" i="15"/>
  <c r="A210" i="15"/>
  <c r="R209" i="15"/>
  <c r="P209" i="15"/>
  <c r="A209" i="15"/>
  <c r="R208" i="15"/>
  <c r="P208" i="15"/>
  <c r="A208" i="15"/>
  <c r="R207" i="15"/>
  <c r="P207" i="15"/>
  <c r="A207" i="15"/>
  <c r="R206" i="15"/>
  <c r="P206" i="15"/>
  <c r="A206" i="15"/>
  <c r="R205" i="15"/>
  <c r="P205" i="15"/>
  <c r="A205" i="15"/>
  <c r="R204" i="15"/>
  <c r="P204" i="15"/>
  <c r="A204" i="15"/>
  <c r="R203" i="15"/>
  <c r="P203" i="15"/>
  <c r="A203" i="15"/>
  <c r="R202" i="15"/>
  <c r="P202" i="15"/>
  <c r="A202" i="15"/>
  <c r="R201" i="15"/>
  <c r="P201" i="15"/>
  <c r="A201" i="15"/>
  <c r="R200" i="15"/>
  <c r="P200" i="15"/>
  <c r="A200" i="15"/>
  <c r="R199" i="15"/>
  <c r="P199" i="15"/>
  <c r="A199" i="15"/>
  <c r="R198" i="15"/>
  <c r="P198" i="15"/>
  <c r="A198" i="15"/>
  <c r="R197" i="15"/>
  <c r="P197" i="15"/>
  <c r="A197" i="15"/>
  <c r="R196" i="15"/>
  <c r="P196" i="15"/>
  <c r="A196" i="15"/>
  <c r="R195" i="15"/>
  <c r="P195" i="15"/>
  <c r="A195" i="15"/>
  <c r="R194" i="15"/>
  <c r="P194" i="15"/>
  <c r="A194" i="15"/>
  <c r="R193" i="15"/>
  <c r="P193" i="15"/>
  <c r="A193" i="15"/>
  <c r="R192" i="15"/>
  <c r="P192" i="15"/>
  <c r="A192" i="15"/>
  <c r="R191" i="15"/>
  <c r="P191" i="15"/>
  <c r="A191" i="15"/>
  <c r="R190" i="15"/>
  <c r="P190" i="15"/>
  <c r="A190" i="15"/>
  <c r="R189" i="15"/>
  <c r="P189" i="15"/>
  <c r="A189" i="15"/>
  <c r="R188" i="15"/>
  <c r="P188" i="15"/>
  <c r="A188" i="15"/>
  <c r="R187" i="15"/>
  <c r="P187" i="15"/>
  <c r="A187" i="15"/>
  <c r="R186" i="15"/>
  <c r="P186" i="15"/>
  <c r="A186" i="15"/>
  <c r="R185" i="15"/>
  <c r="P185" i="15"/>
  <c r="A185" i="15"/>
  <c r="R184" i="15"/>
  <c r="P184" i="15"/>
  <c r="A184" i="15"/>
  <c r="R183" i="15"/>
  <c r="P183" i="15"/>
  <c r="A183" i="15"/>
  <c r="R182" i="15"/>
  <c r="P182" i="15"/>
  <c r="A182" i="15"/>
  <c r="R181" i="15"/>
  <c r="P181" i="15"/>
  <c r="A181" i="15"/>
  <c r="R180" i="15"/>
  <c r="P180" i="15"/>
  <c r="A180" i="15"/>
  <c r="R179" i="15"/>
  <c r="P179" i="15"/>
  <c r="A179" i="15"/>
  <c r="R178" i="15"/>
  <c r="P178" i="15"/>
  <c r="A178" i="15"/>
  <c r="R177" i="15"/>
  <c r="P177" i="15"/>
  <c r="A177" i="15"/>
  <c r="R176" i="15"/>
  <c r="P176" i="15"/>
  <c r="A176" i="15"/>
  <c r="R175" i="15"/>
  <c r="P175" i="15"/>
  <c r="A175" i="15"/>
  <c r="R174" i="15"/>
  <c r="P174" i="15"/>
  <c r="A174" i="15"/>
  <c r="R173" i="15"/>
  <c r="P173" i="15"/>
  <c r="A173" i="15"/>
  <c r="R172" i="15"/>
  <c r="P172" i="15"/>
  <c r="A172" i="15"/>
  <c r="R171" i="15"/>
  <c r="P171" i="15"/>
  <c r="A171" i="15"/>
  <c r="R170" i="15"/>
  <c r="P170" i="15"/>
  <c r="A170" i="15"/>
  <c r="R169" i="15"/>
  <c r="P169" i="15"/>
  <c r="A169" i="15"/>
  <c r="R168" i="15"/>
  <c r="P168" i="15"/>
  <c r="A168" i="15"/>
  <c r="R167" i="15"/>
  <c r="P167" i="15"/>
  <c r="A167" i="15"/>
  <c r="R166" i="15"/>
  <c r="P166" i="15"/>
  <c r="A166" i="15"/>
  <c r="R165" i="15"/>
  <c r="P165" i="15"/>
  <c r="A165" i="15"/>
  <c r="R164" i="15"/>
  <c r="P164" i="15"/>
  <c r="A164" i="15"/>
  <c r="R163" i="15"/>
  <c r="P163" i="15"/>
  <c r="A163" i="15"/>
  <c r="R162" i="15"/>
  <c r="P162" i="15"/>
  <c r="A162" i="15"/>
  <c r="R161" i="15"/>
  <c r="P161" i="15"/>
  <c r="A161" i="15"/>
  <c r="R160" i="15"/>
  <c r="P160" i="15"/>
  <c r="A160" i="15"/>
  <c r="R159" i="15"/>
  <c r="P159" i="15"/>
  <c r="A159" i="15"/>
  <c r="R158" i="15"/>
  <c r="P158" i="15"/>
  <c r="A158" i="15"/>
  <c r="R157" i="15"/>
  <c r="P157" i="15"/>
  <c r="A157" i="15"/>
  <c r="R156" i="15"/>
  <c r="P156" i="15"/>
  <c r="A156" i="15"/>
  <c r="R155" i="15"/>
  <c r="P155" i="15"/>
  <c r="A155" i="15"/>
  <c r="R154" i="15"/>
  <c r="P154" i="15"/>
  <c r="A154" i="15"/>
  <c r="R153" i="15"/>
  <c r="P153" i="15"/>
  <c r="A153" i="15"/>
  <c r="R152" i="15"/>
  <c r="P152" i="15"/>
  <c r="A152" i="15"/>
  <c r="R151" i="15"/>
  <c r="P151" i="15"/>
  <c r="A151" i="15"/>
  <c r="R150" i="15"/>
  <c r="P150" i="15"/>
  <c r="A150" i="15"/>
  <c r="R149" i="15"/>
  <c r="P149" i="15"/>
  <c r="A149" i="15"/>
  <c r="R148" i="15"/>
  <c r="P148" i="15"/>
  <c r="A148" i="15"/>
  <c r="R147" i="15"/>
  <c r="P147" i="15"/>
  <c r="A147" i="15"/>
  <c r="R146" i="15"/>
  <c r="P146" i="15"/>
  <c r="A146" i="15"/>
  <c r="R145" i="15"/>
  <c r="P145" i="15"/>
  <c r="A145" i="15"/>
  <c r="R144" i="15"/>
  <c r="P144" i="15"/>
  <c r="A144" i="15"/>
  <c r="R143" i="15"/>
  <c r="P143" i="15"/>
  <c r="A143" i="15"/>
  <c r="R142" i="15"/>
  <c r="P142" i="15"/>
  <c r="A142" i="15"/>
  <c r="R141" i="15"/>
  <c r="P141" i="15"/>
  <c r="A141" i="15"/>
  <c r="R140" i="15"/>
  <c r="P140" i="15"/>
  <c r="A140" i="15"/>
  <c r="R139" i="15"/>
  <c r="P139" i="15"/>
  <c r="A139" i="15"/>
  <c r="R138" i="15"/>
  <c r="P138" i="15"/>
  <c r="A138" i="15"/>
  <c r="R137" i="15"/>
  <c r="P137" i="15"/>
  <c r="A137" i="15"/>
  <c r="R136" i="15"/>
  <c r="P136" i="15"/>
  <c r="A136" i="15"/>
  <c r="R135" i="15"/>
  <c r="P135" i="15"/>
  <c r="A135" i="15"/>
  <c r="R134" i="15"/>
  <c r="P134" i="15"/>
  <c r="A134" i="15"/>
  <c r="R133" i="15"/>
  <c r="P133" i="15"/>
  <c r="A133" i="15"/>
  <c r="R132" i="15"/>
  <c r="P132" i="15"/>
  <c r="A132" i="15"/>
  <c r="R131" i="15"/>
  <c r="P131" i="15"/>
  <c r="A131" i="15"/>
  <c r="R130" i="15"/>
  <c r="P130" i="15"/>
  <c r="A130" i="15"/>
  <c r="R129" i="15"/>
  <c r="P129" i="15"/>
  <c r="A129" i="15"/>
  <c r="R128" i="15"/>
  <c r="P128" i="15"/>
  <c r="A128" i="15"/>
  <c r="R127" i="15"/>
  <c r="P127" i="15"/>
  <c r="A127" i="15"/>
  <c r="R126" i="15"/>
  <c r="P126" i="15"/>
  <c r="A126" i="15"/>
  <c r="R125" i="15"/>
  <c r="P125" i="15"/>
  <c r="A125" i="15"/>
  <c r="R124" i="15"/>
  <c r="P124" i="15"/>
  <c r="A124" i="15"/>
  <c r="R123" i="15"/>
  <c r="P123" i="15"/>
  <c r="A123" i="15"/>
  <c r="R122" i="15"/>
  <c r="P122" i="15"/>
  <c r="A122" i="15"/>
  <c r="R121" i="15"/>
  <c r="P121" i="15"/>
  <c r="A121" i="15"/>
  <c r="R120" i="15"/>
  <c r="P120" i="15"/>
  <c r="A120" i="15"/>
  <c r="R119" i="15"/>
  <c r="P119" i="15"/>
  <c r="A119" i="15"/>
  <c r="R118" i="15"/>
  <c r="P118" i="15"/>
  <c r="A118" i="15"/>
  <c r="R117" i="15"/>
  <c r="P117" i="15"/>
  <c r="A117" i="15"/>
  <c r="R116" i="15"/>
  <c r="P116" i="15"/>
  <c r="A116" i="15"/>
  <c r="R115" i="15"/>
  <c r="P115" i="15"/>
  <c r="A115" i="15"/>
  <c r="R114" i="15"/>
  <c r="P114" i="15"/>
  <c r="A114" i="15"/>
  <c r="R113" i="15"/>
  <c r="P113" i="15"/>
  <c r="A113" i="15"/>
  <c r="R112" i="15"/>
  <c r="P112" i="15"/>
  <c r="A112" i="15"/>
  <c r="R111" i="15"/>
  <c r="P111" i="15"/>
  <c r="A111" i="15"/>
  <c r="R110" i="15"/>
  <c r="P110" i="15"/>
  <c r="A110" i="15"/>
  <c r="R109" i="15"/>
  <c r="P109" i="15"/>
  <c r="A109" i="15"/>
  <c r="R108" i="15"/>
  <c r="P108" i="15"/>
  <c r="A108" i="15"/>
  <c r="R107" i="15"/>
  <c r="P107" i="15"/>
  <c r="A107" i="15"/>
  <c r="R106" i="15"/>
  <c r="P106" i="15"/>
  <c r="A106" i="15"/>
  <c r="R105" i="15"/>
  <c r="P105" i="15"/>
  <c r="A105" i="15"/>
  <c r="R104" i="15"/>
  <c r="P104" i="15"/>
  <c r="A104" i="15"/>
  <c r="R103" i="15"/>
  <c r="P103" i="15"/>
  <c r="A103" i="15"/>
  <c r="R102" i="15"/>
  <c r="P102" i="15"/>
  <c r="A102" i="15"/>
  <c r="R101" i="15"/>
  <c r="P101" i="15"/>
  <c r="A101" i="15"/>
  <c r="R100" i="15"/>
  <c r="P100" i="15"/>
  <c r="A100" i="15"/>
  <c r="R99" i="15"/>
  <c r="P99" i="15"/>
  <c r="A99" i="15"/>
  <c r="R98" i="15"/>
  <c r="P98" i="15"/>
  <c r="A98" i="15"/>
  <c r="R97" i="15"/>
  <c r="P97" i="15"/>
  <c r="A97" i="15"/>
  <c r="R96" i="15"/>
  <c r="P96" i="15"/>
  <c r="A96" i="15"/>
  <c r="R95" i="15"/>
  <c r="P95" i="15"/>
  <c r="A95" i="15"/>
  <c r="R94" i="15"/>
  <c r="P94" i="15"/>
  <c r="A94" i="15"/>
  <c r="R93" i="15"/>
  <c r="P93" i="15"/>
  <c r="A93" i="15"/>
  <c r="R92" i="15"/>
  <c r="P92" i="15"/>
  <c r="A92" i="15"/>
  <c r="R91" i="15"/>
  <c r="P91" i="15"/>
  <c r="A91" i="15"/>
  <c r="R90" i="15"/>
  <c r="P90" i="15"/>
  <c r="A90" i="15"/>
  <c r="R89" i="15"/>
  <c r="P89" i="15"/>
  <c r="A89" i="15"/>
  <c r="R88" i="15"/>
  <c r="P88" i="15"/>
  <c r="A88" i="15"/>
  <c r="R87" i="15"/>
  <c r="P87" i="15"/>
  <c r="A87" i="15"/>
  <c r="R86" i="15"/>
  <c r="P86" i="15"/>
  <c r="A86" i="15"/>
  <c r="R85" i="15"/>
  <c r="P85" i="15"/>
  <c r="A85" i="15"/>
  <c r="R84" i="15"/>
  <c r="P84" i="15"/>
  <c r="A84" i="15"/>
  <c r="R83" i="15"/>
  <c r="P83" i="15"/>
  <c r="A83" i="15"/>
  <c r="R82" i="15"/>
  <c r="P82" i="15"/>
  <c r="A82" i="15"/>
  <c r="R81" i="15"/>
  <c r="P81" i="15"/>
  <c r="A81" i="15"/>
  <c r="R80" i="15"/>
  <c r="P80" i="15"/>
  <c r="A80" i="15"/>
  <c r="R79" i="15"/>
  <c r="P79" i="15"/>
  <c r="A79" i="15"/>
  <c r="R78" i="15"/>
  <c r="P78" i="15"/>
  <c r="A78" i="15"/>
  <c r="R77" i="15"/>
  <c r="P77" i="15"/>
  <c r="A77" i="15"/>
  <c r="R76" i="15"/>
  <c r="P76" i="15"/>
  <c r="A76" i="15"/>
  <c r="R75" i="15"/>
  <c r="P75" i="15"/>
  <c r="A75" i="15"/>
  <c r="R74" i="15"/>
  <c r="P74" i="15"/>
  <c r="A74" i="15"/>
  <c r="R73" i="15"/>
  <c r="P73" i="15"/>
  <c r="A73" i="15"/>
  <c r="R72" i="15"/>
  <c r="P72" i="15"/>
  <c r="A72" i="15"/>
  <c r="R71" i="15"/>
  <c r="P71" i="15"/>
  <c r="A71" i="15"/>
  <c r="R70" i="15"/>
  <c r="P70" i="15"/>
  <c r="A70" i="15"/>
  <c r="R69" i="15"/>
  <c r="P69" i="15"/>
  <c r="A69" i="15"/>
  <c r="R68" i="15"/>
  <c r="P68" i="15"/>
  <c r="A68" i="15"/>
  <c r="R67" i="15"/>
  <c r="P67" i="15"/>
  <c r="A67" i="15"/>
  <c r="R66" i="15"/>
  <c r="P66" i="15"/>
  <c r="A66" i="15"/>
  <c r="R65" i="15"/>
  <c r="P65" i="15"/>
  <c r="A65" i="15"/>
  <c r="R64" i="15"/>
  <c r="P64" i="15"/>
  <c r="A64" i="15"/>
  <c r="R63" i="15"/>
  <c r="P63" i="15"/>
  <c r="A63" i="15"/>
  <c r="R62" i="15"/>
  <c r="P62" i="15"/>
  <c r="A62" i="15"/>
  <c r="R61" i="15"/>
  <c r="P61" i="15"/>
  <c r="A61" i="15"/>
  <c r="R60" i="15"/>
  <c r="P60" i="15"/>
  <c r="A60" i="15"/>
  <c r="R59" i="15"/>
  <c r="P59" i="15"/>
  <c r="A59" i="15"/>
  <c r="R58" i="15"/>
  <c r="P58" i="15"/>
  <c r="A58" i="15"/>
  <c r="R57" i="15"/>
  <c r="P57" i="15"/>
  <c r="A57" i="15"/>
  <c r="R56" i="15"/>
  <c r="P56" i="15"/>
  <c r="A56" i="15"/>
  <c r="R55" i="15"/>
  <c r="P55" i="15"/>
  <c r="A55" i="15"/>
  <c r="R54" i="15"/>
  <c r="P54" i="15"/>
  <c r="A54" i="15"/>
  <c r="R53" i="15"/>
  <c r="P53" i="15"/>
  <c r="A53" i="15"/>
  <c r="R52" i="15"/>
  <c r="P52" i="15"/>
  <c r="A52" i="15"/>
  <c r="R51" i="15"/>
  <c r="P51" i="15"/>
  <c r="A51" i="15"/>
  <c r="R50" i="15"/>
  <c r="P50" i="15"/>
  <c r="A50" i="15"/>
  <c r="R49" i="15"/>
  <c r="P49" i="15"/>
  <c r="A49" i="15"/>
  <c r="R48" i="15"/>
  <c r="P48" i="15"/>
  <c r="A48" i="15"/>
  <c r="R47" i="15"/>
  <c r="P47" i="15"/>
  <c r="A47" i="15"/>
  <c r="R46" i="15"/>
  <c r="P46" i="15"/>
  <c r="A46" i="15"/>
  <c r="R45" i="15"/>
  <c r="P45" i="15"/>
  <c r="A45" i="15"/>
  <c r="R44" i="15"/>
  <c r="P44" i="15"/>
  <c r="A44" i="15"/>
  <c r="R43" i="15"/>
  <c r="P43" i="15"/>
  <c r="A43" i="15"/>
  <c r="R42" i="15"/>
  <c r="P42" i="15"/>
  <c r="A42" i="15"/>
  <c r="R41" i="15"/>
  <c r="P41" i="15"/>
  <c r="A41" i="15"/>
  <c r="R40" i="15"/>
  <c r="P40" i="15"/>
  <c r="A40" i="15"/>
  <c r="R39" i="15"/>
  <c r="P39" i="15"/>
  <c r="A39" i="15"/>
  <c r="R38" i="15"/>
  <c r="P38" i="15"/>
  <c r="A38" i="15"/>
  <c r="R37" i="15"/>
  <c r="P37" i="15"/>
  <c r="A37" i="15"/>
  <c r="R36" i="15"/>
  <c r="P36" i="15"/>
  <c r="A36" i="15"/>
  <c r="R35" i="15"/>
  <c r="P35" i="15"/>
  <c r="A35" i="15"/>
  <c r="R34" i="15"/>
  <c r="P34" i="15"/>
  <c r="A34" i="15"/>
  <c r="R33" i="15"/>
  <c r="P33" i="15"/>
  <c r="A33" i="15"/>
  <c r="R32" i="15"/>
  <c r="P32" i="15"/>
  <c r="A32" i="15"/>
  <c r="R31" i="15"/>
  <c r="P31" i="15"/>
  <c r="A31" i="15"/>
  <c r="R30" i="15"/>
  <c r="P30" i="15"/>
  <c r="A30" i="15"/>
  <c r="R29" i="15"/>
  <c r="P29" i="15"/>
  <c r="A29" i="15"/>
  <c r="R28" i="15"/>
  <c r="P28" i="15"/>
  <c r="A28" i="15"/>
  <c r="R27" i="15"/>
  <c r="P27" i="15"/>
  <c r="A27" i="15"/>
  <c r="R26" i="15"/>
  <c r="P26" i="15"/>
  <c r="A26" i="15"/>
  <c r="R25" i="15"/>
  <c r="P25" i="15"/>
  <c r="A25" i="15"/>
  <c r="R24" i="15"/>
  <c r="P24" i="15"/>
  <c r="A24" i="15"/>
  <c r="R23" i="15"/>
  <c r="P23" i="15"/>
  <c r="A23" i="15"/>
  <c r="R22" i="15"/>
  <c r="P22" i="15"/>
  <c r="A22" i="15"/>
  <c r="R21" i="15"/>
  <c r="P21" i="15"/>
  <c r="A21" i="15"/>
  <c r="R20" i="15"/>
  <c r="P20" i="15"/>
  <c r="A20" i="15"/>
  <c r="R19" i="15"/>
  <c r="P19" i="15"/>
  <c r="A19" i="15"/>
  <c r="R18" i="15"/>
  <c r="P18" i="15"/>
  <c r="A18" i="15"/>
  <c r="R17" i="15"/>
  <c r="P17" i="15"/>
  <c r="A17" i="15"/>
  <c r="R16" i="15"/>
  <c r="P16" i="15"/>
  <c r="A16" i="15"/>
  <c r="R15" i="15"/>
  <c r="P15" i="15"/>
  <c r="A15" i="15"/>
  <c r="R14" i="15"/>
  <c r="P14" i="15"/>
  <c r="A14" i="15"/>
  <c r="R13" i="15"/>
  <c r="P13" i="15"/>
  <c r="A13" i="15"/>
  <c r="R12" i="15"/>
  <c r="P12" i="15"/>
  <c r="A12" i="15"/>
  <c r="R11" i="15"/>
  <c r="P11" i="15"/>
  <c r="A11" i="15"/>
  <c r="A10" i="15"/>
  <c r="B6" i="15"/>
  <c r="B5" i="15"/>
  <c r="W4" i="15"/>
  <c r="V4" i="15"/>
  <c r="U4" i="15"/>
  <c r="T4" i="15"/>
  <c r="R4" i="15"/>
  <c r="Q4" i="15"/>
  <c r="P4" i="15"/>
  <c r="O4" i="15"/>
  <c r="M4" i="15"/>
  <c r="L4" i="15"/>
  <c r="J4" i="15"/>
  <c r="I4" i="15"/>
  <c r="G4" i="15"/>
  <c r="F4" i="15"/>
  <c r="E4" i="15"/>
  <c r="D4" i="15"/>
  <c r="C4" i="15"/>
  <c r="A2057" i="14" l="1"/>
  <c r="A2056" i="14"/>
  <c r="A2055" i="14"/>
  <c r="A2054" i="14"/>
  <c r="A2053" i="14"/>
  <c r="A2052" i="14"/>
  <c r="A2051" i="14"/>
  <c r="A2050" i="14"/>
  <c r="A2049" i="14"/>
  <c r="A2048" i="14"/>
  <c r="A2047" i="14"/>
  <c r="A2046" i="14"/>
  <c r="A2045" i="14"/>
  <c r="A2044" i="14"/>
  <c r="A2043" i="14"/>
  <c r="A2042" i="14"/>
  <c r="A2041" i="14"/>
  <c r="A2040" i="14"/>
  <c r="A2039" i="14"/>
  <c r="A2038" i="14"/>
  <c r="A2037" i="14"/>
  <c r="A2036" i="14"/>
  <c r="A2035" i="14"/>
  <c r="A2034" i="14"/>
  <c r="A2033" i="14"/>
  <c r="A2032" i="14"/>
  <c r="A2031" i="14"/>
  <c r="A2030" i="14"/>
  <c r="A2029" i="14"/>
  <c r="A2028" i="14"/>
  <c r="A2027" i="14"/>
  <c r="A2026" i="14"/>
  <c r="A2025" i="14"/>
  <c r="A2024" i="14"/>
  <c r="A2023" i="14"/>
  <c r="A2022" i="14"/>
  <c r="A2021" i="14"/>
  <c r="A2020" i="14"/>
  <c r="A2019" i="14"/>
  <c r="A2018" i="14"/>
  <c r="A2017" i="14"/>
  <c r="A2016" i="14"/>
  <c r="A2015" i="14"/>
  <c r="A2014" i="14"/>
  <c r="A2013" i="14"/>
  <c r="A2012" i="14"/>
  <c r="A2011" i="14"/>
  <c r="A2010" i="14"/>
  <c r="A2009" i="14"/>
  <c r="A2008" i="14"/>
  <c r="A2007" i="14"/>
  <c r="A2006" i="14"/>
  <c r="A2005" i="14"/>
  <c r="A2004" i="14"/>
  <c r="A2003" i="14"/>
  <c r="A2002" i="14"/>
  <c r="A2001" i="14"/>
  <c r="A2000" i="14"/>
  <c r="A1999" i="14"/>
  <c r="A1998" i="14"/>
  <c r="A1997" i="14"/>
  <c r="A1996" i="14"/>
  <c r="A1995" i="14"/>
  <c r="A1994" i="14"/>
  <c r="A1993" i="14"/>
  <c r="A1992" i="14"/>
  <c r="A1991" i="14"/>
  <c r="A1990" i="14"/>
  <c r="A1989" i="14"/>
  <c r="A1988" i="14"/>
  <c r="A1987" i="14"/>
  <c r="A1986" i="14"/>
  <c r="A1985" i="14"/>
  <c r="A1984" i="14"/>
  <c r="A1983" i="14"/>
  <c r="A1982" i="14"/>
  <c r="A1981" i="14"/>
  <c r="A1980" i="14"/>
  <c r="A1979" i="14"/>
  <c r="A1978" i="14"/>
  <c r="A1977" i="14"/>
  <c r="A1976" i="14"/>
  <c r="A1975" i="14"/>
  <c r="A1974" i="14"/>
  <c r="A1973" i="14"/>
  <c r="A1972" i="14"/>
  <c r="A1971" i="14"/>
  <c r="A1970" i="14"/>
  <c r="A1969" i="14"/>
  <c r="A1968" i="14"/>
  <c r="A1967" i="14"/>
  <c r="A1966" i="14"/>
  <c r="A1965" i="14"/>
  <c r="A1964" i="14"/>
  <c r="A1963" i="14"/>
  <c r="A1962" i="14"/>
  <c r="A1961" i="14"/>
  <c r="A1960" i="14"/>
  <c r="A1959" i="14"/>
  <c r="A1958" i="14"/>
  <c r="A1957" i="14"/>
  <c r="A1956" i="14"/>
  <c r="A1955" i="14"/>
  <c r="A1954" i="14"/>
  <c r="A1953" i="14"/>
  <c r="A1952" i="14"/>
  <c r="A1951" i="14"/>
  <c r="A1950" i="14"/>
  <c r="A1949" i="14"/>
  <c r="A1948" i="14"/>
  <c r="A1947" i="14"/>
  <c r="A1946" i="14"/>
  <c r="A1945" i="14"/>
  <c r="A1944" i="14"/>
  <c r="A1943" i="14"/>
  <c r="A1942" i="14"/>
  <c r="A1941" i="14"/>
  <c r="A1940" i="14"/>
  <c r="A1939" i="14"/>
  <c r="A1938" i="14"/>
  <c r="A1937" i="14"/>
  <c r="A1936" i="14"/>
  <c r="A1935" i="14"/>
  <c r="A1934" i="14"/>
  <c r="A1933" i="14"/>
  <c r="A1932" i="14"/>
  <c r="A1931" i="14"/>
  <c r="A1930" i="14"/>
  <c r="A1929" i="14"/>
  <c r="A1928" i="14"/>
  <c r="A1927" i="14"/>
  <c r="A1926" i="14"/>
  <c r="A1925" i="14"/>
  <c r="A1924" i="14"/>
  <c r="A1923" i="14"/>
  <c r="A1922" i="14"/>
  <c r="A1921" i="14"/>
  <c r="A1920" i="14"/>
  <c r="A1919" i="14"/>
  <c r="A1918" i="14"/>
  <c r="A1917" i="14"/>
  <c r="A1916" i="14"/>
  <c r="A1915" i="14"/>
  <c r="A1914" i="14"/>
  <c r="A1913" i="14"/>
  <c r="A1912" i="14"/>
  <c r="A1911" i="14"/>
  <c r="A1910" i="14"/>
  <c r="A1909" i="14"/>
  <c r="A1908" i="14"/>
  <c r="A1907" i="14"/>
  <c r="A1906" i="14"/>
  <c r="A1905" i="14"/>
  <c r="A1904" i="14"/>
  <c r="A1903" i="14"/>
  <c r="A1902" i="14"/>
  <c r="A1901" i="14"/>
  <c r="A1900" i="14"/>
  <c r="A1899" i="14"/>
  <c r="A1898" i="14"/>
  <c r="A1897" i="14"/>
  <c r="A1896" i="14"/>
  <c r="A1895" i="14"/>
  <c r="A1894" i="14"/>
  <c r="A1893" i="14"/>
  <c r="A1892" i="14"/>
  <c r="A1891" i="14"/>
  <c r="A1890" i="14"/>
  <c r="A1889" i="14"/>
  <c r="A1888" i="14"/>
  <c r="A1887" i="14"/>
  <c r="A1886" i="14"/>
  <c r="A1885" i="14"/>
  <c r="A1884" i="14"/>
  <c r="A1883" i="14"/>
  <c r="A1882" i="14"/>
  <c r="A1881" i="14"/>
  <c r="A1880" i="14"/>
  <c r="A1879" i="14"/>
  <c r="A1878" i="14"/>
  <c r="A1877" i="14"/>
  <c r="A1876" i="14"/>
  <c r="A1875" i="14"/>
  <c r="A1874" i="14"/>
  <c r="A1873" i="14"/>
  <c r="A1872" i="14"/>
  <c r="A1871" i="14"/>
  <c r="A1870" i="14"/>
  <c r="A1869" i="14"/>
  <c r="A1868" i="14"/>
  <c r="A1867" i="14"/>
  <c r="A1866" i="14"/>
  <c r="A1865" i="14"/>
  <c r="A1864" i="14"/>
  <c r="A1863" i="14"/>
  <c r="A1862" i="14"/>
  <c r="A1861" i="14"/>
  <c r="A1860" i="14"/>
  <c r="A1859" i="14"/>
  <c r="A1858" i="14"/>
  <c r="A1857" i="14"/>
  <c r="A1856" i="14"/>
  <c r="A1855" i="14"/>
  <c r="A1854" i="14"/>
  <c r="A1853" i="14"/>
  <c r="A1852" i="14"/>
  <c r="A1851" i="14"/>
  <c r="A1850" i="14"/>
  <c r="A1849" i="14"/>
  <c r="A1848" i="14"/>
  <c r="A1847" i="14"/>
  <c r="A1846" i="14"/>
  <c r="A1845" i="14"/>
  <c r="A1844" i="14"/>
  <c r="A1843" i="14"/>
  <c r="A1842" i="14"/>
  <c r="A1841" i="14"/>
  <c r="A1840" i="14"/>
  <c r="A1839" i="14"/>
  <c r="A1838" i="14"/>
  <c r="A1837" i="14"/>
  <c r="A1836" i="14"/>
  <c r="A1835" i="14"/>
  <c r="A1834" i="14"/>
  <c r="A1833" i="14"/>
  <c r="A1832" i="14"/>
  <c r="A1831" i="14"/>
  <c r="A1830" i="14"/>
  <c r="A1829" i="14"/>
  <c r="A1828" i="14"/>
  <c r="A1827" i="14"/>
  <c r="A1826" i="14"/>
  <c r="A1825" i="14"/>
  <c r="A1824" i="14"/>
  <c r="A1823" i="14"/>
  <c r="A1822" i="14"/>
  <c r="A1821" i="14"/>
  <c r="A1820" i="14"/>
  <c r="A1819" i="14"/>
  <c r="A1818" i="14"/>
  <c r="A1817" i="14"/>
  <c r="A1816" i="14"/>
  <c r="A1815" i="14"/>
  <c r="A1814" i="14"/>
  <c r="A1813" i="14"/>
  <c r="A1812" i="14"/>
  <c r="A1811" i="14"/>
  <c r="A1810" i="14"/>
  <c r="A1809" i="14"/>
  <c r="A1808" i="14"/>
  <c r="A1807" i="14"/>
  <c r="A1806" i="14"/>
  <c r="A1805" i="14"/>
  <c r="A1804" i="14"/>
  <c r="A1803" i="14"/>
  <c r="A1802" i="14"/>
  <c r="A1801" i="14"/>
  <c r="A1800" i="14"/>
  <c r="A1799" i="14"/>
  <c r="A1798" i="14"/>
  <c r="A1797" i="14"/>
  <c r="A1796" i="14"/>
  <c r="A1795" i="14"/>
  <c r="A1794" i="14"/>
  <c r="A1793" i="14"/>
  <c r="A1792" i="14"/>
  <c r="A1791" i="14"/>
  <c r="A1790" i="14"/>
  <c r="A1789" i="14"/>
  <c r="A1788" i="14"/>
  <c r="A1787" i="14"/>
  <c r="A1786" i="14"/>
  <c r="A1785" i="14"/>
  <c r="A1784" i="14"/>
  <c r="A1783" i="14"/>
  <c r="A1782" i="14"/>
  <c r="A1781" i="14"/>
  <c r="A1780" i="14"/>
  <c r="A1779" i="14"/>
  <c r="A1778" i="14"/>
  <c r="A1777" i="14"/>
  <c r="A1776" i="14"/>
  <c r="A1775" i="14"/>
  <c r="A1774" i="14"/>
  <c r="A1773" i="14"/>
  <c r="A1772" i="14"/>
  <c r="A1771" i="14"/>
  <c r="A1770" i="14"/>
  <c r="A1769" i="14"/>
  <c r="A1768" i="14"/>
  <c r="A1767" i="14"/>
  <c r="A1766" i="14"/>
  <c r="A1765" i="14"/>
  <c r="A1764" i="14"/>
  <c r="A1763" i="14"/>
  <c r="A1762" i="14"/>
  <c r="A1761" i="14"/>
  <c r="A1760" i="14"/>
  <c r="A1759" i="14"/>
  <c r="A1758" i="14"/>
  <c r="A1757" i="14"/>
  <c r="A1756" i="14"/>
  <c r="A1755" i="14"/>
  <c r="A1754" i="14"/>
  <c r="A1753" i="14"/>
  <c r="A1752" i="14"/>
  <c r="A1751" i="14"/>
  <c r="A1750" i="14"/>
  <c r="A1749" i="14"/>
  <c r="A1748" i="14"/>
  <c r="A1747" i="14"/>
  <c r="A1746" i="14"/>
  <c r="A1745" i="14"/>
  <c r="A1744" i="14"/>
  <c r="A1743" i="14"/>
  <c r="A1742" i="14"/>
  <c r="A1741" i="14"/>
  <c r="A1740" i="14"/>
  <c r="A1739" i="14"/>
  <c r="A1738" i="14"/>
  <c r="A1737" i="14"/>
  <c r="A1736" i="14"/>
  <c r="A1735" i="14"/>
  <c r="A1734" i="14"/>
  <c r="A1733" i="14"/>
  <c r="A1732" i="14"/>
  <c r="A1731" i="14"/>
  <c r="A1730" i="14"/>
  <c r="A1729" i="14"/>
  <c r="A1728" i="14"/>
  <c r="A1727" i="14"/>
  <c r="A1726" i="14"/>
  <c r="A1725" i="14"/>
  <c r="A1724" i="14"/>
  <c r="A1723" i="14"/>
  <c r="A1722" i="14"/>
  <c r="A1721" i="14"/>
  <c r="A1720" i="14"/>
  <c r="A1719" i="14"/>
  <c r="A1718" i="14"/>
  <c r="A1717" i="14"/>
  <c r="A1716" i="14"/>
  <c r="A1715" i="14"/>
  <c r="A1714" i="14"/>
  <c r="A1713" i="14"/>
  <c r="A1712" i="14"/>
  <c r="A1711" i="14"/>
  <c r="A1710" i="14"/>
  <c r="A1709" i="14"/>
  <c r="A1708" i="14"/>
  <c r="A1707" i="14"/>
  <c r="A1706" i="14"/>
  <c r="A1705" i="14"/>
  <c r="A1704" i="14"/>
  <c r="A1703" i="14"/>
  <c r="A1702" i="14"/>
  <c r="A1701" i="14"/>
  <c r="A1700" i="14"/>
  <c r="A1699" i="14"/>
  <c r="A1698" i="14"/>
  <c r="A1697" i="14"/>
  <c r="A1696" i="14"/>
  <c r="A1695" i="14"/>
  <c r="A1694" i="14"/>
  <c r="A1693" i="14"/>
  <c r="A1692" i="14"/>
  <c r="A1691" i="14"/>
  <c r="A1690" i="14"/>
  <c r="A1689" i="14"/>
  <c r="A1688" i="14"/>
  <c r="A1687" i="14"/>
  <c r="A1686" i="14"/>
  <c r="A1685" i="14"/>
  <c r="A1684" i="14"/>
  <c r="A1683" i="14"/>
  <c r="A1682" i="14"/>
  <c r="A1681" i="14"/>
  <c r="A1680" i="14"/>
  <c r="A1679" i="14"/>
  <c r="A1678" i="14"/>
  <c r="A1677" i="14"/>
  <c r="A1676" i="14"/>
  <c r="A1675" i="14"/>
  <c r="A1674" i="14"/>
  <c r="A1673" i="14"/>
  <c r="A1672" i="14"/>
  <c r="A1671" i="14"/>
  <c r="A1670" i="14"/>
  <c r="A1669" i="14"/>
  <c r="A1668" i="14"/>
  <c r="A1667" i="14"/>
  <c r="A1666" i="14"/>
  <c r="A1665" i="14"/>
  <c r="A1664" i="14"/>
  <c r="A1663" i="14"/>
  <c r="A1662" i="14"/>
  <c r="A1661" i="14"/>
  <c r="A1660" i="14"/>
  <c r="A1659" i="14"/>
  <c r="A1658" i="14"/>
  <c r="A1657" i="14"/>
  <c r="A1656" i="14"/>
  <c r="A1655" i="14"/>
  <c r="A1654" i="14"/>
  <c r="A1653" i="14"/>
  <c r="A1652" i="14"/>
  <c r="A1651" i="14"/>
  <c r="A1650" i="14"/>
  <c r="A1649" i="14"/>
  <c r="A1648" i="14"/>
  <c r="A1647" i="14"/>
  <c r="A1646" i="14"/>
  <c r="A1645" i="14"/>
  <c r="A1644" i="14"/>
  <c r="A1643" i="14"/>
  <c r="A1642" i="14"/>
  <c r="A1641" i="14"/>
  <c r="A1640" i="14"/>
  <c r="A1639" i="14"/>
  <c r="A1638" i="14"/>
  <c r="A1637" i="14"/>
  <c r="A1636" i="14"/>
  <c r="A1635" i="14"/>
  <c r="A1634" i="14"/>
  <c r="A1633" i="14"/>
  <c r="A1632" i="14"/>
  <c r="A1631" i="14"/>
  <c r="A1630" i="14"/>
  <c r="A1629" i="14"/>
  <c r="A1628" i="14"/>
  <c r="A1627" i="14"/>
  <c r="A1626" i="14"/>
  <c r="A1625" i="14"/>
  <c r="A1624" i="14"/>
  <c r="A1623" i="14"/>
  <c r="A1622" i="14"/>
  <c r="A1621" i="14"/>
  <c r="A1620" i="14"/>
  <c r="A1619" i="14"/>
  <c r="A1618" i="14"/>
  <c r="A1617" i="14"/>
  <c r="A1616" i="14"/>
  <c r="A1615" i="14"/>
  <c r="A1614" i="14"/>
  <c r="A1613" i="14"/>
  <c r="A1612" i="14"/>
  <c r="A1611" i="14"/>
  <c r="A1610" i="14"/>
  <c r="A1609" i="14"/>
  <c r="A1608" i="14"/>
  <c r="A1607" i="14"/>
  <c r="A1606" i="14"/>
  <c r="A1605" i="14"/>
  <c r="A1604" i="14"/>
  <c r="A1603" i="14"/>
  <c r="A1602" i="14"/>
  <c r="A1601" i="14"/>
  <c r="A1600" i="14"/>
  <c r="A1599" i="14"/>
  <c r="A1598" i="14"/>
  <c r="A1597" i="14"/>
  <c r="A1596" i="14"/>
  <c r="A1595" i="14"/>
  <c r="A1594" i="14"/>
  <c r="A1593" i="14"/>
  <c r="A1592" i="14"/>
  <c r="A1591" i="14"/>
  <c r="A1590" i="14"/>
  <c r="A1589" i="14"/>
  <c r="A1588" i="14"/>
  <c r="A1587" i="14"/>
  <c r="A1586" i="14"/>
  <c r="A1585" i="14"/>
  <c r="A1584" i="14"/>
  <c r="A1583" i="14"/>
  <c r="A1582" i="14"/>
  <c r="A1581" i="14"/>
  <c r="A1580" i="14"/>
  <c r="A1579" i="14"/>
  <c r="A1578" i="14"/>
  <c r="A1577" i="14"/>
  <c r="A1576" i="14"/>
  <c r="A1575" i="14"/>
  <c r="A1574" i="14"/>
  <c r="A1573" i="14"/>
  <c r="A1572" i="14"/>
  <c r="A1571" i="14"/>
  <c r="A1570" i="14"/>
  <c r="A1569" i="14"/>
  <c r="A1568" i="14"/>
  <c r="A1567" i="14"/>
  <c r="A1566" i="14"/>
  <c r="A1565" i="14"/>
  <c r="A1564" i="14"/>
  <c r="A1563" i="14"/>
  <c r="A1562" i="14"/>
  <c r="A1561" i="14"/>
  <c r="A1560" i="14"/>
  <c r="A1559" i="14"/>
  <c r="A1558" i="14"/>
  <c r="A1557" i="14"/>
  <c r="A1556" i="14"/>
  <c r="A1555" i="14"/>
  <c r="A1554" i="14"/>
  <c r="A1553" i="14"/>
  <c r="A1552" i="14"/>
  <c r="A1551" i="14"/>
  <c r="A1550" i="14"/>
  <c r="A1549" i="14"/>
  <c r="A1548" i="14"/>
  <c r="A1547" i="14"/>
  <c r="A1546" i="14"/>
  <c r="A1545" i="14"/>
  <c r="A1544" i="14"/>
  <c r="A1543" i="14"/>
  <c r="A1542" i="14"/>
  <c r="A1541" i="14"/>
  <c r="A1540" i="14"/>
  <c r="A1539" i="14"/>
  <c r="A1538" i="14"/>
  <c r="A1537" i="14"/>
  <c r="A1536" i="14"/>
  <c r="A1535" i="14"/>
  <c r="A1534" i="14"/>
  <c r="A1533" i="14"/>
  <c r="A1532" i="14"/>
  <c r="A1531" i="14"/>
  <c r="A1530" i="14"/>
  <c r="A1529" i="14"/>
  <c r="A1528" i="14"/>
  <c r="A1527" i="14"/>
  <c r="A1526" i="14"/>
  <c r="A1525" i="14"/>
  <c r="A1524" i="14"/>
  <c r="A1523" i="14"/>
  <c r="A1522" i="14"/>
  <c r="A1521" i="14"/>
  <c r="A1520" i="14"/>
  <c r="A1519" i="14"/>
  <c r="A1518" i="14"/>
  <c r="A1517" i="14"/>
  <c r="A1516" i="14"/>
  <c r="A1515" i="14"/>
  <c r="A1514" i="14"/>
  <c r="A1513" i="14"/>
  <c r="A1512" i="14"/>
  <c r="A1511" i="14"/>
  <c r="A1510" i="14"/>
  <c r="A1509" i="14"/>
  <c r="A1508" i="14"/>
  <c r="A1507" i="14"/>
  <c r="A1506" i="14"/>
  <c r="A1505" i="14"/>
  <c r="A1504" i="14"/>
  <c r="A1503" i="14"/>
  <c r="A1502" i="14"/>
  <c r="A1501" i="14"/>
  <c r="A1500" i="14"/>
  <c r="A1499" i="14"/>
  <c r="A1498" i="14"/>
  <c r="A1497" i="14"/>
  <c r="A1496" i="14"/>
  <c r="A1495" i="14"/>
  <c r="A1494" i="14"/>
  <c r="A1493" i="14"/>
  <c r="A1492" i="14"/>
  <c r="A1491" i="14"/>
  <c r="A1490" i="14"/>
  <c r="A1489" i="14"/>
  <c r="A1488" i="14"/>
  <c r="A1487" i="14"/>
  <c r="A1486" i="14"/>
  <c r="A1485" i="14"/>
  <c r="A1484" i="14"/>
  <c r="A1483" i="14"/>
  <c r="A1482" i="14"/>
  <c r="A1481" i="14"/>
  <c r="A1480" i="14"/>
  <c r="A1479" i="14"/>
  <c r="A1478" i="14"/>
  <c r="A1477" i="14"/>
  <c r="A1476" i="14"/>
  <c r="A1475" i="14"/>
  <c r="A1474" i="14"/>
  <c r="A1473" i="14"/>
  <c r="A1472" i="14"/>
  <c r="A1471" i="14"/>
  <c r="A1470" i="14"/>
  <c r="A1469" i="14"/>
  <c r="A1468" i="14"/>
  <c r="A1467" i="14"/>
  <c r="A1466" i="14"/>
  <c r="A1465" i="14"/>
  <c r="A1464" i="14"/>
  <c r="A1463" i="14"/>
  <c r="A1462" i="14"/>
  <c r="A1461" i="14"/>
  <c r="A1460" i="14"/>
  <c r="A1459" i="14"/>
  <c r="A1458" i="14"/>
  <c r="A1457" i="14"/>
  <c r="A1456" i="14"/>
  <c r="A1455" i="14"/>
  <c r="A1454" i="14"/>
  <c r="A1453" i="14"/>
  <c r="A1452" i="14"/>
  <c r="A1451" i="14"/>
  <c r="A1450" i="14"/>
  <c r="A1449" i="14"/>
  <c r="A1448" i="14"/>
  <c r="A1447" i="14"/>
  <c r="A1446" i="14"/>
  <c r="A1445" i="14"/>
  <c r="A1444" i="14"/>
  <c r="A1443" i="14"/>
  <c r="A1442" i="14"/>
  <c r="A1441" i="14"/>
  <c r="A1440" i="14"/>
  <c r="A1439" i="14"/>
  <c r="A1438" i="14"/>
  <c r="A1437" i="14"/>
  <c r="A1436" i="14"/>
  <c r="A1435" i="14"/>
  <c r="A1434" i="14"/>
  <c r="A1433" i="14"/>
  <c r="A1432" i="14"/>
  <c r="A1431" i="14"/>
  <c r="A1430" i="14"/>
  <c r="A1429" i="14"/>
  <c r="A1428" i="14"/>
  <c r="A1427" i="14"/>
  <c r="A1426" i="14"/>
  <c r="A1425" i="14"/>
  <c r="A1424" i="14"/>
  <c r="A1423" i="14"/>
  <c r="A1422" i="14"/>
  <c r="A1421" i="14"/>
  <c r="A1420" i="14"/>
  <c r="A1419" i="14"/>
  <c r="A1418" i="14"/>
  <c r="A1417" i="14"/>
  <c r="A1416" i="14"/>
  <c r="A1415" i="14"/>
  <c r="A1414" i="14"/>
  <c r="A1413" i="14"/>
  <c r="A1412" i="14"/>
  <c r="A1411" i="14"/>
  <c r="A1410" i="14"/>
  <c r="A1409" i="14"/>
  <c r="A1408" i="14"/>
  <c r="A1407" i="14"/>
  <c r="A1406" i="14"/>
  <c r="A1405" i="14"/>
  <c r="A1404" i="14"/>
  <c r="A1403" i="14"/>
  <c r="A1402" i="14"/>
  <c r="A1401" i="14"/>
  <c r="A1400" i="14"/>
  <c r="A1399" i="14"/>
  <c r="A1398" i="14"/>
  <c r="A1397" i="14"/>
  <c r="A1396" i="14"/>
  <c r="A1395" i="14"/>
  <c r="A1394" i="14"/>
  <c r="A1393" i="14"/>
  <c r="A1392" i="14"/>
  <c r="A1391" i="14"/>
  <c r="A1390" i="14"/>
  <c r="A1389" i="14"/>
  <c r="A1388" i="14"/>
  <c r="A1387" i="14"/>
  <c r="A1386" i="14"/>
  <c r="A1385" i="14"/>
  <c r="A1384" i="14"/>
  <c r="A1383" i="14"/>
  <c r="A1382" i="14"/>
  <c r="A1381" i="14"/>
  <c r="A1380" i="14"/>
  <c r="A1379" i="14"/>
  <c r="A1378" i="14"/>
  <c r="A1377" i="14"/>
  <c r="A1376" i="14"/>
  <c r="A1375" i="14"/>
  <c r="A1374" i="14"/>
  <c r="A1373" i="14"/>
  <c r="A1372" i="14"/>
  <c r="A1371" i="14"/>
  <c r="A1370" i="14"/>
  <c r="A1369" i="14"/>
  <c r="A1368" i="14"/>
  <c r="A1367" i="14"/>
  <c r="A1366" i="14"/>
  <c r="A1365" i="14"/>
  <c r="A1364" i="14"/>
  <c r="A1363" i="14"/>
  <c r="A1362" i="14"/>
  <c r="A1361" i="14"/>
  <c r="A1360" i="14"/>
  <c r="A1359" i="14"/>
  <c r="A1358" i="14"/>
  <c r="A1357" i="14"/>
  <c r="A1356" i="14"/>
  <c r="A1355" i="14"/>
  <c r="A1354" i="14"/>
  <c r="A1353" i="14"/>
  <c r="A1352" i="14"/>
  <c r="A1351" i="14"/>
  <c r="A1350" i="14"/>
  <c r="A1349" i="14"/>
  <c r="A1348" i="14"/>
  <c r="A1347" i="14"/>
  <c r="A1346" i="14"/>
  <c r="A1345" i="14"/>
  <c r="A1344" i="14"/>
  <c r="A1343" i="14"/>
  <c r="A1342" i="14"/>
  <c r="A1341" i="14"/>
  <c r="A1340" i="14"/>
  <c r="A1339" i="14"/>
  <c r="A1338" i="14"/>
  <c r="A1337" i="14"/>
  <c r="A1336" i="14"/>
  <c r="A1335" i="14"/>
  <c r="A1334" i="14"/>
  <c r="A1333" i="14"/>
  <c r="A1332" i="14"/>
  <c r="A1331" i="14"/>
  <c r="A1330" i="14"/>
  <c r="A1329" i="14"/>
  <c r="A1328" i="14"/>
  <c r="A1327" i="14"/>
  <c r="A1326" i="14"/>
  <c r="A1325" i="14"/>
  <c r="A1324" i="14"/>
  <c r="A1323" i="14"/>
  <c r="A1322" i="14"/>
  <c r="A1321" i="14"/>
  <c r="A1320" i="14"/>
  <c r="A1319" i="14"/>
  <c r="A1318" i="14"/>
  <c r="A1317" i="14"/>
  <c r="A1316" i="14"/>
  <c r="A1315" i="14"/>
  <c r="A1314" i="14"/>
  <c r="A1313" i="14"/>
  <c r="A1312" i="14"/>
  <c r="A1311" i="14"/>
  <c r="A1310" i="14"/>
  <c r="A1309" i="14"/>
  <c r="A1308" i="14"/>
  <c r="A1307" i="14"/>
  <c r="A1306" i="14"/>
  <c r="A1305" i="14"/>
  <c r="A1304" i="14"/>
  <c r="A1303" i="14"/>
  <c r="A1302" i="14"/>
  <c r="A1301" i="14"/>
  <c r="A1300" i="14"/>
  <c r="A1299" i="14"/>
  <c r="A1298" i="14"/>
  <c r="A1297" i="14"/>
  <c r="A1296" i="14"/>
  <c r="A1295" i="14"/>
  <c r="A1294" i="14"/>
  <c r="A1293" i="14"/>
  <c r="A1292" i="14"/>
  <c r="A1291" i="14"/>
  <c r="A1290" i="14"/>
  <c r="A1289" i="14"/>
  <c r="A1288" i="14"/>
  <c r="A1287" i="14"/>
  <c r="A1286" i="14"/>
  <c r="A1285" i="14"/>
  <c r="A1284" i="14"/>
  <c r="A1283" i="14"/>
  <c r="A1282" i="14"/>
  <c r="A1281" i="14"/>
  <c r="A1280" i="14"/>
  <c r="A1279" i="14"/>
  <c r="A1278" i="14"/>
  <c r="A1277" i="14"/>
  <c r="A1276" i="14"/>
  <c r="A1275" i="14"/>
  <c r="A1274" i="14"/>
  <c r="A1273" i="14"/>
  <c r="A1272" i="14"/>
  <c r="A1271" i="14"/>
  <c r="A1270" i="14"/>
  <c r="A1269" i="14"/>
  <c r="A1268" i="14"/>
  <c r="A1267" i="14"/>
  <c r="A1266" i="14"/>
  <c r="A1265" i="14"/>
  <c r="A1264" i="14"/>
  <c r="A1263" i="14"/>
  <c r="A1262" i="14"/>
  <c r="A1261" i="14"/>
  <c r="A1260" i="14"/>
  <c r="A1259" i="14"/>
  <c r="A1258" i="14"/>
  <c r="A1257" i="14"/>
  <c r="A1256" i="14"/>
  <c r="A1255" i="14"/>
  <c r="A1254" i="14"/>
  <c r="A1253" i="14"/>
  <c r="A1252" i="14"/>
  <c r="A1251" i="14"/>
  <c r="A1250" i="14"/>
  <c r="A1249" i="14"/>
  <c r="A1248" i="14"/>
  <c r="A1247" i="14"/>
  <c r="A1246" i="14"/>
  <c r="A1245" i="14"/>
  <c r="A1244" i="14"/>
  <c r="A1243" i="14"/>
  <c r="A1242" i="14"/>
  <c r="A1241" i="14"/>
  <c r="A1240" i="14"/>
  <c r="A1239" i="14"/>
  <c r="A1238" i="14"/>
  <c r="A1237" i="14"/>
  <c r="A1236" i="14"/>
  <c r="A1235" i="14"/>
  <c r="A1234" i="14"/>
  <c r="A1233" i="14"/>
  <c r="A1232" i="14"/>
  <c r="A1231" i="14"/>
  <c r="A1230" i="14"/>
  <c r="A1229" i="14"/>
  <c r="A1228" i="14"/>
  <c r="A1227" i="14"/>
  <c r="A1226" i="14"/>
  <c r="A1225" i="14"/>
  <c r="A1224" i="14"/>
  <c r="A1223" i="14"/>
  <c r="A1222" i="14"/>
  <c r="A1221" i="14"/>
  <c r="A1220" i="14"/>
  <c r="A1219" i="14"/>
  <c r="A1218" i="14"/>
  <c r="A1217" i="14"/>
  <c r="A1216" i="14"/>
  <c r="A1215" i="14"/>
  <c r="A1214" i="14"/>
  <c r="A1213" i="14"/>
  <c r="A1212" i="14"/>
  <c r="A1211" i="14"/>
  <c r="A1210" i="14"/>
  <c r="A1209" i="14"/>
  <c r="A1208" i="14"/>
  <c r="A1207" i="14"/>
  <c r="A1206" i="14"/>
  <c r="A1205" i="14"/>
  <c r="A1204" i="14"/>
  <c r="A1203" i="14"/>
  <c r="A1202" i="14"/>
  <c r="A1201" i="14"/>
  <c r="A1200" i="14"/>
  <c r="A1199" i="14"/>
  <c r="A1198" i="14"/>
  <c r="A1197" i="14"/>
  <c r="A1196" i="14"/>
  <c r="A1195" i="14"/>
  <c r="A1194" i="14"/>
  <c r="A1193" i="14"/>
  <c r="A1192" i="14"/>
  <c r="A1191" i="14"/>
  <c r="A1190" i="14"/>
  <c r="A1189" i="14"/>
  <c r="A1188" i="14"/>
  <c r="A1187" i="14"/>
  <c r="A1186" i="14"/>
  <c r="A1185" i="14"/>
  <c r="A1184" i="14"/>
  <c r="A1183" i="14"/>
  <c r="A1182" i="14"/>
  <c r="A1181" i="14"/>
  <c r="A1180" i="14"/>
  <c r="A1179" i="14"/>
  <c r="A1178" i="14"/>
  <c r="A1177" i="14"/>
  <c r="A1176" i="14"/>
  <c r="A1175" i="14"/>
  <c r="A1174" i="14"/>
  <c r="A1173" i="14"/>
  <c r="A1172" i="14"/>
  <c r="A1171" i="14"/>
  <c r="A1170" i="14"/>
  <c r="A1169" i="14"/>
  <c r="A1168" i="14"/>
  <c r="A1167" i="14"/>
  <c r="A1166" i="14"/>
  <c r="A1165" i="14"/>
  <c r="A1164" i="14"/>
  <c r="A1163" i="14"/>
  <c r="A1162" i="14"/>
  <c r="A1161" i="14"/>
  <c r="A1160" i="14"/>
  <c r="A1159" i="14"/>
  <c r="A1158" i="14"/>
  <c r="A1157" i="14"/>
  <c r="A1156" i="14"/>
  <c r="A1155" i="14"/>
  <c r="A1154" i="14"/>
  <c r="A1153" i="14"/>
  <c r="A1152" i="14"/>
  <c r="A1151" i="14"/>
  <c r="A1150" i="14"/>
  <c r="A1149" i="14"/>
  <c r="A1148" i="14"/>
  <c r="A1147" i="14"/>
  <c r="A1146" i="14"/>
  <c r="A1145" i="14"/>
  <c r="A1144" i="14"/>
  <c r="A1143" i="14"/>
  <c r="A1142" i="14"/>
  <c r="A1141" i="14"/>
  <c r="A1140" i="14"/>
  <c r="A1139" i="14"/>
  <c r="A1138" i="14"/>
  <c r="A1137" i="14"/>
  <c r="A1136" i="14"/>
  <c r="A1135" i="14"/>
  <c r="A1134" i="14"/>
  <c r="A1133" i="14"/>
  <c r="A1132" i="14"/>
  <c r="A1131" i="14"/>
  <c r="A1130" i="14"/>
  <c r="A1129" i="14"/>
  <c r="A1128" i="14"/>
  <c r="A1127" i="14"/>
  <c r="A1126" i="14"/>
  <c r="A1125" i="14"/>
  <c r="A1124" i="14"/>
  <c r="A1123" i="14"/>
  <c r="A1122" i="14"/>
  <c r="A1121" i="14"/>
  <c r="A1120" i="14"/>
  <c r="A1119" i="14"/>
  <c r="A1118" i="14"/>
  <c r="A1117" i="14"/>
  <c r="A1116" i="14"/>
  <c r="A1115" i="14"/>
  <c r="A1114" i="14"/>
  <c r="A1113" i="14"/>
  <c r="A1112" i="14"/>
  <c r="A1111" i="14"/>
  <c r="A1110" i="14"/>
  <c r="A1109" i="14"/>
  <c r="A1108" i="14"/>
  <c r="A1107" i="14"/>
  <c r="A1106" i="14"/>
  <c r="A1105" i="14"/>
  <c r="A1104" i="14"/>
  <c r="A1103" i="14"/>
  <c r="A1102" i="14"/>
  <c r="A1101" i="14"/>
  <c r="A1100" i="14"/>
  <c r="A1099" i="14"/>
  <c r="A1098" i="14"/>
  <c r="A1097" i="14"/>
  <c r="A1096" i="14"/>
  <c r="A1095" i="14"/>
  <c r="A1094" i="14"/>
  <c r="A1093" i="14"/>
  <c r="A1092" i="14"/>
  <c r="A1091" i="14"/>
  <c r="A1090" i="14"/>
  <c r="A1089" i="14"/>
  <c r="A1088" i="14"/>
  <c r="A1087" i="14"/>
  <c r="A1086" i="14"/>
  <c r="A1085" i="14"/>
  <c r="A1084" i="14"/>
  <c r="A1083" i="14"/>
  <c r="A1082" i="14"/>
  <c r="A1081" i="14"/>
  <c r="A1080" i="14"/>
  <c r="A1079" i="14"/>
  <c r="A1078" i="14"/>
  <c r="A1077" i="14"/>
  <c r="A1076" i="14"/>
  <c r="A1075" i="14"/>
  <c r="A1074" i="14"/>
  <c r="A1073" i="14"/>
  <c r="A1072" i="14"/>
  <c r="A1071" i="14"/>
  <c r="A1070" i="14"/>
  <c r="A1069" i="14"/>
  <c r="A1068" i="14"/>
  <c r="A1067" i="14"/>
  <c r="A1066" i="14"/>
  <c r="A1065" i="14"/>
  <c r="A1064" i="14"/>
  <c r="A1063" i="14"/>
  <c r="A1062" i="14"/>
  <c r="A1061" i="14"/>
  <c r="A1060" i="14"/>
  <c r="A1059" i="14"/>
  <c r="A1058" i="14"/>
  <c r="A1057" i="14"/>
  <c r="A1056" i="14"/>
  <c r="A1055" i="14"/>
  <c r="A1054" i="14"/>
  <c r="A1053" i="14"/>
  <c r="A1052" i="14"/>
  <c r="A1051" i="14"/>
  <c r="A1050" i="14"/>
  <c r="A1049" i="14"/>
  <c r="A1048" i="14"/>
  <c r="A1047" i="14"/>
  <c r="A1046" i="14"/>
  <c r="A1045" i="14"/>
  <c r="A1044" i="14"/>
  <c r="A1043" i="14"/>
  <c r="A1042" i="14"/>
  <c r="A1041" i="14"/>
  <c r="A1040" i="14"/>
  <c r="A1039" i="14"/>
  <c r="A1038" i="14"/>
  <c r="A1037" i="14"/>
  <c r="A1036" i="14"/>
  <c r="A1035" i="14"/>
  <c r="A1034" i="14"/>
  <c r="A1033" i="14"/>
  <c r="A1032" i="14"/>
  <c r="A1031" i="14"/>
  <c r="A1030" i="14"/>
  <c r="A1029" i="14"/>
  <c r="A1028" i="14"/>
  <c r="A1027" i="14"/>
  <c r="A1026" i="14"/>
  <c r="A1025" i="14"/>
  <c r="A1024" i="14"/>
  <c r="A1023" i="14"/>
  <c r="A1022" i="14"/>
  <c r="A1021" i="14"/>
  <c r="A1020" i="14"/>
  <c r="A1019" i="14"/>
  <c r="A1018" i="14"/>
  <c r="A1017" i="14"/>
  <c r="A1016" i="14"/>
  <c r="A1015" i="14"/>
  <c r="A1014" i="14"/>
  <c r="A1013" i="14"/>
  <c r="A1012" i="14"/>
  <c r="A1011" i="14"/>
  <c r="A1010" i="14"/>
  <c r="A1009" i="14"/>
  <c r="A1008" i="14"/>
  <c r="A1007" i="14"/>
  <c r="A1006" i="14"/>
  <c r="A1005" i="14"/>
  <c r="A1004" i="14"/>
  <c r="A1003" i="14"/>
  <c r="A1002" i="14"/>
  <c r="A1001" i="14"/>
  <c r="A1000" i="14"/>
  <c r="A999" i="14"/>
  <c r="A998" i="14"/>
  <c r="A997" i="14"/>
  <c r="A996" i="14"/>
  <c r="A995" i="14"/>
  <c r="A994" i="14"/>
  <c r="A993" i="14"/>
  <c r="A992" i="14"/>
  <c r="A991" i="14"/>
  <c r="A990" i="14"/>
  <c r="A989" i="14"/>
  <c r="A988" i="14"/>
  <c r="A987" i="14"/>
  <c r="A986" i="14"/>
  <c r="A985" i="14"/>
  <c r="A984" i="14"/>
  <c r="A983" i="14"/>
  <c r="A982" i="14"/>
  <c r="A981" i="14"/>
  <c r="A980" i="14"/>
  <c r="A979" i="14"/>
  <c r="A978" i="14"/>
  <c r="A977" i="14"/>
  <c r="A976" i="14"/>
  <c r="A975" i="14"/>
  <c r="A974" i="14"/>
  <c r="A973" i="14"/>
  <c r="A972" i="14"/>
  <c r="A971" i="14"/>
  <c r="A970" i="14"/>
  <c r="A969" i="14"/>
  <c r="A968" i="14"/>
  <c r="A967" i="14"/>
  <c r="A966" i="14"/>
  <c r="A965" i="14"/>
  <c r="A964" i="14"/>
  <c r="A963" i="14"/>
  <c r="A962" i="14"/>
  <c r="A961" i="14"/>
  <c r="A960" i="14"/>
  <c r="A959" i="14"/>
  <c r="A958" i="14"/>
  <c r="A957" i="14"/>
  <c r="A956" i="14"/>
  <c r="A955" i="14"/>
  <c r="A954" i="14"/>
  <c r="A953" i="14"/>
  <c r="A952" i="14"/>
  <c r="A951" i="14"/>
  <c r="A950" i="14"/>
  <c r="A949" i="14"/>
  <c r="A948" i="14"/>
  <c r="A947" i="14"/>
  <c r="A946" i="14"/>
  <c r="A945" i="14"/>
  <c r="A944" i="14"/>
  <c r="A943" i="14"/>
  <c r="A942" i="14"/>
  <c r="A941" i="14"/>
  <c r="A940" i="14"/>
  <c r="A939" i="14"/>
  <c r="A938" i="14"/>
  <c r="A937" i="14"/>
  <c r="A936" i="14"/>
  <c r="A935" i="14"/>
  <c r="A934" i="14"/>
  <c r="A933" i="14"/>
  <c r="A932" i="14"/>
  <c r="A931" i="14"/>
  <c r="A930" i="14"/>
  <c r="A929" i="14"/>
  <c r="A928" i="14"/>
  <c r="A927" i="14"/>
  <c r="A926" i="14"/>
  <c r="A925" i="14"/>
  <c r="A924" i="14"/>
  <c r="A923" i="14"/>
  <c r="A922" i="14"/>
  <c r="A921" i="14"/>
  <c r="A920" i="14"/>
  <c r="A919" i="14"/>
  <c r="A918" i="14"/>
  <c r="A917" i="14"/>
  <c r="A916" i="14"/>
  <c r="A915" i="14"/>
  <c r="A914" i="14"/>
  <c r="A913" i="14"/>
  <c r="A912" i="14"/>
  <c r="A911" i="14"/>
  <c r="A910" i="14"/>
  <c r="A909" i="14"/>
  <c r="A908" i="14"/>
  <c r="A907" i="14"/>
  <c r="A906" i="14"/>
  <c r="A905" i="14"/>
  <c r="A904" i="14"/>
  <c r="A903" i="14"/>
  <c r="A902" i="14"/>
  <c r="A901" i="14"/>
  <c r="A900" i="14"/>
  <c r="A899" i="14"/>
  <c r="A898" i="14"/>
  <c r="A897" i="14"/>
  <c r="A896" i="14"/>
  <c r="A895" i="14"/>
  <c r="A894" i="14"/>
  <c r="A893" i="14"/>
  <c r="A892" i="14"/>
  <c r="A891" i="14"/>
  <c r="A890" i="14"/>
  <c r="A889" i="14"/>
  <c r="A888" i="14"/>
  <c r="A887" i="14"/>
  <c r="A886" i="14"/>
  <c r="A885" i="14"/>
  <c r="A884" i="14"/>
  <c r="A883" i="14"/>
  <c r="A882" i="14"/>
  <c r="A881" i="14"/>
  <c r="A880" i="14"/>
  <c r="A879" i="14"/>
  <c r="A878" i="14"/>
  <c r="A877" i="14"/>
  <c r="A876" i="14"/>
  <c r="A875" i="14"/>
  <c r="A874" i="14"/>
  <c r="A873" i="14"/>
  <c r="A872" i="14"/>
  <c r="A871" i="14"/>
  <c r="A870" i="14"/>
  <c r="A869" i="14"/>
  <c r="A868" i="14"/>
  <c r="A867" i="14"/>
  <c r="A866" i="14"/>
  <c r="A865" i="14"/>
  <c r="A864" i="14"/>
  <c r="A863" i="14"/>
  <c r="A862" i="14"/>
  <c r="A861" i="14"/>
  <c r="A860" i="14"/>
  <c r="A859" i="14"/>
  <c r="A858" i="14"/>
  <c r="A857" i="14"/>
  <c r="A856" i="14"/>
  <c r="A855" i="14"/>
  <c r="A854" i="14"/>
  <c r="A853" i="14"/>
  <c r="A852" i="14"/>
  <c r="A851" i="14"/>
  <c r="A850" i="14"/>
  <c r="A849" i="14"/>
  <c r="A848" i="14"/>
  <c r="A847" i="14"/>
  <c r="A846" i="14"/>
  <c r="A845" i="14"/>
  <c r="A844" i="14"/>
  <c r="A843" i="14"/>
  <c r="A842" i="14"/>
  <c r="A841" i="14"/>
  <c r="A840" i="14"/>
  <c r="A839" i="14"/>
  <c r="A838" i="14"/>
  <c r="A837" i="14"/>
  <c r="A836" i="14"/>
  <c r="A835" i="14"/>
  <c r="A834" i="14"/>
  <c r="A833" i="14"/>
  <c r="A832" i="14"/>
  <c r="A831" i="14"/>
  <c r="A830" i="14"/>
  <c r="A829" i="14"/>
  <c r="A828" i="14"/>
  <c r="A827" i="14"/>
  <c r="A826" i="14"/>
  <c r="A825" i="14"/>
  <c r="A824" i="14"/>
  <c r="A823" i="14"/>
  <c r="A822" i="14"/>
  <c r="A821" i="14"/>
  <c r="A820" i="14"/>
  <c r="A819" i="14"/>
  <c r="A818" i="14"/>
  <c r="A817" i="14"/>
  <c r="A816" i="14"/>
  <c r="A815" i="14"/>
  <c r="A814" i="14"/>
  <c r="A813" i="14"/>
  <c r="A812" i="14"/>
  <c r="A811" i="14"/>
  <c r="A810" i="14"/>
  <c r="A809" i="14"/>
  <c r="A808" i="14"/>
  <c r="A807" i="14"/>
  <c r="A806" i="14"/>
  <c r="A805" i="14"/>
  <c r="A804" i="14"/>
  <c r="A803" i="14"/>
  <c r="A802" i="14"/>
  <c r="A801" i="14"/>
  <c r="A800" i="14"/>
  <c r="A799" i="14"/>
  <c r="A798" i="14"/>
  <c r="A797" i="14"/>
  <c r="A796" i="14"/>
  <c r="A795" i="14"/>
  <c r="A794" i="14"/>
  <c r="A793" i="14"/>
  <c r="A792" i="14"/>
  <c r="A791" i="14"/>
  <c r="A790" i="14"/>
  <c r="A789" i="14"/>
  <c r="A788" i="14"/>
  <c r="A787" i="14"/>
  <c r="A786" i="14"/>
  <c r="A785" i="14"/>
  <c r="A784" i="14"/>
  <c r="A783" i="14"/>
  <c r="A782" i="14"/>
  <c r="A781" i="14"/>
  <c r="A780" i="14"/>
  <c r="A779" i="14"/>
  <c r="A778" i="14"/>
  <c r="A777" i="14"/>
  <c r="A776" i="14"/>
  <c r="A775" i="14"/>
  <c r="A774" i="14"/>
  <c r="A773" i="14"/>
  <c r="A772" i="14"/>
  <c r="A771" i="14"/>
  <c r="A770" i="14"/>
  <c r="A769" i="14"/>
  <c r="A768" i="14"/>
  <c r="A767" i="14"/>
  <c r="A766" i="14"/>
  <c r="A765" i="14"/>
  <c r="A764" i="14"/>
  <c r="A763" i="14"/>
  <c r="A762" i="14"/>
  <c r="A761" i="14"/>
  <c r="A760" i="14"/>
  <c r="A759" i="14"/>
  <c r="A758" i="14"/>
  <c r="A757" i="14"/>
  <c r="A756" i="14"/>
  <c r="A755" i="14"/>
  <c r="A754" i="14"/>
  <c r="A753" i="14"/>
  <c r="A752" i="14"/>
  <c r="A751" i="14"/>
  <c r="A750" i="14"/>
  <c r="A749" i="14"/>
  <c r="A748" i="14"/>
  <c r="A747" i="14"/>
  <c r="A746" i="14"/>
  <c r="A745" i="14"/>
  <c r="A744" i="14"/>
  <c r="A743" i="14"/>
  <c r="A742" i="14"/>
  <c r="A741" i="14"/>
  <c r="A740" i="14"/>
  <c r="A739" i="14"/>
  <c r="A738" i="14"/>
  <c r="A737" i="14"/>
  <c r="A736" i="14"/>
  <c r="A735" i="14"/>
  <c r="A734" i="14"/>
  <c r="A733" i="14"/>
  <c r="A732" i="14"/>
  <c r="A731" i="14"/>
  <c r="A730" i="14"/>
  <c r="A729" i="14"/>
  <c r="A728" i="14"/>
  <c r="A727" i="14"/>
  <c r="A726" i="14"/>
  <c r="A725" i="14"/>
  <c r="A724" i="14"/>
  <c r="A723" i="14"/>
  <c r="A722" i="14"/>
  <c r="A721" i="14"/>
  <c r="A720" i="14"/>
  <c r="A719" i="14"/>
  <c r="A718" i="14"/>
  <c r="A717" i="14"/>
  <c r="A716" i="14"/>
  <c r="A715" i="14"/>
  <c r="A714" i="14"/>
  <c r="A713" i="14"/>
  <c r="A712" i="14"/>
  <c r="A711" i="14"/>
  <c r="A710" i="14"/>
  <c r="A709" i="14"/>
  <c r="A708" i="14"/>
  <c r="A707" i="14"/>
  <c r="A706" i="14"/>
  <c r="A705" i="14"/>
  <c r="A704" i="14"/>
  <c r="A703" i="14"/>
  <c r="A702" i="14"/>
  <c r="A701" i="14"/>
  <c r="A700" i="14"/>
  <c r="A699" i="14"/>
  <c r="A698" i="14"/>
  <c r="A697" i="14"/>
  <c r="A696" i="14"/>
  <c r="A695" i="14"/>
  <c r="A694" i="14"/>
  <c r="A693" i="14"/>
  <c r="A692" i="14"/>
  <c r="A691" i="14"/>
  <c r="A690" i="14"/>
  <c r="A689" i="14"/>
  <c r="A688" i="14"/>
  <c r="A687" i="14"/>
  <c r="A686" i="14"/>
  <c r="A685" i="14"/>
  <c r="A684" i="14"/>
  <c r="A683" i="14"/>
  <c r="A682" i="14"/>
  <c r="A681" i="14"/>
  <c r="A680" i="14"/>
  <c r="A679" i="14"/>
  <c r="A678" i="14"/>
  <c r="A677" i="14"/>
  <c r="A676" i="14"/>
  <c r="A675" i="14"/>
  <c r="A674" i="14"/>
  <c r="A673" i="14"/>
  <c r="A672" i="14"/>
  <c r="A671" i="14"/>
  <c r="A670" i="14"/>
  <c r="A669" i="14"/>
  <c r="A668" i="14"/>
  <c r="A667" i="14"/>
  <c r="A666" i="14"/>
  <c r="A665" i="14"/>
  <c r="A664" i="14"/>
  <c r="A663" i="14"/>
  <c r="A662" i="14"/>
  <c r="A661" i="14"/>
  <c r="A660" i="14"/>
  <c r="A659" i="14"/>
  <c r="A658" i="14"/>
  <c r="A657" i="14"/>
  <c r="A656" i="14"/>
  <c r="A655" i="14"/>
  <c r="A654" i="14"/>
  <c r="A653" i="14"/>
  <c r="A652" i="14"/>
  <c r="A651" i="14"/>
  <c r="A650" i="14"/>
  <c r="A649" i="14"/>
  <c r="A648" i="14"/>
  <c r="A647" i="14"/>
  <c r="A646" i="14"/>
  <c r="A645" i="14"/>
  <c r="A644" i="14"/>
  <c r="A643" i="14"/>
  <c r="A642" i="14"/>
  <c r="A641" i="14"/>
  <c r="A640" i="14"/>
  <c r="A639" i="14"/>
  <c r="A638" i="14"/>
  <c r="A637" i="14"/>
  <c r="A636" i="14"/>
  <c r="A635" i="14"/>
  <c r="A634" i="14"/>
  <c r="A633" i="14"/>
  <c r="A632" i="14"/>
  <c r="A631" i="14"/>
  <c r="A630" i="14"/>
  <c r="A629" i="14"/>
  <c r="A628" i="14"/>
  <c r="A627" i="14"/>
  <c r="A626" i="14"/>
  <c r="A625" i="14"/>
  <c r="A624" i="14"/>
  <c r="A623" i="14"/>
  <c r="A622" i="14"/>
  <c r="A621" i="14"/>
  <c r="A620" i="14"/>
  <c r="A619" i="14"/>
  <c r="A618" i="14"/>
  <c r="A617" i="14"/>
  <c r="A616" i="14"/>
  <c r="A615" i="14"/>
  <c r="A614" i="14"/>
  <c r="A613" i="14"/>
  <c r="A612" i="14"/>
  <c r="A611" i="14"/>
  <c r="A610" i="14"/>
  <c r="A609" i="14"/>
  <c r="A608" i="14"/>
  <c r="A607" i="14"/>
  <c r="A606" i="14"/>
  <c r="A605" i="14"/>
  <c r="A604" i="14"/>
  <c r="A603" i="14"/>
  <c r="A602" i="14"/>
  <c r="A601" i="14"/>
  <c r="A600" i="14"/>
  <c r="A599" i="14"/>
  <c r="A598" i="14"/>
  <c r="A597" i="14"/>
  <c r="A596" i="14"/>
  <c r="A595" i="14"/>
  <c r="A594" i="14"/>
  <c r="A593" i="14"/>
  <c r="A592" i="14"/>
  <c r="A591" i="14"/>
  <c r="A590" i="14"/>
  <c r="A589" i="14"/>
  <c r="A588" i="14"/>
  <c r="A587" i="14"/>
  <c r="A586" i="14"/>
  <c r="A585" i="14"/>
  <c r="A584" i="14"/>
  <c r="A583" i="14"/>
  <c r="A582" i="14"/>
  <c r="A581" i="14"/>
  <c r="A580" i="14"/>
  <c r="A579" i="14"/>
  <c r="A578" i="14"/>
  <c r="A577" i="14"/>
  <c r="A576" i="14"/>
  <c r="A575" i="14"/>
  <c r="A574" i="14"/>
  <c r="A573" i="14"/>
  <c r="A572" i="14"/>
  <c r="A571" i="14"/>
  <c r="A570" i="14"/>
  <c r="A569" i="14"/>
  <c r="A568" i="14"/>
  <c r="A567" i="14"/>
  <c r="A566" i="14"/>
  <c r="A565" i="14"/>
  <c r="A564" i="14"/>
  <c r="A563" i="14"/>
  <c r="A562" i="14"/>
  <c r="A561" i="14"/>
  <c r="A560" i="14"/>
  <c r="A559" i="14"/>
  <c r="A558" i="14"/>
  <c r="A557" i="14"/>
  <c r="A556" i="14"/>
  <c r="A555" i="14"/>
  <c r="A554" i="14"/>
  <c r="A553" i="14"/>
  <c r="A552" i="14"/>
  <c r="A551" i="14"/>
  <c r="A550" i="14"/>
  <c r="A549" i="14"/>
  <c r="A548" i="14"/>
  <c r="A547" i="14"/>
  <c r="A546" i="14"/>
  <c r="A545" i="14"/>
  <c r="A544" i="14"/>
  <c r="A543" i="14"/>
  <c r="A542" i="14"/>
  <c r="A541" i="14"/>
  <c r="A540" i="14"/>
  <c r="A539" i="14"/>
  <c r="A538" i="14"/>
  <c r="A537" i="14"/>
  <c r="A536" i="14"/>
  <c r="A535" i="14"/>
  <c r="A534" i="14"/>
  <c r="A533" i="14"/>
  <c r="A532" i="14"/>
  <c r="A531" i="14"/>
  <c r="A530" i="14"/>
  <c r="A529" i="14"/>
  <c r="A528" i="14"/>
  <c r="A527" i="14"/>
  <c r="A526" i="14"/>
  <c r="A525" i="14"/>
  <c r="A524" i="14"/>
  <c r="A523" i="14"/>
  <c r="A522" i="14"/>
  <c r="A521" i="14"/>
  <c r="A520" i="14"/>
  <c r="A519" i="14"/>
  <c r="A518" i="14"/>
  <c r="A517" i="14"/>
  <c r="A516" i="14"/>
  <c r="A515" i="14"/>
  <c r="A514" i="14"/>
  <c r="A513" i="14"/>
  <c r="A512" i="14"/>
  <c r="A511" i="14"/>
  <c r="A510" i="14"/>
  <c r="A509" i="14"/>
  <c r="A508" i="14"/>
  <c r="A507" i="14"/>
  <c r="A506" i="14"/>
  <c r="A505" i="14"/>
  <c r="A504" i="14"/>
  <c r="A503" i="14"/>
  <c r="A502" i="14"/>
  <c r="A501" i="14"/>
  <c r="A500" i="14"/>
  <c r="A499" i="14"/>
  <c r="A498" i="14"/>
  <c r="A497" i="14"/>
  <c r="A496" i="14"/>
  <c r="A495" i="14"/>
  <c r="A494" i="14"/>
  <c r="A493" i="14"/>
  <c r="A492" i="14"/>
  <c r="A491" i="14"/>
  <c r="A490" i="14"/>
  <c r="A489" i="14"/>
  <c r="A488" i="14"/>
  <c r="A487" i="14"/>
  <c r="A486" i="14"/>
  <c r="A485" i="14"/>
  <c r="A484" i="14"/>
  <c r="A483" i="14"/>
  <c r="A482" i="14"/>
  <c r="A481" i="14"/>
  <c r="A480" i="14"/>
  <c r="A479" i="14"/>
  <c r="A478" i="14"/>
  <c r="A477" i="14"/>
  <c r="A476" i="14"/>
  <c r="A475" i="14"/>
  <c r="A474" i="14"/>
  <c r="A473" i="14"/>
  <c r="A472" i="14"/>
  <c r="A471" i="14"/>
  <c r="A470" i="14"/>
  <c r="A469" i="14"/>
  <c r="A468" i="14"/>
  <c r="A467" i="14"/>
  <c r="A466" i="14"/>
  <c r="A465" i="14"/>
  <c r="A464" i="14"/>
  <c r="A463" i="14"/>
  <c r="A462" i="14"/>
  <c r="A461" i="14"/>
  <c r="A460" i="14"/>
  <c r="A459" i="14"/>
  <c r="A458" i="14"/>
  <c r="A457" i="14"/>
  <c r="A456" i="14"/>
  <c r="A455" i="14"/>
  <c r="A454" i="14"/>
  <c r="A453" i="14"/>
  <c r="A452" i="14"/>
  <c r="A451" i="14"/>
  <c r="A450" i="14"/>
  <c r="A449" i="14"/>
  <c r="A448" i="14"/>
  <c r="A447" i="14"/>
  <c r="A446" i="14"/>
  <c r="A445" i="14"/>
  <c r="A444" i="14"/>
  <c r="A443" i="14"/>
  <c r="A442" i="14"/>
  <c r="A441" i="14"/>
  <c r="A440" i="14"/>
  <c r="A439" i="14"/>
  <c r="A438" i="14"/>
  <c r="A437" i="14"/>
  <c r="A436" i="14"/>
  <c r="A435" i="14"/>
  <c r="A434" i="14"/>
  <c r="A433" i="14"/>
  <c r="A432" i="14"/>
  <c r="A431" i="14"/>
  <c r="A430" i="14"/>
  <c r="A429" i="14"/>
  <c r="A428" i="14"/>
  <c r="A427" i="14"/>
  <c r="A426" i="14"/>
  <c r="A425" i="14"/>
  <c r="A424" i="14"/>
  <c r="A423" i="14"/>
  <c r="A422" i="14"/>
  <c r="A421" i="14"/>
  <c r="A420" i="14"/>
  <c r="A419" i="14"/>
  <c r="A418" i="14"/>
  <c r="A417" i="14"/>
  <c r="A416" i="14"/>
  <c r="A415" i="14"/>
  <c r="A414" i="14"/>
  <c r="A413" i="14"/>
  <c r="A412" i="14"/>
  <c r="A411" i="14"/>
  <c r="A410" i="14"/>
  <c r="A409" i="14"/>
  <c r="A408" i="14"/>
  <c r="A407" i="14"/>
  <c r="A406" i="14"/>
  <c r="A405" i="14"/>
  <c r="A404" i="14"/>
  <c r="A403" i="14"/>
  <c r="A402" i="14"/>
  <c r="A401" i="14"/>
  <c r="A400" i="14"/>
  <c r="A399" i="14"/>
  <c r="A398" i="14"/>
  <c r="A397" i="14"/>
  <c r="A396" i="14"/>
  <c r="A395" i="14"/>
  <c r="A394" i="14"/>
  <c r="A393" i="14"/>
  <c r="A392" i="14"/>
  <c r="A391" i="14"/>
  <c r="A390" i="14"/>
  <c r="A389" i="14"/>
  <c r="A388" i="14"/>
  <c r="A387" i="14"/>
  <c r="A386" i="14"/>
  <c r="A385" i="14"/>
  <c r="A384" i="14"/>
  <c r="A383" i="14"/>
  <c r="A382" i="14"/>
  <c r="A381" i="14"/>
  <c r="A380" i="14"/>
  <c r="A379" i="14"/>
  <c r="A378" i="14"/>
  <c r="A377" i="14"/>
  <c r="A376" i="14"/>
  <c r="A375" i="14"/>
  <c r="A374" i="14"/>
  <c r="A373" i="14"/>
  <c r="A372" i="14"/>
  <c r="A371" i="14"/>
  <c r="A370" i="14"/>
  <c r="A369" i="14"/>
  <c r="A368" i="14"/>
  <c r="A367" i="14"/>
  <c r="A366" i="14"/>
  <c r="A365" i="14"/>
  <c r="A364" i="14"/>
  <c r="A363" i="14"/>
  <c r="A362" i="14"/>
  <c r="A361" i="14"/>
  <c r="A360" i="14"/>
  <c r="A359" i="14"/>
  <c r="A358" i="14"/>
  <c r="A357" i="14"/>
  <c r="A356" i="14"/>
  <c r="A355" i="14"/>
  <c r="A354" i="14"/>
  <c r="A353" i="14"/>
  <c r="A352" i="14"/>
  <c r="A351" i="14"/>
  <c r="A350" i="14"/>
  <c r="A349" i="14"/>
  <c r="A348" i="14"/>
  <c r="A347" i="14"/>
  <c r="A346" i="14"/>
  <c r="A345" i="14"/>
  <c r="A344" i="14"/>
  <c r="A343" i="14"/>
  <c r="A342" i="14"/>
  <c r="A341" i="14"/>
  <c r="A340" i="14"/>
  <c r="A339" i="14"/>
  <c r="A338" i="14"/>
  <c r="A337" i="14"/>
  <c r="A336" i="14"/>
  <c r="A335" i="14"/>
  <c r="A334" i="14"/>
  <c r="A333" i="14"/>
  <c r="A332" i="14"/>
  <c r="A331" i="14"/>
  <c r="A330" i="14"/>
  <c r="A329" i="14"/>
  <c r="A328" i="14"/>
  <c r="A327" i="14"/>
  <c r="A326" i="14"/>
  <c r="A325" i="14"/>
  <c r="A324" i="14"/>
  <c r="A323" i="14"/>
  <c r="A322" i="14"/>
  <c r="A321" i="14"/>
  <c r="A320" i="14"/>
  <c r="A319" i="14"/>
  <c r="A318" i="14"/>
  <c r="A317" i="14"/>
  <c r="A316" i="14"/>
  <c r="A315" i="14"/>
  <c r="A314" i="14"/>
  <c r="A313" i="14"/>
  <c r="A312" i="14"/>
  <c r="A311" i="14"/>
  <c r="A310" i="14"/>
  <c r="A309" i="14"/>
  <c r="A308" i="14"/>
  <c r="A307" i="14"/>
  <c r="A306" i="14"/>
  <c r="A305" i="14"/>
  <c r="A304" i="14"/>
  <c r="A303" i="14"/>
  <c r="A302" i="14"/>
  <c r="A301" i="14"/>
  <c r="A300" i="14"/>
  <c r="A299" i="14"/>
  <c r="A298" i="14"/>
  <c r="A297" i="14"/>
  <c r="A296" i="14"/>
  <c r="A295" i="14"/>
  <c r="A294" i="14"/>
  <c r="A293" i="14"/>
  <c r="A292" i="14"/>
  <c r="A291" i="14"/>
  <c r="A290" i="14"/>
  <c r="A289" i="14"/>
  <c r="A288" i="14"/>
  <c r="A287" i="14"/>
  <c r="A286" i="14"/>
  <c r="A285" i="14"/>
  <c r="A284" i="14"/>
  <c r="A283" i="14"/>
  <c r="A282" i="14"/>
  <c r="A281" i="14"/>
  <c r="A280" i="14"/>
  <c r="A279" i="14"/>
  <c r="A278" i="14"/>
  <c r="A277" i="14"/>
  <c r="A276" i="14"/>
  <c r="A275" i="14"/>
  <c r="A274" i="14"/>
  <c r="A273" i="14"/>
  <c r="A272" i="14"/>
  <c r="A271" i="14"/>
  <c r="A270" i="14"/>
  <c r="A269" i="14"/>
  <c r="A268" i="14"/>
  <c r="A267" i="14"/>
  <c r="A266" i="14"/>
  <c r="A265" i="14"/>
  <c r="A264" i="14"/>
  <c r="A263" i="14"/>
  <c r="A262" i="14"/>
  <c r="A261" i="14"/>
  <c r="A260" i="14"/>
  <c r="A259" i="14"/>
  <c r="A258" i="14"/>
  <c r="A257" i="14"/>
  <c r="A256" i="14"/>
  <c r="A255" i="14"/>
  <c r="A254" i="14"/>
  <c r="A253" i="14"/>
  <c r="A252" i="14"/>
  <c r="A251" i="14"/>
  <c r="A250" i="14"/>
  <c r="A249" i="14"/>
  <c r="A248" i="14"/>
  <c r="A247" i="14"/>
  <c r="A246" i="14"/>
  <c r="A245" i="14"/>
  <c r="A244" i="14"/>
  <c r="A243" i="14"/>
  <c r="A242" i="14"/>
  <c r="A241" i="14"/>
  <c r="A240" i="14"/>
  <c r="A239" i="14"/>
  <c r="A238" i="14"/>
  <c r="A237" i="14"/>
  <c r="A236" i="14"/>
  <c r="A235" i="14"/>
  <c r="A234" i="14"/>
  <c r="A233" i="14"/>
  <c r="A232" i="14"/>
  <c r="A231" i="14"/>
  <c r="A230" i="14"/>
  <c r="A229" i="14"/>
  <c r="A228" i="14"/>
  <c r="A227" i="14"/>
  <c r="A226" i="14"/>
  <c r="A225" i="14"/>
  <c r="A224" i="14"/>
  <c r="A223" i="14"/>
  <c r="A222" i="14"/>
  <c r="A221" i="14"/>
  <c r="A220" i="14"/>
  <c r="A219" i="14"/>
  <c r="A218" i="14"/>
  <c r="A217" i="14"/>
  <c r="A216" i="14"/>
  <c r="A215" i="14"/>
  <c r="A214" i="14"/>
  <c r="A213" i="14"/>
  <c r="A212" i="14"/>
  <c r="A211" i="14"/>
  <c r="A210" i="14"/>
  <c r="A209" i="14"/>
  <c r="A208" i="14"/>
  <c r="A207" i="14"/>
  <c r="A206" i="14"/>
  <c r="A205" i="14"/>
  <c r="A204" i="14"/>
  <c r="A203" i="14"/>
  <c r="A202" i="14"/>
  <c r="A201" i="14"/>
  <c r="A200" i="14"/>
  <c r="A199" i="14"/>
  <c r="A198" i="14"/>
  <c r="A197" i="14"/>
  <c r="A196" i="14"/>
  <c r="A195" i="14"/>
  <c r="A194" i="14"/>
  <c r="A193" i="14"/>
  <c r="A192" i="14"/>
  <c r="A191" i="14"/>
  <c r="A190" i="14"/>
  <c r="A189" i="14"/>
  <c r="A188" i="14"/>
  <c r="A187" i="14"/>
  <c r="A186" i="14"/>
  <c r="A185" i="14"/>
  <c r="A184" i="14"/>
  <c r="A183" i="14"/>
  <c r="A182" i="14"/>
  <c r="A181" i="14"/>
  <c r="A180" i="14"/>
  <c r="A179" i="14"/>
  <c r="A178" i="14"/>
  <c r="A177" i="14"/>
  <c r="A176" i="14"/>
  <c r="A175" i="14"/>
  <c r="A174" i="14"/>
  <c r="A173" i="14"/>
  <c r="A172" i="14"/>
  <c r="A171" i="14"/>
  <c r="A170" i="14"/>
  <c r="A169" i="14"/>
  <c r="A168" i="14"/>
  <c r="A167" i="14"/>
  <c r="A166" i="14"/>
  <c r="A165" i="14"/>
  <c r="A164" i="14"/>
  <c r="A163" i="14"/>
  <c r="A162" i="14"/>
  <c r="A161" i="14"/>
  <c r="A160" i="14"/>
  <c r="A159" i="14"/>
  <c r="A158" i="14"/>
  <c r="A157" i="14"/>
  <c r="A156" i="14"/>
  <c r="A155" i="14"/>
  <c r="A154" i="14"/>
  <c r="A153" i="14"/>
  <c r="A152" i="14"/>
  <c r="A151" i="14"/>
  <c r="A150" i="14"/>
  <c r="A149" i="14"/>
  <c r="A148" i="14"/>
  <c r="A147" i="14"/>
  <c r="A146" i="14"/>
  <c r="A145" i="14"/>
  <c r="A144" i="14"/>
  <c r="A143" i="14"/>
  <c r="A142" i="14"/>
  <c r="A141" i="14"/>
  <c r="A140" i="14"/>
  <c r="A139" i="14"/>
  <c r="A138" i="14"/>
  <c r="A137" i="14"/>
  <c r="A136" i="14"/>
  <c r="A135" i="14"/>
  <c r="A134" i="14"/>
  <c r="A133" i="14"/>
  <c r="A132" i="14"/>
  <c r="A131" i="14"/>
  <c r="A130" i="14"/>
  <c r="A129" i="14"/>
  <c r="A128" i="14"/>
  <c r="A127" i="14"/>
  <c r="A126" i="14"/>
  <c r="A125" i="14"/>
  <c r="A124" i="14"/>
  <c r="A123" i="14"/>
  <c r="A122" i="14"/>
  <c r="A121" i="14"/>
  <c r="A120" i="14"/>
  <c r="A119" i="14"/>
  <c r="A118" i="14"/>
  <c r="A117" i="14"/>
  <c r="A116" i="14"/>
  <c r="A115" i="14"/>
  <c r="A114" i="14"/>
  <c r="A113" i="14"/>
  <c r="A112" i="14"/>
  <c r="A111" i="14"/>
  <c r="A110" i="14"/>
  <c r="A109" i="14"/>
  <c r="A108" i="14"/>
  <c r="A107" i="14"/>
  <c r="A106" i="14"/>
  <c r="A105" i="14"/>
  <c r="A104" i="14"/>
  <c r="A103" i="14"/>
  <c r="A1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2057" i="10"/>
  <c r="A2056" i="10"/>
  <c r="A2055" i="10"/>
  <c r="A2054" i="10"/>
  <c r="A2053" i="10"/>
  <c r="A2052" i="10"/>
  <c r="A2051" i="10"/>
  <c r="A2050" i="10"/>
  <c r="A2049" i="10"/>
  <c r="A2048" i="10"/>
  <c r="A2047" i="10"/>
  <c r="A2046" i="10"/>
  <c r="A2045" i="10"/>
  <c r="A2044" i="10"/>
  <c r="A2043" i="10"/>
  <c r="A2042" i="10"/>
  <c r="A2041" i="10"/>
  <c r="A2040" i="10"/>
  <c r="A2039" i="10"/>
  <c r="A2038" i="10"/>
  <c r="A2037" i="10"/>
  <c r="A2036" i="10"/>
  <c r="A2035" i="10"/>
  <c r="A2034" i="10"/>
  <c r="A2033" i="10"/>
  <c r="A2032" i="10"/>
  <c r="A2031" i="10"/>
  <c r="A2030" i="10"/>
  <c r="A2029" i="10"/>
  <c r="A2028" i="10"/>
  <c r="A2027" i="10"/>
  <c r="A2026" i="10"/>
  <c r="A2025" i="10"/>
  <c r="A2024" i="10"/>
  <c r="A2023" i="10"/>
  <c r="A2022" i="10"/>
  <c r="A2021" i="10"/>
  <c r="A2020" i="10"/>
  <c r="A2019" i="10"/>
  <c r="A2018" i="10"/>
  <c r="A2017" i="10"/>
  <c r="A2016" i="10"/>
  <c r="A2015" i="10"/>
  <c r="A2014" i="10"/>
  <c r="A2013" i="10"/>
  <c r="A2012" i="10"/>
  <c r="A2011" i="10"/>
  <c r="A2010" i="10"/>
  <c r="A2009" i="10"/>
  <c r="A2008" i="10"/>
  <c r="A2007" i="10"/>
  <c r="A2006" i="10"/>
  <c r="A2005" i="10"/>
  <c r="A2004" i="10"/>
  <c r="A2003" i="10"/>
  <c r="A2002" i="10"/>
  <c r="A2001" i="10"/>
  <c r="A2000" i="10"/>
  <c r="A1999" i="10"/>
  <c r="A1998" i="10"/>
  <c r="A1997" i="10"/>
  <c r="A1996" i="10"/>
  <c r="A1995" i="10"/>
  <c r="A1994" i="10"/>
  <c r="A1993" i="10"/>
  <c r="A1992" i="10"/>
  <c r="A1991" i="10"/>
  <c r="A1990" i="10"/>
  <c r="A1989" i="10"/>
  <c r="A1988" i="10"/>
  <c r="A1987" i="10"/>
  <c r="A1986" i="10"/>
  <c r="A1985" i="10"/>
  <c r="A1984" i="10"/>
  <c r="A1983" i="10"/>
  <c r="A1982" i="10"/>
  <c r="A1981" i="10"/>
  <c r="A1980" i="10"/>
  <c r="A1979" i="10"/>
  <c r="A1978" i="10"/>
  <c r="A1977" i="10"/>
  <c r="A1976" i="10"/>
  <c r="A1975" i="10"/>
  <c r="A1974" i="10"/>
  <c r="A1973" i="10"/>
  <c r="A1972" i="10"/>
  <c r="A1971" i="10"/>
  <c r="A1970" i="10"/>
  <c r="A1969" i="10"/>
  <c r="A1968" i="10"/>
  <c r="A1967" i="10"/>
  <c r="A1966" i="10"/>
  <c r="A1965" i="10"/>
  <c r="A1964" i="10"/>
  <c r="A1963" i="10"/>
  <c r="A1962" i="10"/>
  <c r="A1961" i="10"/>
  <c r="A1960" i="10"/>
  <c r="A1959" i="10"/>
  <c r="A1958" i="10"/>
  <c r="A1957" i="10"/>
  <c r="A1956" i="10"/>
  <c r="A1955" i="10"/>
  <c r="A1954" i="10"/>
  <c r="A1953" i="10"/>
  <c r="A1952" i="10"/>
  <c r="A1951" i="10"/>
  <c r="A1950" i="10"/>
  <c r="A1949" i="10"/>
  <c r="A1948" i="10"/>
  <c r="A1947" i="10"/>
  <c r="A1946" i="10"/>
  <c r="A1945" i="10"/>
  <c r="A1944" i="10"/>
  <c r="A1943" i="10"/>
  <c r="A1942" i="10"/>
  <c r="A1941" i="10"/>
  <c r="A1940" i="10"/>
  <c r="A1939" i="10"/>
  <c r="A1938" i="10"/>
  <c r="A1937" i="10"/>
  <c r="A1936" i="10"/>
  <c r="A1935" i="10"/>
  <c r="A1934" i="10"/>
  <c r="A1933" i="10"/>
  <c r="A1932" i="10"/>
  <c r="A1931" i="10"/>
  <c r="A1930" i="10"/>
  <c r="A1929" i="10"/>
  <c r="A1928" i="10"/>
  <c r="A1927" i="10"/>
  <c r="A1926" i="10"/>
  <c r="A1925" i="10"/>
  <c r="A1924" i="10"/>
  <c r="A1923" i="10"/>
  <c r="A1922" i="10"/>
  <c r="A1921" i="10"/>
  <c r="A1920" i="10"/>
  <c r="A1919" i="10"/>
  <c r="A1918" i="10"/>
  <c r="A1917" i="10"/>
  <c r="A1916" i="10"/>
  <c r="A1915" i="10"/>
  <c r="A1914" i="10"/>
  <c r="A1913" i="10"/>
  <c r="A1912" i="10"/>
  <c r="A1911" i="10"/>
  <c r="A1910" i="10"/>
  <c r="A1909" i="10"/>
  <c r="A1908" i="10"/>
  <c r="A1907" i="10"/>
  <c r="A1906" i="10"/>
  <c r="A1905" i="10"/>
  <c r="A1904" i="10"/>
  <c r="A1903" i="10"/>
  <c r="A1902" i="10"/>
  <c r="A1901" i="10"/>
  <c r="A1900" i="10"/>
  <c r="A1899" i="10"/>
  <c r="A1898" i="10"/>
  <c r="A1897" i="10"/>
  <c r="A1896" i="10"/>
  <c r="A1895" i="10"/>
  <c r="A1894" i="10"/>
  <c r="A1893" i="10"/>
  <c r="A1892" i="10"/>
  <c r="A1891" i="10"/>
  <c r="A1890" i="10"/>
  <c r="A1889" i="10"/>
  <c r="A1888" i="10"/>
  <c r="A1887" i="10"/>
  <c r="A1886" i="10"/>
  <c r="A1885" i="10"/>
  <c r="A1884" i="10"/>
  <c r="A1883" i="10"/>
  <c r="A1882" i="10"/>
  <c r="A1881" i="10"/>
  <c r="A1880" i="10"/>
  <c r="A1879" i="10"/>
  <c r="A1878" i="10"/>
  <c r="A1877" i="10"/>
  <c r="A1876" i="10"/>
  <c r="A1875" i="10"/>
  <c r="A1874" i="10"/>
  <c r="A1873" i="10"/>
  <c r="A1872" i="10"/>
  <c r="A1871" i="10"/>
  <c r="A1870" i="10"/>
  <c r="A1869" i="10"/>
  <c r="A1868" i="10"/>
  <c r="A1867" i="10"/>
  <c r="A1866" i="10"/>
  <c r="A1865" i="10"/>
  <c r="A1864" i="10"/>
  <c r="A1863" i="10"/>
  <c r="A1862" i="10"/>
  <c r="A1861" i="10"/>
  <c r="A1860" i="10"/>
  <c r="A1859" i="10"/>
  <c r="A1858" i="10"/>
  <c r="A1857" i="10"/>
  <c r="A1856" i="10"/>
  <c r="A1855" i="10"/>
  <c r="A1854" i="10"/>
  <c r="A1853" i="10"/>
  <c r="A1852" i="10"/>
  <c r="A1851" i="10"/>
  <c r="A1850" i="10"/>
  <c r="A1849" i="10"/>
  <c r="A1848" i="10"/>
  <c r="A1847" i="10"/>
  <c r="A1846" i="10"/>
  <c r="A1845" i="10"/>
  <c r="A1844" i="10"/>
  <c r="A1843" i="10"/>
  <c r="A1842" i="10"/>
  <c r="A1841" i="10"/>
  <c r="A1840" i="10"/>
  <c r="A1839" i="10"/>
  <c r="A1838" i="10"/>
  <c r="A1837" i="10"/>
  <c r="A1836" i="10"/>
  <c r="A1835" i="10"/>
  <c r="A1834" i="10"/>
  <c r="A1833" i="10"/>
  <c r="A1832" i="10"/>
  <c r="A1831" i="10"/>
  <c r="A1830" i="10"/>
  <c r="A1829" i="10"/>
  <c r="A1828" i="10"/>
  <c r="A1827" i="10"/>
  <c r="A1826" i="10"/>
  <c r="A1825" i="10"/>
  <c r="A1824" i="10"/>
  <c r="A1823" i="10"/>
  <c r="A1822" i="10"/>
  <c r="A1821" i="10"/>
  <c r="A1820" i="10"/>
  <c r="A1819" i="10"/>
  <c r="A1818" i="10"/>
  <c r="A1817" i="10"/>
  <c r="A1816" i="10"/>
  <c r="A1815" i="10"/>
  <c r="A1814" i="10"/>
  <c r="A1813" i="10"/>
  <c r="A1812" i="10"/>
  <c r="A1811" i="10"/>
  <c r="A1810" i="10"/>
  <c r="A1809" i="10"/>
  <c r="A1808" i="10"/>
  <c r="A1807" i="10"/>
  <c r="A1806" i="10"/>
  <c r="A1805" i="10"/>
  <c r="A1804" i="10"/>
  <c r="A1803" i="10"/>
  <c r="A1802" i="10"/>
  <c r="A1801" i="10"/>
  <c r="A1800" i="10"/>
  <c r="A1799" i="10"/>
  <c r="A1798" i="10"/>
  <c r="A1797" i="10"/>
  <c r="A1796" i="10"/>
  <c r="A1795" i="10"/>
  <c r="A1794" i="10"/>
  <c r="A1793" i="10"/>
  <c r="A1792" i="10"/>
  <c r="A1791" i="10"/>
  <c r="A1790" i="10"/>
  <c r="A1789" i="10"/>
  <c r="A1788" i="10"/>
  <c r="A1787" i="10"/>
  <c r="A1786" i="10"/>
  <c r="A1785" i="10"/>
  <c r="A1784" i="10"/>
  <c r="A1783" i="10"/>
  <c r="A1782" i="10"/>
  <c r="A1781" i="10"/>
  <c r="A1780" i="10"/>
  <c r="A1779" i="10"/>
  <c r="A1778" i="10"/>
  <c r="A1777" i="10"/>
  <c r="A1776" i="10"/>
  <c r="A1775" i="10"/>
  <c r="A1774" i="10"/>
  <c r="A1773" i="10"/>
  <c r="A1772" i="10"/>
  <c r="A1771" i="10"/>
  <c r="A1770" i="10"/>
  <c r="A1769" i="10"/>
  <c r="A1768" i="10"/>
  <c r="A1767" i="10"/>
  <c r="A1766" i="10"/>
  <c r="A1765" i="10"/>
  <c r="A1764" i="10"/>
  <c r="A1763" i="10"/>
  <c r="A1762" i="10"/>
  <c r="A1761" i="10"/>
  <c r="A1760" i="10"/>
  <c r="A1759" i="10"/>
  <c r="A1758" i="10"/>
  <c r="A1757" i="10"/>
  <c r="A1756" i="10"/>
  <c r="A1755" i="10"/>
  <c r="A1754" i="10"/>
  <c r="A1753" i="10"/>
  <c r="A1752" i="10"/>
  <c r="A1751" i="10"/>
  <c r="A1750" i="10"/>
  <c r="A1749" i="10"/>
  <c r="A1748" i="10"/>
  <c r="A1747" i="10"/>
  <c r="A1746" i="10"/>
  <c r="A1745" i="10"/>
  <c r="A1744" i="10"/>
  <c r="A1743" i="10"/>
  <c r="A1742" i="10"/>
  <c r="A1741" i="10"/>
  <c r="A1740" i="10"/>
  <c r="A1739" i="10"/>
  <c r="A1738" i="10"/>
  <c r="A1737" i="10"/>
  <c r="A1736" i="10"/>
  <c r="A1735" i="10"/>
  <c r="A1734" i="10"/>
  <c r="A1733" i="10"/>
  <c r="A1732" i="10"/>
  <c r="A1731" i="10"/>
  <c r="A1730" i="10"/>
  <c r="A1729" i="10"/>
  <c r="A1728" i="10"/>
  <c r="A1727" i="10"/>
  <c r="A1726" i="10"/>
  <c r="A1725" i="10"/>
  <c r="A1724" i="10"/>
  <c r="A1723" i="10"/>
  <c r="A1722" i="10"/>
  <c r="A1721" i="10"/>
  <c r="A1720" i="10"/>
  <c r="A1719" i="10"/>
  <c r="A1718" i="10"/>
  <c r="A1717" i="10"/>
  <c r="A1716" i="10"/>
  <c r="A1715" i="10"/>
  <c r="A1714" i="10"/>
  <c r="A1713" i="10"/>
  <c r="A1712" i="10"/>
  <c r="A1711" i="10"/>
  <c r="A1710" i="10"/>
  <c r="A1709" i="10"/>
  <c r="A1708" i="10"/>
  <c r="A1707" i="10"/>
  <c r="A1706" i="10"/>
  <c r="A1705" i="10"/>
  <c r="A1704" i="10"/>
  <c r="A1703" i="10"/>
  <c r="A1702" i="10"/>
  <c r="A1701" i="10"/>
  <c r="A1700" i="10"/>
  <c r="A1699" i="10"/>
  <c r="A1698" i="10"/>
  <c r="A1697" i="10"/>
  <c r="A1696" i="10"/>
  <c r="A1695" i="10"/>
  <c r="A1694" i="10"/>
  <c r="A1693" i="10"/>
  <c r="A1692" i="10"/>
  <c r="A1691" i="10"/>
  <c r="A1690" i="10"/>
  <c r="A1689" i="10"/>
  <c r="A1688" i="10"/>
  <c r="A1687" i="10"/>
  <c r="A1686" i="10"/>
  <c r="A1685" i="10"/>
  <c r="A1684" i="10"/>
  <c r="A1683" i="10"/>
  <c r="A1682" i="10"/>
  <c r="A1681" i="10"/>
  <c r="A1680" i="10"/>
  <c r="A1679" i="10"/>
  <c r="A1678" i="10"/>
  <c r="A1677" i="10"/>
  <c r="A1676" i="10"/>
  <c r="A1675" i="10"/>
  <c r="A1674" i="10"/>
  <c r="A1673" i="10"/>
  <c r="A1672" i="10"/>
  <c r="A1671" i="10"/>
  <c r="A1670" i="10"/>
  <c r="A1669" i="10"/>
  <c r="A1668" i="10"/>
  <c r="A1667" i="10"/>
  <c r="A1666" i="10"/>
  <c r="A1665" i="10"/>
  <c r="A1664" i="10"/>
  <c r="A1663" i="10"/>
  <c r="A1662" i="10"/>
  <c r="A1661" i="10"/>
  <c r="A1660" i="10"/>
  <c r="A1659" i="10"/>
  <c r="A1658" i="10"/>
  <c r="A1657" i="10"/>
  <c r="A1656" i="10"/>
  <c r="A1655" i="10"/>
  <c r="A1654" i="10"/>
  <c r="A1653" i="10"/>
  <c r="A1652" i="10"/>
  <c r="A1651" i="10"/>
  <c r="A1650" i="10"/>
  <c r="A1649" i="10"/>
  <c r="A1648" i="10"/>
  <c r="A1647" i="10"/>
  <c r="A1646" i="10"/>
  <c r="A1645" i="10"/>
  <c r="A1644" i="10"/>
  <c r="A1643" i="10"/>
  <c r="A1642" i="10"/>
  <c r="A1641" i="10"/>
  <c r="A1640" i="10"/>
  <c r="A1639" i="10"/>
  <c r="A1638" i="10"/>
  <c r="A1637" i="10"/>
  <c r="A1636" i="10"/>
  <c r="A1635" i="10"/>
  <c r="A1634" i="10"/>
  <c r="A1633" i="10"/>
  <c r="A1632" i="10"/>
  <c r="A1631" i="10"/>
  <c r="A1630" i="10"/>
  <c r="A1629" i="10"/>
  <c r="A1628" i="10"/>
  <c r="A1627" i="10"/>
  <c r="A1626" i="10"/>
  <c r="A1625" i="10"/>
  <c r="A1624" i="10"/>
  <c r="A1623" i="10"/>
  <c r="A1622" i="10"/>
  <c r="A1621" i="10"/>
  <c r="A1620" i="10"/>
  <c r="A1619" i="10"/>
  <c r="A1618" i="10"/>
  <c r="A1617" i="10"/>
  <c r="A1616" i="10"/>
  <c r="A1615" i="10"/>
  <c r="A1614" i="10"/>
  <c r="A1613" i="10"/>
  <c r="A1612" i="10"/>
  <c r="A1611" i="10"/>
  <c r="A1610" i="10"/>
  <c r="A1609" i="10"/>
  <c r="A1608" i="10"/>
  <c r="A1607" i="10"/>
  <c r="A1606" i="10"/>
  <c r="A1605" i="10"/>
  <c r="A1604" i="10"/>
  <c r="A1603" i="10"/>
  <c r="A1602" i="10"/>
  <c r="A1601" i="10"/>
  <c r="A1600" i="10"/>
  <c r="A1599" i="10"/>
  <c r="A1598" i="10"/>
  <c r="A1597" i="10"/>
  <c r="A1596" i="10"/>
  <c r="A1595" i="10"/>
  <c r="A1594" i="10"/>
  <c r="A1593" i="10"/>
  <c r="A1592" i="10"/>
  <c r="A1591" i="10"/>
  <c r="A1590" i="10"/>
  <c r="A1589" i="10"/>
  <c r="A1588" i="10"/>
  <c r="A1587" i="10"/>
  <c r="A1586" i="10"/>
  <c r="A1585" i="10"/>
  <c r="A1584" i="10"/>
  <c r="A1583" i="10"/>
  <c r="A1582" i="10"/>
  <c r="A1581" i="10"/>
  <c r="A1580" i="10"/>
  <c r="A1579" i="10"/>
  <c r="A1578" i="10"/>
  <c r="A1577" i="10"/>
  <c r="A1576" i="10"/>
  <c r="A1575" i="10"/>
  <c r="A1574" i="10"/>
  <c r="A1573" i="10"/>
  <c r="A1572" i="10"/>
  <c r="A1571" i="10"/>
  <c r="A1570" i="10"/>
  <c r="A1569" i="10"/>
  <c r="A1568" i="10"/>
  <c r="A1567" i="10"/>
  <c r="A1566" i="10"/>
  <c r="A1565" i="10"/>
  <c r="A1564" i="10"/>
  <c r="A1563" i="10"/>
  <c r="A1562" i="10"/>
  <c r="A1561" i="10"/>
  <c r="A1560" i="10"/>
  <c r="A1559" i="10"/>
  <c r="A1558" i="10"/>
  <c r="A1557" i="10"/>
  <c r="A1556" i="10"/>
  <c r="A1555" i="10"/>
  <c r="A1554" i="10"/>
  <c r="A1553" i="10"/>
  <c r="A1552" i="10"/>
  <c r="A1551" i="10"/>
  <c r="A1550" i="10"/>
  <c r="A1549" i="10"/>
  <c r="A1548" i="10"/>
  <c r="A1547" i="10"/>
  <c r="A1546" i="10"/>
  <c r="A1545" i="10"/>
  <c r="A1544" i="10"/>
  <c r="A1543" i="10"/>
  <c r="A1542" i="10"/>
  <c r="A1541" i="10"/>
  <c r="A1540" i="10"/>
  <c r="A1539" i="10"/>
  <c r="A1538" i="10"/>
  <c r="A1537" i="10"/>
  <c r="A1536" i="10"/>
  <c r="A1535" i="10"/>
  <c r="A1534" i="10"/>
  <c r="A1533" i="10"/>
  <c r="A1532" i="10"/>
  <c r="A1531" i="10"/>
  <c r="A1530" i="10"/>
  <c r="A1529" i="10"/>
  <c r="A1528" i="10"/>
  <c r="A1527" i="10"/>
  <c r="A1526" i="10"/>
  <c r="A1525" i="10"/>
  <c r="A1524" i="10"/>
  <c r="A1523" i="10"/>
  <c r="A1522" i="10"/>
  <c r="A1521" i="10"/>
  <c r="A1520" i="10"/>
  <c r="A1519" i="10"/>
  <c r="A1518" i="10"/>
  <c r="A1517" i="10"/>
  <c r="A1516" i="10"/>
  <c r="A1515" i="10"/>
  <c r="A1514" i="10"/>
  <c r="A1513" i="10"/>
  <c r="A1512" i="10"/>
  <c r="A1511" i="10"/>
  <c r="A1510" i="10"/>
  <c r="A1509" i="10"/>
  <c r="A1508" i="10"/>
  <c r="A1507" i="10"/>
  <c r="A1506" i="10"/>
  <c r="A1505" i="10"/>
  <c r="A1504" i="10"/>
  <c r="A1503" i="10"/>
  <c r="A1502" i="10"/>
  <c r="A1501" i="10"/>
  <c r="A1500" i="10"/>
  <c r="A1499" i="10"/>
  <c r="A1498" i="10"/>
  <c r="A1497" i="10"/>
  <c r="A1496" i="10"/>
  <c r="A1495" i="10"/>
  <c r="A1494" i="10"/>
  <c r="A1493" i="10"/>
  <c r="A1492" i="10"/>
  <c r="A1491" i="10"/>
  <c r="A1490" i="10"/>
  <c r="A1489" i="10"/>
  <c r="A1488" i="10"/>
  <c r="A1487" i="10"/>
  <c r="A1486" i="10"/>
  <c r="A1485" i="10"/>
  <c r="A1484" i="10"/>
  <c r="A1483" i="10"/>
  <c r="A1482" i="10"/>
  <c r="A1481" i="10"/>
  <c r="A1480" i="10"/>
  <c r="A1479" i="10"/>
  <c r="A1478" i="10"/>
  <c r="A1477" i="10"/>
  <c r="A1476" i="10"/>
  <c r="A1475" i="10"/>
  <c r="A1474" i="10"/>
  <c r="A1473" i="10"/>
  <c r="A1472" i="10"/>
  <c r="A1471" i="10"/>
  <c r="A1470" i="10"/>
  <c r="A1469" i="10"/>
  <c r="A1468" i="10"/>
  <c r="A1467" i="10"/>
  <c r="A1466" i="10"/>
  <c r="A1465" i="10"/>
  <c r="A1464" i="10"/>
  <c r="A1463" i="10"/>
  <c r="A1462" i="10"/>
  <c r="A1461" i="10"/>
  <c r="A1460" i="10"/>
  <c r="A1459" i="10"/>
  <c r="A1458" i="10"/>
  <c r="A1457" i="10"/>
  <c r="A1456" i="10"/>
  <c r="A1455" i="10"/>
  <c r="A1454" i="10"/>
  <c r="A1453" i="10"/>
  <c r="A1452" i="10"/>
  <c r="A1451" i="10"/>
  <c r="A1450" i="10"/>
  <c r="A1449" i="10"/>
  <c r="A1448" i="10"/>
  <c r="A1447" i="10"/>
  <c r="A1446" i="10"/>
  <c r="A1445" i="10"/>
  <c r="A1444" i="10"/>
  <c r="A1443" i="10"/>
  <c r="A1442" i="10"/>
  <c r="A1441" i="10"/>
  <c r="A1440" i="10"/>
  <c r="A1439" i="10"/>
  <c r="A1438" i="10"/>
  <c r="A1437" i="10"/>
  <c r="A1436" i="10"/>
  <c r="A1435" i="10"/>
  <c r="A1434" i="10"/>
  <c r="A1433" i="10"/>
  <c r="A1432" i="10"/>
  <c r="A1431" i="10"/>
  <c r="A1430" i="10"/>
  <c r="A1429" i="10"/>
  <c r="A1428" i="10"/>
  <c r="A1427" i="10"/>
  <c r="A1426" i="10"/>
  <c r="A1425" i="10"/>
  <c r="A1424" i="10"/>
  <c r="A1423" i="10"/>
  <c r="A1422" i="10"/>
  <c r="A1421" i="10"/>
  <c r="A1420" i="10"/>
  <c r="A1419" i="10"/>
  <c r="A1418" i="10"/>
  <c r="A1417" i="10"/>
  <c r="A1416" i="10"/>
  <c r="A1415" i="10"/>
  <c r="A1414" i="10"/>
  <c r="A1413" i="10"/>
  <c r="A1412" i="10"/>
  <c r="A1411" i="10"/>
  <c r="A1410" i="10"/>
  <c r="A1409" i="10"/>
  <c r="A1408" i="10"/>
  <c r="A1407" i="10"/>
  <c r="A1406" i="10"/>
  <c r="A1405" i="10"/>
  <c r="A1404" i="10"/>
  <c r="A1403" i="10"/>
  <c r="A1402" i="10"/>
  <c r="A1401" i="10"/>
  <c r="A1400" i="10"/>
  <c r="A1399" i="10"/>
  <c r="A1398" i="10"/>
  <c r="A1397" i="10"/>
  <c r="A1396" i="10"/>
  <c r="A1395" i="10"/>
  <c r="A1394" i="10"/>
  <c r="A1393" i="10"/>
  <c r="A1392" i="10"/>
  <c r="A1391" i="10"/>
  <c r="A1390" i="10"/>
  <c r="A1389" i="10"/>
  <c r="A1388" i="10"/>
  <c r="A1387" i="10"/>
  <c r="A1386" i="10"/>
  <c r="A1385" i="10"/>
  <c r="A1384" i="10"/>
  <c r="A1383" i="10"/>
  <c r="A1382" i="10"/>
  <c r="A1381" i="10"/>
  <c r="A1380" i="10"/>
  <c r="A1379" i="10"/>
  <c r="A1378" i="10"/>
  <c r="A1377" i="10"/>
  <c r="A1376" i="10"/>
  <c r="A1375" i="10"/>
  <c r="A1374" i="10"/>
  <c r="A1373" i="10"/>
  <c r="A1372" i="10"/>
  <c r="A1371" i="10"/>
  <c r="A1370" i="10"/>
  <c r="A1369" i="10"/>
  <c r="A1368" i="10"/>
  <c r="A1367" i="10"/>
  <c r="A1366" i="10"/>
  <c r="A1365" i="10"/>
  <c r="A1364" i="10"/>
  <c r="A1363" i="10"/>
  <c r="A1362" i="10"/>
  <c r="A1361" i="10"/>
  <c r="A1360" i="10"/>
  <c r="A1359" i="10"/>
  <c r="A1358" i="10"/>
  <c r="A1357" i="10"/>
  <c r="A1356" i="10"/>
  <c r="A1355" i="10"/>
  <c r="A1354" i="10"/>
  <c r="A1353" i="10"/>
  <c r="A1352" i="10"/>
  <c r="A1351" i="10"/>
  <c r="A1350" i="10"/>
  <c r="A1349" i="10"/>
  <c r="A1348" i="10"/>
  <c r="A1347" i="10"/>
  <c r="A1346" i="10"/>
  <c r="A1345" i="10"/>
  <c r="A1344" i="10"/>
  <c r="A1343" i="10"/>
  <c r="A1342" i="10"/>
  <c r="A1341" i="10"/>
  <c r="A1340" i="10"/>
  <c r="A1339" i="10"/>
  <c r="A1338" i="10"/>
  <c r="A1337" i="10"/>
  <c r="A1336" i="10"/>
  <c r="A1335" i="10"/>
  <c r="A1334" i="10"/>
  <c r="A1333" i="10"/>
  <c r="A1332" i="10"/>
  <c r="A1331" i="10"/>
  <c r="A1330" i="10"/>
  <c r="A1329" i="10"/>
  <c r="A1328" i="10"/>
  <c r="A1327" i="10"/>
  <c r="A1326" i="10"/>
  <c r="A1325" i="10"/>
  <c r="A1324" i="10"/>
  <c r="A1323" i="10"/>
  <c r="A1322" i="10"/>
  <c r="A1321" i="10"/>
  <c r="A1320" i="10"/>
  <c r="A1319" i="10"/>
  <c r="A1318" i="10"/>
  <c r="A1317" i="10"/>
  <c r="A1316" i="10"/>
  <c r="A1315" i="10"/>
  <c r="A1314" i="10"/>
  <c r="A1313" i="10"/>
  <c r="A1312" i="10"/>
  <c r="A1311" i="10"/>
  <c r="A1310" i="10"/>
  <c r="A1309" i="10"/>
  <c r="A1308" i="10"/>
  <c r="A1307" i="10"/>
  <c r="A1306" i="10"/>
  <c r="A1305" i="10"/>
  <c r="A1304" i="10"/>
  <c r="A1303" i="10"/>
  <c r="A1302" i="10"/>
  <c r="A1301" i="10"/>
  <c r="A1300" i="10"/>
  <c r="A1299" i="10"/>
  <c r="A1298" i="10"/>
  <c r="A1297" i="10"/>
  <c r="A1296" i="10"/>
  <c r="A1295" i="10"/>
  <c r="A1294" i="10"/>
  <c r="A1293" i="10"/>
  <c r="A1292" i="10"/>
  <c r="A1291" i="10"/>
  <c r="A1290" i="10"/>
  <c r="A1289" i="10"/>
  <c r="A1288" i="10"/>
  <c r="A1287" i="10"/>
  <c r="A1286" i="10"/>
  <c r="A1285" i="10"/>
  <c r="A1284" i="10"/>
  <c r="A1283" i="10"/>
  <c r="A1282" i="10"/>
  <c r="A1281" i="10"/>
  <c r="A1280" i="10"/>
  <c r="A1279" i="10"/>
  <c r="A1278" i="10"/>
  <c r="A1277" i="10"/>
  <c r="A1276" i="10"/>
  <c r="A1275" i="10"/>
  <c r="A1274" i="10"/>
  <c r="A1273" i="10"/>
  <c r="A1272" i="10"/>
  <c r="A1271" i="10"/>
  <c r="A1270" i="10"/>
  <c r="A1269" i="10"/>
  <c r="A1268" i="10"/>
  <c r="A1267" i="10"/>
  <c r="A1266" i="10"/>
  <c r="A1265" i="10"/>
  <c r="A1264" i="10"/>
  <c r="A1263" i="10"/>
  <c r="A1262" i="10"/>
  <c r="A1261" i="10"/>
  <c r="A1260" i="10"/>
  <c r="A1259" i="10"/>
  <c r="A1258" i="10"/>
  <c r="A1257" i="10"/>
  <c r="A1256" i="10"/>
  <c r="A1255" i="10"/>
  <c r="A1254" i="10"/>
  <c r="A1253" i="10"/>
  <c r="A1252" i="10"/>
  <c r="A1251" i="10"/>
  <c r="A1250" i="10"/>
  <c r="A1249" i="10"/>
  <c r="A1248" i="10"/>
  <c r="A1247" i="10"/>
  <c r="A1246" i="10"/>
  <c r="A1245" i="10"/>
  <c r="A1244" i="10"/>
  <c r="A1243" i="10"/>
  <c r="A1242" i="10"/>
  <c r="A1241" i="10"/>
  <c r="A1240" i="10"/>
  <c r="A1239" i="10"/>
  <c r="A1238" i="10"/>
  <c r="A1237" i="10"/>
  <c r="A1236" i="10"/>
  <c r="A1235" i="10"/>
  <c r="A1234" i="10"/>
  <c r="A1233" i="10"/>
  <c r="A1232" i="10"/>
  <c r="A1231" i="10"/>
  <c r="A1230" i="10"/>
  <c r="A1229" i="10"/>
  <c r="A1228" i="10"/>
  <c r="A1227" i="10"/>
  <c r="A1226" i="10"/>
  <c r="A1225" i="10"/>
  <c r="A1224" i="10"/>
  <c r="A1223" i="10"/>
  <c r="A1222" i="10"/>
  <c r="A1221" i="10"/>
  <c r="A1220" i="10"/>
  <c r="A1219" i="10"/>
  <c r="A1218" i="10"/>
  <c r="A1217" i="10"/>
  <c r="A1216" i="10"/>
  <c r="A1215" i="10"/>
  <c r="A1214" i="10"/>
  <c r="A1213" i="10"/>
  <c r="A1212" i="10"/>
  <c r="A1211" i="10"/>
  <c r="A1210" i="10"/>
  <c r="A1209" i="10"/>
  <c r="A1208" i="10"/>
  <c r="A1207" i="10"/>
  <c r="A1206" i="10"/>
  <c r="A1205" i="10"/>
  <c r="A1204" i="10"/>
  <c r="A1203" i="10"/>
  <c r="A1202" i="10"/>
  <c r="A1201" i="10"/>
  <c r="A1200" i="10"/>
  <c r="A1199" i="10"/>
  <c r="A1198" i="10"/>
  <c r="A1197" i="10"/>
  <c r="A1196" i="10"/>
  <c r="A1195" i="10"/>
  <c r="A1194" i="10"/>
  <c r="A1193" i="10"/>
  <c r="A1192" i="10"/>
  <c r="A1191" i="10"/>
  <c r="A1190" i="10"/>
  <c r="A1189" i="10"/>
  <c r="A1188" i="10"/>
  <c r="A1187" i="10"/>
  <c r="A1186" i="10"/>
  <c r="A1185" i="10"/>
  <c r="A1184" i="10"/>
  <c r="A1183" i="10"/>
  <c r="A1182" i="10"/>
  <c r="A1181" i="10"/>
  <c r="A1180" i="10"/>
  <c r="A1179" i="10"/>
  <c r="A1178" i="10"/>
  <c r="A1177" i="10"/>
  <c r="A1176" i="10"/>
  <c r="A1175" i="10"/>
  <c r="A1174" i="10"/>
  <c r="A1173" i="10"/>
  <c r="A1172" i="10"/>
  <c r="A1171" i="10"/>
  <c r="A1170" i="10"/>
  <c r="A1169" i="10"/>
  <c r="A1168" i="10"/>
  <c r="A1167" i="10"/>
  <c r="A1166" i="10"/>
  <c r="A1165" i="10"/>
  <c r="A1164" i="10"/>
  <c r="A1163" i="10"/>
  <c r="A1162" i="10"/>
  <c r="A1161" i="10"/>
  <c r="A1160" i="10"/>
  <c r="A1159" i="10"/>
  <c r="A1158" i="10"/>
  <c r="A1157" i="10"/>
  <c r="A1156" i="10"/>
  <c r="A1155" i="10"/>
  <c r="A1154" i="10"/>
  <c r="A1153" i="10"/>
  <c r="A1152" i="10"/>
  <c r="A1151" i="10"/>
  <c r="A1150" i="10"/>
  <c r="A1149" i="10"/>
  <c r="A1148" i="10"/>
  <c r="A1147" i="10"/>
  <c r="A1146" i="10"/>
  <c r="A1145" i="10"/>
  <c r="A1144" i="10"/>
  <c r="A1143" i="10"/>
  <c r="A1142" i="10"/>
  <c r="A1141" i="10"/>
  <c r="A1140" i="10"/>
  <c r="A1139" i="10"/>
  <c r="A1138" i="10"/>
  <c r="A1137" i="10"/>
  <c r="A1136" i="10"/>
  <c r="A1135" i="10"/>
  <c r="A1134" i="10"/>
  <c r="A1133" i="10"/>
  <c r="A1132" i="10"/>
  <c r="A1131" i="10"/>
  <c r="A1130" i="10"/>
  <c r="A1129" i="10"/>
  <c r="A1128" i="10"/>
  <c r="A1127" i="10"/>
  <c r="A1126" i="10"/>
  <c r="A1125" i="10"/>
  <c r="A1124" i="10"/>
  <c r="A1123" i="10"/>
  <c r="A1122" i="10"/>
  <c r="A1121" i="10"/>
  <c r="A1120" i="10"/>
  <c r="A1119" i="10"/>
  <c r="A1118" i="10"/>
  <c r="A1117" i="10"/>
  <c r="A1116" i="10"/>
  <c r="A1115" i="10"/>
  <c r="A1114" i="10"/>
  <c r="A1113" i="10"/>
  <c r="A1112" i="10"/>
  <c r="A1111" i="10"/>
  <c r="A1110" i="10"/>
  <c r="A1109" i="10"/>
  <c r="A1108" i="10"/>
  <c r="A1107" i="10"/>
  <c r="A1106" i="10"/>
  <c r="A1105" i="10"/>
  <c r="A1104" i="10"/>
  <c r="A1103" i="10"/>
  <c r="A1102" i="10"/>
  <c r="A1101" i="10"/>
  <c r="A1100" i="10"/>
  <c r="A1099" i="10"/>
  <c r="A1098" i="10"/>
  <c r="A1097" i="10"/>
  <c r="A1096" i="10"/>
  <c r="A1095" i="10"/>
  <c r="A1094" i="10"/>
  <c r="A1093" i="10"/>
  <c r="A1092" i="10"/>
  <c r="A1091" i="10"/>
  <c r="A1090" i="10"/>
  <c r="A1089" i="10"/>
  <c r="A1088" i="10"/>
  <c r="A1087" i="10"/>
  <c r="A1086" i="10"/>
  <c r="A1085" i="10"/>
  <c r="A1084" i="10"/>
  <c r="A1083" i="10"/>
  <c r="A1082" i="10"/>
  <c r="A1081" i="10"/>
  <c r="A1080" i="10"/>
  <c r="A1079" i="10"/>
  <c r="A1078" i="10"/>
  <c r="A1077" i="10"/>
  <c r="A1076" i="10"/>
  <c r="A1075" i="10"/>
  <c r="A1074" i="10"/>
  <c r="A1073" i="10"/>
  <c r="A1072" i="10"/>
  <c r="A1071" i="10"/>
  <c r="A1070" i="10"/>
  <c r="A1069" i="10"/>
  <c r="A1068" i="10"/>
  <c r="A1067" i="10"/>
  <c r="A1066" i="10"/>
  <c r="A1065" i="10"/>
  <c r="A1064" i="10"/>
  <c r="A1063" i="10"/>
  <c r="A1062" i="10"/>
  <c r="A1061" i="10"/>
  <c r="A1060" i="10"/>
  <c r="A1059" i="10"/>
  <c r="A1058" i="10"/>
  <c r="A1057" i="10"/>
  <c r="A1056" i="10"/>
  <c r="A1055" i="10"/>
  <c r="A1054" i="10"/>
  <c r="A1053" i="10"/>
  <c r="A1052" i="10"/>
  <c r="A1051" i="10"/>
  <c r="A1050" i="10"/>
  <c r="A1049" i="10"/>
  <c r="A1048" i="10"/>
  <c r="A1047" i="10"/>
  <c r="A1046" i="10"/>
  <c r="A1045" i="10"/>
  <c r="A1044" i="10"/>
  <c r="A1043" i="10"/>
  <c r="A1042" i="10"/>
  <c r="A1041" i="10"/>
  <c r="A1040" i="10"/>
  <c r="A1039" i="10"/>
  <c r="A1038" i="10"/>
  <c r="A1037" i="10"/>
  <c r="A1036" i="10"/>
  <c r="A1035" i="10"/>
  <c r="A1034" i="10"/>
  <c r="A1033" i="10"/>
  <c r="A1032" i="10"/>
  <c r="A1031" i="10"/>
  <c r="A1030" i="10"/>
  <c r="A1029" i="10"/>
  <c r="A1028" i="10"/>
  <c r="A1027" i="10"/>
  <c r="A1026" i="10"/>
  <c r="A1025" i="10"/>
  <c r="A1024" i="10"/>
  <c r="A1023" i="10"/>
  <c r="A1022" i="10"/>
  <c r="A1021" i="10"/>
  <c r="A1020" i="10"/>
  <c r="A1019" i="10"/>
  <c r="A1018" i="10"/>
  <c r="A1017" i="10"/>
  <c r="A1016" i="10"/>
  <c r="A1015" i="10"/>
  <c r="A1014" i="10"/>
  <c r="A1013" i="10"/>
  <c r="A1012" i="10"/>
  <c r="A1011" i="10"/>
  <c r="A1010" i="10"/>
  <c r="A1009" i="10"/>
  <c r="A1008" i="10"/>
  <c r="A1007" i="10"/>
  <c r="A1006" i="10"/>
  <c r="A1005" i="10"/>
  <c r="A1004" i="10"/>
  <c r="A1003" i="10"/>
  <c r="A1002" i="10"/>
  <c r="A1001" i="10"/>
  <c r="A1000" i="10"/>
  <c r="A999" i="10"/>
  <c r="A998" i="10"/>
  <c r="A997" i="10"/>
  <c r="A996" i="10"/>
  <c r="A995" i="10"/>
  <c r="A994" i="10"/>
  <c r="A993" i="10"/>
  <c r="A992" i="10"/>
  <c r="A991" i="10"/>
  <c r="A990" i="10"/>
  <c r="A989" i="10"/>
  <c r="A988" i="10"/>
  <c r="A987" i="10"/>
  <c r="A986" i="10"/>
  <c r="A985" i="10"/>
  <c r="A984" i="10"/>
  <c r="A983" i="10"/>
  <c r="A982" i="10"/>
  <c r="A981" i="10"/>
  <c r="A980" i="10"/>
  <c r="A979" i="10"/>
  <c r="A978" i="10"/>
  <c r="A977" i="10"/>
  <c r="A976" i="10"/>
  <c r="A975" i="10"/>
  <c r="A974" i="10"/>
  <c r="A973" i="10"/>
  <c r="A972" i="10"/>
  <c r="A971" i="10"/>
  <c r="A970" i="10"/>
  <c r="A969" i="10"/>
  <c r="A968" i="10"/>
  <c r="A967" i="10"/>
  <c r="A966" i="10"/>
  <c r="A965" i="10"/>
  <c r="A964" i="10"/>
  <c r="A963" i="10"/>
  <c r="A962" i="10"/>
  <c r="A961" i="10"/>
  <c r="A960" i="10"/>
  <c r="A959" i="10"/>
  <c r="A958" i="10"/>
  <c r="A957" i="10"/>
  <c r="A956" i="10"/>
  <c r="A955" i="10"/>
  <c r="A954" i="10"/>
  <c r="A953" i="10"/>
  <c r="A952" i="10"/>
  <c r="A951" i="10"/>
  <c r="A950" i="10"/>
  <c r="A949" i="10"/>
  <c r="A948" i="10"/>
  <c r="A947" i="10"/>
  <c r="A946" i="10"/>
  <c r="A945" i="10"/>
  <c r="A944" i="10"/>
  <c r="A943" i="10"/>
  <c r="A942" i="10"/>
  <c r="A941" i="10"/>
  <c r="A940" i="10"/>
  <c r="A939" i="10"/>
  <c r="A938" i="10"/>
  <c r="A937" i="10"/>
  <c r="A936" i="10"/>
  <c r="A935" i="10"/>
  <c r="A934" i="10"/>
  <c r="A933" i="10"/>
  <c r="A932" i="10"/>
  <c r="A931" i="10"/>
  <c r="A930" i="10"/>
  <c r="A929" i="10"/>
  <c r="A928" i="10"/>
  <c r="A927" i="10"/>
  <c r="A926" i="10"/>
  <c r="A925" i="10"/>
  <c r="A924" i="10"/>
  <c r="A923" i="10"/>
  <c r="A922" i="10"/>
  <c r="A921" i="10"/>
  <c r="A920" i="10"/>
  <c r="A919" i="10"/>
  <c r="A918" i="10"/>
  <c r="A917" i="10"/>
  <c r="A916" i="10"/>
  <c r="A915" i="10"/>
  <c r="A914" i="10"/>
  <c r="A913" i="10"/>
  <c r="A912" i="10"/>
  <c r="A911" i="10"/>
  <c r="A910" i="10"/>
  <c r="A909" i="10"/>
  <c r="A908" i="10"/>
  <c r="A907" i="10"/>
  <c r="A906" i="10"/>
  <c r="A905" i="10"/>
  <c r="A904" i="10"/>
  <c r="A903" i="10"/>
  <c r="A902" i="10"/>
  <c r="A901" i="10"/>
  <c r="A900" i="10"/>
  <c r="A899" i="10"/>
  <c r="A898" i="10"/>
  <c r="A897" i="10"/>
  <c r="A896" i="10"/>
  <c r="A895" i="10"/>
  <c r="A894" i="10"/>
  <c r="A893" i="10"/>
  <c r="A892" i="10"/>
  <c r="A891" i="10"/>
  <c r="A890" i="10"/>
  <c r="A889" i="10"/>
  <c r="A888" i="10"/>
  <c r="A887" i="10"/>
  <c r="A886" i="10"/>
  <c r="A885" i="10"/>
  <c r="A884" i="10"/>
  <c r="A883" i="10"/>
  <c r="A882" i="10"/>
  <c r="A881" i="10"/>
  <c r="A880" i="10"/>
  <c r="A879" i="10"/>
  <c r="A878" i="10"/>
  <c r="A877" i="10"/>
  <c r="A876" i="10"/>
  <c r="A875" i="10"/>
  <c r="A874" i="10"/>
  <c r="A873" i="10"/>
  <c r="A872" i="10"/>
  <c r="A871" i="10"/>
  <c r="A870" i="10"/>
  <c r="A869" i="10"/>
  <c r="A868" i="10"/>
  <c r="A867" i="10"/>
  <c r="A866" i="10"/>
  <c r="A865" i="10"/>
  <c r="A864" i="10"/>
  <c r="A863" i="10"/>
  <c r="A862" i="10"/>
  <c r="A861" i="10"/>
  <c r="A860" i="10"/>
  <c r="A859" i="10"/>
  <c r="A858" i="10"/>
  <c r="A857" i="10"/>
  <c r="A856" i="10"/>
  <c r="A855" i="10"/>
  <c r="A854" i="10"/>
  <c r="A853" i="10"/>
  <c r="A852" i="10"/>
  <c r="A851" i="10"/>
  <c r="A850" i="10"/>
  <c r="A849" i="10"/>
  <c r="A848" i="10"/>
  <c r="A847" i="10"/>
  <c r="A846" i="10"/>
  <c r="A845" i="10"/>
  <c r="A844" i="10"/>
  <c r="A843" i="10"/>
  <c r="A842" i="10"/>
  <c r="A841" i="10"/>
  <c r="A840" i="10"/>
  <c r="A839" i="10"/>
  <c r="A838" i="10"/>
  <c r="A837" i="10"/>
  <c r="A836" i="10"/>
  <c r="A835" i="10"/>
  <c r="A834" i="10"/>
  <c r="A833" i="10"/>
  <c r="A832" i="10"/>
  <c r="A831" i="10"/>
  <c r="A830" i="10"/>
  <c r="A829" i="10"/>
  <c r="A828" i="10"/>
  <c r="A827" i="10"/>
  <c r="A826" i="10"/>
  <c r="A825" i="10"/>
  <c r="A824" i="10"/>
  <c r="A823" i="10"/>
  <c r="A822" i="10"/>
  <c r="A821" i="10"/>
  <c r="A820" i="10"/>
  <c r="A819" i="10"/>
  <c r="A818" i="10"/>
  <c r="A817" i="10"/>
  <c r="A816" i="10"/>
  <c r="A815" i="10"/>
  <c r="A814" i="10"/>
  <c r="A813" i="10"/>
  <c r="A812" i="10"/>
  <c r="A811" i="10"/>
  <c r="A810" i="10"/>
  <c r="A809" i="10"/>
  <c r="A808" i="10"/>
  <c r="A807" i="10"/>
  <c r="A806" i="10"/>
  <c r="A805" i="10"/>
  <c r="A804" i="10"/>
  <c r="A803" i="10"/>
  <c r="A802" i="10"/>
  <c r="A801" i="10"/>
  <c r="A800" i="10"/>
  <c r="A799" i="10"/>
  <c r="A798" i="10"/>
  <c r="A797" i="10"/>
  <c r="A796" i="10"/>
  <c r="A795" i="10"/>
  <c r="A794" i="10"/>
  <c r="A793" i="10"/>
  <c r="A792" i="10"/>
  <c r="A791" i="10"/>
  <c r="A790" i="10"/>
  <c r="A789" i="10"/>
  <c r="A788" i="10"/>
  <c r="A787" i="10"/>
  <c r="A786" i="10"/>
  <c r="A785" i="10"/>
  <c r="A784" i="10"/>
  <c r="A783" i="10"/>
  <c r="A782" i="10"/>
  <c r="A781" i="10"/>
  <c r="A780" i="10"/>
  <c r="A779" i="10"/>
  <c r="A778" i="10"/>
  <c r="A777" i="10"/>
  <c r="A776" i="10"/>
  <c r="A775" i="10"/>
  <c r="A774" i="10"/>
  <c r="A773" i="10"/>
  <c r="A772" i="10"/>
  <c r="A771" i="10"/>
  <c r="A770" i="10"/>
  <c r="A769" i="10"/>
  <c r="A768" i="10"/>
  <c r="A767" i="10"/>
  <c r="A766" i="10"/>
  <c r="A765" i="10"/>
  <c r="A764" i="10"/>
  <c r="A763" i="10"/>
  <c r="A762" i="10"/>
  <c r="A761" i="10"/>
  <c r="A760" i="10"/>
  <c r="A759" i="10"/>
  <c r="A758" i="10"/>
  <c r="A757" i="10"/>
  <c r="A756" i="10"/>
  <c r="A755" i="10"/>
  <c r="A754" i="10"/>
  <c r="A753" i="10"/>
  <c r="A752" i="10"/>
  <c r="A751" i="10"/>
  <c r="A750" i="10"/>
  <c r="A749" i="10"/>
  <c r="A748" i="10"/>
  <c r="A747" i="10"/>
  <c r="A746" i="10"/>
  <c r="A745" i="10"/>
  <c r="A744" i="10"/>
  <c r="A743" i="10"/>
  <c r="A742" i="10"/>
  <c r="A741" i="10"/>
  <c r="A740" i="10"/>
  <c r="A739" i="10"/>
  <c r="A738" i="10"/>
  <c r="A737" i="10"/>
  <c r="A736" i="10"/>
  <c r="A735" i="10"/>
  <c r="A734" i="10"/>
  <c r="A733" i="10"/>
  <c r="A732" i="10"/>
  <c r="A731" i="10"/>
  <c r="A730" i="10"/>
  <c r="A729" i="10"/>
  <c r="A728" i="10"/>
  <c r="A727" i="10"/>
  <c r="A726" i="10"/>
  <c r="A725" i="10"/>
  <c r="A724" i="10"/>
  <c r="A723" i="10"/>
  <c r="A722" i="10"/>
  <c r="A721" i="10"/>
  <c r="A720" i="10"/>
  <c r="A719" i="10"/>
  <c r="A718" i="10"/>
  <c r="A717" i="10"/>
  <c r="A716" i="10"/>
  <c r="A715" i="10"/>
  <c r="A714" i="10"/>
  <c r="A713" i="10"/>
  <c r="A712" i="10"/>
  <c r="A711" i="10"/>
  <c r="A710" i="10"/>
  <c r="A709" i="10"/>
  <c r="A708" i="10"/>
  <c r="A707" i="10"/>
  <c r="A706" i="10"/>
  <c r="A705" i="10"/>
  <c r="A704" i="10"/>
  <c r="A703" i="10"/>
  <c r="A702" i="10"/>
  <c r="A701" i="10"/>
  <c r="A700" i="10"/>
  <c r="A699" i="10"/>
  <c r="A698" i="10"/>
  <c r="A697" i="10"/>
  <c r="A696" i="10"/>
  <c r="A695" i="10"/>
  <c r="A694" i="10"/>
  <c r="A693" i="10"/>
  <c r="A692" i="10"/>
  <c r="A691" i="10"/>
  <c r="A690" i="10"/>
  <c r="A689" i="10"/>
  <c r="A688" i="10"/>
  <c r="A687" i="10"/>
  <c r="A686" i="10"/>
  <c r="A685" i="10"/>
  <c r="A684" i="10"/>
  <c r="A683" i="10"/>
  <c r="A682" i="10"/>
  <c r="A681" i="10"/>
  <c r="A680" i="10"/>
  <c r="A679" i="10"/>
  <c r="A678" i="10"/>
  <c r="A677" i="10"/>
  <c r="A676" i="10"/>
  <c r="A675" i="10"/>
  <c r="A674" i="10"/>
  <c r="A673" i="10"/>
  <c r="A672" i="10"/>
  <c r="A671" i="10"/>
  <c r="A670" i="10"/>
  <c r="A669" i="10"/>
  <c r="A668" i="10"/>
  <c r="A667" i="10"/>
  <c r="A666" i="10"/>
  <c r="A665" i="10"/>
  <c r="A664" i="10"/>
  <c r="A663" i="10"/>
  <c r="A662" i="10"/>
  <c r="A661" i="10"/>
  <c r="A660" i="10"/>
  <c r="A659" i="10"/>
  <c r="A658" i="10"/>
  <c r="A657" i="10"/>
  <c r="A656" i="10"/>
  <c r="A655" i="10"/>
  <c r="A654" i="10"/>
  <c r="A653" i="10"/>
  <c r="A652" i="10"/>
  <c r="A651" i="10"/>
  <c r="A650" i="10"/>
  <c r="A649" i="10"/>
  <c r="A648" i="10"/>
  <c r="A647" i="10"/>
  <c r="A646" i="10"/>
  <c r="A645" i="10"/>
  <c r="A644" i="10"/>
  <c r="A643" i="10"/>
  <c r="A642" i="10"/>
  <c r="A641" i="10"/>
  <c r="A640" i="10"/>
  <c r="A639" i="10"/>
  <c r="A638" i="10"/>
  <c r="A637" i="10"/>
  <c r="A636" i="10"/>
  <c r="A635" i="10"/>
  <c r="A634" i="10"/>
  <c r="A633" i="10"/>
  <c r="A632" i="10"/>
  <c r="A631" i="10"/>
  <c r="A630" i="10"/>
  <c r="A629" i="10"/>
  <c r="A628" i="10"/>
  <c r="A627" i="10"/>
  <c r="A626" i="10"/>
  <c r="A625" i="10"/>
  <c r="A624" i="10"/>
  <c r="A623" i="10"/>
  <c r="A622" i="10"/>
  <c r="A621" i="10"/>
  <c r="A620" i="10"/>
  <c r="A619" i="10"/>
  <c r="A618" i="10"/>
  <c r="A617" i="10"/>
  <c r="A616" i="10"/>
  <c r="A615" i="10"/>
  <c r="A614" i="10"/>
  <c r="A613" i="10"/>
  <c r="A612" i="10"/>
  <c r="A611" i="10"/>
  <c r="A610" i="10"/>
  <c r="A609" i="10"/>
  <c r="A608" i="10"/>
  <c r="A607" i="10"/>
  <c r="A606" i="10"/>
  <c r="A605" i="10"/>
  <c r="A604" i="10"/>
  <c r="A603" i="10"/>
  <c r="A602" i="10"/>
  <c r="A601" i="10"/>
  <c r="A600" i="10"/>
  <c r="A599" i="10"/>
  <c r="A598" i="10"/>
  <c r="A597" i="10"/>
  <c r="A596" i="10"/>
  <c r="A595" i="10"/>
  <c r="A594" i="10"/>
  <c r="A593" i="10"/>
  <c r="A592" i="10"/>
  <c r="A591" i="10"/>
  <c r="A590" i="10"/>
  <c r="A589" i="10"/>
  <c r="A588" i="10"/>
  <c r="A587" i="10"/>
  <c r="A586" i="10"/>
  <c r="A585" i="10"/>
  <c r="A584" i="10"/>
  <c r="A583" i="10"/>
  <c r="A582" i="10"/>
  <c r="A581" i="10"/>
  <c r="A580" i="10"/>
  <c r="A579" i="10"/>
  <c r="A578" i="10"/>
  <c r="A577" i="10"/>
  <c r="A576" i="10"/>
  <c r="A575" i="10"/>
  <c r="A574" i="10"/>
  <c r="A573" i="10"/>
  <c r="A572" i="10"/>
  <c r="A571" i="10"/>
  <c r="A570" i="10"/>
  <c r="A569" i="10"/>
  <c r="A568" i="10"/>
  <c r="A567" i="10"/>
  <c r="A566" i="10"/>
  <c r="A565" i="10"/>
  <c r="A564" i="10"/>
  <c r="A563" i="10"/>
  <c r="A562" i="10"/>
  <c r="A561" i="10"/>
  <c r="A560" i="10"/>
  <c r="A559" i="10"/>
  <c r="A558" i="10"/>
  <c r="A557" i="10"/>
  <c r="A556" i="10"/>
  <c r="A555" i="10"/>
  <c r="A554" i="10"/>
  <c r="A553" i="10"/>
  <c r="A552" i="10"/>
  <c r="A551" i="10"/>
  <c r="A550" i="10"/>
  <c r="A549" i="10"/>
  <c r="A548" i="10"/>
  <c r="A547" i="10"/>
  <c r="A546" i="10"/>
  <c r="A545" i="10"/>
  <c r="A544" i="10"/>
  <c r="A543" i="10"/>
  <c r="A542" i="10"/>
  <c r="A541" i="10"/>
  <c r="A540" i="10"/>
  <c r="A539" i="10"/>
  <c r="A538" i="10"/>
  <c r="A537" i="10"/>
  <c r="A536" i="10"/>
  <c r="A535" i="10"/>
  <c r="A534" i="10"/>
  <c r="A533" i="10"/>
  <c r="A532" i="10"/>
  <c r="A531" i="10"/>
  <c r="A530" i="10"/>
  <c r="A529" i="10"/>
  <c r="A528" i="10"/>
  <c r="A527" i="10"/>
  <c r="A526" i="10"/>
  <c r="A525" i="10"/>
  <c r="A524" i="10"/>
  <c r="A523" i="10"/>
  <c r="A522" i="10"/>
  <c r="A521" i="10"/>
  <c r="A520" i="10"/>
  <c r="A519" i="10"/>
  <c r="A518" i="10"/>
  <c r="A517" i="10"/>
  <c r="A516" i="10"/>
  <c r="A515" i="10"/>
  <c r="A514" i="10"/>
  <c r="A513" i="10"/>
  <c r="A512" i="10"/>
  <c r="A511" i="10"/>
  <c r="A510" i="10"/>
  <c r="A509" i="10"/>
  <c r="A508" i="10"/>
  <c r="A507" i="10"/>
  <c r="A506" i="10"/>
  <c r="A505" i="10"/>
  <c r="A504" i="10"/>
  <c r="A503" i="10"/>
  <c r="A502" i="10"/>
  <c r="A501" i="10"/>
  <c r="A500" i="10"/>
  <c r="A499" i="10"/>
  <c r="A498" i="10"/>
  <c r="A497" i="10"/>
  <c r="A496" i="10"/>
  <c r="A495" i="10"/>
  <c r="A494" i="10"/>
  <c r="A493" i="10"/>
  <c r="A492" i="10"/>
  <c r="A491" i="10"/>
  <c r="A490" i="10"/>
  <c r="A489" i="10"/>
  <c r="A488" i="10"/>
  <c r="A487" i="10"/>
  <c r="A486" i="10"/>
  <c r="A485" i="10"/>
  <c r="A484" i="10"/>
  <c r="A483" i="10"/>
  <c r="A482" i="10"/>
  <c r="A481" i="10"/>
  <c r="A480" i="10"/>
  <c r="A479" i="10"/>
  <c r="A478" i="10"/>
  <c r="A477" i="10"/>
  <c r="A476" i="10"/>
  <c r="A475" i="10"/>
  <c r="A474" i="10"/>
  <c r="A473" i="10"/>
  <c r="A472" i="10"/>
  <c r="A471" i="10"/>
  <c r="A470" i="10"/>
  <c r="A469" i="10"/>
  <c r="A468" i="10"/>
  <c r="A467" i="10"/>
  <c r="A466" i="10"/>
  <c r="A465" i="10"/>
  <c r="A464" i="10"/>
  <c r="A463" i="10"/>
  <c r="A462" i="10"/>
  <c r="A461" i="10"/>
  <c r="A460" i="10"/>
  <c r="A459" i="10"/>
  <c r="A458" i="10"/>
  <c r="A457" i="10"/>
  <c r="A456" i="10"/>
  <c r="A455" i="10"/>
  <c r="A454" i="10"/>
  <c r="A453" i="10"/>
  <c r="A452" i="10"/>
  <c r="A451" i="10"/>
  <c r="A450" i="10"/>
  <c r="A449" i="10"/>
  <c r="A448" i="10"/>
  <c r="A447" i="10"/>
  <c r="A446" i="10"/>
  <c r="A445" i="10"/>
  <c r="A444" i="10"/>
  <c r="A443" i="10"/>
  <c r="A442" i="10"/>
  <c r="A441" i="10"/>
  <c r="A440" i="10"/>
  <c r="A439" i="10"/>
  <c r="A438" i="10"/>
  <c r="A437" i="10"/>
  <c r="A436" i="10"/>
  <c r="A435" i="10"/>
  <c r="A434" i="10"/>
  <c r="A433" i="10"/>
  <c r="A432" i="10"/>
  <c r="A431" i="10"/>
  <c r="A430" i="10"/>
  <c r="A429" i="10"/>
  <c r="A428" i="10"/>
  <c r="A427" i="10"/>
  <c r="A426" i="10"/>
  <c r="A425" i="10"/>
  <c r="A424" i="10"/>
  <c r="A423" i="10"/>
  <c r="A422" i="10"/>
  <c r="A421" i="10"/>
  <c r="A420" i="10"/>
  <c r="A419" i="10"/>
  <c r="A418" i="10"/>
  <c r="A417" i="10"/>
  <c r="A416" i="10"/>
  <c r="A415" i="10"/>
  <c r="A414" i="10"/>
  <c r="A413" i="10"/>
  <c r="A412" i="10"/>
  <c r="A411" i="10"/>
  <c r="A410" i="10"/>
  <c r="A409" i="10"/>
  <c r="A408" i="10"/>
  <c r="A407" i="10"/>
  <c r="A406" i="10"/>
  <c r="A405" i="10"/>
  <c r="A404" i="10"/>
  <c r="A403" i="10"/>
  <c r="A402" i="10"/>
  <c r="A401" i="10"/>
  <c r="A400" i="10"/>
  <c r="A399" i="10"/>
  <c r="A398" i="10"/>
  <c r="A397" i="10"/>
  <c r="A396" i="10"/>
  <c r="A395" i="10"/>
  <c r="A394" i="10"/>
  <c r="A393" i="10"/>
  <c r="A392" i="10"/>
  <c r="A391" i="10"/>
  <c r="A390" i="10"/>
  <c r="A389" i="10"/>
  <c r="A388" i="10"/>
  <c r="A387" i="10"/>
  <c r="A386" i="10"/>
  <c r="A385" i="10"/>
  <c r="A384" i="10"/>
  <c r="A383" i="10"/>
  <c r="A382" i="10"/>
  <c r="A381" i="10"/>
  <c r="A380" i="10"/>
  <c r="A379" i="10"/>
  <c r="A378" i="10"/>
  <c r="A377" i="10"/>
  <c r="A376" i="10"/>
  <c r="A375" i="10"/>
  <c r="A374" i="10"/>
  <c r="A373" i="10"/>
  <c r="A372" i="10"/>
  <c r="A371" i="10"/>
  <c r="A370" i="10"/>
  <c r="A369" i="10"/>
  <c r="A368" i="10"/>
  <c r="A367" i="10"/>
  <c r="A366" i="10"/>
  <c r="A365" i="10"/>
  <c r="A364" i="10"/>
  <c r="A363" i="10"/>
  <c r="A362" i="10"/>
  <c r="A361" i="10"/>
  <c r="A360" i="10"/>
  <c r="A359" i="10"/>
  <c r="A358" i="10"/>
  <c r="A357" i="10"/>
  <c r="A356" i="10"/>
  <c r="A355" i="10"/>
  <c r="A354" i="10"/>
  <c r="A353" i="10"/>
  <c r="A352" i="10"/>
  <c r="A351" i="10"/>
  <c r="A350" i="10"/>
  <c r="A349" i="10"/>
  <c r="A348" i="10"/>
  <c r="A347" i="10"/>
  <c r="A346" i="10"/>
  <c r="A345" i="10"/>
  <c r="A344" i="10"/>
  <c r="A343" i="10"/>
  <c r="A342" i="10"/>
  <c r="A341" i="10"/>
  <c r="A340" i="10"/>
  <c r="A339" i="10"/>
  <c r="A338" i="10"/>
  <c r="A337" i="10"/>
  <c r="A336" i="10"/>
  <c r="A335" i="10"/>
  <c r="A334" i="10"/>
  <c r="A333" i="10"/>
  <c r="A332" i="10"/>
  <c r="A331" i="10"/>
  <c r="A330" i="10"/>
  <c r="A329" i="10"/>
  <c r="A328" i="10"/>
  <c r="A327" i="10"/>
  <c r="A326" i="10"/>
  <c r="A325" i="10"/>
  <c r="A324" i="10"/>
  <c r="A323" i="10"/>
  <c r="A322" i="10"/>
  <c r="A321" i="10"/>
  <c r="A320" i="10"/>
  <c r="A319" i="10"/>
  <c r="A318" i="10"/>
  <c r="A317" i="10"/>
  <c r="A316" i="10"/>
  <c r="A315" i="10"/>
  <c r="A314" i="10"/>
  <c r="A313" i="10"/>
  <c r="A312" i="10"/>
  <c r="A311" i="10"/>
  <c r="A310" i="10"/>
  <c r="A309" i="10"/>
  <c r="A308" i="10"/>
  <c r="A307" i="10"/>
  <c r="A306" i="10"/>
  <c r="A305" i="10"/>
  <c r="A304" i="10"/>
  <c r="A303" i="10"/>
  <c r="A302" i="10"/>
  <c r="A301" i="10"/>
  <c r="A300" i="10"/>
  <c r="A299" i="10"/>
  <c r="A298" i="10"/>
  <c r="A297" i="10"/>
  <c r="A296" i="10"/>
  <c r="A295" i="10"/>
  <c r="A294" i="10"/>
  <c r="A293" i="10"/>
  <c r="A292" i="10"/>
  <c r="A291" i="10"/>
  <c r="A290" i="10"/>
  <c r="A289" i="10"/>
  <c r="A288" i="10"/>
  <c r="A287" i="10"/>
  <c r="A286" i="10"/>
  <c r="A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2057" i="11"/>
  <c r="A2056" i="11"/>
  <c r="A2055" i="11"/>
  <c r="A2054" i="11"/>
  <c r="A2053" i="11"/>
  <c r="A2052" i="11"/>
  <c r="A2051" i="11"/>
  <c r="A2050" i="11"/>
  <c r="A2049" i="11"/>
  <c r="A2048" i="11"/>
  <c r="A2047" i="11"/>
  <c r="A2046" i="11"/>
  <c r="A2045" i="11"/>
  <c r="A2044" i="11"/>
  <c r="A2043" i="11"/>
  <c r="A2042" i="11"/>
  <c r="A2041" i="11"/>
  <c r="A2040" i="11"/>
  <c r="A2039" i="11"/>
  <c r="A2038" i="11"/>
  <c r="A2037" i="11"/>
  <c r="A2036" i="11"/>
  <c r="A2035" i="11"/>
  <c r="A2034" i="11"/>
  <c r="A2033" i="11"/>
  <c r="A2032" i="11"/>
  <c r="A2031" i="11"/>
  <c r="A2030" i="11"/>
  <c r="A2029" i="11"/>
  <c r="A2028" i="11"/>
  <c r="A2027" i="11"/>
  <c r="A2026" i="11"/>
  <c r="A2025" i="11"/>
  <c r="A2024" i="11"/>
  <c r="A2023" i="11"/>
  <c r="A2022" i="11"/>
  <c r="A2021" i="11"/>
  <c r="A2020" i="11"/>
  <c r="A2019" i="11"/>
  <c r="A2018" i="11"/>
  <c r="A2017" i="11"/>
  <c r="A2016" i="11"/>
  <c r="A2015" i="11"/>
  <c r="A2014" i="11"/>
  <c r="A2013" i="11"/>
  <c r="A2012" i="11"/>
  <c r="A2011" i="11"/>
  <c r="A2010" i="11"/>
  <c r="A2009" i="11"/>
  <c r="A2008" i="11"/>
  <c r="A2007" i="11"/>
  <c r="A2006" i="11"/>
  <c r="A2005" i="11"/>
  <c r="A2004" i="11"/>
  <c r="A2003" i="11"/>
  <c r="A2002" i="11"/>
  <c r="A2001" i="11"/>
  <c r="A2000" i="11"/>
  <c r="A1999" i="11"/>
  <c r="A1998" i="11"/>
  <c r="A1997" i="11"/>
  <c r="A1996" i="11"/>
  <c r="A1995" i="11"/>
  <c r="A1994" i="11"/>
  <c r="A1993" i="11"/>
  <c r="A1992" i="11"/>
  <c r="A1991" i="11"/>
  <c r="A1990" i="11"/>
  <c r="A1989" i="11"/>
  <c r="A1988" i="11"/>
  <c r="A1987" i="11"/>
  <c r="A1986" i="11"/>
  <c r="A1985" i="11"/>
  <c r="A1984" i="11"/>
  <c r="A1983" i="11"/>
  <c r="A1982" i="11"/>
  <c r="A1981" i="11"/>
  <c r="A1980" i="11"/>
  <c r="A1979" i="11"/>
  <c r="A1978" i="11"/>
  <c r="A1977" i="11"/>
  <c r="A1976" i="11"/>
  <c r="A1975" i="11"/>
  <c r="A1974" i="11"/>
  <c r="A1973" i="11"/>
  <c r="A1972" i="11"/>
  <c r="A1971" i="11"/>
  <c r="A1970" i="11"/>
  <c r="A1969" i="11"/>
  <c r="A1968" i="11"/>
  <c r="A1967" i="11"/>
  <c r="A1966" i="11"/>
  <c r="A1965" i="11"/>
  <c r="A1964" i="11"/>
  <c r="A1963" i="11"/>
  <c r="A1962" i="11"/>
  <c r="A1961" i="11"/>
  <c r="A1960" i="11"/>
  <c r="A1959" i="11"/>
  <c r="A1958" i="11"/>
  <c r="A1957" i="11"/>
  <c r="A1956" i="11"/>
  <c r="A1955" i="11"/>
  <c r="A1954" i="11"/>
  <c r="A1953" i="11"/>
  <c r="A1952" i="11"/>
  <c r="A1951" i="11"/>
  <c r="A1950" i="11"/>
  <c r="A1949" i="11"/>
  <c r="A1948" i="11"/>
  <c r="A1947" i="11"/>
  <c r="A1946" i="11"/>
  <c r="A1945" i="11"/>
  <c r="A1944" i="11"/>
  <c r="A1943" i="11"/>
  <c r="A1942" i="11"/>
  <c r="A1941" i="11"/>
  <c r="A1940" i="11"/>
  <c r="A1939" i="11"/>
  <c r="A1938" i="11"/>
  <c r="A1937" i="11"/>
  <c r="A1936" i="11"/>
  <c r="A1935" i="11"/>
  <c r="A1934" i="11"/>
  <c r="A1933" i="11"/>
  <c r="A1932" i="11"/>
  <c r="A1931" i="11"/>
  <c r="A1930" i="11"/>
  <c r="A1929" i="11"/>
  <c r="A1928" i="11"/>
  <c r="A1927" i="11"/>
  <c r="A1926" i="11"/>
  <c r="A1925" i="11"/>
  <c r="A1924" i="11"/>
  <c r="A1923" i="11"/>
  <c r="A1922" i="11"/>
  <c r="A1921" i="11"/>
  <c r="A1920" i="11"/>
  <c r="A1919" i="11"/>
  <c r="A1918" i="11"/>
  <c r="A1917" i="11"/>
  <c r="A1916" i="11"/>
  <c r="A1915" i="11"/>
  <c r="A1914" i="11"/>
  <c r="A1913" i="11"/>
  <c r="A1912" i="11"/>
  <c r="A1911" i="11"/>
  <c r="A1910" i="11"/>
  <c r="A1909" i="11"/>
  <c r="A1908" i="11"/>
  <c r="A1907" i="11"/>
  <c r="A1906" i="11"/>
  <c r="A1905" i="11"/>
  <c r="A1904" i="11"/>
  <c r="A1903" i="11"/>
  <c r="A1902" i="11"/>
  <c r="A1901" i="11"/>
  <c r="A1900" i="11"/>
  <c r="A1899" i="11"/>
  <c r="A1898" i="11"/>
  <c r="A1897" i="11"/>
  <c r="A1896" i="11"/>
  <c r="A1895" i="11"/>
  <c r="A1894" i="11"/>
  <c r="A1893" i="11"/>
  <c r="A1892" i="11"/>
  <c r="A1891" i="11"/>
  <c r="A1890" i="11"/>
  <c r="A1889" i="11"/>
  <c r="A1888" i="11"/>
  <c r="A1887" i="11"/>
  <c r="A1886" i="11"/>
  <c r="A1885" i="11"/>
  <c r="A1884" i="11"/>
  <c r="A1883" i="11"/>
  <c r="A1882" i="11"/>
  <c r="A1881" i="11"/>
  <c r="A1880" i="11"/>
  <c r="A1879" i="11"/>
  <c r="A1878" i="11"/>
  <c r="A1877" i="11"/>
  <c r="A1876" i="11"/>
  <c r="A1875" i="11"/>
  <c r="A1874" i="11"/>
  <c r="A1873" i="11"/>
  <c r="A1872" i="11"/>
  <c r="A1871" i="11"/>
  <c r="A1870" i="11"/>
  <c r="A1869" i="11"/>
  <c r="A1868" i="11"/>
  <c r="A1867" i="11"/>
  <c r="A1866" i="11"/>
  <c r="A1865" i="11"/>
  <c r="A1864" i="11"/>
  <c r="A1863" i="11"/>
  <c r="A1862" i="11"/>
  <c r="A1861" i="11"/>
  <c r="A1860" i="11"/>
  <c r="A1859" i="11"/>
  <c r="A1858" i="11"/>
  <c r="A1857" i="11"/>
  <c r="A1856" i="11"/>
  <c r="A1855" i="11"/>
  <c r="A1854" i="11"/>
  <c r="A1853" i="11"/>
  <c r="A1852" i="11"/>
  <c r="A1851" i="11"/>
  <c r="A1850" i="11"/>
  <c r="A1849" i="11"/>
  <c r="A1848" i="11"/>
  <c r="A1847" i="11"/>
  <c r="A1846" i="11"/>
  <c r="A1845" i="11"/>
  <c r="A1844" i="11"/>
  <c r="A1843" i="11"/>
  <c r="A1842" i="11"/>
  <c r="A1841" i="11"/>
  <c r="A1840" i="11"/>
  <c r="A1839" i="11"/>
  <c r="A1838" i="11"/>
  <c r="A1837" i="11"/>
  <c r="A1836" i="11"/>
  <c r="A1835" i="11"/>
  <c r="A1834" i="11"/>
  <c r="A1833" i="11"/>
  <c r="A1832" i="11"/>
  <c r="A1831" i="11"/>
  <c r="A1830" i="11"/>
  <c r="A1829" i="11"/>
  <c r="A1828" i="11"/>
  <c r="A1827" i="11"/>
  <c r="A1826" i="11"/>
  <c r="A1825" i="11"/>
  <c r="A1824" i="11"/>
  <c r="A1823" i="11"/>
  <c r="A1822" i="11"/>
  <c r="A1821" i="11"/>
  <c r="A1820" i="11"/>
  <c r="A1819" i="11"/>
  <c r="A1818" i="11"/>
  <c r="A1817" i="11"/>
  <c r="A1816" i="11"/>
  <c r="A1815" i="11"/>
  <c r="A1814" i="11"/>
  <c r="A1813" i="11"/>
  <c r="A1812" i="11"/>
  <c r="A1811" i="11"/>
  <c r="A1810" i="11"/>
  <c r="A1809" i="11"/>
  <c r="A1808" i="11"/>
  <c r="A1807" i="11"/>
  <c r="A1806" i="11"/>
  <c r="A1805" i="11"/>
  <c r="A1804" i="11"/>
  <c r="A1803" i="11"/>
  <c r="A1802" i="11"/>
  <c r="A1801" i="11"/>
  <c r="A1800" i="11"/>
  <c r="A1799" i="11"/>
  <c r="A1798" i="11"/>
  <c r="A1797" i="11"/>
  <c r="A1796" i="11"/>
  <c r="A1795" i="11"/>
  <c r="A1794" i="11"/>
  <c r="A1793" i="11"/>
  <c r="A1792" i="11"/>
  <c r="A1791" i="11"/>
  <c r="A1790" i="11"/>
  <c r="A1789" i="11"/>
  <c r="A1788" i="11"/>
  <c r="A1787" i="11"/>
  <c r="A1786" i="11"/>
  <c r="A1785" i="11"/>
  <c r="A1784" i="11"/>
  <c r="A1783" i="11"/>
  <c r="A1782" i="11"/>
  <c r="A1781" i="11"/>
  <c r="A1780" i="11"/>
  <c r="A1779" i="11"/>
  <c r="A1778" i="11"/>
  <c r="A1777" i="11"/>
  <c r="A1776" i="11"/>
  <c r="A1775" i="11"/>
  <c r="A1774" i="11"/>
  <c r="A1773" i="11"/>
  <c r="A1772" i="11"/>
  <c r="A1771" i="11"/>
  <c r="A1770" i="11"/>
  <c r="A1769" i="11"/>
  <c r="A1768" i="11"/>
  <c r="A1767" i="11"/>
  <c r="A1766" i="11"/>
  <c r="A1765" i="11"/>
  <c r="A1764" i="11"/>
  <c r="A1763" i="11"/>
  <c r="A1762" i="11"/>
  <c r="A1761" i="11"/>
  <c r="A1760" i="11"/>
  <c r="A1759" i="11"/>
  <c r="A1758" i="11"/>
  <c r="A1757" i="11"/>
  <c r="A1756" i="11"/>
  <c r="A1755" i="11"/>
  <c r="A1754" i="11"/>
  <c r="A1753" i="11"/>
  <c r="A1752" i="11"/>
  <c r="A1751" i="11"/>
  <c r="A1750" i="11"/>
  <c r="A1749" i="11"/>
  <c r="A1748" i="11"/>
  <c r="A1747" i="11"/>
  <c r="A1746" i="11"/>
  <c r="A1745" i="11"/>
  <c r="A1744" i="11"/>
  <c r="A1743" i="11"/>
  <c r="A1742" i="11"/>
  <c r="A1741" i="11"/>
  <c r="A1740" i="11"/>
  <c r="A1739" i="11"/>
  <c r="A1738" i="11"/>
  <c r="A1737" i="11"/>
  <c r="A1736" i="11"/>
  <c r="A1735" i="11"/>
  <c r="A1734" i="11"/>
  <c r="A1733" i="11"/>
  <c r="A1732" i="11"/>
  <c r="A1731" i="11"/>
  <c r="A1730" i="11"/>
  <c r="A1729" i="11"/>
  <c r="A1728" i="11"/>
  <c r="A1727" i="11"/>
  <c r="A1726" i="11"/>
  <c r="A1725" i="11"/>
  <c r="A1724" i="11"/>
  <c r="A1723" i="11"/>
  <c r="A1722" i="11"/>
  <c r="A1721" i="11"/>
  <c r="A1720" i="11"/>
  <c r="A1719" i="11"/>
  <c r="A1718" i="11"/>
  <c r="A1717" i="11"/>
  <c r="A1716" i="11"/>
  <c r="A1715" i="11"/>
  <c r="A1714" i="11"/>
  <c r="A1713" i="11"/>
  <c r="A1712" i="11"/>
  <c r="A1711" i="11"/>
  <c r="A1710" i="11"/>
  <c r="A1709" i="11"/>
  <c r="A1708" i="11"/>
  <c r="A1707" i="11"/>
  <c r="A1706" i="11"/>
  <c r="A1705" i="11"/>
  <c r="A1704" i="11"/>
  <c r="A1703" i="11"/>
  <c r="A1702" i="11"/>
  <c r="A1701" i="11"/>
  <c r="A1700" i="11"/>
  <c r="A1699" i="11"/>
  <c r="A1698" i="11"/>
  <c r="A1697" i="11"/>
  <c r="A1696" i="11"/>
  <c r="A1695" i="11"/>
  <c r="A1694" i="11"/>
  <c r="A1693" i="11"/>
  <c r="A1692" i="11"/>
  <c r="A1691" i="11"/>
  <c r="A1690" i="11"/>
  <c r="A1689" i="11"/>
  <c r="A1688" i="11"/>
  <c r="A1687" i="11"/>
  <c r="A1686" i="11"/>
  <c r="A1685" i="11"/>
  <c r="A1684" i="11"/>
  <c r="A1683" i="11"/>
  <c r="A1682" i="11"/>
  <c r="A1681" i="11"/>
  <c r="A1680" i="11"/>
  <c r="A1679" i="11"/>
  <c r="A1678" i="11"/>
  <c r="A1677" i="11"/>
  <c r="A1676" i="11"/>
  <c r="A1675" i="11"/>
  <c r="A1674" i="11"/>
  <c r="A1673" i="11"/>
  <c r="A1672" i="11"/>
  <c r="A1671" i="11"/>
  <c r="A1670" i="11"/>
  <c r="A1669" i="11"/>
  <c r="A1668" i="11"/>
  <c r="A1667" i="11"/>
  <c r="A1666" i="11"/>
  <c r="A1665" i="11"/>
  <c r="A1664" i="11"/>
  <c r="A1663" i="11"/>
  <c r="A1662" i="11"/>
  <c r="A1661" i="11"/>
  <c r="A1660" i="11"/>
  <c r="A1659" i="11"/>
  <c r="A1658" i="11"/>
  <c r="A1657" i="11"/>
  <c r="A1656" i="11"/>
  <c r="A1655" i="11"/>
  <c r="A1654" i="11"/>
  <c r="A1653" i="11"/>
  <c r="A1652" i="11"/>
  <c r="A1651" i="11"/>
  <c r="A1650" i="11"/>
  <c r="A1649" i="11"/>
  <c r="A1648" i="11"/>
  <c r="A1647" i="11"/>
  <c r="A1646" i="11"/>
  <c r="A1645" i="11"/>
  <c r="A1644" i="11"/>
  <c r="A1643" i="11"/>
  <c r="A1642" i="11"/>
  <c r="A1641" i="11"/>
  <c r="A1640" i="11"/>
  <c r="A1639" i="11"/>
  <c r="A1638" i="11"/>
  <c r="A1637" i="11"/>
  <c r="A1636" i="11"/>
  <c r="A1635" i="11"/>
  <c r="A1634" i="11"/>
  <c r="A1633" i="11"/>
  <c r="A1632" i="11"/>
  <c r="A1631" i="11"/>
  <c r="A1630" i="11"/>
  <c r="A1629" i="11"/>
  <c r="A1628" i="11"/>
  <c r="A1627" i="11"/>
  <c r="A1626" i="11"/>
  <c r="A1625" i="11"/>
  <c r="A1624" i="11"/>
  <c r="A1623" i="11"/>
  <c r="A1622" i="11"/>
  <c r="A1621" i="11"/>
  <c r="A1620" i="11"/>
  <c r="A1619" i="11"/>
  <c r="A1618" i="11"/>
  <c r="A1617" i="11"/>
  <c r="A1616" i="11"/>
  <c r="A1615" i="11"/>
  <c r="A1614" i="11"/>
  <c r="A1613" i="11"/>
  <c r="A1612" i="11"/>
  <c r="A1611" i="11"/>
  <c r="A1610" i="11"/>
  <c r="A1609" i="11"/>
  <c r="A1608" i="11"/>
  <c r="A1607" i="11"/>
  <c r="A1606" i="11"/>
  <c r="A1605" i="11"/>
  <c r="A1604" i="11"/>
  <c r="A1603" i="11"/>
  <c r="A1602" i="11"/>
  <c r="A1601" i="11"/>
  <c r="A1600" i="11"/>
  <c r="A1599" i="11"/>
  <c r="A1598" i="11"/>
  <c r="A1597" i="11"/>
  <c r="A1596" i="11"/>
  <c r="A1595" i="11"/>
  <c r="A1594" i="11"/>
  <c r="A1593" i="11"/>
  <c r="A1592" i="11"/>
  <c r="A1591" i="11"/>
  <c r="A1590" i="11"/>
  <c r="A1589" i="11"/>
  <c r="A1588" i="11"/>
  <c r="A1587" i="11"/>
  <c r="A1586" i="11"/>
  <c r="A1585" i="11"/>
  <c r="A1584" i="11"/>
  <c r="A1583" i="11"/>
  <c r="A1582" i="11"/>
  <c r="A1581" i="11"/>
  <c r="A1580" i="11"/>
  <c r="A1579" i="11"/>
  <c r="A1578" i="11"/>
  <c r="A1577" i="11"/>
  <c r="A1576" i="11"/>
  <c r="A1575" i="11"/>
  <c r="A1574" i="11"/>
  <c r="A1573" i="11"/>
  <c r="A1572" i="11"/>
  <c r="A1571" i="11"/>
  <c r="A1570" i="11"/>
  <c r="A1569" i="11"/>
  <c r="A1568" i="11"/>
  <c r="A1567" i="11"/>
  <c r="A1566" i="11"/>
  <c r="A1565" i="11"/>
  <c r="A1564" i="11"/>
  <c r="A1563" i="11"/>
  <c r="A1562" i="11"/>
  <c r="A1561" i="11"/>
  <c r="A1560" i="11"/>
  <c r="A1559" i="11"/>
  <c r="A1558" i="11"/>
  <c r="A1557" i="11"/>
  <c r="A1556" i="11"/>
  <c r="A1555" i="11"/>
  <c r="A1554" i="11"/>
  <c r="A1553" i="11"/>
  <c r="A1552" i="11"/>
  <c r="A1551" i="11"/>
  <c r="A1550" i="11"/>
  <c r="A1549" i="11"/>
  <c r="A1548" i="11"/>
  <c r="A1547" i="11"/>
  <c r="A1546" i="11"/>
  <c r="A1545" i="11"/>
  <c r="A1544" i="11"/>
  <c r="A1543" i="11"/>
  <c r="A1542" i="11"/>
  <c r="A1541" i="11"/>
  <c r="A1540" i="11"/>
  <c r="A1539" i="11"/>
  <c r="A1538" i="11"/>
  <c r="A1537" i="11"/>
  <c r="A1536" i="11"/>
  <c r="A1535" i="11"/>
  <c r="A1534" i="11"/>
  <c r="A1533" i="11"/>
  <c r="A1532" i="11"/>
  <c r="A1531" i="11"/>
  <c r="A1530" i="11"/>
  <c r="A1529" i="11"/>
  <c r="A1528" i="11"/>
  <c r="A1527" i="11"/>
  <c r="A1526" i="11"/>
  <c r="A1525" i="11"/>
  <c r="A1524" i="11"/>
  <c r="A1523" i="11"/>
  <c r="A1522" i="11"/>
  <c r="A1521" i="11"/>
  <c r="A1520" i="11"/>
  <c r="A1519" i="11"/>
  <c r="A1518" i="11"/>
  <c r="A1517" i="11"/>
  <c r="A1516" i="11"/>
  <c r="A1515" i="11"/>
  <c r="A1514" i="11"/>
  <c r="A1513" i="11"/>
  <c r="A1512" i="11"/>
  <c r="A1511" i="11"/>
  <c r="A1510" i="11"/>
  <c r="A1509" i="11"/>
  <c r="A1508" i="11"/>
  <c r="A1507" i="11"/>
  <c r="A1506" i="11"/>
  <c r="A1505" i="11"/>
  <c r="A1504" i="11"/>
  <c r="A1503" i="11"/>
  <c r="A1502" i="11"/>
  <c r="A1501" i="11"/>
  <c r="A1500" i="11"/>
  <c r="A1499" i="11"/>
  <c r="A1498" i="11"/>
  <c r="A1497" i="11"/>
  <c r="A1496" i="11"/>
  <c r="A1495" i="11"/>
  <c r="A1494" i="11"/>
  <c r="A1493" i="11"/>
  <c r="A1492" i="11"/>
  <c r="A1491" i="11"/>
  <c r="A1490" i="11"/>
  <c r="A1489" i="11"/>
  <c r="A1488" i="11"/>
  <c r="A1487" i="11"/>
  <c r="A1486" i="11"/>
  <c r="A1485" i="11"/>
  <c r="A1484" i="11"/>
  <c r="A1483" i="11"/>
  <c r="A1482" i="11"/>
  <c r="A1481" i="11"/>
  <c r="A1480" i="11"/>
  <c r="A1479" i="11"/>
  <c r="A1478" i="11"/>
  <c r="A1477" i="11"/>
  <c r="A1476" i="11"/>
  <c r="A1475" i="11"/>
  <c r="A1474" i="11"/>
  <c r="A1473" i="11"/>
  <c r="A1472" i="11"/>
  <c r="A1471" i="11"/>
  <c r="A1470" i="11"/>
  <c r="A1469" i="11"/>
  <c r="A1468" i="11"/>
  <c r="A1467" i="11"/>
  <c r="A1466" i="11"/>
  <c r="A1465" i="11"/>
  <c r="A1464" i="11"/>
  <c r="A1463" i="11"/>
  <c r="A1462" i="11"/>
  <c r="A1461" i="11"/>
  <c r="A1460" i="11"/>
  <c r="A1459" i="11"/>
  <c r="A1458" i="11"/>
  <c r="A1457" i="11"/>
  <c r="A1456" i="11"/>
  <c r="A1455" i="11"/>
  <c r="A1454" i="11"/>
  <c r="A1453" i="11"/>
  <c r="A1452" i="11"/>
  <c r="A1451" i="11"/>
  <c r="A1450" i="11"/>
  <c r="A1449" i="11"/>
  <c r="A1448" i="11"/>
  <c r="A1447" i="11"/>
  <c r="A1446" i="11"/>
  <c r="A1445" i="11"/>
  <c r="A1444" i="11"/>
  <c r="A1443" i="11"/>
  <c r="A1442" i="11"/>
  <c r="A1441" i="11"/>
  <c r="A1440" i="11"/>
  <c r="A1439" i="11"/>
  <c r="A1438" i="11"/>
  <c r="A1437" i="11"/>
  <c r="A1436" i="11"/>
  <c r="A1435" i="11"/>
  <c r="A1434" i="11"/>
  <c r="A1433" i="11"/>
  <c r="A1432" i="11"/>
  <c r="A1431" i="11"/>
  <c r="A1430" i="11"/>
  <c r="A1429" i="11"/>
  <c r="A1428" i="11"/>
  <c r="A1427" i="11"/>
  <c r="A1426" i="11"/>
  <c r="A1425" i="11"/>
  <c r="A1424" i="11"/>
  <c r="A1423" i="11"/>
  <c r="A1422" i="11"/>
  <c r="A1421" i="11"/>
  <c r="A1420" i="11"/>
  <c r="A1419" i="11"/>
  <c r="A1418" i="11"/>
  <c r="A1417" i="11"/>
  <c r="A1416" i="11"/>
  <c r="A1415" i="11"/>
  <c r="A1414" i="11"/>
  <c r="A1413" i="11"/>
  <c r="A1412" i="11"/>
  <c r="A1411" i="11"/>
  <c r="A1410" i="11"/>
  <c r="A1409" i="11"/>
  <c r="A1408" i="11"/>
  <c r="A1407" i="11"/>
  <c r="A1406" i="11"/>
  <c r="A1405" i="11"/>
  <c r="A1404" i="11"/>
  <c r="A1403" i="11"/>
  <c r="A1402" i="11"/>
  <c r="A1401" i="11"/>
  <c r="A1400" i="11"/>
  <c r="A1399" i="11"/>
  <c r="A1398" i="11"/>
  <c r="A1397" i="11"/>
  <c r="A1396" i="11"/>
  <c r="A1395" i="11"/>
  <c r="A1394" i="11"/>
  <c r="A1393" i="11"/>
  <c r="A1392" i="11"/>
  <c r="A1391" i="11"/>
  <c r="A1390" i="11"/>
  <c r="A1389" i="11"/>
  <c r="A1388" i="11"/>
  <c r="A1387" i="11"/>
  <c r="A1386" i="11"/>
  <c r="A1385" i="11"/>
  <c r="A1384" i="11"/>
  <c r="A1383" i="11"/>
  <c r="A1382" i="11"/>
  <c r="A1381" i="11"/>
  <c r="A1380" i="11"/>
  <c r="A1379" i="11"/>
  <c r="A1378" i="11"/>
  <c r="A1377" i="11"/>
  <c r="A1376" i="11"/>
  <c r="A1375" i="11"/>
  <c r="A1374" i="11"/>
  <c r="A1373" i="11"/>
  <c r="A1372" i="11"/>
  <c r="A1371" i="11"/>
  <c r="A1370" i="11"/>
  <c r="A1369" i="11"/>
  <c r="A1368" i="11"/>
  <c r="A1367" i="11"/>
  <c r="A1366" i="11"/>
  <c r="A1365" i="11"/>
  <c r="A1364" i="11"/>
  <c r="A1363" i="11"/>
  <c r="A1362" i="11"/>
  <c r="A1361" i="11"/>
  <c r="A1360" i="11"/>
  <c r="A1359" i="11"/>
  <c r="A1358" i="11"/>
  <c r="A1357" i="11"/>
  <c r="A1356" i="11"/>
  <c r="A1355" i="11"/>
  <c r="A1354" i="11"/>
  <c r="A1353" i="11"/>
  <c r="A1352" i="11"/>
  <c r="A1351" i="11"/>
  <c r="A1350" i="11"/>
  <c r="A1349" i="11"/>
  <c r="A1348" i="11"/>
  <c r="A1347" i="11"/>
  <c r="A1346" i="11"/>
  <c r="A1345" i="11"/>
  <c r="A1344" i="11"/>
  <c r="A1343" i="11"/>
  <c r="A1342" i="11"/>
  <c r="A1341" i="11"/>
  <c r="A1340" i="11"/>
  <c r="A1339" i="11"/>
  <c r="A1338" i="11"/>
  <c r="A1337" i="11"/>
  <c r="A1336" i="11"/>
  <c r="A1335" i="11"/>
  <c r="A1334" i="11"/>
  <c r="A1333" i="11"/>
  <c r="A1332" i="11"/>
  <c r="A1331" i="11"/>
  <c r="A1330" i="11"/>
  <c r="A1329" i="11"/>
  <c r="A1328" i="11"/>
  <c r="A1327" i="11"/>
  <c r="A1326" i="11"/>
  <c r="A1325" i="11"/>
  <c r="A1324" i="11"/>
  <c r="A1323" i="11"/>
  <c r="A1322" i="11"/>
  <c r="A1321" i="11"/>
  <c r="A1320" i="11"/>
  <c r="A1319" i="11"/>
  <c r="A1318" i="11"/>
  <c r="A1317" i="11"/>
  <c r="A1316" i="11"/>
  <c r="A1315" i="11"/>
  <c r="A1314" i="11"/>
  <c r="A1313" i="11"/>
  <c r="A1312" i="11"/>
  <c r="A1311" i="11"/>
  <c r="A1310" i="11"/>
  <c r="A1309" i="11"/>
  <c r="A1308" i="11"/>
  <c r="A1307" i="11"/>
  <c r="A1306" i="11"/>
  <c r="A1305" i="11"/>
  <c r="A1304" i="11"/>
  <c r="A1303" i="11"/>
  <c r="A1302" i="11"/>
  <c r="A1301" i="11"/>
  <c r="A1300" i="11"/>
  <c r="A1299" i="11"/>
  <c r="A1298" i="11"/>
  <c r="A1297" i="11"/>
  <c r="A1296" i="11"/>
  <c r="A1295" i="11"/>
  <c r="A1294" i="11"/>
  <c r="A1293" i="11"/>
  <c r="A1292" i="11"/>
  <c r="A1291" i="11"/>
  <c r="A1290" i="11"/>
  <c r="A1289" i="11"/>
  <c r="A1288" i="11"/>
  <c r="A1287" i="11"/>
  <c r="A1286" i="11"/>
  <c r="A1285" i="11"/>
  <c r="A1284" i="11"/>
  <c r="A1283" i="11"/>
  <c r="A1282" i="11"/>
  <c r="A1281" i="11"/>
  <c r="A1280" i="11"/>
  <c r="A1279" i="11"/>
  <c r="A1278" i="11"/>
  <c r="A1277" i="11"/>
  <c r="A1276" i="11"/>
  <c r="A1275" i="11"/>
  <c r="A1274" i="11"/>
  <c r="A1273" i="11"/>
  <c r="A1272" i="11"/>
  <c r="A1271" i="11"/>
  <c r="A1270" i="11"/>
  <c r="A1269" i="11"/>
  <c r="A1268" i="11"/>
  <c r="A1267" i="11"/>
  <c r="A1266" i="11"/>
  <c r="A1265" i="11"/>
  <c r="A1264" i="11"/>
  <c r="A1263" i="11"/>
  <c r="A1262" i="11"/>
  <c r="A1261" i="11"/>
  <c r="A1260" i="11"/>
  <c r="A1259" i="11"/>
  <c r="A1258" i="11"/>
  <c r="A1257" i="11"/>
  <c r="A1256" i="11"/>
  <c r="A1255" i="11"/>
  <c r="A1254" i="11"/>
  <c r="A1253" i="11"/>
  <c r="A1252" i="11"/>
  <c r="A1251" i="11"/>
  <c r="A1250" i="11"/>
  <c r="A1249" i="11"/>
  <c r="A1248" i="11"/>
  <c r="A1247" i="11"/>
  <c r="A1246" i="11"/>
  <c r="A1245" i="11"/>
  <c r="A1244" i="11"/>
  <c r="A1243" i="11"/>
  <c r="A1242" i="11"/>
  <c r="A1241" i="11"/>
  <c r="A1240" i="11"/>
  <c r="A1239" i="11"/>
  <c r="A1238" i="11"/>
  <c r="A1237" i="11"/>
  <c r="A1236" i="11"/>
  <c r="A1235" i="11"/>
  <c r="A1234" i="11"/>
  <c r="A1233" i="11"/>
  <c r="A1232" i="11"/>
  <c r="A1231" i="11"/>
  <c r="A1230" i="11"/>
  <c r="A1229" i="11"/>
  <c r="A1228" i="11"/>
  <c r="A1227" i="11"/>
  <c r="A1226" i="11"/>
  <c r="A1225" i="11"/>
  <c r="A1224" i="11"/>
  <c r="A1223" i="11"/>
  <c r="A1222" i="11"/>
  <c r="A1221" i="11"/>
  <c r="A1220" i="11"/>
  <c r="A1219" i="11"/>
  <c r="A1218" i="11"/>
  <c r="A1217" i="11"/>
  <c r="A1216" i="11"/>
  <c r="A1215" i="11"/>
  <c r="A1214" i="11"/>
  <c r="A1213" i="11"/>
  <c r="A1212" i="11"/>
  <c r="A1211" i="11"/>
  <c r="A1210" i="11"/>
  <c r="A1209" i="11"/>
  <c r="A1208" i="11"/>
  <c r="A1207" i="11"/>
  <c r="A1206" i="11"/>
  <c r="A1205" i="11"/>
  <c r="A1204" i="11"/>
  <c r="A1203" i="11"/>
  <c r="A1202" i="11"/>
  <c r="A1201" i="11"/>
  <c r="A1200" i="11"/>
  <c r="A1199" i="11"/>
  <c r="A1198" i="11"/>
  <c r="A1197" i="11"/>
  <c r="A1196" i="11"/>
  <c r="A1195" i="11"/>
  <c r="A1194" i="11"/>
  <c r="A1193" i="11"/>
  <c r="A1192" i="11"/>
  <c r="A1191" i="11"/>
  <c r="A1190" i="11"/>
  <c r="A1189" i="11"/>
  <c r="A1188" i="11"/>
  <c r="A1187" i="11"/>
  <c r="A1186" i="11"/>
  <c r="A1185" i="11"/>
  <c r="A1184" i="11"/>
  <c r="A1183" i="11"/>
  <c r="A1182" i="11"/>
  <c r="A1181" i="11"/>
  <c r="A1180" i="11"/>
  <c r="A1179" i="11"/>
  <c r="A1178" i="11"/>
  <c r="A1177" i="11"/>
  <c r="A1176" i="11"/>
  <c r="A1175" i="11"/>
  <c r="A1174" i="11"/>
  <c r="A1173" i="11"/>
  <c r="A1172" i="11"/>
  <c r="A1171" i="11"/>
  <c r="A1170" i="11"/>
  <c r="A1169" i="11"/>
  <c r="A1168" i="11"/>
  <c r="A1167" i="11"/>
  <c r="A1166" i="11"/>
  <c r="A1165" i="11"/>
  <c r="A1164" i="11"/>
  <c r="A1163" i="11"/>
  <c r="A1162" i="11"/>
  <c r="A1161" i="11"/>
  <c r="A1160" i="11"/>
  <c r="A1159" i="11"/>
  <c r="A1158" i="11"/>
  <c r="A1157" i="11"/>
  <c r="A1156" i="11"/>
  <c r="A1155" i="11"/>
  <c r="A1154" i="11"/>
  <c r="A1153" i="11"/>
  <c r="A1152" i="11"/>
  <c r="A1151" i="11"/>
  <c r="A1150" i="11"/>
  <c r="A1149" i="11"/>
  <c r="A1148" i="11"/>
  <c r="A1147" i="11"/>
  <c r="A1146" i="11"/>
  <c r="A1145" i="11"/>
  <c r="A1144" i="11"/>
  <c r="A1143" i="11"/>
  <c r="A1142" i="11"/>
  <c r="A1141" i="11"/>
  <c r="A1140" i="11"/>
  <c r="A1139" i="11"/>
  <c r="A1138" i="11"/>
  <c r="A1137" i="11"/>
  <c r="A1136" i="11"/>
  <c r="A1135" i="11"/>
  <c r="A1134" i="11"/>
  <c r="A1133" i="11"/>
  <c r="A1132" i="11"/>
  <c r="A1131" i="11"/>
  <c r="A1130" i="11"/>
  <c r="A1129" i="11"/>
  <c r="A1128" i="11"/>
  <c r="A1127" i="11"/>
  <c r="A1126" i="11"/>
  <c r="A1125" i="11"/>
  <c r="A1124" i="11"/>
  <c r="A1123" i="11"/>
  <c r="A1122" i="11"/>
  <c r="A1121" i="11"/>
  <c r="A1120" i="11"/>
  <c r="A1119" i="11"/>
  <c r="A1118" i="11"/>
  <c r="A1117" i="11"/>
  <c r="A1116" i="11"/>
  <c r="A1115" i="11"/>
  <c r="A1114" i="11"/>
  <c r="A1113" i="11"/>
  <c r="A1112" i="11"/>
  <c r="A1111" i="11"/>
  <c r="A1110" i="11"/>
  <c r="A1109" i="11"/>
  <c r="A1108" i="11"/>
  <c r="A1107" i="11"/>
  <c r="A1106" i="11"/>
  <c r="A1105" i="11"/>
  <c r="A1104" i="11"/>
  <c r="A1103" i="11"/>
  <c r="A1102" i="11"/>
  <c r="A1101" i="11"/>
  <c r="A1100" i="11"/>
  <c r="A1099" i="11"/>
  <c r="A1098" i="11"/>
  <c r="A1097" i="11"/>
  <c r="A1096" i="11"/>
  <c r="A1095" i="11"/>
  <c r="A1094" i="11"/>
  <c r="A1093" i="11"/>
  <c r="A1092" i="11"/>
  <c r="A1091" i="11"/>
  <c r="A1090" i="11"/>
  <c r="A1089" i="11"/>
  <c r="A1088" i="11"/>
  <c r="A1087" i="11"/>
  <c r="A1086" i="11"/>
  <c r="A1085" i="11"/>
  <c r="A1084" i="11"/>
  <c r="A1083" i="11"/>
  <c r="A1082" i="11"/>
  <c r="A1081" i="11"/>
  <c r="A1080" i="11"/>
  <c r="A1079" i="11"/>
  <c r="A1078" i="11"/>
  <c r="A1077" i="11"/>
  <c r="A1076" i="11"/>
  <c r="A1075" i="11"/>
  <c r="A1074" i="11"/>
  <c r="A1073" i="11"/>
  <c r="A1072" i="11"/>
  <c r="A1071" i="11"/>
  <c r="A1070" i="11"/>
  <c r="A1069" i="11"/>
  <c r="A1068" i="11"/>
  <c r="A1067" i="11"/>
  <c r="A1066" i="11"/>
  <c r="A1065" i="11"/>
  <c r="A1064" i="11"/>
  <c r="A1063" i="11"/>
  <c r="A1062" i="11"/>
  <c r="A1061" i="11"/>
  <c r="A1060" i="11"/>
  <c r="A1059" i="11"/>
  <c r="A1058" i="11"/>
  <c r="A1057" i="11"/>
  <c r="A1056" i="11"/>
  <c r="A1055" i="11"/>
  <c r="A1054" i="11"/>
  <c r="A1053" i="11"/>
  <c r="A1052" i="11"/>
  <c r="A1051" i="11"/>
  <c r="A1050" i="11"/>
  <c r="A1049" i="11"/>
  <c r="A1048" i="11"/>
  <c r="A1047" i="11"/>
  <c r="A1046" i="11"/>
  <c r="A1045" i="11"/>
  <c r="A1044" i="11"/>
  <c r="A1043" i="11"/>
  <c r="A1042" i="11"/>
  <c r="A1041" i="11"/>
  <c r="A1040" i="11"/>
  <c r="A1039" i="11"/>
  <c r="A1038" i="11"/>
  <c r="A1037" i="11"/>
  <c r="A1036" i="11"/>
  <c r="A1035" i="11"/>
  <c r="A1034" i="11"/>
  <c r="A1033" i="11"/>
  <c r="A1032" i="11"/>
  <c r="A1031" i="11"/>
  <c r="A1030" i="11"/>
  <c r="A1029" i="11"/>
  <c r="A1028" i="11"/>
  <c r="A1027" i="11"/>
  <c r="A1026" i="11"/>
  <c r="A1025" i="11"/>
  <c r="A1024" i="11"/>
  <c r="A1023" i="11"/>
  <c r="A1022" i="11"/>
  <c r="A1021" i="11"/>
  <c r="A1020" i="11"/>
  <c r="A1019" i="11"/>
  <c r="A1018" i="11"/>
  <c r="A1017" i="11"/>
  <c r="A1016" i="11"/>
  <c r="A1015" i="11"/>
  <c r="A1014" i="11"/>
  <c r="A1013" i="11"/>
  <c r="A1012" i="11"/>
  <c r="A1011" i="11"/>
  <c r="A1010" i="11"/>
  <c r="A1009" i="11"/>
  <c r="A1008" i="11"/>
  <c r="A1007" i="11"/>
  <c r="A1006" i="11"/>
  <c r="A1005" i="11"/>
  <c r="A1004" i="11"/>
  <c r="A1003" i="11"/>
  <c r="A1002" i="11"/>
  <c r="A1001" i="11"/>
  <c r="A1000" i="11"/>
  <c r="A999" i="11"/>
  <c r="A998" i="11"/>
  <c r="A997" i="11"/>
  <c r="A996" i="11"/>
  <c r="A995" i="11"/>
  <c r="A994" i="11"/>
  <c r="A993" i="11"/>
  <c r="A992" i="11"/>
  <c r="A991" i="11"/>
  <c r="A990" i="11"/>
  <c r="A989" i="11"/>
  <c r="A988" i="11"/>
  <c r="A987" i="11"/>
  <c r="A986" i="11"/>
  <c r="A985" i="11"/>
  <c r="A984" i="11"/>
  <c r="A983" i="11"/>
  <c r="A982" i="11"/>
  <c r="A981" i="11"/>
  <c r="A980" i="11"/>
  <c r="A979" i="11"/>
  <c r="A978" i="11"/>
  <c r="A977" i="11"/>
  <c r="A976" i="11"/>
  <c r="A975" i="11"/>
  <c r="A974" i="11"/>
  <c r="A973" i="11"/>
  <c r="A972" i="11"/>
  <c r="A971" i="11"/>
  <c r="A970" i="11"/>
  <c r="A969" i="11"/>
  <c r="A968" i="11"/>
  <c r="A967" i="11"/>
  <c r="A966" i="11"/>
  <c r="A965" i="11"/>
  <c r="A964" i="11"/>
  <c r="A963" i="11"/>
  <c r="A962" i="11"/>
  <c r="A961" i="11"/>
  <c r="A960" i="11"/>
  <c r="A959" i="11"/>
  <c r="A958" i="11"/>
  <c r="A957" i="11"/>
  <c r="A956" i="11"/>
  <c r="A955" i="11"/>
  <c r="A954" i="11"/>
  <c r="A953" i="11"/>
  <c r="A952" i="11"/>
  <c r="A951" i="11"/>
  <c r="A950" i="11"/>
  <c r="A949" i="11"/>
  <c r="A948" i="11"/>
  <c r="A947" i="11"/>
  <c r="A946" i="11"/>
  <c r="A945" i="11"/>
  <c r="A944" i="11"/>
  <c r="A943" i="11"/>
  <c r="A942" i="11"/>
  <c r="A941" i="11"/>
  <c r="A940" i="11"/>
  <c r="A939" i="11"/>
  <c r="A938" i="11"/>
  <c r="A937" i="11"/>
  <c r="A936" i="11"/>
  <c r="A935" i="11"/>
  <c r="A934" i="11"/>
  <c r="A933" i="11"/>
  <c r="A932" i="11"/>
  <c r="A931" i="11"/>
  <c r="A930" i="11"/>
  <c r="A929" i="11"/>
  <c r="A928" i="11"/>
  <c r="A927" i="11"/>
  <c r="A926" i="11"/>
  <c r="A925" i="11"/>
  <c r="A924" i="11"/>
  <c r="A923" i="11"/>
  <c r="A922" i="11"/>
  <c r="A921" i="11"/>
  <c r="A920" i="11"/>
  <c r="A919" i="11"/>
  <c r="A918" i="11"/>
  <c r="A917" i="11"/>
  <c r="A916" i="11"/>
  <c r="A915" i="11"/>
  <c r="A914" i="11"/>
  <c r="A913" i="11"/>
  <c r="A912" i="11"/>
  <c r="A911" i="11"/>
  <c r="A910" i="11"/>
  <c r="A909" i="11"/>
  <c r="A908" i="11"/>
  <c r="A907" i="11"/>
  <c r="A906" i="11"/>
  <c r="A905" i="11"/>
  <c r="A904" i="11"/>
  <c r="A903" i="11"/>
  <c r="A902" i="11"/>
  <c r="A901" i="11"/>
  <c r="A900" i="11"/>
  <c r="A899" i="11"/>
  <c r="A898" i="11"/>
  <c r="A897" i="11"/>
  <c r="A896" i="11"/>
  <c r="A895" i="11"/>
  <c r="A894" i="11"/>
  <c r="A893" i="11"/>
  <c r="A892" i="11"/>
  <c r="A891" i="11"/>
  <c r="A890" i="11"/>
  <c r="A889" i="11"/>
  <c r="A888" i="11"/>
  <c r="A887" i="11"/>
  <c r="A886" i="11"/>
  <c r="A885" i="11"/>
  <c r="A884" i="11"/>
  <c r="A883" i="11"/>
  <c r="A882" i="11"/>
  <c r="A881" i="11"/>
  <c r="A880" i="11"/>
  <c r="A879" i="11"/>
  <c r="A878" i="11"/>
  <c r="A877" i="11"/>
  <c r="A876" i="11"/>
  <c r="A875" i="11"/>
  <c r="A874" i="11"/>
  <c r="A873" i="11"/>
  <c r="A872" i="11"/>
  <c r="A871" i="11"/>
  <c r="A870" i="11"/>
  <c r="A869" i="11"/>
  <c r="A868" i="11"/>
  <c r="A867" i="11"/>
  <c r="A866" i="11"/>
  <c r="A865" i="11"/>
  <c r="A864" i="11"/>
  <c r="A863" i="11"/>
  <c r="A862" i="11"/>
  <c r="A861" i="11"/>
  <c r="A860" i="11"/>
  <c r="A859" i="11"/>
  <c r="A858" i="11"/>
  <c r="A857" i="11"/>
  <c r="A856" i="11"/>
  <c r="A855" i="11"/>
  <c r="A854" i="11"/>
  <c r="A853" i="11"/>
  <c r="A852" i="11"/>
  <c r="A851" i="11"/>
  <c r="A850" i="11"/>
  <c r="A849" i="11"/>
  <c r="A848" i="11"/>
  <c r="A847" i="11"/>
  <c r="A846" i="11"/>
  <c r="A845" i="11"/>
  <c r="A844" i="11"/>
  <c r="A843" i="11"/>
  <c r="A842" i="11"/>
  <c r="A841" i="11"/>
  <c r="A840" i="11"/>
  <c r="A839" i="11"/>
  <c r="A838" i="11"/>
  <c r="A837" i="11"/>
  <c r="A836" i="11"/>
  <c r="A835" i="11"/>
  <c r="A834" i="11"/>
  <c r="A833" i="11"/>
  <c r="A832" i="11"/>
  <c r="A831" i="11"/>
  <c r="A830" i="11"/>
  <c r="A829" i="11"/>
  <c r="A828" i="11"/>
  <c r="A827" i="11"/>
  <c r="A826" i="11"/>
  <c r="A825" i="11"/>
  <c r="A824" i="11"/>
  <c r="A823" i="11"/>
  <c r="A822" i="11"/>
  <c r="A821" i="11"/>
  <c r="A820" i="11"/>
  <c r="A819" i="11"/>
  <c r="A818" i="11"/>
  <c r="A817" i="11"/>
  <c r="A816" i="11"/>
  <c r="A815" i="11"/>
  <c r="A814" i="11"/>
  <c r="A813" i="11"/>
  <c r="A812" i="11"/>
  <c r="A811" i="11"/>
  <c r="A810" i="11"/>
  <c r="A809" i="11"/>
  <c r="A808" i="11"/>
  <c r="A807" i="11"/>
  <c r="A806" i="11"/>
  <c r="A805" i="11"/>
  <c r="A804" i="11"/>
  <c r="A803" i="11"/>
  <c r="A802" i="11"/>
  <c r="A801" i="11"/>
  <c r="A800" i="11"/>
  <c r="A799" i="11"/>
  <c r="A798" i="11"/>
  <c r="A797" i="11"/>
  <c r="A796" i="11"/>
  <c r="A795" i="11"/>
  <c r="A794" i="11"/>
  <c r="A793" i="11"/>
  <c r="A792" i="11"/>
  <c r="A791" i="11"/>
  <c r="A790" i="11"/>
  <c r="A789" i="11"/>
  <c r="A788" i="11"/>
  <c r="A787" i="11"/>
  <c r="A786" i="11"/>
  <c r="A785" i="11"/>
  <c r="A784" i="11"/>
  <c r="A783" i="11"/>
  <c r="A782" i="11"/>
  <c r="A781" i="11"/>
  <c r="A780" i="11"/>
  <c r="A779" i="11"/>
  <c r="A778" i="11"/>
  <c r="A777" i="11"/>
  <c r="A776" i="11"/>
  <c r="A775" i="11"/>
  <c r="A774" i="11"/>
  <c r="A773" i="11"/>
  <c r="A772" i="11"/>
  <c r="A771" i="11"/>
  <c r="A770" i="11"/>
  <c r="A769" i="11"/>
  <c r="A768" i="11"/>
  <c r="A767" i="11"/>
  <c r="A766" i="11"/>
  <c r="A765" i="11"/>
  <c r="A764" i="11"/>
  <c r="A763" i="11"/>
  <c r="A762" i="11"/>
  <c r="A761" i="11"/>
  <c r="A760" i="11"/>
  <c r="A759" i="11"/>
  <c r="A758" i="11"/>
  <c r="A757" i="11"/>
  <c r="A756" i="11"/>
  <c r="A755" i="11"/>
  <c r="A754" i="11"/>
  <c r="A753" i="11"/>
  <c r="A752" i="11"/>
  <c r="A751" i="11"/>
  <c r="A750" i="11"/>
  <c r="A749" i="11"/>
  <c r="A748" i="11"/>
  <c r="A747" i="11"/>
  <c r="A746" i="11"/>
  <c r="A745" i="11"/>
  <c r="A744" i="11"/>
  <c r="A743" i="11"/>
  <c r="A742" i="11"/>
  <c r="A741" i="11"/>
  <c r="A740" i="11"/>
  <c r="A739" i="11"/>
  <c r="A738" i="11"/>
  <c r="A737" i="11"/>
  <c r="A736" i="11"/>
  <c r="A735" i="11"/>
  <c r="A734" i="11"/>
  <c r="A733" i="11"/>
  <c r="A732" i="11"/>
  <c r="A731" i="11"/>
  <c r="A730" i="11"/>
  <c r="A729" i="11"/>
  <c r="A728" i="11"/>
  <c r="A727" i="11"/>
  <c r="A726" i="11"/>
  <c r="A725" i="11"/>
  <c r="A724" i="11"/>
  <c r="A723" i="11"/>
  <c r="A722" i="11"/>
  <c r="A721" i="11"/>
  <c r="A720" i="11"/>
  <c r="A719" i="11"/>
  <c r="A718" i="11"/>
  <c r="A717" i="11"/>
  <c r="A716" i="11"/>
  <c r="A715" i="11"/>
  <c r="A714" i="11"/>
  <c r="A713" i="11"/>
  <c r="A712" i="11"/>
  <c r="A711" i="11"/>
  <c r="A710" i="11"/>
  <c r="A709" i="11"/>
  <c r="A708" i="11"/>
  <c r="A707" i="11"/>
  <c r="A706" i="11"/>
  <c r="A705" i="11"/>
  <c r="A704" i="11"/>
  <c r="A703" i="11"/>
  <c r="A702" i="11"/>
  <c r="A701" i="11"/>
  <c r="A700" i="11"/>
  <c r="A699" i="11"/>
  <c r="A698" i="11"/>
  <c r="A697" i="11"/>
  <c r="A696" i="11"/>
  <c r="A695" i="11"/>
  <c r="A694" i="11"/>
  <c r="A693" i="11"/>
  <c r="A692" i="11"/>
  <c r="A691" i="11"/>
  <c r="A690" i="11"/>
  <c r="A689" i="11"/>
  <c r="A688" i="11"/>
  <c r="A687" i="11"/>
  <c r="A686" i="11"/>
  <c r="A685" i="11"/>
  <c r="A684" i="11"/>
  <c r="A683" i="11"/>
  <c r="A682" i="11"/>
  <c r="A681" i="11"/>
  <c r="A680" i="11"/>
  <c r="A679" i="11"/>
  <c r="A678" i="11"/>
  <c r="A677" i="11"/>
  <c r="A676" i="11"/>
  <c r="A675" i="11"/>
  <c r="A674" i="11"/>
  <c r="A673" i="11"/>
  <c r="A672" i="11"/>
  <c r="A671" i="11"/>
  <c r="A670" i="11"/>
  <c r="A669" i="11"/>
  <c r="A668" i="11"/>
  <c r="A667" i="11"/>
  <c r="A666" i="11"/>
  <c r="A665" i="11"/>
  <c r="A664" i="11"/>
  <c r="A663" i="11"/>
  <c r="A662" i="11"/>
  <c r="A661" i="11"/>
  <c r="A660" i="11"/>
  <c r="A659" i="11"/>
  <c r="A658" i="11"/>
  <c r="A657" i="11"/>
  <c r="A656" i="11"/>
  <c r="A655" i="11"/>
  <c r="A654" i="11"/>
  <c r="A653" i="11"/>
  <c r="A652" i="11"/>
  <c r="A651" i="11"/>
  <c r="A650" i="11"/>
  <c r="A649" i="11"/>
  <c r="A648" i="11"/>
  <c r="A647" i="11"/>
  <c r="A646" i="11"/>
  <c r="A645" i="11"/>
  <c r="A644" i="11"/>
  <c r="A643" i="11"/>
  <c r="A642" i="11"/>
  <c r="A641" i="11"/>
  <c r="A640" i="11"/>
  <c r="A639" i="11"/>
  <c r="A638" i="11"/>
  <c r="A637" i="11"/>
  <c r="A636" i="11"/>
  <c r="A635" i="11"/>
  <c r="A634" i="11"/>
  <c r="A633" i="11"/>
  <c r="A632" i="11"/>
  <c r="A631" i="11"/>
  <c r="A630" i="11"/>
  <c r="A629" i="11"/>
  <c r="A628" i="11"/>
  <c r="A627" i="11"/>
  <c r="A626" i="11"/>
  <c r="A625" i="11"/>
  <c r="A624" i="11"/>
  <c r="A623" i="11"/>
  <c r="A622" i="11"/>
  <c r="A621" i="11"/>
  <c r="A620" i="11"/>
  <c r="A619" i="11"/>
  <c r="A618" i="11"/>
  <c r="A617" i="11"/>
  <c r="A616" i="11"/>
  <c r="A615" i="11"/>
  <c r="A614" i="11"/>
  <c r="A613" i="11"/>
  <c r="A612" i="11"/>
  <c r="A611" i="11"/>
  <c r="A610" i="11"/>
  <c r="A609" i="11"/>
  <c r="A608" i="11"/>
  <c r="A607" i="11"/>
  <c r="A606" i="11"/>
  <c r="A605" i="11"/>
  <c r="A604" i="11"/>
  <c r="A603" i="11"/>
  <c r="A602" i="11"/>
  <c r="A601" i="11"/>
  <c r="A600" i="11"/>
  <c r="A599" i="11"/>
  <c r="A598" i="11"/>
  <c r="A597" i="11"/>
  <c r="A596" i="11"/>
  <c r="A595" i="11"/>
  <c r="A594" i="11"/>
  <c r="A593" i="11"/>
  <c r="A592" i="11"/>
  <c r="A591" i="11"/>
  <c r="A590" i="11"/>
  <c r="A589" i="11"/>
  <c r="A588" i="11"/>
  <c r="A587" i="11"/>
  <c r="A586" i="11"/>
  <c r="A585" i="11"/>
  <c r="A584" i="11"/>
  <c r="A583" i="11"/>
  <c r="A582" i="11"/>
  <c r="A581" i="11"/>
  <c r="A580" i="11"/>
  <c r="A579" i="11"/>
  <c r="A578" i="11"/>
  <c r="A577" i="11"/>
  <c r="A576" i="11"/>
  <c r="A575" i="11"/>
  <c r="A574" i="11"/>
  <c r="A573" i="11"/>
  <c r="A572" i="11"/>
  <c r="A571" i="11"/>
  <c r="A570" i="11"/>
  <c r="A569" i="11"/>
  <c r="A568" i="11"/>
  <c r="A567" i="11"/>
  <c r="A566" i="11"/>
  <c r="A565" i="11"/>
  <c r="A564" i="11"/>
  <c r="A563" i="11"/>
  <c r="A562" i="11"/>
  <c r="A561" i="11"/>
  <c r="A560" i="11"/>
  <c r="A559" i="11"/>
  <c r="A558" i="11"/>
  <c r="A557" i="11"/>
  <c r="A556" i="11"/>
  <c r="A555" i="11"/>
  <c r="A554" i="11"/>
  <c r="A553" i="11"/>
  <c r="A552" i="11"/>
  <c r="A551" i="11"/>
  <c r="A550" i="11"/>
  <c r="A549" i="11"/>
  <c r="A548" i="11"/>
  <c r="A547" i="11"/>
  <c r="A546" i="11"/>
  <c r="A545" i="11"/>
  <c r="A544" i="11"/>
  <c r="A543" i="11"/>
  <c r="A542" i="11"/>
  <c r="A541" i="11"/>
  <c r="A540" i="11"/>
  <c r="A539" i="11"/>
  <c r="A538" i="11"/>
  <c r="A537" i="11"/>
  <c r="A536" i="11"/>
  <c r="A535" i="11"/>
  <c r="A534" i="11"/>
  <c r="A533" i="11"/>
  <c r="A532" i="11"/>
  <c r="A531" i="11"/>
  <c r="A530" i="11"/>
  <c r="A529" i="11"/>
  <c r="A528" i="11"/>
  <c r="A527" i="11"/>
  <c r="A526" i="11"/>
  <c r="A525" i="11"/>
  <c r="A524" i="11"/>
  <c r="A523" i="11"/>
  <c r="A522" i="11"/>
  <c r="A521" i="11"/>
  <c r="A520" i="11"/>
  <c r="A519" i="11"/>
  <c r="A518" i="11"/>
  <c r="A517" i="11"/>
  <c r="A516" i="11"/>
  <c r="A515" i="11"/>
  <c r="A514" i="11"/>
  <c r="A513" i="11"/>
  <c r="A512" i="11"/>
  <c r="A511" i="11"/>
  <c r="A510" i="11"/>
  <c r="A509" i="11"/>
  <c r="A508" i="11"/>
  <c r="A507" i="11"/>
  <c r="A506" i="11"/>
  <c r="A505" i="11"/>
  <c r="A504" i="11"/>
  <c r="A503" i="11"/>
  <c r="A502" i="11"/>
  <c r="A501" i="11"/>
  <c r="A500" i="11"/>
  <c r="A499" i="11"/>
  <c r="A498" i="11"/>
  <c r="A497" i="11"/>
  <c r="A496" i="11"/>
  <c r="A495" i="11"/>
  <c r="A494" i="11"/>
  <c r="A493" i="11"/>
  <c r="A492" i="11"/>
  <c r="A491" i="11"/>
  <c r="A490" i="11"/>
  <c r="A489" i="11"/>
  <c r="A488" i="11"/>
  <c r="A487" i="11"/>
  <c r="A486" i="11"/>
  <c r="A485" i="11"/>
  <c r="A484" i="11"/>
  <c r="A483" i="11"/>
  <c r="A482" i="11"/>
  <c r="A481" i="11"/>
  <c r="A480" i="11"/>
  <c r="A479" i="11"/>
  <c r="A478" i="11"/>
  <c r="A477" i="11"/>
  <c r="A476" i="11"/>
  <c r="A475" i="11"/>
  <c r="A474" i="11"/>
  <c r="A473" i="11"/>
  <c r="A472" i="11"/>
  <c r="A471" i="11"/>
  <c r="A470" i="11"/>
  <c r="A469" i="11"/>
  <c r="A468" i="11"/>
  <c r="A467" i="11"/>
  <c r="A466" i="11"/>
  <c r="A465" i="11"/>
  <c r="A464" i="11"/>
  <c r="A463" i="11"/>
  <c r="A462" i="11"/>
  <c r="A461" i="11"/>
  <c r="A460" i="11"/>
  <c r="A459" i="11"/>
  <c r="A458" i="11"/>
  <c r="A457" i="11"/>
  <c r="A456" i="11"/>
  <c r="A455" i="11"/>
  <c r="A454" i="11"/>
  <c r="A453" i="11"/>
  <c r="A452" i="11"/>
  <c r="A451" i="11"/>
  <c r="A450" i="11"/>
  <c r="A449" i="11"/>
  <c r="A448" i="11"/>
  <c r="A447" i="11"/>
  <c r="A446" i="11"/>
  <c r="A445" i="11"/>
  <c r="A444" i="11"/>
  <c r="A443" i="11"/>
  <c r="A442" i="11"/>
  <c r="A441" i="11"/>
  <c r="A440" i="11"/>
  <c r="A439" i="11"/>
  <c r="A438" i="11"/>
  <c r="A437" i="11"/>
  <c r="A436" i="11"/>
  <c r="A435" i="11"/>
  <c r="A434" i="11"/>
  <c r="A433" i="11"/>
  <c r="A432" i="11"/>
  <c r="A431" i="11"/>
  <c r="A430" i="11"/>
  <c r="A429" i="11"/>
  <c r="A428" i="11"/>
  <c r="A427" i="11"/>
  <c r="A426" i="11"/>
  <c r="A425" i="11"/>
  <c r="A424" i="11"/>
  <c r="A423" i="11"/>
  <c r="A422" i="11"/>
  <c r="A421" i="11"/>
  <c r="A420" i="11"/>
  <c r="A419" i="11"/>
  <c r="A418" i="11"/>
  <c r="A417" i="11"/>
  <c r="A416" i="11"/>
  <c r="A415" i="11"/>
  <c r="A414" i="11"/>
  <c r="A413" i="11"/>
  <c r="A412" i="11"/>
  <c r="A411" i="11"/>
  <c r="A410" i="11"/>
  <c r="A409" i="11"/>
  <c r="A408" i="11"/>
  <c r="A407" i="11"/>
  <c r="A406" i="11"/>
  <c r="A405" i="11"/>
  <c r="A404" i="11"/>
  <c r="A403" i="11"/>
  <c r="A402" i="11"/>
  <c r="A401" i="11"/>
  <c r="A400" i="11"/>
  <c r="A399" i="11"/>
  <c r="A398" i="11"/>
  <c r="A397" i="11"/>
  <c r="A396" i="11"/>
  <c r="A395" i="11"/>
  <c r="A394" i="11"/>
  <c r="A393" i="11"/>
  <c r="A392" i="11"/>
  <c r="A391" i="11"/>
  <c r="A390" i="11"/>
  <c r="A389" i="11"/>
  <c r="A388" i="11"/>
  <c r="A387" i="11"/>
  <c r="A386" i="11"/>
  <c r="A385" i="11"/>
  <c r="A384" i="11"/>
  <c r="A383" i="11"/>
  <c r="A382" i="11"/>
  <c r="A381" i="11"/>
  <c r="A380" i="11"/>
  <c r="A379" i="11"/>
  <c r="A378" i="11"/>
  <c r="A377" i="11"/>
  <c r="A376" i="11"/>
  <c r="A375" i="11"/>
  <c r="A374" i="11"/>
  <c r="A373" i="11"/>
  <c r="A372" i="11"/>
  <c r="A371" i="11"/>
  <c r="A370" i="11"/>
  <c r="A369" i="11"/>
  <c r="A368" i="11"/>
  <c r="A367" i="11"/>
  <c r="A366" i="11"/>
  <c r="A365" i="11"/>
  <c r="A364" i="11"/>
  <c r="A363" i="11"/>
  <c r="A362" i="11"/>
  <c r="A361" i="11"/>
  <c r="A360" i="11"/>
  <c r="A359" i="11"/>
  <c r="A358" i="11"/>
  <c r="A357" i="11"/>
  <c r="A356" i="11"/>
  <c r="A355" i="11"/>
  <c r="A354" i="11"/>
  <c r="A353" i="11"/>
  <c r="A352" i="11"/>
  <c r="A351" i="11"/>
  <c r="A350" i="11"/>
  <c r="A349" i="11"/>
  <c r="A348" i="11"/>
  <c r="A347" i="11"/>
  <c r="A346" i="11"/>
  <c r="A345" i="11"/>
  <c r="A344" i="11"/>
  <c r="A343" i="11"/>
  <c r="A342" i="11"/>
  <c r="A341" i="11"/>
  <c r="A340" i="11"/>
  <c r="A339" i="11"/>
  <c r="A338" i="11"/>
  <c r="A337" i="11"/>
  <c r="A336" i="11"/>
  <c r="A335" i="11"/>
  <c r="A334" i="11"/>
  <c r="A333" i="11"/>
  <c r="A332" i="11"/>
  <c r="A331" i="11"/>
  <c r="A330" i="11"/>
  <c r="A329" i="11"/>
  <c r="A328" i="11"/>
  <c r="A327" i="11"/>
  <c r="A326" i="11"/>
  <c r="A325" i="11"/>
  <c r="A324" i="11"/>
  <c r="A323" i="11"/>
  <c r="A322" i="11"/>
  <c r="A321" i="11"/>
  <c r="A320" i="11"/>
  <c r="A319" i="11"/>
  <c r="A318" i="11"/>
  <c r="A317" i="11"/>
  <c r="A316" i="11"/>
  <c r="A315" i="11"/>
  <c r="A314" i="11"/>
  <c r="A313" i="11"/>
  <c r="A312" i="11"/>
  <c r="A311" i="11"/>
  <c r="A310" i="11"/>
  <c r="A309" i="11"/>
  <c r="A308" i="11"/>
  <c r="A307" i="11"/>
  <c r="A306" i="11"/>
  <c r="A305" i="11"/>
  <c r="A304" i="11"/>
  <c r="A303" i="11"/>
  <c r="A302" i="11"/>
  <c r="A301" i="11"/>
  <c r="A300" i="11"/>
  <c r="A299" i="11"/>
  <c r="A298" i="11"/>
  <c r="A297" i="11"/>
  <c r="A296" i="11"/>
  <c r="A295" i="11"/>
  <c r="A294" i="11"/>
  <c r="A293" i="11"/>
  <c r="A292" i="11"/>
  <c r="A291" i="11"/>
  <c r="A290" i="11"/>
  <c r="A289" i="11"/>
  <c r="A288" i="11"/>
  <c r="A287" i="11"/>
  <c r="A286" i="11"/>
  <c r="A285" i="11"/>
  <c r="A284" i="11"/>
  <c r="A283" i="11"/>
  <c r="A282" i="11"/>
  <c r="A281" i="11"/>
  <c r="A280" i="11"/>
  <c r="A279" i="11"/>
  <c r="A278" i="11"/>
  <c r="A277" i="11"/>
  <c r="A276" i="11"/>
  <c r="A275" i="11"/>
  <c r="A274" i="11"/>
  <c r="A273" i="11"/>
  <c r="A272" i="11"/>
  <c r="A271" i="11"/>
  <c r="A270" i="11"/>
  <c r="A269" i="11"/>
  <c r="A268" i="11"/>
  <c r="A267" i="11"/>
  <c r="A266" i="11"/>
  <c r="A265" i="11"/>
  <c r="A264" i="11"/>
  <c r="A263" i="11"/>
  <c r="A262" i="11"/>
  <c r="A261" i="11"/>
  <c r="A260" i="11"/>
  <c r="A259" i="11"/>
  <c r="A258" i="11"/>
  <c r="A257" i="11"/>
  <c r="A256" i="11"/>
  <c r="A255" i="11"/>
  <c r="A254" i="11"/>
  <c r="A253" i="11"/>
  <c r="A252" i="11"/>
  <c r="A251" i="11"/>
  <c r="A250" i="11"/>
  <c r="A249" i="11"/>
  <c r="A248" i="11"/>
  <c r="A247" i="11"/>
  <c r="A246" i="11"/>
  <c r="A245" i="11"/>
  <c r="A244" i="11"/>
  <c r="A243" i="11"/>
  <c r="A242" i="11"/>
  <c r="A241" i="11"/>
  <c r="A240" i="11"/>
  <c r="A239" i="11"/>
  <c r="A238" i="11"/>
  <c r="A237" i="11"/>
  <c r="A236" i="11"/>
  <c r="A235" i="11"/>
  <c r="A234" i="11"/>
  <c r="A233" i="11"/>
  <c r="A232" i="11"/>
  <c r="A231" i="11"/>
  <c r="A230" i="11"/>
  <c r="A229" i="11"/>
  <c r="A228" i="11"/>
  <c r="A227" i="11"/>
  <c r="A226" i="11"/>
  <c r="A225" i="11"/>
  <c r="A224" i="11"/>
  <c r="A223" i="11"/>
  <c r="A222" i="11"/>
  <c r="A221" i="11"/>
  <c r="A220" i="11"/>
  <c r="A219" i="11"/>
  <c r="A218" i="11"/>
  <c r="A217" i="11"/>
  <c r="A216" i="11"/>
  <c r="A215" i="11"/>
  <c r="A214" i="11"/>
  <c r="A213" i="11"/>
  <c r="A212" i="11"/>
  <c r="A211" i="11"/>
  <c r="A210" i="11"/>
  <c r="A209" i="11"/>
  <c r="A208" i="11"/>
  <c r="A207" i="11"/>
  <c r="A206" i="11"/>
  <c r="A205" i="11"/>
  <c r="A204" i="11"/>
  <c r="A203" i="11"/>
  <c r="A202" i="11"/>
  <c r="A201" i="11"/>
  <c r="A200" i="11"/>
  <c r="A199" i="11"/>
  <c r="A198" i="11"/>
  <c r="A197" i="11"/>
  <c r="A196" i="11"/>
  <c r="A195" i="11"/>
  <c r="A194" i="11"/>
  <c r="A193" i="11"/>
  <c r="A192" i="11"/>
  <c r="A191" i="11"/>
  <c r="A190" i="11"/>
  <c r="A189" i="11"/>
  <c r="A188" i="11"/>
  <c r="A187" i="11"/>
  <c r="A186" i="11"/>
  <c r="A185" i="11"/>
  <c r="A184" i="11"/>
  <c r="A183" i="11"/>
  <c r="A182" i="11"/>
  <c r="A181" i="11"/>
  <c r="A180" i="11"/>
  <c r="A179" i="11"/>
  <c r="A178" i="11"/>
  <c r="A177" i="11"/>
  <c r="A176" i="11"/>
  <c r="A175" i="11"/>
  <c r="A174" i="11"/>
  <c r="A173" i="11"/>
  <c r="A172" i="11"/>
  <c r="A171" i="11"/>
  <c r="A170" i="11"/>
  <c r="A169" i="11"/>
  <c r="A168" i="11"/>
  <c r="A167" i="11"/>
  <c r="A166" i="11"/>
  <c r="A165" i="11"/>
  <c r="A164" i="11"/>
  <c r="A163" i="11"/>
  <c r="A162" i="11"/>
  <c r="A161" i="11"/>
  <c r="A160" i="11"/>
  <c r="A159" i="11"/>
  <c r="A158" i="11"/>
  <c r="A157" i="11"/>
  <c r="A156" i="11"/>
  <c r="A155" i="11"/>
  <c r="A154" i="11"/>
  <c r="A153" i="11"/>
  <c r="A152" i="11"/>
  <c r="A151" i="11"/>
  <c r="A150" i="11"/>
  <c r="A149" i="11"/>
  <c r="A148" i="11"/>
  <c r="A147" i="11"/>
  <c r="A146" i="11"/>
  <c r="A145" i="11"/>
  <c r="A144" i="11"/>
  <c r="A143" i="11"/>
  <c r="A142" i="11"/>
  <c r="A141" i="11"/>
  <c r="A140" i="11"/>
  <c r="A139" i="11"/>
  <c r="A138" i="11"/>
  <c r="A137" i="11"/>
  <c r="A136" i="11"/>
  <c r="A135" i="11"/>
  <c r="A134" i="11"/>
  <c r="A133" i="11"/>
  <c r="A132" i="11"/>
  <c r="A131" i="11"/>
  <c r="A130" i="11"/>
  <c r="A129" i="11"/>
  <c r="A128" i="11"/>
  <c r="A127" i="11"/>
  <c r="A126" i="11"/>
  <c r="A125" i="11"/>
  <c r="A124" i="11"/>
  <c r="A123" i="11"/>
  <c r="A122" i="11"/>
  <c r="A121" i="11"/>
  <c r="A120" i="11"/>
  <c r="A119" i="11"/>
  <c r="A118" i="11"/>
  <c r="A117" i="11"/>
  <c r="A116" i="11"/>
  <c r="A115" i="11"/>
  <c r="A114" i="11"/>
  <c r="A113" i="11"/>
  <c r="A112" i="11"/>
  <c r="A111" i="11"/>
  <c r="A110" i="11"/>
  <c r="A109" i="11"/>
  <c r="A108" i="11"/>
  <c r="A107" i="11"/>
  <c r="A106" i="11"/>
  <c r="A105" i="11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2057" i="12"/>
  <c r="A2056" i="12"/>
  <c r="A2055" i="12"/>
  <c r="A2054" i="12"/>
  <c r="A2053" i="12"/>
  <c r="A2052" i="12"/>
  <c r="A2051" i="12"/>
  <c r="A2050" i="12"/>
  <c r="A2049" i="12"/>
  <c r="A2048" i="12"/>
  <c r="A2047" i="12"/>
  <c r="A2046" i="12"/>
  <c r="A2045" i="12"/>
  <c r="A2044" i="12"/>
  <c r="A2043" i="12"/>
  <c r="A2042" i="12"/>
  <c r="A2041" i="12"/>
  <c r="A2040" i="12"/>
  <c r="A2039" i="12"/>
  <c r="A2038" i="12"/>
  <c r="A2037" i="12"/>
  <c r="A2036" i="12"/>
  <c r="A2035" i="12"/>
  <c r="A2034" i="12"/>
  <c r="A2033" i="12"/>
  <c r="A2032" i="12"/>
  <c r="A2031" i="12"/>
  <c r="A2030" i="12"/>
  <c r="A2029" i="12"/>
  <c r="A2028" i="12"/>
  <c r="A2027" i="12"/>
  <c r="A2026" i="12"/>
  <c r="A2025" i="12"/>
  <c r="A2024" i="12"/>
  <c r="A2023" i="12"/>
  <c r="A2022" i="12"/>
  <c r="A2021" i="12"/>
  <c r="A2020" i="12"/>
  <c r="A2019" i="12"/>
  <c r="A2018" i="12"/>
  <c r="A2017" i="12"/>
  <c r="A2016" i="12"/>
  <c r="A2015" i="12"/>
  <c r="A2014" i="12"/>
  <c r="A2013" i="12"/>
  <c r="A2012" i="12"/>
  <c r="A2011" i="12"/>
  <c r="A2010" i="12"/>
  <c r="A2009" i="12"/>
  <c r="A2008" i="12"/>
  <c r="A2007" i="12"/>
  <c r="A2006" i="12"/>
  <c r="A2005" i="12"/>
  <c r="A2004" i="12"/>
  <c r="A2003" i="12"/>
  <c r="A2002" i="12"/>
  <c r="A2001" i="12"/>
  <c r="A2000" i="12"/>
  <c r="A1999" i="12"/>
  <c r="A1998" i="12"/>
  <c r="A1997" i="12"/>
  <c r="A1996" i="12"/>
  <c r="A1995" i="12"/>
  <c r="A1994" i="12"/>
  <c r="A1993" i="12"/>
  <c r="A1992" i="12"/>
  <c r="A1991" i="12"/>
  <c r="A1990" i="12"/>
  <c r="A1989" i="12"/>
  <c r="A1988" i="12"/>
  <c r="A1987" i="12"/>
  <c r="A1986" i="12"/>
  <c r="A1985" i="12"/>
  <c r="A1984" i="12"/>
  <c r="A1983" i="12"/>
  <c r="A1982" i="12"/>
  <c r="A1981" i="12"/>
  <c r="A1980" i="12"/>
  <c r="A1979" i="12"/>
  <c r="A1978" i="12"/>
  <c r="A1977" i="12"/>
  <c r="A1976" i="12"/>
  <c r="A1975" i="12"/>
  <c r="A1974" i="12"/>
  <c r="A1973" i="12"/>
  <c r="A1972" i="12"/>
  <c r="A1971" i="12"/>
  <c r="A1970" i="12"/>
  <c r="A1969" i="12"/>
  <c r="A1968" i="12"/>
  <c r="A1967" i="12"/>
  <c r="A1966" i="12"/>
  <c r="A1965" i="12"/>
  <c r="A1964" i="12"/>
  <c r="A1963" i="12"/>
  <c r="A1962" i="12"/>
  <c r="A1961" i="12"/>
  <c r="A1960" i="12"/>
  <c r="A1959" i="12"/>
  <c r="A1958" i="12"/>
  <c r="A1957" i="12"/>
  <c r="A1956" i="12"/>
  <c r="A1955" i="12"/>
  <c r="A1954" i="12"/>
  <c r="A1953" i="12"/>
  <c r="A1952" i="12"/>
  <c r="A1951" i="12"/>
  <c r="A1950" i="12"/>
  <c r="A1949" i="12"/>
  <c r="A1948" i="12"/>
  <c r="A1947" i="12"/>
  <c r="A1946" i="12"/>
  <c r="A1945" i="12"/>
  <c r="A1944" i="12"/>
  <c r="A1943" i="12"/>
  <c r="A1942" i="12"/>
  <c r="A1941" i="12"/>
  <c r="A1940" i="12"/>
  <c r="A1939" i="12"/>
  <c r="A1938" i="12"/>
  <c r="A1937" i="12"/>
  <c r="A1936" i="12"/>
  <c r="A1935" i="12"/>
  <c r="A1934" i="12"/>
  <c r="A1933" i="12"/>
  <c r="A1932" i="12"/>
  <c r="A1931" i="12"/>
  <c r="A1930" i="12"/>
  <c r="A1929" i="12"/>
  <c r="A1928" i="12"/>
  <c r="A1927" i="12"/>
  <c r="A1926" i="12"/>
  <c r="A1925" i="12"/>
  <c r="A1924" i="12"/>
  <c r="A1923" i="12"/>
  <c r="A1922" i="12"/>
  <c r="A1921" i="12"/>
  <c r="A1920" i="12"/>
  <c r="A1919" i="12"/>
  <c r="A1918" i="12"/>
  <c r="A1917" i="12"/>
  <c r="A1916" i="12"/>
  <c r="A1915" i="12"/>
  <c r="A1914" i="12"/>
  <c r="A1913" i="12"/>
  <c r="A1912" i="12"/>
  <c r="A1911" i="12"/>
  <c r="A1910" i="12"/>
  <c r="A1909" i="12"/>
  <c r="A1908" i="12"/>
  <c r="A1907" i="12"/>
  <c r="A1906" i="12"/>
  <c r="A1905" i="12"/>
  <c r="A1904" i="12"/>
  <c r="A1903" i="12"/>
  <c r="A1902" i="12"/>
  <c r="A1901" i="12"/>
  <c r="A1900" i="12"/>
  <c r="A1899" i="12"/>
  <c r="A1898" i="12"/>
  <c r="A1897" i="12"/>
  <c r="A1896" i="12"/>
  <c r="A1895" i="12"/>
  <c r="A1894" i="12"/>
  <c r="A1893" i="12"/>
  <c r="A1892" i="12"/>
  <c r="A1891" i="12"/>
  <c r="A1890" i="12"/>
  <c r="A1889" i="12"/>
  <c r="A1888" i="12"/>
  <c r="A1887" i="12"/>
  <c r="A1886" i="12"/>
  <c r="A1885" i="12"/>
  <c r="A1884" i="12"/>
  <c r="A1883" i="12"/>
  <c r="A1882" i="12"/>
  <c r="A1881" i="12"/>
  <c r="A1880" i="12"/>
  <c r="A1879" i="12"/>
  <c r="A1878" i="12"/>
  <c r="A1877" i="12"/>
  <c r="A1876" i="12"/>
  <c r="A1875" i="12"/>
  <c r="A1874" i="12"/>
  <c r="A1873" i="12"/>
  <c r="A1872" i="12"/>
  <c r="A1871" i="12"/>
  <c r="A1870" i="12"/>
  <c r="A1869" i="12"/>
  <c r="A1868" i="12"/>
  <c r="A1867" i="12"/>
  <c r="A1866" i="12"/>
  <c r="A1865" i="12"/>
  <c r="A1864" i="12"/>
  <c r="A1863" i="12"/>
  <c r="A1862" i="12"/>
  <c r="A1861" i="12"/>
  <c r="A1860" i="12"/>
  <c r="A1859" i="12"/>
  <c r="A1858" i="12"/>
  <c r="A1857" i="12"/>
  <c r="A1856" i="12"/>
  <c r="A1855" i="12"/>
  <c r="A1854" i="12"/>
  <c r="A1853" i="12"/>
  <c r="A1852" i="12"/>
  <c r="A1851" i="12"/>
  <c r="A1850" i="12"/>
  <c r="A1849" i="12"/>
  <c r="A1848" i="12"/>
  <c r="A1847" i="12"/>
  <c r="A1846" i="12"/>
  <c r="A1845" i="12"/>
  <c r="A1844" i="12"/>
  <c r="A1843" i="12"/>
  <c r="A1842" i="12"/>
  <c r="A1841" i="12"/>
  <c r="A1840" i="12"/>
  <c r="A1839" i="12"/>
  <c r="A1838" i="12"/>
  <c r="A1837" i="12"/>
  <c r="A1836" i="12"/>
  <c r="A1835" i="12"/>
  <c r="A1834" i="12"/>
  <c r="A1833" i="12"/>
  <c r="A1832" i="12"/>
  <c r="A1831" i="12"/>
  <c r="A1830" i="12"/>
  <c r="A1829" i="12"/>
  <c r="A1828" i="12"/>
  <c r="A1827" i="12"/>
  <c r="A1826" i="12"/>
  <c r="A1825" i="12"/>
  <c r="A1824" i="12"/>
  <c r="A1823" i="12"/>
  <c r="A1822" i="12"/>
  <c r="A1821" i="12"/>
  <c r="A1820" i="12"/>
  <c r="A1819" i="12"/>
  <c r="A1818" i="12"/>
  <c r="A1817" i="12"/>
  <c r="A1816" i="12"/>
  <c r="A1815" i="12"/>
  <c r="A1814" i="12"/>
  <c r="A1813" i="12"/>
  <c r="A1812" i="12"/>
  <c r="A1811" i="12"/>
  <c r="A1810" i="12"/>
  <c r="A1809" i="12"/>
  <c r="A1808" i="12"/>
  <c r="A1807" i="12"/>
  <c r="A1806" i="12"/>
  <c r="A1805" i="12"/>
  <c r="A1804" i="12"/>
  <c r="A1803" i="12"/>
  <c r="A1802" i="12"/>
  <c r="A1801" i="12"/>
  <c r="A1800" i="12"/>
  <c r="A1799" i="12"/>
  <c r="A1798" i="12"/>
  <c r="A1797" i="12"/>
  <c r="A1796" i="12"/>
  <c r="A1795" i="12"/>
  <c r="A1794" i="12"/>
  <c r="A1793" i="12"/>
  <c r="A1792" i="12"/>
  <c r="A1791" i="12"/>
  <c r="A1790" i="12"/>
  <c r="A1789" i="12"/>
  <c r="A1788" i="12"/>
  <c r="A1787" i="12"/>
  <c r="A1786" i="12"/>
  <c r="A1785" i="12"/>
  <c r="A1784" i="12"/>
  <c r="A1783" i="12"/>
  <c r="A1782" i="12"/>
  <c r="A1781" i="12"/>
  <c r="A1780" i="12"/>
  <c r="A1779" i="12"/>
  <c r="A1778" i="12"/>
  <c r="A1777" i="12"/>
  <c r="A1776" i="12"/>
  <c r="A1775" i="12"/>
  <c r="A1774" i="12"/>
  <c r="A1773" i="12"/>
  <c r="A1772" i="12"/>
  <c r="A1771" i="12"/>
  <c r="A1770" i="12"/>
  <c r="A1769" i="12"/>
  <c r="A1768" i="12"/>
  <c r="A1767" i="12"/>
  <c r="A1766" i="12"/>
  <c r="A1765" i="12"/>
  <c r="A1764" i="12"/>
  <c r="A1763" i="12"/>
  <c r="A1762" i="12"/>
  <c r="A1761" i="12"/>
  <c r="A1760" i="12"/>
  <c r="A1759" i="12"/>
  <c r="A1758" i="12"/>
  <c r="A1757" i="12"/>
  <c r="A1756" i="12"/>
  <c r="A1755" i="12"/>
  <c r="A1754" i="12"/>
  <c r="A1753" i="12"/>
  <c r="A1752" i="12"/>
  <c r="A1751" i="12"/>
  <c r="A1750" i="12"/>
  <c r="A1749" i="12"/>
  <c r="A1748" i="12"/>
  <c r="A1747" i="12"/>
  <c r="A1746" i="12"/>
  <c r="A1745" i="12"/>
  <c r="A1744" i="12"/>
  <c r="A1743" i="12"/>
  <c r="A1742" i="12"/>
  <c r="A1741" i="12"/>
  <c r="A1740" i="12"/>
  <c r="A1739" i="12"/>
  <c r="A1738" i="12"/>
  <c r="A1737" i="12"/>
  <c r="A1736" i="12"/>
  <c r="A1735" i="12"/>
  <c r="A1734" i="12"/>
  <c r="A1733" i="12"/>
  <c r="A1732" i="12"/>
  <c r="A1731" i="12"/>
  <c r="A1730" i="12"/>
  <c r="A1729" i="12"/>
  <c r="A1728" i="12"/>
  <c r="A1727" i="12"/>
  <c r="A1726" i="12"/>
  <c r="A1725" i="12"/>
  <c r="A1724" i="12"/>
  <c r="A1723" i="12"/>
  <c r="A1722" i="12"/>
  <c r="A1721" i="12"/>
  <c r="A1720" i="12"/>
  <c r="A1719" i="12"/>
  <c r="A1718" i="12"/>
  <c r="A1717" i="12"/>
  <c r="A1716" i="12"/>
  <c r="A1715" i="12"/>
  <c r="A1714" i="12"/>
  <c r="A1713" i="12"/>
  <c r="A1712" i="12"/>
  <c r="A1711" i="12"/>
  <c r="A1710" i="12"/>
  <c r="A1709" i="12"/>
  <c r="A1708" i="12"/>
  <c r="A1707" i="12"/>
  <c r="A1706" i="12"/>
  <c r="A1705" i="12"/>
  <c r="A1704" i="12"/>
  <c r="A1703" i="12"/>
  <c r="A1702" i="12"/>
  <c r="A1701" i="12"/>
  <c r="A1700" i="12"/>
  <c r="A1699" i="12"/>
  <c r="A1698" i="12"/>
  <c r="A1697" i="12"/>
  <c r="A1696" i="12"/>
  <c r="A1695" i="12"/>
  <c r="A1694" i="12"/>
  <c r="A1693" i="12"/>
  <c r="A1692" i="12"/>
  <c r="A1691" i="12"/>
  <c r="A1690" i="12"/>
  <c r="A1689" i="12"/>
  <c r="A1688" i="12"/>
  <c r="A1687" i="12"/>
  <c r="A1686" i="12"/>
  <c r="A1685" i="12"/>
  <c r="A1684" i="12"/>
  <c r="A1683" i="12"/>
  <c r="A1682" i="12"/>
  <c r="A1681" i="12"/>
  <c r="A1680" i="12"/>
  <c r="A1679" i="12"/>
  <c r="A1678" i="12"/>
  <c r="A1677" i="12"/>
  <c r="A1676" i="12"/>
  <c r="A1675" i="12"/>
  <c r="A1674" i="12"/>
  <c r="A1673" i="12"/>
  <c r="A1672" i="12"/>
  <c r="A1671" i="12"/>
  <c r="A1670" i="12"/>
  <c r="A1669" i="12"/>
  <c r="A1668" i="12"/>
  <c r="A1667" i="12"/>
  <c r="A1666" i="12"/>
  <c r="A1665" i="12"/>
  <c r="A1664" i="12"/>
  <c r="A1663" i="12"/>
  <c r="A1662" i="12"/>
  <c r="A1661" i="12"/>
  <c r="A1660" i="12"/>
  <c r="A1659" i="12"/>
  <c r="A1658" i="12"/>
  <c r="A1657" i="12"/>
  <c r="A1656" i="12"/>
  <c r="A1655" i="12"/>
  <c r="A1654" i="12"/>
  <c r="A1653" i="12"/>
  <c r="A1652" i="12"/>
  <c r="A1651" i="12"/>
  <c r="A1650" i="12"/>
  <c r="A1649" i="12"/>
  <c r="A1648" i="12"/>
  <c r="A1647" i="12"/>
  <c r="A1646" i="12"/>
  <c r="A1645" i="12"/>
  <c r="A1644" i="12"/>
  <c r="A1643" i="12"/>
  <c r="A1642" i="12"/>
  <c r="A1641" i="12"/>
  <c r="A1640" i="12"/>
  <c r="A1639" i="12"/>
  <c r="A1638" i="12"/>
  <c r="A1637" i="12"/>
  <c r="A1636" i="12"/>
  <c r="A1635" i="12"/>
  <c r="A1634" i="12"/>
  <c r="A1633" i="12"/>
  <c r="A1632" i="12"/>
  <c r="A1631" i="12"/>
  <c r="A1630" i="12"/>
  <c r="A1629" i="12"/>
  <c r="A1628" i="12"/>
  <c r="A1627" i="12"/>
  <c r="A1626" i="12"/>
  <c r="A1625" i="12"/>
  <c r="A1624" i="12"/>
  <c r="A1623" i="12"/>
  <c r="A1622" i="12"/>
  <c r="A1621" i="12"/>
  <c r="A1620" i="12"/>
  <c r="A1619" i="12"/>
  <c r="A1618" i="12"/>
  <c r="A1617" i="12"/>
  <c r="A1616" i="12"/>
  <c r="A1615" i="12"/>
  <c r="A1614" i="12"/>
  <c r="A1613" i="12"/>
  <c r="A1612" i="12"/>
  <c r="A1611" i="12"/>
  <c r="A1610" i="12"/>
  <c r="A1609" i="12"/>
  <c r="A1608" i="12"/>
  <c r="A1607" i="12"/>
  <c r="A1606" i="12"/>
  <c r="A1605" i="12"/>
  <c r="A1604" i="12"/>
  <c r="A1603" i="12"/>
  <c r="A1602" i="12"/>
  <c r="A1601" i="12"/>
  <c r="A1600" i="12"/>
  <c r="A1599" i="12"/>
  <c r="A1598" i="12"/>
  <c r="A1597" i="12"/>
  <c r="A1596" i="12"/>
  <c r="A1595" i="12"/>
  <c r="A1594" i="12"/>
  <c r="A1593" i="12"/>
  <c r="A1592" i="12"/>
  <c r="A1591" i="12"/>
  <c r="A1590" i="12"/>
  <c r="A1589" i="12"/>
  <c r="A1588" i="12"/>
  <c r="A1587" i="12"/>
  <c r="A1586" i="12"/>
  <c r="A1585" i="12"/>
  <c r="A1584" i="12"/>
  <c r="A1583" i="12"/>
  <c r="A1582" i="12"/>
  <c r="A1581" i="12"/>
  <c r="A1580" i="12"/>
  <c r="A1579" i="12"/>
  <c r="A1578" i="12"/>
  <c r="A1577" i="12"/>
  <c r="A1576" i="12"/>
  <c r="A1575" i="12"/>
  <c r="A1574" i="12"/>
  <c r="A1573" i="12"/>
  <c r="A1572" i="12"/>
  <c r="A1571" i="12"/>
  <c r="A1570" i="12"/>
  <c r="A1569" i="12"/>
  <c r="A1568" i="12"/>
  <c r="A1567" i="12"/>
  <c r="A1566" i="12"/>
  <c r="A1565" i="12"/>
  <c r="A1564" i="12"/>
  <c r="A1563" i="12"/>
  <c r="A1562" i="12"/>
  <c r="A1561" i="12"/>
  <c r="A1560" i="12"/>
  <c r="A1559" i="12"/>
  <c r="A1558" i="12"/>
  <c r="A1557" i="12"/>
  <c r="A1556" i="12"/>
  <c r="A1555" i="12"/>
  <c r="A1554" i="12"/>
  <c r="A1553" i="12"/>
  <c r="A1552" i="12"/>
  <c r="A1551" i="12"/>
  <c r="A1550" i="12"/>
  <c r="A1549" i="12"/>
  <c r="A1548" i="12"/>
  <c r="A1547" i="12"/>
  <c r="A1546" i="12"/>
  <c r="A1545" i="12"/>
  <c r="A1544" i="12"/>
  <c r="A1543" i="12"/>
  <c r="A1542" i="12"/>
  <c r="A1541" i="12"/>
  <c r="A1540" i="12"/>
  <c r="A1539" i="12"/>
  <c r="A1538" i="12"/>
  <c r="A1537" i="12"/>
  <c r="A1536" i="12"/>
  <c r="A1535" i="12"/>
  <c r="A1534" i="12"/>
  <c r="A1533" i="12"/>
  <c r="A1532" i="12"/>
  <c r="A1531" i="12"/>
  <c r="A1530" i="12"/>
  <c r="A1529" i="12"/>
  <c r="A1528" i="12"/>
  <c r="A1527" i="12"/>
  <c r="A1526" i="12"/>
  <c r="A1525" i="12"/>
  <c r="A1524" i="12"/>
  <c r="A1523" i="12"/>
  <c r="A1522" i="12"/>
  <c r="A1521" i="12"/>
  <c r="A1520" i="12"/>
  <c r="A1519" i="12"/>
  <c r="A1518" i="12"/>
  <c r="A1517" i="12"/>
  <c r="A1516" i="12"/>
  <c r="A1515" i="12"/>
  <c r="A1514" i="12"/>
  <c r="A1513" i="12"/>
  <c r="A1512" i="12"/>
  <c r="A1511" i="12"/>
  <c r="A1510" i="12"/>
  <c r="A1509" i="12"/>
  <c r="A1508" i="12"/>
  <c r="A1507" i="12"/>
  <c r="A1506" i="12"/>
  <c r="A1505" i="12"/>
  <c r="A1504" i="12"/>
  <c r="A1503" i="12"/>
  <c r="A1502" i="12"/>
  <c r="A1501" i="12"/>
  <c r="A1500" i="12"/>
  <c r="A1499" i="12"/>
  <c r="A1498" i="12"/>
  <c r="A1497" i="12"/>
  <c r="A1496" i="12"/>
  <c r="A1495" i="12"/>
  <c r="A1494" i="12"/>
  <c r="A1493" i="12"/>
  <c r="A1492" i="12"/>
  <c r="A1491" i="12"/>
  <c r="A1490" i="12"/>
  <c r="A1489" i="12"/>
  <c r="A1488" i="12"/>
  <c r="A1487" i="12"/>
  <c r="A1486" i="12"/>
  <c r="A1485" i="12"/>
  <c r="A1484" i="12"/>
  <c r="A1483" i="12"/>
  <c r="A1482" i="12"/>
  <c r="A1481" i="12"/>
  <c r="A1480" i="12"/>
  <c r="A1479" i="12"/>
  <c r="A1478" i="12"/>
  <c r="A1477" i="12"/>
  <c r="A1476" i="12"/>
  <c r="A1475" i="12"/>
  <c r="A1474" i="12"/>
  <c r="A1473" i="12"/>
  <c r="A1472" i="12"/>
  <c r="A1471" i="12"/>
  <c r="A1470" i="12"/>
  <c r="A1469" i="12"/>
  <c r="A1468" i="12"/>
  <c r="A1467" i="12"/>
  <c r="A1466" i="12"/>
  <c r="A1465" i="12"/>
  <c r="A1464" i="12"/>
  <c r="A1463" i="12"/>
  <c r="A1462" i="12"/>
  <c r="A1461" i="12"/>
  <c r="A1460" i="12"/>
  <c r="A1459" i="12"/>
  <c r="A1458" i="12"/>
  <c r="A1457" i="12"/>
  <c r="A1456" i="12"/>
  <c r="A1455" i="12"/>
  <c r="A1454" i="12"/>
  <c r="A1453" i="12"/>
  <c r="A1452" i="12"/>
  <c r="A1451" i="12"/>
  <c r="A1450" i="12"/>
  <c r="A1449" i="12"/>
  <c r="A1448" i="12"/>
  <c r="A1447" i="12"/>
  <c r="A1446" i="12"/>
  <c r="A1445" i="12"/>
  <c r="A1444" i="12"/>
  <c r="A1443" i="12"/>
  <c r="A1442" i="12"/>
  <c r="A1441" i="12"/>
  <c r="A1440" i="12"/>
  <c r="A1439" i="12"/>
  <c r="A1438" i="12"/>
  <c r="A1437" i="12"/>
  <c r="A1436" i="12"/>
  <c r="A1435" i="12"/>
  <c r="A1434" i="12"/>
  <c r="A1433" i="12"/>
  <c r="A1432" i="12"/>
  <c r="A1431" i="12"/>
  <c r="A1430" i="12"/>
  <c r="A1429" i="12"/>
  <c r="A1428" i="12"/>
  <c r="A1427" i="12"/>
  <c r="A1426" i="12"/>
  <c r="A1425" i="12"/>
  <c r="A1424" i="12"/>
  <c r="A1423" i="12"/>
  <c r="A1422" i="12"/>
  <c r="A1421" i="12"/>
  <c r="A1420" i="12"/>
  <c r="A1419" i="12"/>
  <c r="A1418" i="12"/>
  <c r="A1417" i="12"/>
  <c r="A1416" i="12"/>
  <c r="A1415" i="12"/>
  <c r="A1414" i="12"/>
  <c r="A1413" i="12"/>
  <c r="A1412" i="12"/>
  <c r="A1411" i="12"/>
  <c r="A1410" i="12"/>
  <c r="A1409" i="12"/>
  <c r="A1408" i="12"/>
  <c r="A1407" i="12"/>
  <c r="A1406" i="12"/>
  <c r="A1405" i="12"/>
  <c r="A1404" i="12"/>
  <c r="A1403" i="12"/>
  <c r="A1402" i="12"/>
  <c r="A1401" i="12"/>
  <c r="A1400" i="12"/>
  <c r="A1399" i="12"/>
  <c r="A1398" i="12"/>
  <c r="A1397" i="12"/>
  <c r="A1396" i="12"/>
  <c r="A1395" i="12"/>
  <c r="A1394" i="12"/>
  <c r="A1393" i="12"/>
  <c r="A1392" i="12"/>
  <c r="A1391" i="12"/>
  <c r="A1390" i="12"/>
  <c r="A1389" i="12"/>
  <c r="A1388" i="12"/>
  <c r="A1387" i="12"/>
  <c r="A1386" i="12"/>
  <c r="A1385" i="12"/>
  <c r="A1384" i="12"/>
  <c r="A1383" i="12"/>
  <c r="A1382" i="12"/>
  <c r="A1381" i="12"/>
  <c r="A1380" i="12"/>
  <c r="A1379" i="12"/>
  <c r="A1378" i="12"/>
  <c r="A1377" i="12"/>
  <c r="A1376" i="12"/>
  <c r="A1375" i="12"/>
  <c r="A1374" i="12"/>
  <c r="A1373" i="12"/>
  <c r="A1372" i="12"/>
  <c r="A1371" i="12"/>
  <c r="A1370" i="12"/>
  <c r="A1369" i="12"/>
  <c r="A1368" i="12"/>
  <c r="A1367" i="12"/>
  <c r="A1366" i="12"/>
  <c r="A1365" i="12"/>
  <c r="A1364" i="12"/>
  <c r="A1363" i="12"/>
  <c r="A1362" i="12"/>
  <c r="A1361" i="12"/>
  <c r="A1360" i="12"/>
  <c r="A1359" i="12"/>
  <c r="A1358" i="12"/>
  <c r="A1357" i="12"/>
  <c r="A1356" i="12"/>
  <c r="A1355" i="12"/>
  <c r="A1354" i="12"/>
  <c r="A1353" i="12"/>
  <c r="A1352" i="12"/>
  <c r="A1351" i="12"/>
  <c r="A1350" i="12"/>
  <c r="A1349" i="12"/>
  <c r="A1348" i="12"/>
  <c r="A1347" i="12"/>
  <c r="A1346" i="12"/>
  <c r="A1345" i="12"/>
  <c r="A1344" i="12"/>
  <c r="A1343" i="12"/>
  <c r="A1342" i="12"/>
  <c r="A1341" i="12"/>
  <c r="A1340" i="12"/>
  <c r="A1339" i="12"/>
  <c r="A1338" i="12"/>
  <c r="A1337" i="12"/>
  <c r="A1336" i="12"/>
  <c r="A1335" i="12"/>
  <c r="A1334" i="12"/>
  <c r="A1333" i="12"/>
  <c r="A1332" i="12"/>
  <c r="A1331" i="12"/>
  <c r="A1330" i="12"/>
  <c r="A1329" i="12"/>
  <c r="A1328" i="12"/>
  <c r="A1327" i="12"/>
  <c r="A1326" i="12"/>
  <c r="A1325" i="12"/>
  <c r="A1324" i="12"/>
  <c r="A1323" i="12"/>
  <c r="A1322" i="12"/>
  <c r="A1321" i="12"/>
  <c r="A1320" i="12"/>
  <c r="A1319" i="12"/>
  <c r="A1318" i="12"/>
  <c r="A1317" i="12"/>
  <c r="A1316" i="12"/>
  <c r="A1315" i="12"/>
  <c r="A1314" i="12"/>
  <c r="A1313" i="12"/>
  <c r="A1312" i="12"/>
  <c r="A1311" i="12"/>
  <c r="A1310" i="12"/>
  <c r="A1309" i="12"/>
  <c r="A1308" i="12"/>
  <c r="A1307" i="12"/>
  <c r="A1306" i="12"/>
  <c r="A1305" i="12"/>
  <c r="A1304" i="12"/>
  <c r="A1303" i="12"/>
  <c r="A1302" i="12"/>
  <c r="A1301" i="12"/>
  <c r="A1300" i="12"/>
  <c r="A1299" i="12"/>
  <c r="A1298" i="12"/>
  <c r="A1297" i="12"/>
  <c r="A1296" i="12"/>
  <c r="A1295" i="12"/>
  <c r="A1294" i="12"/>
  <c r="A1293" i="12"/>
  <c r="A1292" i="12"/>
  <c r="A1291" i="12"/>
  <c r="A1290" i="12"/>
  <c r="A1289" i="12"/>
  <c r="A1288" i="12"/>
  <c r="A1287" i="12"/>
  <c r="A1286" i="12"/>
  <c r="A1285" i="12"/>
  <c r="A1284" i="12"/>
  <c r="A1283" i="12"/>
  <c r="A1282" i="12"/>
  <c r="A1281" i="12"/>
  <c r="A1280" i="12"/>
  <c r="A1279" i="12"/>
  <c r="A1278" i="12"/>
  <c r="A1277" i="12"/>
  <c r="A1276" i="12"/>
  <c r="A1275" i="12"/>
  <c r="A1274" i="12"/>
  <c r="A1273" i="12"/>
  <c r="A1272" i="12"/>
  <c r="A1271" i="12"/>
  <c r="A1270" i="12"/>
  <c r="A1269" i="12"/>
  <c r="A1268" i="12"/>
  <c r="A1267" i="12"/>
  <c r="A1266" i="12"/>
  <c r="A1265" i="12"/>
  <c r="A1264" i="12"/>
  <c r="A1263" i="12"/>
  <c r="A1262" i="12"/>
  <c r="A1261" i="12"/>
  <c r="A1260" i="12"/>
  <c r="A1259" i="12"/>
  <c r="A1258" i="12"/>
  <c r="A1257" i="12"/>
  <c r="A1256" i="12"/>
  <c r="A1255" i="12"/>
  <c r="A1254" i="12"/>
  <c r="A1253" i="12"/>
  <c r="A1252" i="12"/>
  <c r="A1251" i="12"/>
  <c r="A1250" i="12"/>
  <c r="A1249" i="12"/>
  <c r="A1248" i="12"/>
  <c r="A1247" i="12"/>
  <c r="A1246" i="12"/>
  <c r="A1245" i="12"/>
  <c r="A1244" i="12"/>
  <c r="A1243" i="12"/>
  <c r="A1242" i="12"/>
  <c r="A1241" i="12"/>
  <c r="A1240" i="12"/>
  <c r="A1239" i="12"/>
  <c r="A1238" i="12"/>
  <c r="A1237" i="12"/>
  <c r="A1236" i="12"/>
  <c r="A1235" i="12"/>
  <c r="A1234" i="12"/>
  <c r="A1233" i="12"/>
  <c r="A1232" i="12"/>
  <c r="A1231" i="12"/>
  <c r="A1230" i="12"/>
  <c r="A1229" i="12"/>
  <c r="A1228" i="12"/>
  <c r="A1227" i="12"/>
  <c r="A1226" i="12"/>
  <c r="A1225" i="12"/>
  <c r="A1224" i="12"/>
  <c r="A1223" i="12"/>
  <c r="A1222" i="12"/>
  <c r="A1221" i="12"/>
  <c r="A1220" i="12"/>
  <c r="A1219" i="12"/>
  <c r="A1218" i="12"/>
  <c r="A1217" i="12"/>
  <c r="A1216" i="12"/>
  <c r="A1215" i="12"/>
  <c r="A1214" i="12"/>
  <c r="A1213" i="12"/>
  <c r="A1212" i="12"/>
  <c r="A1211" i="12"/>
  <c r="A1210" i="12"/>
  <c r="A1209" i="12"/>
  <c r="A1208" i="12"/>
  <c r="A1207" i="12"/>
  <c r="A1206" i="12"/>
  <c r="A1205" i="12"/>
  <c r="A1204" i="12"/>
  <c r="A1203" i="12"/>
  <c r="A1202" i="12"/>
  <c r="A1201" i="12"/>
  <c r="A1200" i="12"/>
  <c r="A1199" i="12"/>
  <c r="A1198" i="12"/>
  <c r="A1197" i="12"/>
  <c r="A1196" i="12"/>
  <c r="A1195" i="12"/>
  <c r="A1194" i="12"/>
  <c r="A1193" i="12"/>
  <c r="A1192" i="12"/>
  <c r="A1191" i="12"/>
  <c r="A1190" i="12"/>
  <c r="A1189" i="12"/>
  <c r="A1188" i="12"/>
  <c r="A1187" i="12"/>
  <c r="A1186" i="12"/>
  <c r="A1185" i="12"/>
  <c r="A1184" i="12"/>
  <c r="A1183" i="12"/>
  <c r="A1182" i="12"/>
  <c r="A1181" i="12"/>
  <c r="A1180" i="12"/>
  <c r="A1179" i="12"/>
  <c r="A1178" i="12"/>
  <c r="A1177" i="12"/>
  <c r="A1176" i="12"/>
  <c r="A1175" i="12"/>
  <c r="A1174" i="12"/>
  <c r="A1173" i="12"/>
  <c r="A1172" i="12"/>
  <c r="A1171" i="12"/>
  <c r="A1170" i="12"/>
  <c r="A1169" i="12"/>
  <c r="A1168" i="12"/>
  <c r="A1167" i="12"/>
  <c r="A1166" i="12"/>
  <c r="A1165" i="12"/>
  <c r="A1164" i="12"/>
  <c r="A1163" i="12"/>
  <c r="A1162" i="12"/>
  <c r="A1161" i="12"/>
  <c r="A1160" i="12"/>
  <c r="A1159" i="12"/>
  <c r="A1158" i="12"/>
  <c r="A1157" i="12"/>
  <c r="A1156" i="12"/>
  <c r="A1155" i="12"/>
  <c r="A1154" i="12"/>
  <c r="A1153" i="12"/>
  <c r="A1152" i="12"/>
  <c r="A1151" i="12"/>
  <c r="A1150" i="12"/>
  <c r="A1149" i="12"/>
  <c r="A1148" i="12"/>
  <c r="A1147" i="12"/>
  <c r="A1146" i="12"/>
  <c r="A1145" i="12"/>
  <c r="A1144" i="12"/>
  <c r="A1143" i="12"/>
  <c r="A1142" i="12"/>
  <c r="A1141" i="12"/>
  <c r="A1140" i="12"/>
  <c r="A1139" i="12"/>
  <c r="A1138" i="12"/>
  <c r="A1137" i="12"/>
  <c r="A1136" i="12"/>
  <c r="A1135" i="12"/>
  <c r="A1134" i="12"/>
  <c r="A1133" i="12"/>
  <c r="A1132" i="12"/>
  <c r="A1131" i="12"/>
  <c r="A1130" i="12"/>
  <c r="A1129" i="12"/>
  <c r="A1128" i="12"/>
  <c r="A1127" i="12"/>
  <c r="A1126" i="12"/>
  <c r="A1125" i="12"/>
  <c r="A1124" i="12"/>
  <c r="A1123" i="12"/>
  <c r="A1122" i="12"/>
  <c r="A1121" i="12"/>
  <c r="A1120" i="12"/>
  <c r="A1119" i="12"/>
  <c r="A1118" i="12"/>
  <c r="A1117" i="12"/>
  <c r="A1116" i="12"/>
  <c r="A1115" i="12"/>
  <c r="A1114" i="12"/>
  <c r="A1113" i="12"/>
  <c r="A1112" i="12"/>
  <c r="A1111" i="12"/>
  <c r="A1110" i="12"/>
  <c r="A1109" i="12"/>
  <c r="A1108" i="12"/>
  <c r="A1107" i="12"/>
  <c r="A1106" i="12"/>
  <c r="A1105" i="12"/>
  <c r="A1104" i="12"/>
  <c r="A1103" i="12"/>
  <c r="A1102" i="12"/>
  <c r="A1101" i="12"/>
  <c r="A1100" i="12"/>
  <c r="A1099" i="12"/>
  <c r="A1098" i="12"/>
  <c r="A1097" i="12"/>
  <c r="A1096" i="12"/>
  <c r="A1095" i="12"/>
  <c r="A1094" i="12"/>
  <c r="A1093" i="12"/>
  <c r="A1092" i="12"/>
  <c r="A1091" i="12"/>
  <c r="A1090" i="12"/>
  <c r="A1089" i="12"/>
  <c r="A1088" i="12"/>
  <c r="A1087" i="12"/>
  <c r="A1086" i="12"/>
  <c r="A1085" i="12"/>
  <c r="A1084" i="12"/>
  <c r="A1083" i="12"/>
  <c r="A1082" i="12"/>
  <c r="A1081" i="12"/>
  <c r="A1080" i="12"/>
  <c r="A1079" i="12"/>
  <c r="A1078" i="12"/>
  <c r="A1077" i="12"/>
  <c r="A1076" i="12"/>
  <c r="A1075" i="12"/>
  <c r="A1074" i="12"/>
  <c r="A1073" i="12"/>
  <c r="A1072" i="12"/>
  <c r="A1071" i="12"/>
  <c r="A1070" i="12"/>
  <c r="A1069" i="12"/>
  <c r="A1068" i="12"/>
  <c r="A1067" i="12"/>
  <c r="A1066" i="12"/>
  <c r="A1065" i="12"/>
  <c r="A1064" i="12"/>
  <c r="A1063" i="12"/>
  <c r="A1062" i="12"/>
  <c r="A1061" i="12"/>
  <c r="A1060" i="12"/>
  <c r="A1059" i="12"/>
  <c r="A1058" i="12"/>
  <c r="A1057" i="12"/>
  <c r="A1056" i="12"/>
  <c r="A1055" i="12"/>
  <c r="A1054" i="12"/>
  <c r="A1053" i="12"/>
  <c r="A1052" i="12"/>
  <c r="A1051" i="12"/>
  <c r="A1050" i="12"/>
  <c r="A1049" i="12"/>
  <c r="A1048" i="12"/>
  <c r="A1047" i="12"/>
  <c r="A1046" i="12"/>
  <c r="A1045" i="12"/>
  <c r="A1044" i="12"/>
  <c r="A1043" i="12"/>
  <c r="A1042" i="12"/>
  <c r="A1041" i="12"/>
  <c r="A1040" i="12"/>
  <c r="A1039" i="12"/>
  <c r="A1038" i="12"/>
  <c r="A1037" i="12"/>
  <c r="A1036" i="12"/>
  <c r="A1035" i="12"/>
  <c r="A1034" i="12"/>
  <c r="A1033" i="12"/>
  <c r="A1032" i="12"/>
  <c r="A1031" i="12"/>
  <c r="A1030" i="12"/>
  <c r="A1029" i="12"/>
  <c r="A1028" i="12"/>
  <c r="A1027" i="12"/>
  <c r="A1026" i="12"/>
  <c r="A1025" i="12"/>
  <c r="A1024" i="12"/>
  <c r="A1023" i="12"/>
  <c r="A1022" i="12"/>
  <c r="A1021" i="12"/>
  <c r="A1020" i="12"/>
  <c r="A1019" i="12"/>
  <c r="A1018" i="12"/>
  <c r="A1017" i="12"/>
  <c r="A1016" i="12"/>
  <c r="A1015" i="12"/>
  <c r="A1014" i="12"/>
  <c r="A1013" i="12"/>
  <c r="A1012" i="12"/>
  <c r="A1011" i="12"/>
  <c r="A1010" i="12"/>
  <c r="A1009" i="12"/>
  <c r="A1008" i="12"/>
  <c r="A1007" i="12"/>
  <c r="A1006" i="12"/>
  <c r="A1005" i="12"/>
  <c r="A1004" i="12"/>
  <c r="A1003" i="12"/>
  <c r="A1002" i="12"/>
  <c r="A1001" i="12"/>
  <c r="A1000" i="12"/>
  <c r="A999" i="12"/>
  <c r="A998" i="12"/>
  <c r="A997" i="12"/>
  <c r="A996" i="12"/>
  <c r="A995" i="12"/>
  <c r="A994" i="12"/>
  <c r="A993" i="12"/>
  <c r="A992" i="12"/>
  <c r="A991" i="12"/>
  <c r="A990" i="12"/>
  <c r="A989" i="12"/>
  <c r="A988" i="12"/>
  <c r="A987" i="12"/>
  <c r="A986" i="12"/>
  <c r="A985" i="12"/>
  <c r="A984" i="12"/>
  <c r="A983" i="12"/>
  <c r="A982" i="12"/>
  <c r="A981" i="12"/>
  <c r="A980" i="12"/>
  <c r="A979" i="12"/>
  <c r="A978" i="12"/>
  <c r="A977" i="12"/>
  <c r="A976" i="12"/>
  <c r="A975" i="12"/>
  <c r="A974" i="12"/>
  <c r="A973" i="12"/>
  <c r="A972" i="12"/>
  <c r="A971" i="12"/>
  <c r="A970" i="12"/>
  <c r="A969" i="12"/>
  <c r="A968" i="12"/>
  <c r="A967" i="12"/>
  <c r="A966" i="12"/>
  <c r="A965" i="12"/>
  <c r="A964" i="12"/>
  <c r="A963" i="12"/>
  <c r="A962" i="12"/>
  <c r="A961" i="12"/>
  <c r="A960" i="12"/>
  <c r="A959" i="12"/>
  <c r="A958" i="12"/>
  <c r="A957" i="12"/>
  <c r="A956" i="12"/>
  <c r="A955" i="12"/>
  <c r="A954" i="12"/>
  <c r="A953" i="12"/>
  <c r="A952" i="12"/>
  <c r="A951" i="12"/>
  <c r="A950" i="12"/>
  <c r="A949" i="12"/>
  <c r="A948" i="12"/>
  <c r="A947" i="12"/>
  <c r="A946" i="12"/>
  <c r="A945" i="12"/>
  <c r="A944" i="12"/>
  <c r="A943" i="12"/>
  <c r="A942" i="12"/>
  <c r="A941" i="12"/>
  <c r="A940" i="12"/>
  <c r="A939" i="12"/>
  <c r="A938" i="12"/>
  <c r="A937" i="12"/>
  <c r="A936" i="12"/>
  <c r="A935" i="12"/>
  <c r="A934" i="12"/>
  <c r="A933" i="12"/>
  <c r="A932" i="12"/>
  <c r="A931" i="12"/>
  <c r="A930" i="12"/>
  <c r="A929" i="12"/>
  <c r="A928" i="12"/>
  <c r="A927" i="12"/>
  <c r="A926" i="12"/>
  <c r="A925" i="12"/>
  <c r="A924" i="12"/>
  <c r="A923" i="12"/>
  <c r="A922" i="12"/>
  <c r="A921" i="12"/>
  <c r="A920" i="12"/>
  <c r="A919" i="12"/>
  <c r="A918" i="12"/>
  <c r="A917" i="12"/>
  <c r="A916" i="12"/>
  <c r="A915" i="12"/>
  <c r="A914" i="12"/>
  <c r="A913" i="12"/>
  <c r="A912" i="12"/>
  <c r="A911" i="12"/>
  <c r="A910" i="12"/>
  <c r="A909" i="12"/>
  <c r="A908" i="12"/>
  <c r="A907" i="12"/>
  <c r="A906" i="12"/>
  <c r="A905" i="12"/>
  <c r="A904" i="12"/>
  <c r="A903" i="12"/>
  <c r="A902" i="12"/>
  <c r="A901" i="12"/>
  <c r="A900" i="12"/>
  <c r="A899" i="12"/>
  <c r="A898" i="12"/>
  <c r="A897" i="12"/>
  <c r="A896" i="12"/>
  <c r="A895" i="12"/>
  <c r="A894" i="12"/>
  <c r="A893" i="12"/>
  <c r="A892" i="12"/>
  <c r="A891" i="12"/>
  <c r="A890" i="12"/>
  <c r="A889" i="12"/>
  <c r="A888" i="12"/>
  <c r="A887" i="12"/>
  <c r="A886" i="12"/>
  <c r="A885" i="12"/>
  <c r="A884" i="12"/>
  <c r="A883" i="12"/>
  <c r="A882" i="12"/>
  <c r="A881" i="12"/>
  <c r="A880" i="12"/>
  <c r="A879" i="12"/>
  <c r="A878" i="12"/>
  <c r="A877" i="12"/>
  <c r="A876" i="12"/>
  <c r="A875" i="12"/>
  <c r="A874" i="12"/>
  <c r="A873" i="12"/>
  <c r="A872" i="12"/>
  <c r="A871" i="12"/>
  <c r="A870" i="12"/>
  <c r="A869" i="12"/>
  <c r="A868" i="12"/>
  <c r="A867" i="12"/>
  <c r="A866" i="12"/>
  <c r="A865" i="12"/>
  <c r="A864" i="12"/>
  <c r="A863" i="12"/>
  <c r="A862" i="12"/>
  <c r="A861" i="12"/>
  <c r="A860" i="12"/>
  <c r="A859" i="12"/>
  <c r="A858" i="12"/>
  <c r="A857" i="12"/>
  <c r="A856" i="12"/>
  <c r="A855" i="12"/>
  <c r="A854" i="12"/>
  <c r="A853" i="12"/>
  <c r="A852" i="12"/>
  <c r="A851" i="12"/>
  <c r="A850" i="12"/>
  <c r="A849" i="12"/>
  <c r="A848" i="12"/>
  <c r="A847" i="12"/>
  <c r="A846" i="12"/>
  <c r="A845" i="12"/>
  <c r="A844" i="12"/>
  <c r="A843" i="12"/>
  <c r="A842" i="12"/>
  <c r="A841" i="12"/>
  <c r="A840" i="12"/>
  <c r="A839" i="12"/>
  <c r="A838" i="12"/>
  <c r="A837" i="12"/>
  <c r="A836" i="12"/>
  <c r="A835" i="12"/>
  <c r="A834" i="12"/>
  <c r="A833" i="12"/>
  <c r="A832" i="12"/>
  <c r="A831" i="12"/>
  <c r="A830" i="12"/>
  <c r="A829" i="12"/>
  <c r="A828" i="12"/>
  <c r="A827" i="12"/>
  <c r="A826" i="12"/>
  <c r="A825" i="12"/>
  <c r="A824" i="12"/>
  <c r="A823" i="12"/>
  <c r="A822" i="12"/>
  <c r="A821" i="12"/>
  <c r="A820" i="12"/>
  <c r="A819" i="12"/>
  <c r="A818" i="12"/>
  <c r="A817" i="12"/>
  <c r="A816" i="12"/>
  <c r="A815" i="12"/>
  <c r="A814" i="12"/>
  <c r="A813" i="12"/>
  <c r="A812" i="12"/>
  <c r="A811" i="12"/>
  <c r="A810" i="12"/>
  <c r="A809" i="12"/>
  <c r="A808" i="12"/>
  <c r="A807" i="12"/>
  <c r="A806" i="12"/>
  <c r="A805" i="12"/>
  <c r="A804" i="12"/>
  <c r="A803" i="12"/>
  <c r="A802" i="12"/>
  <c r="A801" i="12"/>
  <c r="A800" i="12"/>
  <c r="A799" i="12"/>
  <c r="A798" i="12"/>
  <c r="A797" i="12"/>
  <c r="A796" i="12"/>
  <c r="A795" i="12"/>
  <c r="A794" i="12"/>
  <c r="A793" i="12"/>
  <c r="A792" i="12"/>
  <c r="A791" i="12"/>
  <c r="A790" i="12"/>
  <c r="A789" i="12"/>
  <c r="A788" i="12"/>
  <c r="A787" i="12"/>
  <c r="A786" i="12"/>
  <c r="A785" i="12"/>
  <c r="A784" i="12"/>
  <c r="A783" i="12"/>
  <c r="A782" i="12"/>
  <c r="A781" i="12"/>
  <c r="A780" i="12"/>
  <c r="A779" i="12"/>
  <c r="A778" i="12"/>
  <c r="A777" i="12"/>
  <c r="A776" i="12"/>
  <c r="A775" i="12"/>
  <c r="A774" i="12"/>
  <c r="A773" i="12"/>
  <c r="A772" i="12"/>
  <c r="A771" i="12"/>
  <c r="A770" i="12"/>
  <c r="A769" i="12"/>
  <c r="A768" i="12"/>
  <c r="A767" i="12"/>
  <c r="A766" i="12"/>
  <c r="A765" i="12"/>
  <c r="A764" i="12"/>
  <c r="A763" i="12"/>
  <c r="A762" i="12"/>
  <c r="A761" i="12"/>
  <c r="A760" i="12"/>
  <c r="A759" i="12"/>
  <c r="A758" i="12"/>
  <c r="A757" i="12"/>
  <c r="A756" i="12"/>
  <c r="A755" i="12"/>
  <c r="A754" i="12"/>
  <c r="A753" i="12"/>
  <c r="A752" i="12"/>
  <c r="A751" i="12"/>
  <c r="A750" i="12"/>
  <c r="A749" i="12"/>
  <c r="A748" i="12"/>
  <c r="A747" i="12"/>
  <c r="A746" i="12"/>
  <c r="A745" i="12"/>
  <c r="A744" i="12"/>
  <c r="A743" i="12"/>
  <c r="A742" i="12"/>
  <c r="A741" i="12"/>
  <c r="A740" i="12"/>
  <c r="A739" i="12"/>
  <c r="A738" i="12"/>
  <c r="A737" i="12"/>
  <c r="A736" i="12"/>
  <c r="A735" i="12"/>
  <c r="A734" i="12"/>
  <c r="A733" i="12"/>
  <c r="A732" i="12"/>
  <c r="A731" i="12"/>
  <c r="A730" i="12"/>
  <c r="A729" i="12"/>
  <c r="A728" i="12"/>
  <c r="A727" i="12"/>
  <c r="A726" i="12"/>
  <c r="A725" i="12"/>
  <c r="A724" i="12"/>
  <c r="A723" i="12"/>
  <c r="A722" i="12"/>
  <c r="A721" i="12"/>
  <c r="A720" i="12"/>
  <c r="A719" i="12"/>
  <c r="A718" i="12"/>
  <c r="A717" i="12"/>
  <c r="A716" i="12"/>
  <c r="A715" i="12"/>
  <c r="A714" i="12"/>
  <c r="A713" i="12"/>
  <c r="A712" i="12"/>
  <c r="A711" i="12"/>
  <c r="A710" i="12"/>
  <c r="A709" i="12"/>
  <c r="A708" i="12"/>
  <c r="A707" i="12"/>
  <c r="A706" i="12"/>
  <c r="A705" i="12"/>
  <c r="A704" i="12"/>
  <c r="A703" i="12"/>
  <c r="A702" i="12"/>
  <c r="A701" i="12"/>
  <c r="A700" i="12"/>
  <c r="A699" i="12"/>
  <c r="A698" i="12"/>
  <c r="A697" i="12"/>
  <c r="A696" i="12"/>
  <c r="A695" i="12"/>
  <c r="A694" i="12"/>
  <c r="A693" i="12"/>
  <c r="A692" i="12"/>
  <c r="A691" i="12"/>
  <c r="A690" i="12"/>
  <c r="A689" i="12"/>
  <c r="A688" i="12"/>
  <c r="A687" i="12"/>
  <c r="A686" i="12"/>
  <c r="A685" i="12"/>
  <c r="A684" i="12"/>
  <c r="A683" i="12"/>
  <c r="A682" i="12"/>
  <c r="A681" i="12"/>
  <c r="A680" i="12"/>
  <c r="A679" i="12"/>
  <c r="A678" i="12"/>
  <c r="A677" i="12"/>
  <c r="A676" i="12"/>
  <c r="A675" i="12"/>
  <c r="A674" i="12"/>
  <c r="A673" i="12"/>
  <c r="A672" i="12"/>
  <c r="A671" i="12"/>
  <c r="A670" i="12"/>
  <c r="A669" i="12"/>
  <c r="A668" i="12"/>
  <c r="A667" i="12"/>
  <c r="A666" i="12"/>
  <c r="A665" i="12"/>
  <c r="A664" i="12"/>
  <c r="A663" i="12"/>
  <c r="A662" i="12"/>
  <c r="A661" i="12"/>
  <c r="A660" i="12"/>
  <c r="A659" i="12"/>
  <c r="A658" i="12"/>
  <c r="A657" i="12"/>
  <c r="A656" i="12"/>
  <c r="A655" i="12"/>
  <c r="A654" i="12"/>
  <c r="A653" i="12"/>
  <c r="A652" i="12"/>
  <c r="A651" i="12"/>
  <c r="A650" i="12"/>
  <c r="A649" i="12"/>
  <c r="A648" i="12"/>
  <c r="A647" i="12"/>
  <c r="A646" i="12"/>
  <c r="A645" i="12"/>
  <c r="A644" i="12"/>
  <c r="A643" i="12"/>
  <c r="A642" i="12"/>
  <c r="A641" i="12"/>
  <c r="A640" i="12"/>
  <c r="A639" i="12"/>
  <c r="A638" i="12"/>
  <c r="A637" i="12"/>
  <c r="A636" i="12"/>
  <c r="A635" i="12"/>
  <c r="A634" i="12"/>
  <c r="A633" i="12"/>
  <c r="A632" i="12"/>
  <c r="A631" i="12"/>
  <c r="A630" i="12"/>
  <c r="A629" i="12"/>
  <c r="A628" i="12"/>
  <c r="A627" i="12"/>
  <c r="A626" i="12"/>
  <c r="A625" i="12"/>
  <c r="A624" i="12"/>
  <c r="A623" i="12"/>
  <c r="A622" i="12"/>
  <c r="A621" i="12"/>
  <c r="A620" i="12"/>
  <c r="A619" i="12"/>
  <c r="A618" i="12"/>
  <c r="A617" i="12"/>
  <c r="A616" i="12"/>
  <c r="A615" i="12"/>
  <c r="A614" i="12"/>
  <c r="A613" i="12"/>
  <c r="A612" i="12"/>
  <c r="A611" i="12"/>
  <c r="A610" i="12"/>
  <c r="A609" i="12"/>
  <c r="A608" i="12"/>
  <c r="A607" i="12"/>
  <c r="A606" i="12"/>
  <c r="A605" i="12"/>
  <c r="A604" i="12"/>
  <c r="A603" i="12"/>
  <c r="A602" i="12"/>
  <c r="A601" i="12"/>
  <c r="A600" i="12"/>
  <c r="A599" i="12"/>
  <c r="A598" i="12"/>
  <c r="A597" i="12"/>
  <c r="A596" i="12"/>
  <c r="A595" i="12"/>
  <c r="A594" i="12"/>
  <c r="A593" i="12"/>
  <c r="A592" i="12"/>
  <c r="A591" i="12"/>
  <c r="A590" i="12"/>
  <c r="A589" i="12"/>
  <c r="A588" i="12"/>
  <c r="A587" i="12"/>
  <c r="A586" i="12"/>
  <c r="A585" i="12"/>
  <c r="A584" i="12"/>
  <c r="A583" i="12"/>
  <c r="A582" i="12"/>
  <c r="A581" i="12"/>
  <c r="A580" i="12"/>
  <c r="A579" i="12"/>
  <c r="A578" i="12"/>
  <c r="A577" i="12"/>
  <c r="A576" i="12"/>
  <c r="A575" i="12"/>
  <c r="A574" i="12"/>
  <c r="A573" i="12"/>
  <c r="A572" i="12"/>
  <c r="A571" i="12"/>
  <c r="A570" i="12"/>
  <c r="A569" i="12"/>
  <c r="A568" i="12"/>
  <c r="A567" i="12"/>
  <c r="A566" i="12"/>
  <c r="A565" i="12"/>
  <c r="A564" i="12"/>
  <c r="A563" i="12"/>
  <c r="A562" i="12"/>
  <c r="A561" i="12"/>
  <c r="A560" i="12"/>
  <c r="A559" i="12"/>
  <c r="A558" i="12"/>
  <c r="A557" i="12"/>
  <c r="A556" i="12"/>
  <c r="A555" i="12"/>
  <c r="A554" i="12"/>
  <c r="A553" i="12"/>
  <c r="A552" i="12"/>
  <c r="A551" i="12"/>
  <c r="A550" i="12"/>
  <c r="A549" i="12"/>
  <c r="A548" i="12"/>
  <c r="A547" i="12"/>
  <c r="A546" i="12"/>
  <c r="A545" i="12"/>
  <c r="A544" i="12"/>
  <c r="A543" i="12"/>
  <c r="A542" i="12"/>
  <c r="A541" i="12"/>
  <c r="A540" i="12"/>
  <c r="A539" i="12"/>
  <c r="A538" i="12"/>
  <c r="A537" i="12"/>
  <c r="A536" i="12"/>
  <c r="A535" i="12"/>
  <c r="A534" i="12"/>
  <c r="A533" i="12"/>
  <c r="A532" i="12"/>
  <c r="A531" i="12"/>
  <c r="A530" i="12"/>
  <c r="A529" i="12"/>
  <c r="A528" i="12"/>
  <c r="A527" i="12"/>
  <c r="A526" i="12"/>
  <c r="A525" i="12"/>
  <c r="A524" i="12"/>
  <c r="A523" i="12"/>
  <c r="A522" i="12"/>
  <c r="A521" i="12"/>
  <c r="A520" i="12"/>
  <c r="A519" i="12"/>
  <c r="A518" i="12"/>
  <c r="A517" i="12"/>
  <c r="A516" i="12"/>
  <c r="A515" i="12"/>
  <c r="A514" i="12"/>
  <c r="A513" i="12"/>
  <c r="A512" i="12"/>
  <c r="A511" i="12"/>
  <c r="A510" i="12"/>
  <c r="A509" i="12"/>
  <c r="A508" i="12"/>
  <c r="A507" i="12"/>
  <c r="A506" i="12"/>
  <c r="A505" i="12"/>
  <c r="A504" i="12"/>
  <c r="A503" i="12"/>
  <c r="A502" i="12"/>
  <c r="A501" i="12"/>
  <c r="A500" i="12"/>
  <c r="A499" i="12"/>
  <c r="A498" i="12"/>
  <c r="A497" i="12"/>
  <c r="A496" i="12"/>
  <c r="A495" i="12"/>
  <c r="A494" i="12"/>
  <c r="A493" i="12"/>
  <c r="A492" i="12"/>
  <c r="A491" i="12"/>
  <c r="A490" i="12"/>
  <c r="A489" i="12"/>
  <c r="A488" i="12"/>
  <c r="A487" i="12"/>
  <c r="A486" i="12"/>
  <c r="A485" i="12"/>
  <c r="A484" i="12"/>
  <c r="A483" i="12"/>
  <c r="A482" i="12"/>
  <c r="A481" i="12"/>
  <c r="A480" i="12"/>
  <c r="A479" i="12"/>
  <c r="A478" i="12"/>
  <c r="A477" i="12"/>
  <c r="A476" i="12"/>
  <c r="A475" i="12"/>
  <c r="A474" i="12"/>
  <c r="A473" i="12"/>
  <c r="A472" i="12"/>
  <c r="A471" i="12"/>
  <c r="A470" i="12"/>
  <c r="A469" i="12"/>
  <c r="A468" i="12"/>
  <c r="A467" i="12"/>
  <c r="A466" i="12"/>
  <c r="A465" i="12"/>
  <c r="A464" i="12"/>
  <c r="A463" i="12"/>
  <c r="A462" i="12"/>
  <c r="A461" i="12"/>
  <c r="A460" i="12"/>
  <c r="A459" i="12"/>
  <c r="A458" i="12"/>
  <c r="A457" i="12"/>
  <c r="A456" i="12"/>
  <c r="A455" i="12"/>
  <c r="A454" i="12"/>
  <c r="A453" i="12"/>
  <c r="A452" i="12"/>
  <c r="A451" i="12"/>
  <c r="A450" i="12"/>
  <c r="A449" i="12"/>
  <c r="A448" i="12"/>
  <c r="A447" i="12"/>
  <c r="A446" i="12"/>
  <c r="A445" i="12"/>
  <c r="A444" i="12"/>
  <c r="A443" i="12"/>
  <c r="A442" i="12"/>
  <c r="A441" i="12"/>
  <c r="A440" i="12"/>
  <c r="A439" i="12"/>
  <c r="A438" i="12"/>
  <c r="A437" i="12"/>
  <c r="A436" i="12"/>
  <c r="A435" i="12"/>
  <c r="A434" i="12"/>
  <c r="A433" i="12"/>
  <c r="A432" i="12"/>
  <c r="A431" i="12"/>
  <c r="A430" i="12"/>
  <c r="A429" i="12"/>
  <c r="A428" i="12"/>
  <c r="A427" i="12"/>
  <c r="A426" i="12"/>
  <c r="A425" i="12"/>
  <c r="A424" i="12"/>
  <c r="A423" i="12"/>
  <c r="A422" i="12"/>
  <c r="A421" i="12"/>
  <c r="A420" i="12"/>
  <c r="A419" i="12"/>
  <c r="A418" i="12"/>
  <c r="A417" i="12"/>
  <c r="A416" i="12"/>
  <c r="A415" i="12"/>
  <c r="A414" i="12"/>
  <c r="A413" i="12"/>
  <c r="A412" i="12"/>
  <c r="A411" i="12"/>
  <c r="A410" i="12"/>
  <c r="A409" i="12"/>
  <c r="A408" i="12"/>
  <c r="A407" i="12"/>
  <c r="A406" i="12"/>
  <c r="A405" i="12"/>
  <c r="A404" i="12"/>
  <c r="A403" i="12"/>
  <c r="A402" i="12"/>
  <c r="A401" i="12"/>
  <c r="A400" i="12"/>
  <c r="A399" i="12"/>
  <c r="A398" i="12"/>
  <c r="A397" i="12"/>
  <c r="A396" i="12"/>
  <c r="A395" i="12"/>
  <c r="A394" i="12"/>
  <c r="A393" i="12"/>
  <c r="A392" i="12"/>
  <c r="A391" i="12"/>
  <c r="A390" i="12"/>
  <c r="A389" i="12"/>
  <c r="A388" i="12"/>
  <c r="A387" i="12"/>
  <c r="A386" i="12"/>
  <c r="A385" i="12"/>
  <c r="A384" i="12"/>
  <c r="A383" i="12"/>
  <c r="A382" i="12"/>
  <c r="A381" i="12"/>
  <c r="A380" i="12"/>
  <c r="A379" i="12"/>
  <c r="A378" i="12"/>
  <c r="A377" i="12"/>
  <c r="A376" i="12"/>
  <c r="A375" i="12"/>
  <c r="A374" i="12"/>
  <c r="A373" i="12"/>
  <c r="A372" i="12"/>
  <c r="A371" i="12"/>
  <c r="A370" i="12"/>
  <c r="A369" i="12"/>
  <c r="A368" i="12"/>
  <c r="A367" i="12"/>
  <c r="A366" i="12"/>
  <c r="A365" i="12"/>
  <c r="A364" i="12"/>
  <c r="A363" i="12"/>
  <c r="A362" i="12"/>
  <c r="A361" i="12"/>
  <c r="A360" i="12"/>
  <c r="A359" i="12"/>
  <c r="A358" i="12"/>
  <c r="A357" i="12"/>
  <c r="A356" i="12"/>
  <c r="A355" i="12"/>
  <c r="A354" i="12"/>
  <c r="A353" i="12"/>
  <c r="A352" i="12"/>
  <c r="A351" i="12"/>
  <c r="A350" i="12"/>
  <c r="A349" i="12"/>
  <c r="A348" i="12"/>
  <c r="A347" i="12"/>
  <c r="A346" i="12"/>
  <c r="A345" i="12"/>
  <c r="A344" i="12"/>
  <c r="A343" i="12"/>
  <c r="A342" i="12"/>
  <c r="A341" i="12"/>
  <c r="A340" i="12"/>
  <c r="A339" i="12"/>
  <c r="A338" i="12"/>
  <c r="A337" i="12"/>
  <c r="A336" i="12"/>
  <c r="A335" i="12"/>
  <c r="A334" i="12"/>
  <c r="A333" i="12"/>
  <c r="A332" i="12"/>
  <c r="A331" i="12"/>
  <c r="A330" i="12"/>
  <c r="A329" i="12"/>
  <c r="A328" i="12"/>
  <c r="A327" i="12"/>
  <c r="A326" i="12"/>
  <c r="A325" i="12"/>
  <c r="A324" i="12"/>
  <c r="A323" i="12"/>
  <c r="A322" i="12"/>
  <c r="A321" i="12"/>
  <c r="A320" i="12"/>
  <c r="A319" i="12"/>
  <c r="A318" i="12"/>
  <c r="A317" i="12"/>
  <c r="A316" i="12"/>
  <c r="A315" i="12"/>
  <c r="A314" i="12"/>
  <c r="A313" i="12"/>
  <c r="A312" i="12"/>
  <c r="A311" i="12"/>
  <c r="A310" i="12"/>
  <c r="A309" i="12"/>
  <c r="A308" i="12"/>
  <c r="A307" i="12"/>
  <c r="A306" i="12"/>
  <c r="A305" i="12"/>
  <c r="A304" i="12"/>
  <c r="A303" i="12"/>
  <c r="A302" i="12"/>
  <c r="A301" i="12"/>
  <c r="A300" i="12"/>
  <c r="A299" i="12"/>
  <c r="A298" i="12"/>
  <c r="A297" i="12"/>
  <c r="A296" i="12"/>
  <c r="A295" i="12"/>
  <c r="A294" i="12"/>
  <c r="A293" i="12"/>
  <c r="A292" i="12"/>
  <c r="A291" i="12"/>
  <c r="A290" i="12"/>
  <c r="A289" i="12"/>
  <c r="A288" i="12"/>
  <c r="A287" i="12"/>
  <c r="A286" i="12"/>
  <c r="A285" i="12"/>
  <c r="A284" i="12"/>
  <c r="A283" i="12"/>
  <c r="A282" i="12"/>
  <c r="A281" i="12"/>
  <c r="A280" i="12"/>
  <c r="A279" i="12"/>
  <c r="A278" i="12"/>
  <c r="A277" i="12"/>
  <c r="A276" i="12"/>
  <c r="A275" i="12"/>
  <c r="A274" i="12"/>
  <c r="A273" i="12"/>
  <c r="A272" i="12"/>
  <c r="A271" i="12"/>
  <c r="A270" i="12"/>
  <c r="A269" i="12"/>
  <c r="A268" i="12"/>
  <c r="A267" i="12"/>
  <c r="A266" i="12"/>
  <c r="A265" i="12"/>
  <c r="A264" i="12"/>
  <c r="A263" i="12"/>
  <c r="A262" i="12"/>
  <c r="A261" i="12"/>
  <c r="A260" i="12"/>
  <c r="A259" i="12"/>
  <c r="A258" i="12"/>
  <c r="A257" i="12"/>
  <c r="A256" i="12"/>
  <c r="A255" i="12"/>
  <c r="A254" i="12"/>
  <c r="A253" i="12"/>
  <c r="A252" i="12"/>
  <c r="A251" i="12"/>
  <c r="A250" i="12"/>
  <c r="A249" i="12"/>
  <c r="A248" i="12"/>
  <c r="A247" i="12"/>
  <c r="A246" i="12"/>
  <c r="A245" i="12"/>
  <c r="A244" i="12"/>
  <c r="A243" i="12"/>
  <c r="A242" i="12"/>
  <c r="A241" i="12"/>
  <c r="A240" i="12"/>
  <c r="A239" i="12"/>
  <c r="A238" i="12"/>
  <c r="A237" i="12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3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9" i="12"/>
  <c r="A168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47" i="12"/>
  <c r="A146" i="12"/>
  <c r="A145" i="12"/>
  <c r="A144" i="12"/>
  <c r="A143" i="12"/>
  <c r="A142" i="12"/>
  <c r="A141" i="12"/>
  <c r="A140" i="12"/>
  <c r="A139" i="12"/>
  <c r="A138" i="12"/>
  <c r="A137" i="12"/>
  <c r="A136" i="12"/>
  <c r="A135" i="12"/>
  <c r="A134" i="12"/>
  <c r="A133" i="12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R2041" i="14" l="1"/>
  <c r="P2041" i="14"/>
  <c r="R2040" i="14"/>
  <c r="P2040" i="14"/>
  <c r="R2039" i="14"/>
  <c r="P2039" i="14"/>
  <c r="R2038" i="14"/>
  <c r="P2038" i="14"/>
  <c r="R2037" i="14"/>
  <c r="P2037" i="14"/>
  <c r="R2036" i="14"/>
  <c r="P2036" i="14"/>
  <c r="R2035" i="14"/>
  <c r="P2035" i="14"/>
  <c r="R2034" i="14"/>
  <c r="P2034" i="14"/>
  <c r="R2033" i="14"/>
  <c r="P2033" i="14"/>
  <c r="R2032" i="14"/>
  <c r="P2032" i="14"/>
  <c r="R2031" i="14"/>
  <c r="P2031" i="14"/>
  <c r="R2030" i="14"/>
  <c r="P2030" i="14"/>
  <c r="R2029" i="14"/>
  <c r="P2029" i="14"/>
  <c r="R2028" i="14"/>
  <c r="P2028" i="14"/>
  <c r="R2027" i="14"/>
  <c r="P2027" i="14"/>
  <c r="R2026" i="14"/>
  <c r="P2026" i="14"/>
  <c r="R2025" i="14"/>
  <c r="P2025" i="14"/>
  <c r="R2024" i="14"/>
  <c r="P2024" i="14"/>
  <c r="R2023" i="14"/>
  <c r="P2023" i="14"/>
  <c r="R2022" i="14"/>
  <c r="P2022" i="14"/>
  <c r="R2021" i="14"/>
  <c r="P2021" i="14"/>
  <c r="R2020" i="14"/>
  <c r="P2020" i="14"/>
  <c r="R2019" i="14"/>
  <c r="P2019" i="14"/>
  <c r="R2018" i="14"/>
  <c r="P2018" i="14"/>
  <c r="R2017" i="14"/>
  <c r="P2017" i="14"/>
  <c r="R2016" i="14"/>
  <c r="P2016" i="14"/>
  <c r="R2015" i="14"/>
  <c r="P2015" i="14"/>
  <c r="R2014" i="14"/>
  <c r="P2014" i="14"/>
  <c r="R2013" i="14"/>
  <c r="P2013" i="14"/>
  <c r="R2012" i="14"/>
  <c r="P2012" i="14"/>
  <c r="R2011" i="14"/>
  <c r="P2011" i="14"/>
  <c r="R2010" i="14"/>
  <c r="P2010" i="14"/>
  <c r="R2009" i="14"/>
  <c r="P2009" i="14"/>
  <c r="R2008" i="14"/>
  <c r="P2008" i="14"/>
  <c r="R2007" i="14"/>
  <c r="P2007" i="14"/>
  <c r="R2006" i="14"/>
  <c r="P2006" i="14"/>
  <c r="R2005" i="14"/>
  <c r="P2005" i="14"/>
  <c r="R2004" i="14"/>
  <c r="P2004" i="14"/>
  <c r="R2003" i="14"/>
  <c r="P2003" i="14"/>
  <c r="R2002" i="14"/>
  <c r="P2002" i="14"/>
  <c r="R2001" i="14"/>
  <c r="P2001" i="14"/>
  <c r="R2000" i="14"/>
  <c r="P2000" i="14"/>
  <c r="R1999" i="14"/>
  <c r="P1999" i="14"/>
  <c r="R1998" i="14"/>
  <c r="P1998" i="14"/>
  <c r="R1997" i="14"/>
  <c r="P1997" i="14"/>
  <c r="R1996" i="14"/>
  <c r="P1996" i="14"/>
  <c r="R1995" i="14"/>
  <c r="P1995" i="14"/>
  <c r="R1994" i="14"/>
  <c r="P1994" i="14"/>
  <c r="R1993" i="14"/>
  <c r="P1993" i="14"/>
  <c r="R1992" i="14"/>
  <c r="P1992" i="14"/>
  <c r="R1991" i="14"/>
  <c r="P1991" i="14"/>
  <c r="R1990" i="14"/>
  <c r="P1990" i="14"/>
  <c r="R1989" i="14"/>
  <c r="P1989" i="14"/>
  <c r="R1988" i="14"/>
  <c r="P1988" i="14"/>
  <c r="R1987" i="14"/>
  <c r="P1987" i="14"/>
  <c r="R1986" i="14"/>
  <c r="P1986" i="14"/>
  <c r="R1985" i="14"/>
  <c r="P1985" i="14"/>
  <c r="R1984" i="14"/>
  <c r="P1984" i="14"/>
  <c r="R1983" i="14"/>
  <c r="P1983" i="14"/>
  <c r="R1982" i="14"/>
  <c r="P1982" i="14"/>
  <c r="R1981" i="14"/>
  <c r="P1981" i="14"/>
  <c r="R1980" i="14"/>
  <c r="P1980" i="14"/>
  <c r="R1979" i="14"/>
  <c r="P1979" i="14"/>
  <c r="R1978" i="14"/>
  <c r="P1978" i="14"/>
  <c r="R1977" i="14"/>
  <c r="P1977" i="14"/>
  <c r="R1976" i="14"/>
  <c r="P1976" i="14"/>
  <c r="R1975" i="14"/>
  <c r="P1975" i="14"/>
  <c r="R1974" i="14"/>
  <c r="P1974" i="14"/>
  <c r="R1973" i="14"/>
  <c r="P1973" i="14"/>
  <c r="R1972" i="14"/>
  <c r="P1972" i="14"/>
  <c r="R1971" i="14"/>
  <c r="P1971" i="14"/>
  <c r="R1970" i="14"/>
  <c r="P1970" i="14"/>
  <c r="R1969" i="14"/>
  <c r="P1969" i="14"/>
  <c r="R1968" i="14"/>
  <c r="P1968" i="14"/>
  <c r="R1967" i="14"/>
  <c r="P1967" i="14"/>
  <c r="R1966" i="14"/>
  <c r="P1966" i="14"/>
  <c r="R1965" i="14"/>
  <c r="P1965" i="14"/>
  <c r="R1964" i="14"/>
  <c r="P1964" i="14"/>
  <c r="R1963" i="14"/>
  <c r="P1963" i="14"/>
  <c r="R1962" i="14"/>
  <c r="P1962" i="14"/>
  <c r="R1961" i="14"/>
  <c r="P1961" i="14"/>
  <c r="R1960" i="14"/>
  <c r="P1960" i="14"/>
  <c r="R1959" i="14"/>
  <c r="P1959" i="14"/>
  <c r="R1958" i="14"/>
  <c r="P1958" i="14"/>
  <c r="R1957" i="14"/>
  <c r="P1957" i="14"/>
  <c r="R1956" i="14"/>
  <c r="P1956" i="14"/>
  <c r="R1955" i="14"/>
  <c r="P1955" i="14"/>
  <c r="R1954" i="14"/>
  <c r="P1954" i="14"/>
  <c r="R1953" i="14"/>
  <c r="P1953" i="14"/>
  <c r="R1952" i="14"/>
  <c r="P1952" i="14"/>
  <c r="R1951" i="14"/>
  <c r="P1951" i="14"/>
  <c r="R1950" i="14"/>
  <c r="P1950" i="14"/>
  <c r="R1949" i="14"/>
  <c r="P1949" i="14"/>
  <c r="R1948" i="14"/>
  <c r="P1948" i="14"/>
  <c r="R1947" i="14"/>
  <c r="P1947" i="14"/>
  <c r="R1946" i="14"/>
  <c r="P1946" i="14"/>
  <c r="R1945" i="14"/>
  <c r="P1945" i="14"/>
  <c r="R1944" i="14"/>
  <c r="P1944" i="14"/>
  <c r="R1943" i="14"/>
  <c r="P1943" i="14"/>
  <c r="R1942" i="14"/>
  <c r="P1942" i="14"/>
  <c r="R1941" i="14"/>
  <c r="P1941" i="14"/>
  <c r="R1940" i="14"/>
  <c r="P1940" i="14"/>
  <c r="R1939" i="14"/>
  <c r="P1939" i="14"/>
  <c r="R1938" i="14"/>
  <c r="P1938" i="14"/>
  <c r="R1937" i="14"/>
  <c r="P1937" i="14"/>
  <c r="R1936" i="14"/>
  <c r="P1936" i="14"/>
  <c r="R1935" i="14"/>
  <c r="P1935" i="14"/>
  <c r="R1934" i="14"/>
  <c r="P1934" i="14"/>
  <c r="R1933" i="14"/>
  <c r="P1933" i="14"/>
  <c r="R1932" i="14"/>
  <c r="P1932" i="14"/>
  <c r="R1931" i="14"/>
  <c r="P1931" i="14"/>
  <c r="R1930" i="14"/>
  <c r="P1930" i="14"/>
  <c r="R1929" i="14"/>
  <c r="P1929" i="14"/>
  <c r="R1928" i="14"/>
  <c r="P1928" i="14"/>
  <c r="R1927" i="14"/>
  <c r="P1927" i="14"/>
  <c r="R1926" i="14"/>
  <c r="P1926" i="14"/>
  <c r="R1925" i="14"/>
  <c r="P1925" i="14"/>
  <c r="R1924" i="14"/>
  <c r="P1924" i="14"/>
  <c r="R1923" i="14"/>
  <c r="P1923" i="14"/>
  <c r="R1922" i="14"/>
  <c r="P1922" i="14"/>
  <c r="R1921" i="14"/>
  <c r="P1921" i="14"/>
  <c r="R1920" i="14"/>
  <c r="P1920" i="14"/>
  <c r="R1919" i="14"/>
  <c r="P1919" i="14"/>
  <c r="R1918" i="14"/>
  <c r="P1918" i="14"/>
  <c r="R1917" i="14"/>
  <c r="P1917" i="14"/>
  <c r="R1916" i="14"/>
  <c r="P1916" i="14"/>
  <c r="R1915" i="14"/>
  <c r="P1915" i="14"/>
  <c r="R1914" i="14"/>
  <c r="P1914" i="14"/>
  <c r="R1913" i="14"/>
  <c r="P1913" i="14"/>
  <c r="R1912" i="14"/>
  <c r="P1912" i="14"/>
  <c r="R1911" i="14"/>
  <c r="P1911" i="14"/>
  <c r="R1910" i="14"/>
  <c r="P1910" i="14"/>
  <c r="R1909" i="14"/>
  <c r="P1909" i="14"/>
  <c r="R1908" i="14"/>
  <c r="P1908" i="14"/>
  <c r="R1907" i="14"/>
  <c r="P1907" i="14"/>
  <c r="R1906" i="14"/>
  <c r="P1906" i="14"/>
  <c r="R1905" i="14"/>
  <c r="P1905" i="14"/>
  <c r="R1904" i="14"/>
  <c r="P1904" i="14"/>
  <c r="R1903" i="14"/>
  <c r="P1903" i="14"/>
  <c r="R1902" i="14"/>
  <c r="P1902" i="14"/>
  <c r="R1901" i="14"/>
  <c r="P1901" i="14"/>
  <c r="R1900" i="14"/>
  <c r="P1900" i="14"/>
  <c r="R1899" i="14"/>
  <c r="P1899" i="14"/>
  <c r="R1898" i="14"/>
  <c r="P1898" i="14"/>
  <c r="R1897" i="14"/>
  <c r="P1897" i="14"/>
  <c r="R1896" i="14"/>
  <c r="P1896" i="14"/>
  <c r="R1895" i="14"/>
  <c r="P1895" i="14"/>
  <c r="R1894" i="14"/>
  <c r="P1894" i="14"/>
  <c r="R1893" i="14"/>
  <c r="P1893" i="14"/>
  <c r="R1892" i="14"/>
  <c r="P1892" i="14"/>
  <c r="R1891" i="14"/>
  <c r="P1891" i="14"/>
  <c r="R1890" i="14"/>
  <c r="P1890" i="14"/>
  <c r="R1889" i="14"/>
  <c r="P1889" i="14"/>
  <c r="R1888" i="14"/>
  <c r="P1888" i="14"/>
  <c r="R1887" i="14"/>
  <c r="P1887" i="14"/>
  <c r="R1886" i="14"/>
  <c r="P1886" i="14"/>
  <c r="R1885" i="14"/>
  <c r="P1885" i="14"/>
  <c r="R1884" i="14"/>
  <c r="P1884" i="14"/>
  <c r="R1883" i="14"/>
  <c r="P1883" i="14"/>
  <c r="R1882" i="14"/>
  <c r="P1882" i="14"/>
  <c r="R1881" i="14"/>
  <c r="P1881" i="14"/>
  <c r="R1880" i="14"/>
  <c r="P1880" i="14"/>
  <c r="R1879" i="14"/>
  <c r="P1879" i="14"/>
  <c r="R1878" i="14"/>
  <c r="P1878" i="14"/>
  <c r="R1877" i="14"/>
  <c r="P1877" i="14"/>
  <c r="R1876" i="14"/>
  <c r="P1876" i="14"/>
  <c r="R1875" i="14"/>
  <c r="P1875" i="14"/>
  <c r="R1874" i="14"/>
  <c r="P1874" i="14"/>
  <c r="R1873" i="14"/>
  <c r="P1873" i="14"/>
  <c r="R1872" i="14"/>
  <c r="P1872" i="14"/>
  <c r="R1871" i="14"/>
  <c r="P1871" i="14"/>
  <c r="R1870" i="14"/>
  <c r="P1870" i="14"/>
  <c r="R1869" i="14"/>
  <c r="P1869" i="14"/>
  <c r="R1868" i="14"/>
  <c r="P1868" i="14"/>
  <c r="R1867" i="14"/>
  <c r="P1867" i="14"/>
  <c r="R1866" i="14"/>
  <c r="P1866" i="14"/>
  <c r="R1865" i="14"/>
  <c r="P1865" i="14"/>
  <c r="R1864" i="14"/>
  <c r="P1864" i="14"/>
  <c r="R1863" i="14"/>
  <c r="P1863" i="14"/>
  <c r="R1862" i="14"/>
  <c r="P1862" i="14"/>
  <c r="R1861" i="14"/>
  <c r="P1861" i="14"/>
  <c r="R1860" i="14"/>
  <c r="P1860" i="14"/>
  <c r="R1859" i="14"/>
  <c r="P1859" i="14"/>
  <c r="R1858" i="14"/>
  <c r="P1858" i="14"/>
  <c r="R1857" i="14"/>
  <c r="P1857" i="14"/>
  <c r="R1856" i="14"/>
  <c r="P1856" i="14"/>
  <c r="R1855" i="14"/>
  <c r="P1855" i="14"/>
  <c r="R1854" i="14"/>
  <c r="P1854" i="14"/>
  <c r="R1853" i="14"/>
  <c r="P1853" i="14"/>
  <c r="R1852" i="14"/>
  <c r="P1852" i="14"/>
  <c r="R1851" i="14"/>
  <c r="P1851" i="14"/>
  <c r="R1850" i="14"/>
  <c r="P1850" i="14"/>
  <c r="R1849" i="14"/>
  <c r="P1849" i="14"/>
  <c r="R1848" i="14"/>
  <c r="P1848" i="14"/>
  <c r="R1847" i="14"/>
  <c r="P1847" i="14"/>
  <c r="R1846" i="14"/>
  <c r="P1846" i="14"/>
  <c r="R1845" i="14"/>
  <c r="P1845" i="14"/>
  <c r="R1844" i="14"/>
  <c r="P1844" i="14"/>
  <c r="R1843" i="14"/>
  <c r="P1843" i="14"/>
  <c r="R1842" i="14"/>
  <c r="P1842" i="14"/>
  <c r="R1841" i="14"/>
  <c r="P1841" i="14"/>
  <c r="R1840" i="14"/>
  <c r="P1840" i="14"/>
  <c r="R1839" i="14"/>
  <c r="P1839" i="14"/>
  <c r="R1838" i="14"/>
  <c r="P1838" i="14"/>
  <c r="R1837" i="14"/>
  <c r="P1837" i="14"/>
  <c r="R1836" i="14"/>
  <c r="P1836" i="14"/>
  <c r="R1835" i="14"/>
  <c r="P1835" i="14"/>
  <c r="R1834" i="14"/>
  <c r="P1834" i="14"/>
  <c r="R1833" i="14"/>
  <c r="P1833" i="14"/>
  <c r="R1832" i="14"/>
  <c r="P1832" i="14"/>
  <c r="R1831" i="14"/>
  <c r="P1831" i="14"/>
  <c r="R1830" i="14"/>
  <c r="P1830" i="14"/>
  <c r="R1829" i="14"/>
  <c r="P1829" i="14"/>
  <c r="R1828" i="14"/>
  <c r="P1828" i="14"/>
  <c r="R1827" i="14"/>
  <c r="P1827" i="14"/>
  <c r="R1826" i="14"/>
  <c r="P1826" i="14"/>
  <c r="R1825" i="14"/>
  <c r="P1825" i="14"/>
  <c r="R1824" i="14"/>
  <c r="P1824" i="14"/>
  <c r="R1823" i="14"/>
  <c r="P1823" i="14"/>
  <c r="R1822" i="14"/>
  <c r="P1822" i="14"/>
  <c r="R1821" i="14"/>
  <c r="P1821" i="14"/>
  <c r="R1820" i="14"/>
  <c r="P1820" i="14"/>
  <c r="R1819" i="14"/>
  <c r="P1819" i="14"/>
  <c r="R1818" i="14"/>
  <c r="P1818" i="14"/>
  <c r="R1817" i="14"/>
  <c r="P1817" i="14"/>
  <c r="R1816" i="14"/>
  <c r="P1816" i="14"/>
  <c r="R1815" i="14"/>
  <c r="P1815" i="14"/>
  <c r="R1814" i="14"/>
  <c r="P1814" i="14"/>
  <c r="R1813" i="14"/>
  <c r="P1813" i="14"/>
  <c r="R1812" i="14"/>
  <c r="P1812" i="14"/>
  <c r="R1811" i="14"/>
  <c r="P1811" i="14"/>
  <c r="R1810" i="14"/>
  <c r="P1810" i="14"/>
  <c r="R1809" i="14"/>
  <c r="P1809" i="14"/>
  <c r="R1808" i="14"/>
  <c r="P1808" i="14"/>
  <c r="R1807" i="14"/>
  <c r="P1807" i="14"/>
  <c r="R1806" i="14"/>
  <c r="P1806" i="14"/>
  <c r="R1805" i="14"/>
  <c r="P1805" i="14"/>
  <c r="R1804" i="14"/>
  <c r="P1804" i="14"/>
  <c r="R1803" i="14"/>
  <c r="P1803" i="14"/>
  <c r="R1802" i="14"/>
  <c r="P1802" i="14"/>
  <c r="R1801" i="14"/>
  <c r="P1801" i="14"/>
  <c r="R1800" i="14"/>
  <c r="P1800" i="14"/>
  <c r="R1799" i="14"/>
  <c r="P1799" i="14"/>
  <c r="R1798" i="14"/>
  <c r="P1798" i="14"/>
  <c r="R1797" i="14"/>
  <c r="P1797" i="14"/>
  <c r="R1796" i="14"/>
  <c r="P1796" i="14"/>
  <c r="R1795" i="14"/>
  <c r="P1795" i="14"/>
  <c r="R1794" i="14"/>
  <c r="P1794" i="14"/>
  <c r="R1793" i="14"/>
  <c r="P1793" i="14"/>
  <c r="R1792" i="14"/>
  <c r="P1792" i="14"/>
  <c r="R1791" i="14"/>
  <c r="P1791" i="14"/>
  <c r="R1790" i="14"/>
  <c r="P1790" i="14"/>
  <c r="R1789" i="14"/>
  <c r="P1789" i="14"/>
  <c r="R1788" i="14"/>
  <c r="P1788" i="14"/>
  <c r="R1787" i="14"/>
  <c r="P1787" i="14"/>
  <c r="R1786" i="14"/>
  <c r="P1786" i="14"/>
  <c r="R1785" i="14"/>
  <c r="P1785" i="14"/>
  <c r="R1784" i="14"/>
  <c r="P1784" i="14"/>
  <c r="R1783" i="14"/>
  <c r="P1783" i="14"/>
  <c r="R1782" i="14"/>
  <c r="P1782" i="14"/>
  <c r="R1781" i="14"/>
  <c r="P1781" i="14"/>
  <c r="R1780" i="14"/>
  <c r="P1780" i="14"/>
  <c r="R1779" i="14"/>
  <c r="P1779" i="14"/>
  <c r="R1778" i="14"/>
  <c r="P1778" i="14"/>
  <c r="R1777" i="14"/>
  <c r="P1777" i="14"/>
  <c r="R1776" i="14"/>
  <c r="P1776" i="14"/>
  <c r="R1775" i="14"/>
  <c r="P1775" i="14"/>
  <c r="R1774" i="14"/>
  <c r="P1774" i="14"/>
  <c r="R1773" i="14"/>
  <c r="P1773" i="14"/>
  <c r="R1772" i="14"/>
  <c r="P1772" i="14"/>
  <c r="R1771" i="14"/>
  <c r="P1771" i="14"/>
  <c r="R1770" i="14"/>
  <c r="P1770" i="14"/>
  <c r="R1769" i="14"/>
  <c r="P1769" i="14"/>
  <c r="R1768" i="14"/>
  <c r="P1768" i="14"/>
  <c r="R1767" i="14"/>
  <c r="P1767" i="14"/>
  <c r="R1766" i="14"/>
  <c r="P1766" i="14"/>
  <c r="R1765" i="14"/>
  <c r="P1765" i="14"/>
  <c r="R1764" i="14"/>
  <c r="P1764" i="14"/>
  <c r="R1763" i="14"/>
  <c r="P1763" i="14"/>
  <c r="R1762" i="14"/>
  <c r="P1762" i="14"/>
  <c r="R1761" i="14"/>
  <c r="P1761" i="14"/>
  <c r="R1760" i="14"/>
  <c r="P1760" i="14"/>
  <c r="R1759" i="14"/>
  <c r="P1759" i="14"/>
  <c r="R1758" i="14"/>
  <c r="P1758" i="14"/>
  <c r="R1757" i="14"/>
  <c r="P1757" i="14"/>
  <c r="R1756" i="14"/>
  <c r="P1756" i="14"/>
  <c r="R1755" i="14"/>
  <c r="P1755" i="14"/>
  <c r="R1754" i="14"/>
  <c r="P1754" i="14"/>
  <c r="R1753" i="14"/>
  <c r="P1753" i="14"/>
  <c r="R1752" i="14"/>
  <c r="P1752" i="14"/>
  <c r="R1751" i="14"/>
  <c r="P1751" i="14"/>
  <c r="R1750" i="14"/>
  <c r="P1750" i="14"/>
  <c r="R1749" i="14"/>
  <c r="P1749" i="14"/>
  <c r="R1748" i="14"/>
  <c r="P1748" i="14"/>
  <c r="R1747" i="14"/>
  <c r="P1747" i="14"/>
  <c r="R1746" i="14"/>
  <c r="P1746" i="14"/>
  <c r="R1745" i="14"/>
  <c r="P1745" i="14"/>
  <c r="R1744" i="14"/>
  <c r="P1744" i="14"/>
  <c r="R1743" i="14"/>
  <c r="P1743" i="14"/>
  <c r="R1742" i="14"/>
  <c r="P1742" i="14"/>
  <c r="R1741" i="14"/>
  <c r="P1741" i="14"/>
  <c r="R1740" i="14"/>
  <c r="P1740" i="14"/>
  <c r="R1739" i="14"/>
  <c r="P1739" i="14"/>
  <c r="R1738" i="14"/>
  <c r="P1738" i="14"/>
  <c r="R1737" i="14"/>
  <c r="P1737" i="14"/>
  <c r="R1736" i="14"/>
  <c r="P1736" i="14"/>
  <c r="R1735" i="14"/>
  <c r="P1735" i="14"/>
  <c r="R1734" i="14"/>
  <c r="P1734" i="14"/>
  <c r="R1733" i="14"/>
  <c r="P1733" i="14"/>
  <c r="R1732" i="14"/>
  <c r="P1732" i="14"/>
  <c r="R1731" i="14"/>
  <c r="P1731" i="14"/>
  <c r="R1730" i="14"/>
  <c r="P1730" i="14"/>
  <c r="R1729" i="14"/>
  <c r="P1729" i="14"/>
  <c r="R1728" i="14"/>
  <c r="P1728" i="14"/>
  <c r="R1727" i="14"/>
  <c r="P1727" i="14"/>
  <c r="R1726" i="14"/>
  <c r="P1726" i="14"/>
  <c r="R1725" i="14"/>
  <c r="P1725" i="14"/>
  <c r="R1724" i="14"/>
  <c r="P1724" i="14"/>
  <c r="R1723" i="14"/>
  <c r="P1723" i="14"/>
  <c r="R1722" i="14"/>
  <c r="P1722" i="14"/>
  <c r="R1721" i="14"/>
  <c r="P1721" i="14"/>
  <c r="R1720" i="14"/>
  <c r="P1720" i="14"/>
  <c r="R1719" i="14"/>
  <c r="P1719" i="14"/>
  <c r="R1718" i="14"/>
  <c r="P1718" i="14"/>
  <c r="R1717" i="14"/>
  <c r="P1717" i="14"/>
  <c r="R1716" i="14"/>
  <c r="P1716" i="14"/>
  <c r="R1715" i="14"/>
  <c r="P1715" i="14"/>
  <c r="R1714" i="14"/>
  <c r="P1714" i="14"/>
  <c r="R1713" i="14"/>
  <c r="P1713" i="14"/>
  <c r="R1712" i="14"/>
  <c r="P1712" i="14"/>
  <c r="R1711" i="14"/>
  <c r="P1711" i="14"/>
  <c r="R1710" i="14"/>
  <c r="P1710" i="14"/>
  <c r="R1709" i="14"/>
  <c r="P1709" i="14"/>
  <c r="R1708" i="14"/>
  <c r="P1708" i="14"/>
  <c r="R1707" i="14"/>
  <c r="P1707" i="14"/>
  <c r="R1706" i="14"/>
  <c r="P1706" i="14"/>
  <c r="R1705" i="14"/>
  <c r="P1705" i="14"/>
  <c r="R1704" i="14"/>
  <c r="P1704" i="14"/>
  <c r="R1703" i="14"/>
  <c r="P1703" i="14"/>
  <c r="R1702" i="14"/>
  <c r="P1702" i="14"/>
  <c r="R1701" i="14"/>
  <c r="P1701" i="14"/>
  <c r="R1700" i="14"/>
  <c r="P1700" i="14"/>
  <c r="R1699" i="14"/>
  <c r="P1699" i="14"/>
  <c r="R1698" i="14"/>
  <c r="P1698" i="14"/>
  <c r="R1697" i="14"/>
  <c r="P1697" i="14"/>
  <c r="R1696" i="14"/>
  <c r="P1696" i="14"/>
  <c r="R1695" i="14"/>
  <c r="P1695" i="14"/>
  <c r="R1694" i="14"/>
  <c r="P1694" i="14"/>
  <c r="R1693" i="14"/>
  <c r="P1693" i="14"/>
  <c r="R1692" i="14"/>
  <c r="P1692" i="14"/>
  <c r="R1691" i="14"/>
  <c r="P1691" i="14"/>
  <c r="R1690" i="14"/>
  <c r="P1690" i="14"/>
  <c r="R1689" i="14"/>
  <c r="P1689" i="14"/>
  <c r="R1688" i="14"/>
  <c r="P1688" i="14"/>
  <c r="R1687" i="14"/>
  <c r="P1687" i="14"/>
  <c r="R1686" i="14"/>
  <c r="P1686" i="14"/>
  <c r="R1685" i="14"/>
  <c r="P1685" i="14"/>
  <c r="R1684" i="14"/>
  <c r="P1684" i="14"/>
  <c r="R1683" i="14"/>
  <c r="P1683" i="14"/>
  <c r="R1682" i="14"/>
  <c r="P1682" i="14"/>
  <c r="R1681" i="14"/>
  <c r="P1681" i="14"/>
  <c r="R1680" i="14"/>
  <c r="P1680" i="14"/>
  <c r="R1679" i="14"/>
  <c r="P1679" i="14"/>
  <c r="R1678" i="14"/>
  <c r="P1678" i="14"/>
  <c r="R1677" i="14"/>
  <c r="P1677" i="14"/>
  <c r="R1676" i="14"/>
  <c r="P1676" i="14"/>
  <c r="R1675" i="14"/>
  <c r="P1675" i="14"/>
  <c r="R1674" i="14"/>
  <c r="P1674" i="14"/>
  <c r="R1673" i="14"/>
  <c r="P1673" i="14"/>
  <c r="R1672" i="14"/>
  <c r="P1672" i="14"/>
  <c r="R1671" i="14"/>
  <c r="P1671" i="14"/>
  <c r="R1670" i="14"/>
  <c r="P1670" i="14"/>
  <c r="R1669" i="14"/>
  <c r="P1669" i="14"/>
  <c r="R1668" i="14"/>
  <c r="P1668" i="14"/>
  <c r="R1667" i="14"/>
  <c r="P1667" i="14"/>
  <c r="R1666" i="14"/>
  <c r="P1666" i="14"/>
  <c r="R1665" i="14"/>
  <c r="P1665" i="14"/>
  <c r="R1664" i="14"/>
  <c r="P1664" i="14"/>
  <c r="R1663" i="14"/>
  <c r="P1663" i="14"/>
  <c r="R1662" i="14"/>
  <c r="P1662" i="14"/>
  <c r="R1661" i="14"/>
  <c r="P1661" i="14"/>
  <c r="R1660" i="14"/>
  <c r="P1660" i="14"/>
  <c r="R1659" i="14"/>
  <c r="P1659" i="14"/>
  <c r="R1658" i="14"/>
  <c r="P1658" i="14"/>
  <c r="R1657" i="14"/>
  <c r="P1657" i="14"/>
  <c r="R1656" i="14"/>
  <c r="P1656" i="14"/>
  <c r="R1655" i="14"/>
  <c r="P1655" i="14"/>
  <c r="R1654" i="14"/>
  <c r="P1654" i="14"/>
  <c r="R1653" i="14"/>
  <c r="P1653" i="14"/>
  <c r="R1652" i="14"/>
  <c r="P1652" i="14"/>
  <c r="R1651" i="14"/>
  <c r="P1651" i="14"/>
  <c r="R1650" i="14"/>
  <c r="P1650" i="14"/>
  <c r="R1649" i="14"/>
  <c r="P1649" i="14"/>
  <c r="R1648" i="14"/>
  <c r="P1648" i="14"/>
  <c r="R1647" i="14"/>
  <c r="P1647" i="14"/>
  <c r="R1646" i="14"/>
  <c r="P1646" i="14"/>
  <c r="R1645" i="14"/>
  <c r="P1645" i="14"/>
  <c r="R1644" i="14"/>
  <c r="P1644" i="14"/>
  <c r="R1643" i="14"/>
  <c r="P1643" i="14"/>
  <c r="R1642" i="14"/>
  <c r="P1642" i="14"/>
  <c r="R1641" i="14"/>
  <c r="P1641" i="14"/>
  <c r="R1640" i="14"/>
  <c r="P1640" i="14"/>
  <c r="R1639" i="14"/>
  <c r="P1639" i="14"/>
  <c r="R1638" i="14"/>
  <c r="P1638" i="14"/>
  <c r="R1637" i="14"/>
  <c r="P1637" i="14"/>
  <c r="R1636" i="14"/>
  <c r="P1636" i="14"/>
  <c r="R1635" i="14"/>
  <c r="P1635" i="14"/>
  <c r="R1634" i="14"/>
  <c r="P1634" i="14"/>
  <c r="R1633" i="14"/>
  <c r="P1633" i="14"/>
  <c r="R1632" i="14"/>
  <c r="P1632" i="14"/>
  <c r="R1631" i="14"/>
  <c r="P1631" i="14"/>
  <c r="R1630" i="14"/>
  <c r="P1630" i="14"/>
  <c r="R1629" i="14"/>
  <c r="P1629" i="14"/>
  <c r="R1628" i="14"/>
  <c r="P1628" i="14"/>
  <c r="R1627" i="14"/>
  <c r="P1627" i="14"/>
  <c r="R1626" i="14"/>
  <c r="P1626" i="14"/>
  <c r="R1625" i="14"/>
  <c r="P1625" i="14"/>
  <c r="R1624" i="14"/>
  <c r="P1624" i="14"/>
  <c r="R1623" i="14"/>
  <c r="P1623" i="14"/>
  <c r="R1622" i="14"/>
  <c r="P1622" i="14"/>
  <c r="R1621" i="14"/>
  <c r="P1621" i="14"/>
  <c r="R1620" i="14"/>
  <c r="P1620" i="14"/>
  <c r="R1619" i="14"/>
  <c r="P1619" i="14"/>
  <c r="R1618" i="14"/>
  <c r="P1618" i="14"/>
  <c r="R1617" i="14"/>
  <c r="P1617" i="14"/>
  <c r="R1616" i="14"/>
  <c r="P1616" i="14"/>
  <c r="R1615" i="14"/>
  <c r="P1615" i="14"/>
  <c r="R1614" i="14"/>
  <c r="P1614" i="14"/>
  <c r="R1613" i="14"/>
  <c r="P1613" i="14"/>
  <c r="R1612" i="14"/>
  <c r="P1612" i="14"/>
  <c r="R1611" i="14"/>
  <c r="P1611" i="14"/>
  <c r="R1610" i="14"/>
  <c r="P1610" i="14"/>
  <c r="R1609" i="14"/>
  <c r="P1609" i="14"/>
  <c r="R1608" i="14"/>
  <c r="P1608" i="14"/>
  <c r="R1607" i="14"/>
  <c r="P1607" i="14"/>
  <c r="R1606" i="14"/>
  <c r="P1606" i="14"/>
  <c r="R1605" i="14"/>
  <c r="P1605" i="14"/>
  <c r="R1604" i="14"/>
  <c r="P1604" i="14"/>
  <c r="R1603" i="14"/>
  <c r="P1603" i="14"/>
  <c r="R1602" i="14"/>
  <c r="P1602" i="14"/>
  <c r="R1601" i="14"/>
  <c r="P1601" i="14"/>
  <c r="R1600" i="14"/>
  <c r="P1600" i="14"/>
  <c r="R1599" i="14"/>
  <c r="P1599" i="14"/>
  <c r="R1598" i="14"/>
  <c r="P1598" i="14"/>
  <c r="R1597" i="14"/>
  <c r="P1597" i="14"/>
  <c r="R1596" i="14"/>
  <c r="P1596" i="14"/>
  <c r="R1595" i="14"/>
  <c r="P1595" i="14"/>
  <c r="R1594" i="14"/>
  <c r="P1594" i="14"/>
  <c r="R1593" i="14"/>
  <c r="P1593" i="14"/>
  <c r="R1592" i="14"/>
  <c r="P1592" i="14"/>
  <c r="R1591" i="14"/>
  <c r="P1591" i="14"/>
  <c r="R1590" i="14"/>
  <c r="P1590" i="14"/>
  <c r="R1589" i="14"/>
  <c r="P1589" i="14"/>
  <c r="R1588" i="14"/>
  <c r="P1588" i="14"/>
  <c r="R1587" i="14"/>
  <c r="P1587" i="14"/>
  <c r="R1586" i="14"/>
  <c r="P1586" i="14"/>
  <c r="R1585" i="14"/>
  <c r="P1585" i="14"/>
  <c r="R1584" i="14"/>
  <c r="P1584" i="14"/>
  <c r="R1583" i="14"/>
  <c r="P1583" i="14"/>
  <c r="R1582" i="14"/>
  <c r="P1582" i="14"/>
  <c r="R1581" i="14"/>
  <c r="P1581" i="14"/>
  <c r="R1580" i="14"/>
  <c r="P1580" i="14"/>
  <c r="R1579" i="14"/>
  <c r="P1579" i="14"/>
  <c r="R1578" i="14"/>
  <c r="P1578" i="14"/>
  <c r="R1577" i="14"/>
  <c r="P1577" i="14"/>
  <c r="R1576" i="14"/>
  <c r="P1576" i="14"/>
  <c r="R1575" i="14"/>
  <c r="P1575" i="14"/>
  <c r="R1574" i="14"/>
  <c r="P1574" i="14"/>
  <c r="R1573" i="14"/>
  <c r="P1573" i="14"/>
  <c r="R1572" i="14"/>
  <c r="P1572" i="14"/>
  <c r="R1571" i="14"/>
  <c r="P1571" i="14"/>
  <c r="R1570" i="14"/>
  <c r="P1570" i="14"/>
  <c r="R1569" i="14"/>
  <c r="P1569" i="14"/>
  <c r="R1568" i="14"/>
  <c r="P1568" i="14"/>
  <c r="R1567" i="14"/>
  <c r="P1567" i="14"/>
  <c r="R1566" i="14"/>
  <c r="P1566" i="14"/>
  <c r="R1565" i="14"/>
  <c r="P1565" i="14"/>
  <c r="R1564" i="14"/>
  <c r="P1564" i="14"/>
  <c r="R1563" i="14"/>
  <c r="P1563" i="14"/>
  <c r="R1562" i="14"/>
  <c r="P1562" i="14"/>
  <c r="R1561" i="14"/>
  <c r="P1561" i="14"/>
  <c r="R1560" i="14"/>
  <c r="P1560" i="14"/>
  <c r="R1559" i="14"/>
  <c r="P1559" i="14"/>
  <c r="R1558" i="14"/>
  <c r="P1558" i="14"/>
  <c r="R1557" i="14"/>
  <c r="P1557" i="14"/>
  <c r="R1556" i="14"/>
  <c r="P1556" i="14"/>
  <c r="R1555" i="14"/>
  <c r="P1555" i="14"/>
  <c r="R1554" i="14"/>
  <c r="P1554" i="14"/>
  <c r="R1553" i="14"/>
  <c r="P1553" i="14"/>
  <c r="R1552" i="14"/>
  <c r="P1552" i="14"/>
  <c r="R1551" i="14"/>
  <c r="P1551" i="14"/>
  <c r="R1550" i="14"/>
  <c r="P1550" i="14"/>
  <c r="R1549" i="14"/>
  <c r="P1549" i="14"/>
  <c r="R1548" i="14"/>
  <c r="P1548" i="14"/>
  <c r="R1547" i="14"/>
  <c r="P1547" i="14"/>
  <c r="R1546" i="14"/>
  <c r="P1546" i="14"/>
  <c r="R1545" i="14"/>
  <c r="P1545" i="14"/>
  <c r="R1544" i="14"/>
  <c r="P1544" i="14"/>
  <c r="R1543" i="14"/>
  <c r="P1543" i="14"/>
  <c r="R1542" i="14"/>
  <c r="P1542" i="14"/>
  <c r="R1541" i="14"/>
  <c r="P1541" i="14"/>
  <c r="R1540" i="14"/>
  <c r="P1540" i="14"/>
  <c r="R1539" i="14"/>
  <c r="P1539" i="14"/>
  <c r="R1538" i="14"/>
  <c r="P1538" i="14"/>
  <c r="R1537" i="14"/>
  <c r="P1537" i="14"/>
  <c r="R1536" i="14"/>
  <c r="P1536" i="14"/>
  <c r="R1535" i="14"/>
  <c r="P1535" i="14"/>
  <c r="R1534" i="14"/>
  <c r="P1534" i="14"/>
  <c r="R1533" i="14"/>
  <c r="P1533" i="14"/>
  <c r="R1532" i="14"/>
  <c r="P1532" i="14"/>
  <c r="R1531" i="14"/>
  <c r="P1531" i="14"/>
  <c r="R1530" i="14"/>
  <c r="P1530" i="14"/>
  <c r="R1529" i="14"/>
  <c r="P1529" i="14"/>
  <c r="R1528" i="14"/>
  <c r="P1528" i="14"/>
  <c r="R1527" i="14"/>
  <c r="P1527" i="14"/>
  <c r="R1526" i="14"/>
  <c r="P1526" i="14"/>
  <c r="R1525" i="14"/>
  <c r="P1525" i="14"/>
  <c r="R1524" i="14"/>
  <c r="P1524" i="14"/>
  <c r="R1523" i="14"/>
  <c r="P1523" i="14"/>
  <c r="R1522" i="14"/>
  <c r="P1522" i="14"/>
  <c r="R1521" i="14"/>
  <c r="P1521" i="14"/>
  <c r="R1520" i="14"/>
  <c r="P1520" i="14"/>
  <c r="R1519" i="14"/>
  <c r="P1519" i="14"/>
  <c r="R1518" i="14"/>
  <c r="P1518" i="14"/>
  <c r="R1517" i="14"/>
  <c r="P1517" i="14"/>
  <c r="R1516" i="14"/>
  <c r="P1516" i="14"/>
  <c r="R1515" i="14"/>
  <c r="P1515" i="14"/>
  <c r="R1514" i="14"/>
  <c r="P1514" i="14"/>
  <c r="R1513" i="14"/>
  <c r="P1513" i="14"/>
  <c r="R1512" i="14"/>
  <c r="P1512" i="14"/>
  <c r="R1511" i="14"/>
  <c r="P1511" i="14"/>
  <c r="R1510" i="14"/>
  <c r="P1510" i="14"/>
  <c r="R1509" i="14"/>
  <c r="P1509" i="14"/>
  <c r="R1508" i="14"/>
  <c r="P1508" i="14"/>
  <c r="R1507" i="14"/>
  <c r="P1507" i="14"/>
  <c r="R1506" i="14"/>
  <c r="P1506" i="14"/>
  <c r="R1505" i="14"/>
  <c r="P1505" i="14"/>
  <c r="R1504" i="14"/>
  <c r="P1504" i="14"/>
  <c r="R1503" i="14"/>
  <c r="P1503" i="14"/>
  <c r="R1502" i="14"/>
  <c r="P1502" i="14"/>
  <c r="R1501" i="14"/>
  <c r="P1501" i="14"/>
  <c r="R1500" i="14"/>
  <c r="P1500" i="14"/>
  <c r="R1499" i="14"/>
  <c r="P1499" i="14"/>
  <c r="R1498" i="14"/>
  <c r="P1498" i="14"/>
  <c r="R1497" i="14"/>
  <c r="P1497" i="14"/>
  <c r="R1496" i="14"/>
  <c r="P1496" i="14"/>
  <c r="R1495" i="14"/>
  <c r="P1495" i="14"/>
  <c r="R1494" i="14"/>
  <c r="P1494" i="14"/>
  <c r="R1493" i="14"/>
  <c r="P1493" i="14"/>
  <c r="R1492" i="14"/>
  <c r="P1492" i="14"/>
  <c r="R1491" i="14"/>
  <c r="P1491" i="14"/>
  <c r="R1490" i="14"/>
  <c r="P1490" i="14"/>
  <c r="R1489" i="14"/>
  <c r="P1489" i="14"/>
  <c r="R1488" i="14"/>
  <c r="P1488" i="14"/>
  <c r="R1487" i="14"/>
  <c r="P1487" i="14"/>
  <c r="R1486" i="14"/>
  <c r="P1486" i="14"/>
  <c r="R1485" i="14"/>
  <c r="P1485" i="14"/>
  <c r="R1484" i="14"/>
  <c r="P1484" i="14"/>
  <c r="R1483" i="14"/>
  <c r="P1483" i="14"/>
  <c r="R1482" i="14"/>
  <c r="P1482" i="14"/>
  <c r="R1481" i="14"/>
  <c r="P1481" i="14"/>
  <c r="R1480" i="14"/>
  <c r="P1480" i="14"/>
  <c r="R1479" i="14"/>
  <c r="P1479" i="14"/>
  <c r="R1478" i="14"/>
  <c r="P1478" i="14"/>
  <c r="R1477" i="14"/>
  <c r="P1477" i="14"/>
  <c r="R1476" i="14"/>
  <c r="P1476" i="14"/>
  <c r="R1475" i="14"/>
  <c r="P1475" i="14"/>
  <c r="R1474" i="14"/>
  <c r="P1474" i="14"/>
  <c r="R1473" i="14"/>
  <c r="P1473" i="14"/>
  <c r="R1472" i="14"/>
  <c r="P1472" i="14"/>
  <c r="R1471" i="14"/>
  <c r="P1471" i="14"/>
  <c r="R1470" i="14"/>
  <c r="P1470" i="14"/>
  <c r="R1469" i="14"/>
  <c r="P1469" i="14"/>
  <c r="R1468" i="14"/>
  <c r="P1468" i="14"/>
  <c r="R1467" i="14"/>
  <c r="P1467" i="14"/>
  <c r="R1466" i="14"/>
  <c r="P1466" i="14"/>
  <c r="R1465" i="14"/>
  <c r="P1465" i="14"/>
  <c r="R1464" i="14"/>
  <c r="P1464" i="14"/>
  <c r="R1463" i="14"/>
  <c r="P1463" i="14"/>
  <c r="R1462" i="14"/>
  <c r="P1462" i="14"/>
  <c r="R1461" i="14"/>
  <c r="P1461" i="14"/>
  <c r="R1460" i="14"/>
  <c r="P1460" i="14"/>
  <c r="R1459" i="14"/>
  <c r="P1459" i="14"/>
  <c r="R1458" i="14"/>
  <c r="P1458" i="14"/>
  <c r="R1457" i="14"/>
  <c r="P1457" i="14"/>
  <c r="R1456" i="14"/>
  <c r="P1456" i="14"/>
  <c r="R1455" i="14"/>
  <c r="P1455" i="14"/>
  <c r="R1454" i="14"/>
  <c r="P1454" i="14"/>
  <c r="R1453" i="14"/>
  <c r="P1453" i="14"/>
  <c r="R1452" i="14"/>
  <c r="P1452" i="14"/>
  <c r="R1451" i="14"/>
  <c r="P1451" i="14"/>
  <c r="R1450" i="14"/>
  <c r="P1450" i="14"/>
  <c r="R1449" i="14"/>
  <c r="P1449" i="14"/>
  <c r="R1448" i="14"/>
  <c r="P1448" i="14"/>
  <c r="R1447" i="14"/>
  <c r="P1447" i="14"/>
  <c r="R1446" i="14"/>
  <c r="P1446" i="14"/>
  <c r="R1445" i="14"/>
  <c r="P1445" i="14"/>
  <c r="R1444" i="14"/>
  <c r="P1444" i="14"/>
  <c r="R1443" i="14"/>
  <c r="P1443" i="14"/>
  <c r="R1442" i="14"/>
  <c r="P1442" i="14"/>
  <c r="R1441" i="14"/>
  <c r="P1441" i="14"/>
  <c r="R1440" i="14"/>
  <c r="P1440" i="14"/>
  <c r="R1439" i="14"/>
  <c r="P1439" i="14"/>
  <c r="R1438" i="14"/>
  <c r="P1438" i="14"/>
  <c r="R1437" i="14"/>
  <c r="P1437" i="14"/>
  <c r="R1436" i="14"/>
  <c r="P1436" i="14"/>
  <c r="R1435" i="14"/>
  <c r="P1435" i="14"/>
  <c r="R1434" i="14"/>
  <c r="P1434" i="14"/>
  <c r="R1433" i="14"/>
  <c r="P1433" i="14"/>
  <c r="R1432" i="14"/>
  <c r="P1432" i="14"/>
  <c r="R1431" i="14"/>
  <c r="P1431" i="14"/>
  <c r="R1430" i="14"/>
  <c r="P1430" i="14"/>
  <c r="R1429" i="14"/>
  <c r="P1429" i="14"/>
  <c r="R1428" i="14"/>
  <c r="P1428" i="14"/>
  <c r="R1427" i="14"/>
  <c r="P1427" i="14"/>
  <c r="R1426" i="14"/>
  <c r="P1426" i="14"/>
  <c r="R1425" i="14"/>
  <c r="P1425" i="14"/>
  <c r="R1424" i="14"/>
  <c r="P1424" i="14"/>
  <c r="R1423" i="14"/>
  <c r="P1423" i="14"/>
  <c r="R1422" i="14"/>
  <c r="P1422" i="14"/>
  <c r="R1421" i="14"/>
  <c r="P1421" i="14"/>
  <c r="R1420" i="14"/>
  <c r="P1420" i="14"/>
  <c r="R1419" i="14"/>
  <c r="P1419" i="14"/>
  <c r="R1418" i="14"/>
  <c r="P1418" i="14"/>
  <c r="R1417" i="14"/>
  <c r="P1417" i="14"/>
  <c r="R1416" i="14"/>
  <c r="P1416" i="14"/>
  <c r="R1415" i="14"/>
  <c r="P1415" i="14"/>
  <c r="R1414" i="14"/>
  <c r="P1414" i="14"/>
  <c r="R1413" i="14"/>
  <c r="P1413" i="14"/>
  <c r="R1412" i="14"/>
  <c r="P1412" i="14"/>
  <c r="R1411" i="14"/>
  <c r="P1411" i="14"/>
  <c r="R1410" i="14"/>
  <c r="P1410" i="14"/>
  <c r="R1409" i="14"/>
  <c r="P1409" i="14"/>
  <c r="R1408" i="14"/>
  <c r="P1408" i="14"/>
  <c r="R1407" i="14"/>
  <c r="P1407" i="14"/>
  <c r="R1406" i="14"/>
  <c r="P1406" i="14"/>
  <c r="R1405" i="14"/>
  <c r="P1405" i="14"/>
  <c r="R1404" i="14"/>
  <c r="P1404" i="14"/>
  <c r="R1403" i="14"/>
  <c r="P1403" i="14"/>
  <c r="R1402" i="14"/>
  <c r="P1402" i="14"/>
  <c r="R1401" i="14"/>
  <c r="P1401" i="14"/>
  <c r="R1400" i="14"/>
  <c r="P1400" i="14"/>
  <c r="R1399" i="14"/>
  <c r="P1399" i="14"/>
  <c r="R1398" i="14"/>
  <c r="P1398" i="14"/>
  <c r="R1397" i="14"/>
  <c r="P1397" i="14"/>
  <c r="R1396" i="14"/>
  <c r="P1396" i="14"/>
  <c r="R1395" i="14"/>
  <c r="P1395" i="14"/>
  <c r="R1394" i="14"/>
  <c r="P1394" i="14"/>
  <c r="R1393" i="14"/>
  <c r="P1393" i="14"/>
  <c r="R1392" i="14"/>
  <c r="P1392" i="14"/>
  <c r="R1391" i="14"/>
  <c r="P1391" i="14"/>
  <c r="R1390" i="14"/>
  <c r="P1390" i="14"/>
  <c r="R1389" i="14"/>
  <c r="P1389" i="14"/>
  <c r="R1388" i="14"/>
  <c r="P1388" i="14"/>
  <c r="R1387" i="14"/>
  <c r="P1387" i="14"/>
  <c r="R1386" i="14"/>
  <c r="P1386" i="14"/>
  <c r="R1385" i="14"/>
  <c r="P1385" i="14"/>
  <c r="R1384" i="14"/>
  <c r="P1384" i="14"/>
  <c r="R1383" i="14"/>
  <c r="P1383" i="14"/>
  <c r="R1382" i="14"/>
  <c r="P1382" i="14"/>
  <c r="R1381" i="14"/>
  <c r="P1381" i="14"/>
  <c r="R1380" i="14"/>
  <c r="P1380" i="14"/>
  <c r="R1379" i="14"/>
  <c r="P1379" i="14"/>
  <c r="R1378" i="14"/>
  <c r="P1378" i="14"/>
  <c r="R1377" i="14"/>
  <c r="P1377" i="14"/>
  <c r="R1376" i="14"/>
  <c r="P1376" i="14"/>
  <c r="R1375" i="14"/>
  <c r="P1375" i="14"/>
  <c r="R1374" i="14"/>
  <c r="P1374" i="14"/>
  <c r="R1373" i="14"/>
  <c r="P1373" i="14"/>
  <c r="R1372" i="14"/>
  <c r="P1372" i="14"/>
  <c r="R1371" i="14"/>
  <c r="P1371" i="14"/>
  <c r="R1370" i="14"/>
  <c r="P1370" i="14"/>
  <c r="R1369" i="14"/>
  <c r="P1369" i="14"/>
  <c r="R1368" i="14"/>
  <c r="P1368" i="14"/>
  <c r="R1367" i="14"/>
  <c r="P1367" i="14"/>
  <c r="R1366" i="14"/>
  <c r="P1366" i="14"/>
  <c r="R1365" i="14"/>
  <c r="P1365" i="14"/>
  <c r="R1364" i="14"/>
  <c r="P1364" i="14"/>
  <c r="R1363" i="14"/>
  <c r="P1363" i="14"/>
  <c r="R1362" i="14"/>
  <c r="P1362" i="14"/>
  <c r="R1361" i="14"/>
  <c r="P1361" i="14"/>
  <c r="R1360" i="14"/>
  <c r="P1360" i="14"/>
  <c r="R1359" i="14"/>
  <c r="P1359" i="14"/>
  <c r="R1358" i="14"/>
  <c r="P1358" i="14"/>
  <c r="R1357" i="14"/>
  <c r="P1357" i="14"/>
  <c r="R1356" i="14"/>
  <c r="P1356" i="14"/>
  <c r="R1355" i="14"/>
  <c r="P1355" i="14"/>
  <c r="R1354" i="14"/>
  <c r="P1354" i="14"/>
  <c r="R1353" i="14"/>
  <c r="P1353" i="14"/>
  <c r="R1352" i="14"/>
  <c r="P1352" i="14"/>
  <c r="R1351" i="14"/>
  <c r="P1351" i="14"/>
  <c r="R1350" i="14"/>
  <c r="P1350" i="14"/>
  <c r="R1349" i="14"/>
  <c r="P1349" i="14"/>
  <c r="R1348" i="14"/>
  <c r="P1348" i="14"/>
  <c r="R1347" i="14"/>
  <c r="P1347" i="14"/>
  <c r="R1346" i="14"/>
  <c r="P1346" i="14"/>
  <c r="R1345" i="14"/>
  <c r="P1345" i="14"/>
  <c r="R1344" i="14"/>
  <c r="P1344" i="14"/>
  <c r="R1343" i="14"/>
  <c r="P1343" i="14"/>
  <c r="R1342" i="14"/>
  <c r="P1342" i="14"/>
  <c r="R1341" i="14"/>
  <c r="P1341" i="14"/>
  <c r="R1340" i="14"/>
  <c r="P1340" i="14"/>
  <c r="R1339" i="14"/>
  <c r="P1339" i="14"/>
  <c r="R1338" i="14"/>
  <c r="P1338" i="14"/>
  <c r="R1337" i="14"/>
  <c r="P1337" i="14"/>
  <c r="R1336" i="14"/>
  <c r="P1336" i="14"/>
  <c r="R1335" i="14"/>
  <c r="P1335" i="14"/>
  <c r="R1334" i="14"/>
  <c r="P1334" i="14"/>
  <c r="R1333" i="14"/>
  <c r="P1333" i="14"/>
  <c r="R1332" i="14"/>
  <c r="P1332" i="14"/>
  <c r="R1331" i="14"/>
  <c r="P1331" i="14"/>
  <c r="R1330" i="14"/>
  <c r="P1330" i="14"/>
  <c r="R1329" i="14"/>
  <c r="P1329" i="14"/>
  <c r="R1328" i="14"/>
  <c r="P1328" i="14"/>
  <c r="R1327" i="14"/>
  <c r="P1327" i="14"/>
  <c r="R1326" i="14"/>
  <c r="P1326" i="14"/>
  <c r="R1325" i="14"/>
  <c r="P1325" i="14"/>
  <c r="R1324" i="14"/>
  <c r="P1324" i="14"/>
  <c r="R1323" i="14"/>
  <c r="P1323" i="14"/>
  <c r="R1322" i="14"/>
  <c r="P1322" i="14"/>
  <c r="R1321" i="14"/>
  <c r="P1321" i="14"/>
  <c r="R1320" i="14"/>
  <c r="P1320" i="14"/>
  <c r="R1319" i="14"/>
  <c r="P1319" i="14"/>
  <c r="R1318" i="14"/>
  <c r="P1318" i="14"/>
  <c r="R1317" i="14"/>
  <c r="P1317" i="14"/>
  <c r="R1316" i="14"/>
  <c r="P1316" i="14"/>
  <c r="R1315" i="14"/>
  <c r="P1315" i="14"/>
  <c r="R1314" i="14"/>
  <c r="P1314" i="14"/>
  <c r="R1313" i="14"/>
  <c r="P1313" i="14"/>
  <c r="R1312" i="14"/>
  <c r="P1312" i="14"/>
  <c r="R1311" i="14"/>
  <c r="P1311" i="14"/>
  <c r="R1310" i="14"/>
  <c r="P1310" i="14"/>
  <c r="R1309" i="14"/>
  <c r="P1309" i="14"/>
  <c r="R1308" i="14"/>
  <c r="P1308" i="14"/>
  <c r="R1307" i="14"/>
  <c r="P1307" i="14"/>
  <c r="R1306" i="14"/>
  <c r="P1306" i="14"/>
  <c r="R1305" i="14"/>
  <c r="P1305" i="14"/>
  <c r="R1304" i="14"/>
  <c r="P1304" i="14"/>
  <c r="R1303" i="14"/>
  <c r="P1303" i="14"/>
  <c r="R1302" i="14"/>
  <c r="P1302" i="14"/>
  <c r="R1301" i="14"/>
  <c r="P1301" i="14"/>
  <c r="R1300" i="14"/>
  <c r="P1300" i="14"/>
  <c r="R1299" i="14"/>
  <c r="P1299" i="14"/>
  <c r="R1298" i="14"/>
  <c r="P1298" i="14"/>
  <c r="R1297" i="14"/>
  <c r="P1297" i="14"/>
  <c r="R1296" i="14"/>
  <c r="P1296" i="14"/>
  <c r="R1295" i="14"/>
  <c r="P1295" i="14"/>
  <c r="R1294" i="14"/>
  <c r="P1294" i="14"/>
  <c r="R1293" i="14"/>
  <c r="P1293" i="14"/>
  <c r="R1292" i="14"/>
  <c r="P1292" i="14"/>
  <c r="R1291" i="14"/>
  <c r="P1291" i="14"/>
  <c r="R1290" i="14"/>
  <c r="P1290" i="14"/>
  <c r="R1289" i="14"/>
  <c r="P1289" i="14"/>
  <c r="R1288" i="14"/>
  <c r="P1288" i="14"/>
  <c r="R1287" i="14"/>
  <c r="P1287" i="14"/>
  <c r="R1286" i="14"/>
  <c r="P1286" i="14"/>
  <c r="R1285" i="14"/>
  <c r="P1285" i="14"/>
  <c r="R1284" i="14"/>
  <c r="P1284" i="14"/>
  <c r="R1283" i="14"/>
  <c r="P1283" i="14"/>
  <c r="R1282" i="14"/>
  <c r="P1282" i="14"/>
  <c r="R1281" i="14"/>
  <c r="P1281" i="14"/>
  <c r="R1280" i="14"/>
  <c r="P1280" i="14"/>
  <c r="R1279" i="14"/>
  <c r="P1279" i="14"/>
  <c r="R1278" i="14"/>
  <c r="P1278" i="14"/>
  <c r="R1277" i="14"/>
  <c r="P1277" i="14"/>
  <c r="R1276" i="14"/>
  <c r="P1276" i="14"/>
  <c r="R1275" i="14"/>
  <c r="P1275" i="14"/>
  <c r="R1274" i="14"/>
  <c r="P1274" i="14"/>
  <c r="R1273" i="14"/>
  <c r="P1273" i="14"/>
  <c r="R1272" i="14"/>
  <c r="P1272" i="14"/>
  <c r="R1271" i="14"/>
  <c r="P1271" i="14"/>
  <c r="R1270" i="14"/>
  <c r="P1270" i="14"/>
  <c r="R1269" i="14"/>
  <c r="P1269" i="14"/>
  <c r="R1268" i="14"/>
  <c r="P1268" i="14"/>
  <c r="R1267" i="14"/>
  <c r="P1267" i="14"/>
  <c r="R1266" i="14"/>
  <c r="P1266" i="14"/>
  <c r="R1265" i="14"/>
  <c r="P1265" i="14"/>
  <c r="R1264" i="14"/>
  <c r="P1264" i="14"/>
  <c r="R1263" i="14"/>
  <c r="P1263" i="14"/>
  <c r="R1262" i="14"/>
  <c r="P1262" i="14"/>
  <c r="R1261" i="14"/>
  <c r="P1261" i="14"/>
  <c r="R1260" i="14"/>
  <c r="P1260" i="14"/>
  <c r="R1259" i="14"/>
  <c r="P1259" i="14"/>
  <c r="R1258" i="14"/>
  <c r="P1258" i="14"/>
  <c r="R1257" i="14"/>
  <c r="P1257" i="14"/>
  <c r="R1256" i="14"/>
  <c r="P1256" i="14"/>
  <c r="R1255" i="14"/>
  <c r="P1255" i="14"/>
  <c r="R1254" i="14"/>
  <c r="P1254" i="14"/>
  <c r="R1253" i="14"/>
  <c r="P1253" i="14"/>
  <c r="R1252" i="14"/>
  <c r="P1252" i="14"/>
  <c r="R1251" i="14"/>
  <c r="P1251" i="14"/>
  <c r="R1250" i="14"/>
  <c r="P1250" i="14"/>
  <c r="R1249" i="14"/>
  <c r="P1249" i="14"/>
  <c r="R1248" i="14"/>
  <c r="P1248" i="14"/>
  <c r="R1247" i="14"/>
  <c r="P1247" i="14"/>
  <c r="R1246" i="14"/>
  <c r="P1246" i="14"/>
  <c r="R1245" i="14"/>
  <c r="P1245" i="14"/>
  <c r="R1244" i="14"/>
  <c r="P1244" i="14"/>
  <c r="R1243" i="14"/>
  <c r="P1243" i="14"/>
  <c r="R1242" i="14"/>
  <c r="P1242" i="14"/>
  <c r="R1241" i="14"/>
  <c r="P1241" i="14"/>
  <c r="R1240" i="14"/>
  <c r="P1240" i="14"/>
  <c r="R1239" i="14"/>
  <c r="P1239" i="14"/>
  <c r="R1238" i="14"/>
  <c r="P1238" i="14"/>
  <c r="R1237" i="14"/>
  <c r="P1237" i="14"/>
  <c r="R1236" i="14"/>
  <c r="P1236" i="14"/>
  <c r="R1235" i="14"/>
  <c r="P1235" i="14"/>
  <c r="R1234" i="14"/>
  <c r="P1234" i="14"/>
  <c r="R1233" i="14"/>
  <c r="P1233" i="14"/>
  <c r="R1232" i="14"/>
  <c r="P1232" i="14"/>
  <c r="R1231" i="14"/>
  <c r="P1231" i="14"/>
  <c r="R1230" i="14"/>
  <c r="P1230" i="14"/>
  <c r="R1229" i="14"/>
  <c r="P1229" i="14"/>
  <c r="R1228" i="14"/>
  <c r="P1228" i="14"/>
  <c r="R1227" i="14"/>
  <c r="P1227" i="14"/>
  <c r="R1226" i="14"/>
  <c r="P1226" i="14"/>
  <c r="R1225" i="14"/>
  <c r="P1225" i="14"/>
  <c r="R1224" i="14"/>
  <c r="P1224" i="14"/>
  <c r="R1223" i="14"/>
  <c r="P1223" i="14"/>
  <c r="R1222" i="14"/>
  <c r="P1222" i="14"/>
  <c r="R1221" i="14"/>
  <c r="P1221" i="14"/>
  <c r="R1220" i="14"/>
  <c r="P1220" i="14"/>
  <c r="R1219" i="14"/>
  <c r="P1219" i="14"/>
  <c r="R1218" i="14"/>
  <c r="P1218" i="14"/>
  <c r="R1217" i="14"/>
  <c r="P1217" i="14"/>
  <c r="R1216" i="14"/>
  <c r="P1216" i="14"/>
  <c r="R1215" i="14"/>
  <c r="P1215" i="14"/>
  <c r="R1214" i="14"/>
  <c r="P1214" i="14"/>
  <c r="R1213" i="14"/>
  <c r="P1213" i="14"/>
  <c r="R1212" i="14"/>
  <c r="P1212" i="14"/>
  <c r="R1211" i="14"/>
  <c r="P1211" i="14"/>
  <c r="R1210" i="14"/>
  <c r="P1210" i="14"/>
  <c r="R1209" i="14"/>
  <c r="P1209" i="14"/>
  <c r="R1208" i="14"/>
  <c r="P1208" i="14"/>
  <c r="R1207" i="14"/>
  <c r="P1207" i="14"/>
  <c r="R1206" i="14"/>
  <c r="P1206" i="14"/>
  <c r="R1205" i="14"/>
  <c r="P1205" i="14"/>
  <c r="R1204" i="14"/>
  <c r="P1204" i="14"/>
  <c r="R1203" i="14"/>
  <c r="P1203" i="14"/>
  <c r="R1202" i="14"/>
  <c r="P1202" i="14"/>
  <c r="R1201" i="14"/>
  <c r="P1201" i="14"/>
  <c r="R1200" i="14"/>
  <c r="P1200" i="14"/>
  <c r="R1199" i="14"/>
  <c r="P1199" i="14"/>
  <c r="R1198" i="14"/>
  <c r="P1198" i="14"/>
  <c r="R1197" i="14"/>
  <c r="P1197" i="14"/>
  <c r="R1196" i="14"/>
  <c r="P1196" i="14"/>
  <c r="R1195" i="14"/>
  <c r="P1195" i="14"/>
  <c r="R1194" i="14"/>
  <c r="P1194" i="14"/>
  <c r="R1193" i="14"/>
  <c r="P1193" i="14"/>
  <c r="R1192" i="14"/>
  <c r="P1192" i="14"/>
  <c r="R1191" i="14"/>
  <c r="P1191" i="14"/>
  <c r="R1190" i="14"/>
  <c r="P1190" i="14"/>
  <c r="R1189" i="14"/>
  <c r="P1189" i="14"/>
  <c r="R1188" i="14"/>
  <c r="P1188" i="14"/>
  <c r="R1187" i="14"/>
  <c r="P1187" i="14"/>
  <c r="R1186" i="14"/>
  <c r="P1186" i="14"/>
  <c r="R1185" i="14"/>
  <c r="P1185" i="14"/>
  <c r="R1184" i="14"/>
  <c r="P1184" i="14"/>
  <c r="R1183" i="14"/>
  <c r="P1183" i="14"/>
  <c r="R1182" i="14"/>
  <c r="P1182" i="14"/>
  <c r="R1181" i="14"/>
  <c r="P1181" i="14"/>
  <c r="R1180" i="14"/>
  <c r="P1180" i="14"/>
  <c r="R1179" i="14"/>
  <c r="P1179" i="14"/>
  <c r="R1178" i="14"/>
  <c r="P1178" i="14"/>
  <c r="R1177" i="14"/>
  <c r="P1177" i="14"/>
  <c r="R1176" i="14"/>
  <c r="P1176" i="14"/>
  <c r="R1175" i="14"/>
  <c r="P1175" i="14"/>
  <c r="R1174" i="14"/>
  <c r="P1174" i="14"/>
  <c r="R1173" i="14"/>
  <c r="P1173" i="14"/>
  <c r="R1172" i="14"/>
  <c r="P1172" i="14"/>
  <c r="R1171" i="14"/>
  <c r="P1171" i="14"/>
  <c r="R1170" i="14"/>
  <c r="P1170" i="14"/>
  <c r="R1169" i="14"/>
  <c r="P1169" i="14"/>
  <c r="R1168" i="14"/>
  <c r="P1168" i="14"/>
  <c r="R1167" i="14"/>
  <c r="P1167" i="14"/>
  <c r="R1166" i="14"/>
  <c r="P1166" i="14"/>
  <c r="R1165" i="14"/>
  <c r="P1165" i="14"/>
  <c r="R1164" i="14"/>
  <c r="P1164" i="14"/>
  <c r="R1163" i="14"/>
  <c r="P1163" i="14"/>
  <c r="R1162" i="14"/>
  <c r="P1162" i="14"/>
  <c r="R1161" i="14"/>
  <c r="P1161" i="14"/>
  <c r="R1160" i="14"/>
  <c r="P1160" i="14"/>
  <c r="R1159" i="14"/>
  <c r="P1159" i="14"/>
  <c r="R1158" i="14"/>
  <c r="P1158" i="14"/>
  <c r="R1157" i="14"/>
  <c r="P1157" i="14"/>
  <c r="R1156" i="14"/>
  <c r="P1156" i="14"/>
  <c r="R1155" i="14"/>
  <c r="P1155" i="14"/>
  <c r="R1154" i="14"/>
  <c r="P1154" i="14"/>
  <c r="R1153" i="14"/>
  <c r="P1153" i="14"/>
  <c r="R1152" i="14"/>
  <c r="P1152" i="14"/>
  <c r="R1151" i="14"/>
  <c r="P1151" i="14"/>
  <c r="R1150" i="14"/>
  <c r="P1150" i="14"/>
  <c r="R1149" i="14"/>
  <c r="P1149" i="14"/>
  <c r="R1148" i="14"/>
  <c r="P1148" i="14"/>
  <c r="R1147" i="14"/>
  <c r="P1147" i="14"/>
  <c r="R1146" i="14"/>
  <c r="P1146" i="14"/>
  <c r="R1145" i="14"/>
  <c r="P1145" i="14"/>
  <c r="R1144" i="14"/>
  <c r="P1144" i="14"/>
  <c r="R1143" i="14"/>
  <c r="P1143" i="14"/>
  <c r="R1142" i="14"/>
  <c r="P1142" i="14"/>
  <c r="R1141" i="14"/>
  <c r="P1141" i="14"/>
  <c r="R1140" i="14"/>
  <c r="P1140" i="14"/>
  <c r="R1139" i="14"/>
  <c r="P1139" i="14"/>
  <c r="R1138" i="14"/>
  <c r="P1138" i="14"/>
  <c r="R1137" i="14"/>
  <c r="P1137" i="14"/>
  <c r="R1136" i="14"/>
  <c r="P1136" i="14"/>
  <c r="R1135" i="14"/>
  <c r="P1135" i="14"/>
  <c r="R1134" i="14"/>
  <c r="P1134" i="14"/>
  <c r="R1133" i="14"/>
  <c r="P1133" i="14"/>
  <c r="R1132" i="14"/>
  <c r="P1132" i="14"/>
  <c r="R1131" i="14"/>
  <c r="P1131" i="14"/>
  <c r="R1130" i="14"/>
  <c r="P1130" i="14"/>
  <c r="R1129" i="14"/>
  <c r="P1129" i="14"/>
  <c r="R1128" i="14"/>
  <c r="P1128" i="14"/>
  <c r="R1127" i="14"/>
  <c r="P1127" i="14"/>
  <c r="R1126" i="14"/>
  <c r="P1126" i="14"/>
  <c r="R1125" i="14"/>
  <c r="P1125" i="14"/>
  <c r="R1124" i="14"/>
  <c r="P1124" i="14"/>
  <c r="R1123" i="14"/>
  <c r="P1123" i="14"/>
  <c r="R1122" i="14"/>
  <c r="P1122" i="14"/>
  <c r="R1121" i="14"/>
  <c r="P1121" i="14"/>
  <c r="R1120" i="14"/>
  <c r="P1120" i="14"/>
  <c r="R1119" i="14"/>
  <c r="P1119" i="14"/>
  <c r="R1118" i="14"/>
  <c r="P1118" i="14"/>
  <c r="R1117" i="14"/>
  <c r="P1117" i="14"/>
  <c r="R1116" i="14"/>
  <c r="P1116" i="14"/>
  <c r="R1115" i="14"/>
  <c r="P1115" i="14"/>
  <c r="R1114" i="14"/>
  <c r="P1114" i="14"/>
  <c r="R1113" i="14"/>
  <c r="P1113" i="14"/>
  <c r="R1112" i="14"/>
  <c r="P1112" i="14"/>
  <c r="R1111" i="14"/>
  <c r="P1111" i="14"/>
  <c r="R1110" i="14"/>
  <c r="P1110" i="14"/>
  <c r="R1109" i="14"/>
  <c r="P1109" i="14"/>
  <c r="R1108" i="14"/>
  <c r="P1108" i="14"/>
  <c r="R1107" i="14"/>
  <c r="P1107" i="14"/>
  <c r="R1106" i="14"/>
  <c r="P1106" i="14"/>
  <c r="R1105" i="14"/>
  <c r="P1105" i="14"/>
  <c r="R1104" i="14"/>
  <c r="P1104" i="14"/>
  <c r="R1103" i="14"/>
  <c r="P1103" i="14"/>
  <c r="R1102" i="14"/>
  <c r="P1102" i="14"/>
  <c r="R1101" i="14"/>
  <c r="P1101" i="14"/>
  <c r="R1100" i="14"/>
  <c r="P1100" i="14"/>
  <c r="R1099" i="14"/>
  <c r="P1099" i="14"/>
  <c r="R1098" i="14"/>
  <c r="P1098" i="14"/>
  <c r="R1097" i="14"/>
  <c r="P1097" i="14"/>
  <c r="R1096" i="14"/>
  <c r="P1096" i="14"/>
  <c r="R1095" i="14"/>
  <c r="P1095" i="14"/>
  <c r="R1094" i="14"/>
  <c r="P1094" i="14"/>
  <c r="R1093" i="14"/>
  <c r="P1093" i="14"/>
  <c r="R1092" i="14"/>
  <c r="P1092" i="14"/>
  <c r="R1091" i="14"/>
  <c r="P1091" i="14"/>
  <c r="R1090" i="14"/>
  <c r="P1090" i="14"/>
  <c r="R1089" i="14"/>
  <c r="P1089" i="14"/>
  <c r="R1088" i="14"/>
  <c r="P1088" i="14"/>
  <c r="R1087" i="14"/>
  <c r="P1087" i="14"/>
  <c r="R1086" i="14"/>
  <c r="P1086" i="14"/>
  <c r="R1085" i="14"/>
  <c r="P1085" i="14"/>
  <c r="R1084" i="14"/>
  <c r="P1084" i="14"/>
  <c r="R1083" i="14"/>
  <c r="P1083" i="14"/>
  <c r="R1082" i="14"/>
  <c r="P1082" i="14"/>
  <c r="R1081" i="14"/>
  <c r="P1081" i="14"/>
  <c r="R1080" i="14"/>
  <c r="P1080" i="14"/>
  <c r="R1079" i="14"/>
  <c r="P1079" i="14"/>
  <c r="R1078" i="14"/>
  <c r="P1078" i="14"/>
  <c r="R1077" i="14"/>
  <c r="P1077" i="14"/>
  <c r="R1076" i="14"/>
  <c r="P1076" i="14"/>
  <c r="R1075" i="14"/>
  <c r="P1075" i="14"/>
  <c r="R1074" i="14"/>
  <c r="P1074" i="14"/>
  <c r="R1073" i="14"/>
  <c r="P1073" i="14"/>
  <c r="R1072" i="14"/>
  <c r="P1072" i="14"/>
  <c r="R1071" i="14"/>
  <c r="P1071" i="14"/>
  <c r="R1070" i="14"/>
  <c r="P1070" i="14"/>
  <c r="R1069" i="14"/>
  <c r="P1069" i="14"/>
  <c r="R1068" i="14"/>
  <c r="P1068" i="14"/>
  <c r="R1067" i="14"/>
  <c r="P1067" i="14"/>
  <c r="R1066" i="14"/>
  <c r="P1066" i="14"/>
  <c r="R1065" i="14"/>
  <c r="P1065" i="14"/>
  <c r="R1064" i="14"/>
  <c r="P1064" i="14"/>
  <c r="R1063" i="14"/>
  <c r="P1063" i="14"/>
  <c r="R1062" i="14"/>
  <c r="P1062" i="14"/>
  <c r="R1061" i="14"/>
  <c r="P1061" i="14"/>
  <c r="R1060" i="14"/>
  <c r="P1060" i="14"/>
  <c r="R1059" i="14"/>
  <c r="P1059" i="14"/>
  <c r="R1058" i="14"/>
  <c r="P1058" i="14"/>
  <c r="R1057" i="14"/>
  <c r="P1057" i="14"/>
  <c r="R1056" i="14"/>
  <c r="P1056" i="14"/>
  <c r="R1055" i="14"/>
  <c r="P1055" i="14"/>
  <c r="R1054" i="14"/>
  <c r="P1054" i="14"/>
  <c r="R1053" i="14"/>
  <c r="P1053" i="14"/>
  <c r="R1052" i="14"/>
  <c r="P1052" i="14"/>
  <c r="R1051" i="14"/>
  <c r="P1051" i="14"/>
  <c r="R1050" i="14"/>
  <c r="P1050" i="14"/>
  <c r="R1049" i="14"/>
  <c r="P1049" i="14"/>
  <c r="R1048" i="14"/>
  <c r="P1048" i="14"/>
  <c r="R1047" i="14"/>
  <c r="P1047" i="14"/>
  <c r="R1046" i="14"/>
  <c r="P1046" i="14"/>
  <c r="R1045" i="14"/>
  <c r="P1045" i="14"/>
  <c r="R1044" i="14"/>
  <c r="P1044" i="14"/>
  <c r="R1043" i="14"/>
  <c r="P1043" i="14"/>
  <c r="R1042" i="14"/>
  <c r="P1042" i="14"/>
  <c r="R1041" i="14"/>
  <c r="P1041" i="14"/>
  <c r="R1040" i="14"/>
  <c r="P1040" i="14"/>
  <c r="R1039" i="14"/>
  <c r="P1039" i="14"/>
  <c r="R1038" i="14"/>
  <c r="P1038" i="14"/>
  <c r="R1037" i="14"/>
  <c r="P1037" i="14"/>
  <c r="R1036" i="14"/>
  <c r="P1036" i="14"/>
  <c r="R1035" i="14"/>
  <c r="P1035" i="14"/>
  <c r="R1034" i="14"/>
  <c r="P1034" i="14"/>
  <c r="R1033" i="14"/>
  <c r="P1033" i="14"/>
  <c r="R1032" i="14"/>
  <c r="P1032" i="14"/>
  <c r="R1031" i="14"/>
  <c r="P1031" i="14"/>
  <c r="R1030" i="14"/>
  <c r="P1030" i="14"/>
  <c r="R1029" i="14"/>
  <c r="P1029" i="14"/>
  <c r="R1028" i="14"/>
  <c r="P1028" i="14"/>
  <c r="R1027" i="14"/>
  <c r="P1027" i="14"/>
  <c r="R1026" i="14"/>
  <c r="P1026" i="14"/>
  <c r="R1025" i="14"/>
  <c r="P1025" i="14"/>
  <c r="R1024" i="14"/>
  <c r="P1024" i="14"/>
  <c r="R1023" i="14"/>
  <c r="P1023" i="14"/>
  <c r="R1022" i="14"/>
  <c r="P1022" i="14"/>
  <c r="R1021" i="14"/>
  <c r="P1021" i="14"/>
  <c r="R1020" i="14"/>
  <c r="P1020" i="14"/>
  <c r="R1019" i="14"/>
  <c r="P1019" i="14"/>
  <c r="R1018" i="14"/>
  <c r="P1018" i="14"/>
  <c r="R1017" i="14"/>
  <c r="P1017" i="14"/>
  <c r="R1016" i="14"/>
  <c r="P1016" i="14"/>
  <c r="R1015" i="14"/>
  <c r="P1015" i="14"/>
  <c r="R1014" i="14"/>
  <c r="P1014" i="14"/>
  <c r="R1013" i="14"/>
  <c r="P1013" i="14"/>
  <c r="R1012" i="14"/>
  <c r="P1012" i="14"/>
  <c r="R1011" i="14"/>
  <c r="P1011" i="14"/>
  <c r="R1010" i="14"/>
  <c r="P1010" i="14"/>
  <c r="R1009" i="14"/>
  <c r="P1009" i="14"/>
  <c r="R1008" i="14"/>
  <c r="P1008" i="14"/>
  <c r="R1007" i="14"/>
  <c r="P1007" i="14"/>
  <c r="R1006" i="14"/>
  <c r="P1006" i="14"/>
  <c r="R1005" i="14"/>
  <c r="P1005" i="14"/>
  <c r="R1004" i="14"/>
  <c r="P1004" i="14"/>
  <c r="R1003" i="14"/>
  <c r="P1003" i="14"/>
  <c r="R1002" i="14"/>
  <c r="P1002" i="14"/>
  <c r="R1001" i="14"/>
  <c r="P1001" i="14"/>
  <c r="R1000" i="14"/>
  <c r="P1000" i="14"/>
  <c r="R999" i="14"/>
  <c r="P999" i="14"/>
  <c r="R998" i="14"/>
  <c r="P998" i="14"/>
  <c r="R997" i="14"/>
  <c r="P997" i="14"/>
  <c r="R996" i="14"/>
  <c r="P996" i="14"/>
  <c r="R995" i="14"/>
  <c r="P995" i="14"/>
  <c r="R994" i="14"/>
  <c r="P994" i="14"/>
  <c r="R993" i="14"/>
  <c r="P993" i="14"/>
  <c r="R992" i="14"/>
  <c r="P992" i="14"/>
  <c r="R991" i="14"/>
  <c r="P991" i="14"/>
  <c r="R990" i="14"/>
  <c r="P990" i="14"/>
  <c r="R989" i="14"/>
  <c r="P989" i="14"/>
  <c r="R988" i="14"/>
  <c r="P988" i="14"/>
  <c r="R987" i="14"/>
  <c r="P987" i="14"/>
  <c r="R986" i="14"/>
  <c r="P986" i="14"/>
  <c r="R985" i="14"/>
  <c r="P985" i="14"/>
  <c r="R984" i="14"/>
  <c r="P984" i="14"/>
  <c r="R983" i="14"/>
  <c r="P983" i="14"/>
  <c r="R982" i="14"/>
  <c r="P982" i="14"/>
  <c r="R981" i="14"/>
  <c r="P981" i="14"/>
  <c r="R980" i="14"/>
  <c r="P980" i="14"/>
  <c r="R979" i="14"/>
  <c r="P979" i="14"/>
  <c r="R978" i="14"/>
  <c r="P978" i="14"/>
  <c r="R977" i="14"/>
  <c r="P977" i="14"/>
  <c r="R976" i="14"/>
  <c r="P976" i="14"/>
  <c r="R975" i="14"/>
  <c r="P975" i="14"/>
  <c r="R974" i="14"/>
  <c r="P974" i="14"/>
  <c r="R973" i="14"/>
  <c r="P973" i="14"/>
  <c r="R972" i="14"/>
  <c r="P972" i="14"/>
  <c r="R971" i="14"/>
  <c r="P971" i="14"/>
  <c r="R970" i="14"/>
  <c r="P970" i="14"/>
  <c r="R969" i="14"/>
  <c r="P969" i="14"/>
  <c r="R968" i="14"/>
  <c r="P968" i="14"/>
  <c r="R967" i="14"/>
  <c r="P967" i="14"/>
  <c r="R966" i="14"/>
  <c r="P966" i="14"/>
  <c r="R965" i="14"/>
  <c r="P965" i="14"/>
  <c r="R964" i="14"/>
  <c r="P964" i="14"/>
  <c r="R963" i="14"/>
  <c r="P963" i="14"/>
  <c r="R962" i="14"/>
  <c r="P962" i="14"/>
  <c r="R961" i="14"/>
  <c r="P961" i="14"/>
  <c r="R960" i="14"/>
  <c r="P960" i="14"/>
  <c r="R959" i="14"/>
  <c r="P959" i="14"/>
  <c r="R958" i="14"/>
  <c r="P958" i="14"/>
  <c r="R957" i="14"/>
  <c r="P957" i="14"/>
  <c r="R956" i="14"/>
  <c r="P956" i="14"/>
  <c r="R955" i="14"/>
  <c r="P955" i="14"/>
  <c r="R954" i="14"/>
  <c r="P954" i="14"/>
  <c r="R953" i="14"/>
  <c r="P953" i="14"/>
  <c r="R952" i="14"/>
  <c r="P952" i="14"/>
  <c r="R951" i="14"/>
  <c r="P951" i="14"/>
  <c r="R950" i="14"/>
  <c r="P950" i="14"/>
  <c r="R949" i="14"/>
  <c r="P949" i="14"/>
  <c r="R948" i="14"/>
  <c r="P948" i="14"/>
  <c r="R947" i="14"/>
  <c r="P947" i="14"/>
  <c r="R946" i="14"/>
  <c r="P946" i="14"/>
  <c r="R945" i="14"/>
  <c r="P945" i="14"/>
  <c r="R944" i="14"/>
  <c r="P944" i="14"/>
  <c r="R943" i="14"/>
  <c r="P943" i="14"/>
  <c r="R942" i="14"/>
  <c r="P942" i="14"/>
  <c r="R941" i="14"/>
  <c r="P941" i="14"/>
  <c r="R940" i="14"/>
  <c r="P940" i="14"/>
  <c r="R939" i="14"/>
  <c r="P939" i="14"/>
  <c r="R938" i="14"/>
  <c r="P938" i="14"/>
  <c r="R937" i="14"/>
  <c r="P937" i="14"/>
  <c r="R936" i="14"/>
  <c r="P936" i="14"/>
  <c r="R935" i="14"/>
  <c r="P935" i="14"/>
  <c r="R934" i="14"/>
  <c r="P934" i="14"/>
  <c r="R933" i="14"/>
  <c r="P933" i="14"/>
  <c r="R932" i="14"/>
  <c r="P932" i="14"/>
  <c r="R931" i="14"/>
  <c r="P931" i="14"/>
  <c r="R930" i="14"/>
  <c r="P930" i="14"/>
  <c r="R929" i="14"/>
  <c r="P929" i="14"/>
  <c r="R928" i="14"/>
  <c r="P928" i="14"/>
  <c r="R927" i="14"/>
  <c r="P927" i="14"/>
  <c r="R926" i="14"/>
  <c r="P926" i="14"/>
  <c r="R925" i="14"/>
  <c r="P925" i="14"/>
  <c r="R924" i="14"/>
  <c r="P924" i="14"/>
  <c r="R923" i="14"/>
  <c r="P923" i="14"/>
  <c r="R922" i="14"/>
  <c r="P922" i="14"/>
  <c r="R921" i="14"/>
  <c r="P921" i="14"/>
  <c r="R920" i="14"/>
  <c r="P920" i="14"/>
  <c r="R919" i="14"/>
  <c r="P919" i="14"/>
  <c r="R918" i="14"/>
  <c r="P918" i="14"/>
  <c r="R917" i="14"/>
  <c r="P917" i="14"/>
  <c r="R916" i="14"/>
  <c r="P916" i="14"/>
  <c r="R915" i="14"/>
  <c r="P915" i="14"/>
  <c r="R914" i="14"/>
  <c r="P914" i="14"/>
  <c r="R913" i="14"/>
  <c r="P913" i="14"/>
  <c r="R912" i="14"/>
  <c r="P912" i="14"/>
  <c r="R911" i="14"/>
  <c r="P911" i="14"/>
  <c r="R910" i="14"/>
  <c r="P910" i="14"/>
  <c r="R909" i="14"/>
  <c r="P909" i="14"/>
  <c r="R908" i="14"/>
  <c r="P908" i="14"/>
  <c r="R907" i="14"/>
  <c r="P907" i="14"/>
  <c r="R906" i="14"/>
  <c r="P906" i="14"/>
  <c r="R905" i="14"/>
  <c r="P905" i="14"/>
  <c r="R904" i="14"/>
  <c r="P904" i="14"/>
  <c r="R903" i="14"/>
  <c r="P903" i="14"/>
  <c r="R902" i="14"/>
  <c r="P902" i="14"/>
  <c r="R901" i="14"/>
  <c r="P901" i="14"/>
  <c r="R900" i="14"/>
  <c r="P900" i="14"/>
  <c r="R899" i="14"/>
  <c r="P899" i="14"/>
  <c r="R898" i="14"/>
  <c r="P898" i="14"/>
  <c r="R897" i="14"/>
  <c r="P897" i="14"/>
  <c r="R896" i="14"/>
  <c r="P896" i="14"/>
  <c r="R895" i="14"/>
  <c r="P895" i="14"/>
  <c r="R894" i="14"/>
  <c r="P894" i="14"/>
  <c r="R893" i="14"/>
  <c r="P893" i="14"/>
  <c r="R892" i="14"/>
  <c r="P892" i="14"/>
  <c r="R891" i="14"/>
  <c r="P891" i="14"/>
  <c r="R890" i="14"/>
  <c r="P890" i="14"/>
  <c r="R889" i="14"/>
  <c r="P889" i="14"/>
  <c r="R888" i="14"/>
  <c r="P888" i="14"/>
  <c r="R887" i="14"/>
  <c r="P887" i="14"/>
  <c r="R886" i="14"/>
  <c r="P886" i="14"/>
  <c r="R885" i="14"/>
  <c r="P885" i="14"/>
  <c r="R884" i="14"/>
  <c r="P884" i="14"/>
  <c r="R883" i="14"/>
  <c r="P883" i="14"/>
  <c r="R882" i="14"/>
  <c r="P882" i="14"/>
  <c r="R881" i="14"/>
  <c r="P881" i="14"/>
  <c r="R880" i="14"/>
  <c r="P880" i="14"/>
  <c r="R879" i="14"/>
  <c r="P879" i="14"/>
  <c r="R878" i="14"/>
  <c r="P878" i="14"/>
  <c r="R877" i="14"/>
  <c r="P877" i="14"/>
  <c r="R876" i="14"/>
  <c r="P876" i="14"/>
  <c r="R875" i="14"/>
  <c r="P875" i="14"/>
  <c r="R874" i="14"/>
  <c r="P874" i="14"/>
  <c r="R873" i="14"/>
  <c r="P873" i="14"/>
  <c r="R872" i="14"/>
  <c r="P872" i="14"/>
  <c r="R871" i="14"/>
  <c r="P871" i="14"/>
  <c r="R870" i="14"/>
  <c r="P870" i="14"/>
  <c r="R869" i="14"/>
  <c r="P869" i="14"/>
  <c r="R868" i="14"/>
  <c r="P868" i="14"/>
  <c r="R867" i="14"/>
  <c r="P867" i="14"/>
  <c r="R866" i="14"/>
  <c r="P866" i="14"/>
  <c r="R865" i="14"/>
  <c r="P865" i="14"/>
  <c r="R864" i="14"/>
  <c r="P864" i="14"/>
  <c r="R863" i="14"/>
  <c r="P863" i="14"/>
  <c r="R862" i="14"/>
  <c r="P862" i="14"/>
  <c r="R861" i="14"/>
  <c r="P861" i="14"/>
  <c r="R860" i="14"/>
  <c r="P860" i="14"/>
  <c r="R859" i="14"/>
  <c r="P859" i="14"/>
  <c r="R858" i="14"/>
  <c r="P858" i="14"/>
  <c r="R857" i="14"/>
  <c r="P857" i="14"/>
  <c r="R856" i="14"/>
  <c r="P856" i="14"/>
  <c r="R855" i="14"/>
  <c r="P855" i="14"/>
  <c r="R854" i="14"/>
  <c r="P854" i="14"/>
  <c r="R853" i="14"/>
  <c r="P853" i="14"/>
  <c r="R852" i="14"/>
  <c r="P852" i="14"/>
  <c r="R851" i="14"/>
  <c r="P851" i="14"/>
  <c r="R850" i="14"/>
  <c r="P850" i="14"/>
  <c r="R849" i="14"/>
  <c r="P849" i="14"/>
  <c r="R848" i="14"/>
  <c r="P848" i="14"/>
  <c r="R847" i="14"/>
  <c r="P847" i="14"/>
  <c r="R846" i="14"/>
  <c r="P846" i="14"/>
  <c r="R845" i="14"/>
  <c r="P845" i="14"/>
  <c r="R844" i="14"/>
  <c r="P844" i="14"/>
  <c r="R843" i="14"/>
  <c r="P843" i="14"/>
  <c r="R842" i="14"/>
  <c r="P842" i="14"/>
  <c r="R841" i="14"/>
  <c r="P841" i="14"/>
  <c r="R840" i="14"/>
  <c r="P840" i="14"/>
  <c r="R839" i="14"/>
  <c r="P839" i="14"/>
  <c r="R838" i="14"/>
  <c r="P838" i="14"/>
  <c r="R837" i="14"/>
  <c r="P837" i="14"/>
  <c r="R836" i="14"/>
  <c r="P836" i="14"/>
  <c r="R835" i="14"/>
  <c r="P835" i="14"/>
  <c r="R834" i="14"/>
  <c r="P834" i="14"/>
  <c r="R833" i="14"/>
  <c r="P833" i="14"/>
  <c r="R832" i="14"/>
  <c r="P832" i="14"/>
  <c r="R831" i="14"/>
  <c r="P831" i="14"/>
  <c r="R830" i="14"/>
  <c r="P830" i="14"/>
  <c r="R829" i="14"/>
  <c r="P829" i="14"/>
  <c r="R828" i="14"/>
  <c r="P828" i="14"/>
  <c r="R827" i="14"/>
  <c r="P827" i="14"/>
  <c r="R826" i="14"/>
  <c r="P826" i="14"/>
  <c r="R825" i="14"/>
  <c r="P825" i="14"/>
  <c r="R824" i="14"/>
  <c r="P824" i="14"/>
  <c r="R823" i="14"/>
  <c r="P823" i="14"/>
  <c r="R822" i="14"/>
  <c r="P822" i="14"/>
  <c r="R821" i="14"/>
  <c r="P821" i="14"/>
  <c r="R820" i="14"/>
  <c r="P820" i="14"/>
  <c r="R819" i="14"/>
  <c r="P819" i="14"/>
  <c r="R818" i="14"/>
  <c r="P818" i="14"/>
  <c r="R817" i="14"/>
  <c r="P817" i="14"/>
  <c r="R816" i="14"/>
  <c r="P816" i="14"/>
  <c r="R815" i="14"/>
  <c r="P815" i="14"/>
  <c r="R814" i="14"/>
  <c r="P814" i="14"/>
  <c r="R813" i="14"/>
  <c r="P813" i="14"/>
  <c r="R812" i="14"/>
  <c r="P812" i="14"/>
  <c r="R811" i="14"/>
  <c r="P811" i="14"/>
  <c r="R810" i="14"/>
  <c r="P810" i="14"/>
  <c r="R809" i="14"/>
  <c r="P809" i="14"/>
  <c r="R808" i="14"/>
  <c r="P808" i="14"/>
  <c r="R807" i="14"/>
  <c r="P807" i="14"/>
  <c r="R806" i="14"/>
  <c r="P806" i="14"/>
  <c r="R805" i="14"/>
  <c r="P805" i="14"/>
  <c r="R804" i="14"/>
  <c r="P804" i="14"/>
  <c r="R803" i="14"/>
  <c r="P803" i="14"/>
  <c r="R802" i="14"/>
  <c r="P802" i="14"/>
  <c r="R801" i="14"/>
  <c r="P801" i="14"/>
  <c r="R800" i="14"/>
  <c r="P800" i="14"/>
  <c r="R799" i="14"/>
  <c r="P799" i="14"/>
  <c r="R798" i="14"/>
  <c r="P798" i="14"/>
  <c r="R797" i="14"/>
  <c r="P797" i="14"/>
  <c r="R796" i="14"/>
  <c r="P796" i="14"/>
  <c r="R795" i="14"/>
  <c r="P795" i="14"/>
  <c r="R794" i="14"/>
  <c r="P794" i="14"/>
  <c r="R793" i="14"/>
  <c r="P793" i="14"/>
  <c r="R792" i="14"/>
  <c r="P792" i="14"/>
  <c r="R791" i="14"/>
  <c r="P791" i="14"/>
  <c r="R790" i="14"/>
  <c r="P790" i="14"/>
  <c r="R789" i="14"/>
  <c r="P789" i="14"/>
  <c r="R788" i="14"/>
  <c r="P788" i="14"/>
  <c r="R787" i="14"/>
  <c r="P787" i="14"/>
  <c r="R786" i="14"/>
  <c r="P786" i="14"/>
  <c r="R785" i="14"/>
  <c r="P785" i="14"/>
  <c r="R784" i="14"/>
  <c r="P784" i="14"/>
  <c r="R783" i="14"/>
  <c r="P783" i="14"/>
  <c r="R782" i="14"/>
  <c r="P782" i="14"/>
  <c r="R781" i="14"/>
  <c r="P781" i="14"/>
  <c r="R780" i="14"/>
  <c r="P780" i="14"/>
  <c r="R779" i="14"/>
  <c r="P779" i="14"/>
  <c r="R778" i="14"/>
  <c r="P778" i="14"/>
  <c r="R777" i="14"/>
  <c r="P777" i="14"/>
  <c r="R776" i="14"/>
  <c r="P776" i="14"/>
  <c r="R775" i="14"/>
  <c r="P775" i="14"/>
  <c r="R774" i="14"/>
  <c r="P774" i="14"/>
  <c r="R773" i="14"/>
  <c r="P773" i="14"/>
  <c r="R772" i="14"/>
  <c r="P772" i="14"/>
  <c r="R771" i="14"/>
  <c r="P771" i="14"/>
  <c r="R770" i="14"/>
  <c r="P770" i="14"/>
  <c r="R769" i="14"/>
  <c r="P769" i="14"/>
  <c r="R768" i="14"/>
  <c r="P768" i="14"/>
  <c r="R767" i="14"/>
  <c r="P767" i="14"/>
  <c r="R766" i="14"/>
  <c r="P766" i="14"/>
  <c r="R765" i="14"/>
  <c r="P765" i="14"/>
  <c r="R764" i="14"/>
  <c r="P764" i="14"/>
  <c r="R763" i="14"/>
  <c r="P763" i="14"/>
  <c r="R762" i="14"/>
  <c r="P762" i="14"/>
  <c r="R761" i="14"/>
  <c r="P761" i="14"/>
  <c r="R760" i="14"/>
  <c r="P760" i="14"/>
  <c r="R759" i="14"/>
  <c r="P759" i="14"/>
  <c r="R758" i="14"/>
  <c r="P758" i="14"/>
  <c r="R757" i="14"/>
  <c r="P757" i="14"/>
  <c r="R756" i="14"/>
  <c r="P756" i="14"/>
  <c r="R755" i="14"/>
  <c r="P755" i="14"/>
  <c r="R754" i="14"/>
  <c r="P754" i="14"/>
  <c r="R753" i="14"/>
  <c r="P753" i="14"/>
  <c r="R752" i="14"/>
  <c r="P752" i="14"/>
  <c r="R751" i="14"/>
  <c r="P751" i="14"/>
  <c r="R750" i="14"/>
  <c r="P750" i="14"/>
  <c r="R749" i="14"/>
  <c r="P749" i="14"/>
  <c r="R748" i="14"/>
  <c r="P748" i="14"/>
  <c r="R747" i="14"/>
  <c r="P747" i="14"/>
  <c r="R746" i="14"/>
  <c r="P746" i="14"/>
  <c r="R745" i="14"/>
  <c r="P745" i="14"/>
  <c r="R744" i="14"/>
  <c r="P744" i="14"/>
  <c r="R743" i="14"/>
  <c r="P743" i="14"/>
  <c r="R742" i="14"/>
  <c r="P742" i="14"/>
  <c r="R741" i="14"/>
  <c r="P741" i="14"/>
  <c r="R740" i="14"/>
  <c r="P740" i="14"/>
  <c r="R739" i="14"/>
  <c r="P739" i="14"/>
  <c r="R738" i="14"/>
  <c r="P738" i="14"/>
  <c r="R737" i="14"/>
  <c r="P737" i="14"/>
  <c r="R736" i="14"/>
  <c r="P736" i="14"/>
  <c r="R735" i="14"/>
  <c r="P735" i="14"/>
  <c r="R734" i="14"/>
  <c r="P734" i="14"/>
  <c r="R733" i="14"/>
  <c r="P733" i="14"/>
  <c r="R732" i="14"/>
  <c r="P732" i="14"/>
  <c r="R731" i="14"/>
  <c r="P731" i="14"/>
  <c r="R730" i="14"/>
  <c r="P730" i="14"/>
  <c r="R729" i="14"/>
  <c r="P729" i="14"/>
  <c r="R728" i="14"/>
  <c r="P728" i="14"/>
  <c r="R727" i="14"/>
  <c r="P727" i="14"/>
  <c r="R726" i="14"/>
  <c r="P726" i="14"/>
  <c r="R725" i="14"/>
  <c r="P725" i="14"/>
  <c r="R724" i="14"/>
  <c r="P724" i="14"/>
  <c r="R723" i="14"/>
  <c r="P723" i="14"/>
  <c r="R722" i="14"/>
  <c r="P722" i="14"/>
  <c r="R721" i="14"/>
  <c r="P721" i="14"/>
  <c r="R720" i="14"/>
  <c r="P720" i="14"/>
  <c r="R719" i="14"/>
  <c r="P719" i="14"/>
  <c r="R718" i="14"/>
  <c r="P718" i="14"/>
  <c r="R717" i="14"/>
  <c r="P717" i="14"/>
  <c r="R716" i="14"/>
  <c r="P716" i="14"/>
  <c r="R715" i="14"/>
  <c r="P715" i="14"/>
  <c r="R714" i="14"/>
  <c r="P714" i="14"/>
  <c r="R713" i="14"/>
  <c r="P713" i="14"/>
  <c r="R712" i="14"/>
  <c r="P712" i="14"/>
  <c r="R711" i="14"/>
  <c r="P711" i="14"/>
  <c r="R710" i="14"/>
  <c r="P710" i="14"/>
  <c r="R709" i="14"/>
  <c r="P709" i="14"/>
  <c r="R708" i="14"/>
  <c r="P708" i="14"/>
  <c r="R707" i="14"/>
  <c r="P707" i="14"/>
  <c r="R706" i="14"/>
  <c r="P706" i="14"/>
  <c r="R705" i="14"/>
  <c r="P705" i="14"/>
  <c r="R704" i="14"/>
  <c r="P704" i="14"/>
  <c r="R703" i="14"/>
  <c r="P703" i="14"/>
  <c r="R702" i="14"/>
  <c r="P702" i="14"/>
  <c r="R701" i="14"/>
  <c r="P701" i="14"/>
  <c r="R700" i="14"/>
  <c r="P700" i="14"/>
  <c r="R699" i="14"/>
  <c r="P699" i="14"/>
  <c r="R698" i="14"/>
  <c r="P698" i="14"/>
  <c r="R697" i="14"/>
  <c r="P697" i="14"/>
  <c r="R696" i="14"/>
  <c r="P696" i="14"/>
  <c r="R695" i="14"/>
  <c r="P695" i="14"/>
  <c r="R694" i="14"/>
  <c r="P694" i="14"/>
  <c r="R693" i="14"/>
  <c r="P693" i="14"/>
  <c r="R692" i="14"/>
  <c r="P692" i="14"/>
  <c r="R691" i="14"/>
  <c r="P691" i="14"/>
  <c r="R690" i="14"/>
  <c r="P690" i="14"/>
  <c r="R689" i="14"/>
  <c r="P689" i="14"/>
  <c r="R688" i="14"/>
  <c r="P688" i="14"/>
  <c r="R687" i="14"/>
  <c r="P687" i="14"/>
  <c r="R686" i="14"/>
  <c r="P686" i="14"/>
  <c r="R685" i="14"/>
  <c r="P685" i="14"/>
  <c r="R684" i="14"/>
  <c r="P684" i="14"/>
  <c r="R683" i="14"/>
  <c r="P683" i="14"/>
  <c r="R682" i="14"/>
  <c r="P682" i="14"/>
  <c r="R681" i="14"/>
  <c r="P681" i="14"/>
  <c r="R680" i="14"/>
  <c r="P680" i="14"/>
  <c r="R679" i="14"/>
  <c r="P679" i="14"/>
  <c r="R678" i="14"/>
  <c r="P678" i="14"/>
  <c r="R677" i="14"/>
  <c r="P677" i="14"/>
  <c r="R676" i="14"/>
  <c r="P676" i="14"/>
  <c r="R675" i="14"/>
  <c r="P675" i="14"/>
  <c r="R674" i="14"/>
  <c r="P674" i="14"/>
  <c r="R673" i="14"/>
  <c r="P673" i="14"/>
  <c r="R672" i="14"/>
  <c r="P672" i="14"/>
  <c r="R671" i="14"/>
  <c r="P671" i="14"/>
  <c r="R670" i="14"/>
  <c r="P670" i="14"/>
  <c r="R669" i="14"/>
  <c r="P669" i="14"/>
  <c r="R668" i="14"/>
  <c r="P668" i="14"/>
  <c r="R667" i="14"/>
  <c r="P667" i="14"/>
  <c r="R666" i="14"/>
  <c r="P666" i="14"/>
  <c r="R665" i="14"/>
  <c r="P665" i="14"/>
  <c r="R664" i="14"/>
  <c r="P664" i="14"/>
  <c r="R663" i="14"/>
  <c r="P663" i="14"/>
  <c r="R662" i="14"/>
  <c r="P662" i="14"/>
  <c r="R661" i="14"/>
  <c r="P661" i="14"/>
  <c r="R660" i="14"/>
  <c r="P660" i="14"/>
  <c r="R659" i="14"/>
  <c r="P659" i="14"/>
  <c r="R658" i="14"/>
  <c r="P658" i="14"/>
  <c r="R657" i="14"/>
  <c r="P657" i="14"/>
  <c r="R656" i="14"/>
  <c r="P656" i="14"/>
  <c r="R655" i="14"/>
  <c r="P655" i="14"/>
  <c r="R654" i="14"/>
  <c r="P654" i="14"/>
  <c r="R653" i="14"/>
  <c r="P653" i="14"/>
  <c r="R652" i="14"/>
  <c r="P652" i="14"/>
  <c r="R651" i="14"/>
  <c r="P651" i="14"/>
  <c r="R650" i="14"/>
  <c r="P650" i="14"/>
  <c r="R649" i="14"/>
  <c r="P649" i="14"/>
  <c r="R648" i="14"/>
  <c r="P648" i="14"/>
  <c r="R647" i="14"/>
  <c r="P647" i="14"/>
  <c r="R646" i="14"/>
  <c r="P646" i="14"/>
  <c r="R645" i="14"/>
  <c r="P645" i="14"/>
  <c r="R644" i="14"/>
  <c r="P644" i="14"/>
  <c r="R643" i="14"/>
  <c r="P643" i="14"/>
  <c r="R642" i="14"/>
  <c r="P642" i="14"/>
  <c r="R641" i="14"/>
  <c r="P641" i="14"/>
  <c r="R640" i="14"/>
  <c r="P640" i="14"/>
  <c r="R639" i="14"/>
  <c r="P639" i="14"/>
  <c r="R638" i="14"/>
  <c r="P638" i="14"/>
  <c r="R637" i="14"/>
  <c r="P637" i="14"/>
  <c r="R636" i="14"/>
  <c r="P636" i="14"/>
  <c r="R635" i="14"/>
  <c r="P635" i="14"/>
  <c r="R634" i="14"/>
  <c r="P634" i="14"/>
  <c r="R633" i="14"/>
  <c r="P633" i="14"/>
  <c r="R632" i="14"/>
  <c r="P632" i="14"/>
  <c r="R631" i="14"/>
  <c r="P631" i="14"/>
  <c r="R630" i="14"/>
  <c r="P630" i="14"/>
  <c r="R629" i="14"/>
  <c r="P629" i="14"/>
  <c r="R628" i="14"/>
  <c r="P628" i="14"/>
  <c r="R627" i="14"/>
  <c r="P627" i="14"/>
  <c r="R626" i="14"/>
  <c r="P626" i="14"/>
  <c r="R625" i="14"/>
  <c r="P625" i="14"/>
  <c r="R624" i="14"/>
  <c r="P624" i="14"/>
  <c r="R623" i="14"/>
  <c r="P623" i="14"/>
  <c r="R622" i="14"/>
  <c r="P622" i="14"/>
  <c r="R621" i="14"/>
  <c r="P621" i="14"/>
  <c r="R620" i="14"/>
  <c r="P620" i="14"/>
  <c r="R619" i="14"/>
  <c r="P619" i="14"/>
  <c r="R618" i="14"/>
  <c r="P618" i="14"/>
  <c r="R617" i="14"/>
  <c r="P617" i="14"/>
  <c r="R616" i="14"/>
  <c r="P616" i="14"/>
  <c r="R615" i="14"/>
  <c r="P615" i="14"/>
  <c r="R614" i="14"/>
  <c r="P614" i="14"/>
  <c r="R613" i="14"/>
  <c r="P613" i="14"/>
  <c r="R612" i="14"/>
  <c r="P612" i="14"/>
  <c r="R611" i="14"/>
  <c r="P611" i="14"/>
  <c r="R610" i="14"/>
  <c r="P610" i="14"/>
  <c r="R609" i="14"/>
  <c r="P609" i="14"/>
  <c r="R608" i="14"/>
  <c r="P608" i="14"/>
  <c r="R607" i="14"/>
  <c r="P607" i="14"/>
  <c r="R606" i="14"/>
  <c r="P606" i="14"/>
  <c r="R605" i="14"/>
  <c r="P605" i="14"/>
  <c r="R604" i="14"/>
  <c r="P604" i="14"/>
  <c r="R603" i="14"/>
  <c r="P603" i="14"/>
  <c r="R602" i="14"/>
  <c r="P602" i="14"/>
  <c r="R601" i="14"/>
  <c r="P601" i="14"/>
  <c r="R600" i="14"/>
  <c r="P600" i="14"/>
  <c r="R599" i="14"/>
  <c r="P599" i="14"/>
  <c r="R598" i="14"/>
  <c r="P598" i="14"/>
  <c r="R597" i="14"/>
  <c r="P597" i="14"/>
  <c r="R596" i="14"/>
  <c r="P596" i="14"/>
  <c r="R595" i="14"/>
  <c r="P595" i="14"/>
  <c r="R594" i="14"/>
  <c r="P594" i="14"/>
  <c r="R593" i="14"/>
  <c r="P593" i="14"/>
  <c r="R592" i="14"/>
  <c r="P592" i="14"/>
  <c r="R591" i="14"/>
  <c r="P591" i="14"/>
  <c r="R590" i="14"/>
  <c r="P590" i="14"/>
  <c r="R589" i="14"/>
  <c r="P589" i="14"/>
  <c r="R588" i="14"/>
  <c r="P588" i="14"/>
  <c r="R587" i="14"/>
  <c r="P587" i="14"/>
  <c r="R586" i="14"/>
  <c r="P586" i="14"/>
  <c r="R585" i="14"/>
  <c r="P585" i="14"/>
  <c r="R584" i="14"/>
  <c r="P584" i="14"/>
  <c r="R583" i="14"/>
  <c r="P583" i="14"/>
  <c r="R582" i="14"/>
  <c r="P582" i="14"/>
  <c r="R581" i="14"/>
  <c r="P581" i="14"/>
  <c r="R580" i="14"/>
  <c r="P580" i="14"/>
  <c r="R579" i="14"/>
  <c r="P579" i="14"/>
  <c r="R578" i="14"/>
  <c r="P578" i="14"/>
  <c r="R577" i="14"/>
  <c r="P577" i="14"/>
  <c r="R576" i="14"/>
  <c r="P576" i="14"/>
  <c r="R575" i="14"/>
  <c r="P575" i="14"/>
  <c r="R574" i="14"/>
  <c r="P574" i="14"/>
  <c r="R573" i="14"/>
  <c r="P573" i="14"/>
  <c r="R572" i="14"/>
  <c r="P572" i="14"/>
  <c r="R571" i="14"/>
  <c r="P571" i="14"/>
  <c r="R570" i="14"/>
  <c r="P570" i="14"/>
  <c r="R569" i="14"/>
  <c r="P569" i="14"/>
  <c r="R568" i="14"/>
  <c r="P568" i="14"/>
  <c r="R567" i="14"/>
  <c r="P567" i="14"/>
  <c r="R566" i="14"/>
  <c r="P566" i="14"/>
  <c r="R565" i="14"/>
  <c r="P565" i="14"/>
  <c r="R564" i="14"/>
  <c r="P564" i="14"/>
  <c r="R563" i="14"/>
  <c r="P563" i="14"/>
  <c r="R562" i="14"/>
  <c r="P562" i="14"/>
  <c r="R561" i="14"/>
  <c r="P561" i="14"/>
  <c r="R560" i="14"/>
  <c r="P560" i="14"/>
  <c r="R559" i="14"/>
  <c r="P559" i="14"/>
  <c r="R558" i="14"/>
  <c r="P558" i="14"/>
  <c r="R557" i="14"/>
  <c r="P557" i="14"/>
  <c r="R556" i="14"/>
  <c r="P556" i="14"/>
  <c r="R555" i="14"/>
  <c r="P555" i="14"/>
  <c r="R554" i="14"/>
  <c r="P554" i="14"/>
  <c r="R553" i="14"/>
  <c r="P553" i="14"/>
  <c r="R552" i="14"/>
  <c r="P552" i="14"/>
  <c r="R551" i="14"/>
  <c r="P551" i="14"/>
  <c r="R550" i="14"/>
  <c r="P550" i="14"/>
  <c r="R549" i="14"/>
  <c r="P549" i="14"/>
  <c r="R548" i="14"/>
  <c r="P548" i="14"/>
  <c r="R547" i="14"/>
  <c r="P547" i="14"/>
  <c r="R546" i="14"/>
  <c r="P546" i="14"/>
  <c r="R545" i="14"/>
  <c r="P545" i="14"/>
  <c r="R544" i="14"/>
  <c r="P544" i="14"/>
  <c r="R543" i="14"/>
  <c r="P543" i="14"/>
  <c r="R542" i="14"/>
  <c r="P542" i="14"/>
  <c r="R541" i="14"/>
  <c r="P541" i="14"/>
  <c r="R540" i="14"/>
  <c r="P540" i="14"/>
  <c r="R539" i="14"/>
  <c r="P539" i="14"/>
  <c r="R538" i="14"/>
  <c r="P538" i="14"/>
  <c r="R537" i="14"/>
  <c r="P537" i="14"/>
  <c r="R536" i="14"/>
  <c r="P536" i="14"/>
  <c r="R535" i="14"/>
  <c r="P535" i="14"/>
  <c r="R534" i="14"/>
  <c r="P534" i="14"/>
  <c r="R533" i="14"/>
  <c r="P533" i="14"/>
  <c r="R532" i="14"/>
  <c r="P532" i="14"/>
  <c r="R531" i="14"/>
  <c r="P531" i="14"/>
  <c r="R530" i="14"/>
  <c r="P530" i="14"/>
  <c r="R529" i="14"/>
  <c r="P529" i="14"/>
  <c r="R528" i="14"/>
  <c r="P528" i="14"/>
  <c r="R527" i="14"/>
  <c r="P527" i="14"/>
  <c r="R526" i="14"/>
  <c r="P526" i="14"/>
  <c r="R525" i="14"/>
  <c r="P525" i="14"/>
  <c r="R524" i="14"/>
  <c r="P524" i="14"/>
  <c r="R523" i="14"/>
  <c r="P523" i="14"/>
  <c r="R522" i="14"/>
  <c r="P522" i="14"/>
  <c r="R521" i="14"/>
  <c r="P521" i="14"/>
  <c r="R520" i="14"/>
  <c r="P520" i="14"/>
  <c r="R519" i="14"/>
  <c r="P519" i="14"/>
  <c r="R518" i="14"/>
  <c r="P518" i="14"/>
  <c r="R517" i="14"/>
  <c r="P517" i="14"/>
  <c r="R516" i="14"/>
  <c r="P516" i="14"/>
  <c r="R515" i="14"/>
  <c r="P515" i="14"/>
  <c r="R514" i="14"/>
  <c r="P514" i="14"/>
  <c r="R513" i="14"/>
  <c r="P513" i="14"/>
  <c r="R512" i="14"/>
  <c r="P512" i="14"/>
  <c r="R511" i="14"/>
  <c r="P511" i="14"/>
  <c r="R510" i="14"/>
  <c r="P510" i="14"/>
  <c r="R509" i="14"/>
  <c r="P509" i="14"/>
  <c r="R508" i="14"/>
  <c r="P508" i="14"/>
  <c r="R507" i="14"/>
  <c r="P507" i="14"/>
  <c r="R506" i="14"/>
  <c r="P506" i="14"/>
  <c r="R505" i="14"/>
  <c r="P505" i="14"/>
  <c r="R504" i="14"/>
  <c r="P504" i="14"/>
  <c r="R503" i="14"/>
  <c r="P503" i="14"/>
  <c r="R502" i="14"/>
  <c r="P502" i="14"/>
  <c r="R501" i="14"/>
  <c r="P501" i="14"/>
  <c r="R500" i="14"/>
  <c r="P500" i="14"/>
  <c r="R499" i="14"/>
  <c r="P499" i="14"/>
  <c r="R498" i="14"/>
  <c r="P498" i="14"/>
  <c r="R497" i="14"/>
  <c r="P497" i="14"/>
  <c r="R496" i="14"/>
  <c r="P496" i="14"/>
  <c r="R495" i="14"/>
  <c r="P495" i="14"/>
  <c r="R494" i="14"/>
  <c r="P494" i="14"/>
  <c r="R493" i="14"/>
  <c r="P493" i="14"/>
  <c r="R492" i="14"/>
  <c r="P492" i="14"/>
  <c r="R491" i="14"/>
  <c r="P491" i="14"/>
  <c r="R490" i="14"/>
  <c r="P490" i="14"/>
  <c r="R489" i="14"/>
  <c r="P489" i="14"/>
  <c r="R488" i="14"/>
  <c r="P488" i="14"/>
  <c r="R487" i="14"/>
  <c r="P487" i="14"/>
  <c r="R486" i="14"/>
  <c r="P486" i="14"/>
  <c r="R485" i="14"/>
  <c r="P485" i="14"/>
  <c r="R484" i="14"/>
  <c r="P484" i="14"/>
  <c r="R483" i="14"/>
  <c r="P483" i="14"/>
  <c r="R482" i="14"/>
  <c r="P482" i="14"/>
  <c r="R481" i="14"/>
  <c r="P481" i="14"/>
  <c r="R480" i="14"/>
  <c r="P480" i="14"/>
  <c r="R479" i="14"/>
  <c r="P479" i="14"/>
  <c r="R478" i="14"/>
  <c r="P478" i="14"/>
  <c r="R477" i="14"/>
  <c r="P477" i="14"/>
  <c r="R476" i="14"/>
  <c r="P476" i="14"/>
  <c r="R475" i="14"/>
  <c r="P475" i="14"/>
  <c r="R474" i="14"/>
  <c r="P474" i="14"/>
  <c r="R473" i="14"/>
  <c r="P473" i="14"/>
  <c r="R472" i="14"/>
  <c r="P472" i="14"/>
  <c r="R471" i="14"/>
  <c r="P471" i="14"/>
  <c r="R470" i="14"/>
  <c r="P470" i="14"/>
  <c r="R469" i="14"/>
  <c r="P469" i="14"/>
  <c r="R468" i="14"/>
  <c r="P468" i="14"/>
  <c r="R467" i="14"/>
  <c r="P467" i="14"/>
  <c r="R466" i="14"/>
  <c r="P466" i="14"/>
  <c r="R465" i="14"/>
  <c r="P465" i="14"/>
  <c r="R464" i="14"/>
  <c r="P464" i="14"/>
  <c r="R463" i="14"/>
  <c r="P463" i="14"/>
  <c r="R462" i="14"/>
  <c r="P462" i="14"/>
  <c r="R461" i="14"/>
  <c r="P461" i="14"/>
  <c r="R460" i="14"/>
  <c r="P460" i="14"/>
  <c r="R459" i="14"/>
  <c r="P459" i="14"/>
  <c r="R458" i="14"/>
  <c r="P458" i="14"/>
  <c r="R457" i="14"/>
  <c r="P457" i="14"/>
  <c r="R456" i="14"/>
  <c r="P456" i="14"/>
  <c r="R455" i="14"/>
  <c r="P455" i="14"/>
  <c r="R454" i="14"/>
  <c r="P454" i="14"/>
  <c r="R453" i="14"/>
  <c r="P453" i="14"/>
  <c r="R452" i="14"/>
  <c r="P452" i="14"/>
  <c r="R451" i="14"/>
  <c r="P451" i="14"/>
  <c r="R450" i="14"/>
  <c r="P450" i="14"/>
  <c r="R449" i="14"/>
  <c r="P449" i="14"/>
  <c r="R448" i="14"/>
  <c r="P448" i="14"/>
  <c r="R447" i="14"/>
  <c r="P447" i="14"/>
  <c r="R446" i="14"/>
  <c r="P446" i="14"/>
  <c r="R445" i="14"/>
  <c r="P445" i="14"/>
  <c r="R444" i="14"/>
  <c r="P444" i="14"/>
  <c r="R443" i="14"/>
  <c r="P443" i="14"/>
  <c r="R442" i="14"/>
  <c r="P442" i="14"/>
  <c r="R441" i="14"/>
  <c r="P441" i="14"/>
  <c r="R440" i="14"/>
  <c r="P440" i="14"/>
  <c r="R439" i="14"/>
  <c r="P439" i="14"/>
  <c r="R438" i="14"/>
  <c r="P438" i="14"/>
  <c r="R437" i="14"/>
  <c r="P437" i="14"/>
  <c r="R436" i="14"/>
  <c r="P436" i="14"/>
  <c r="R435" i="14"/>
  <c r="P435" i="14"/>
  <c r="R434" i="14"/>
  <c r="P434" i="14"/>
  <c r="R433" i="14"/>
  <c r="P433" i="14"/>
  <c r="R432" i="14"/>
  <c r="P432" i="14"/>
  <c r="R431" i="14"/>
  <c r="P431" i="14"/>
  <c r="R430" i="14"/>
  <c r="P430" i="14"/>
  <c r="R429" i="14"/>
  <c r="P429" i="14"/>
  <c r="R428" i="14"/>
  <c r="P428" i="14"/>
  <c r="R427" i="14"/>
  <c r="P427" i="14"/>
  <c r="R426" i="14"/>
  <c r="P426" i="14"/>
  <c r="R425" i="14"/>
  <c r="P425" i="14"/>
  <c r="R424" i="14"/>
  <c r="P424" i="14"/>
  <c r="R423" i="14"/>
  <c r="P423" i="14"/>
  <c r="R422" i="14"/>
  <c r="P422" i="14"/>
  <c r="R421" i="14"/>
  <c r="P421" i="14"/>
  <c r="R420" i="14"/>
  <c r="P420" i="14"/>
  <c r="R419" i="14"/>
  <c r="P419" i="14"/>
  <c r="R418" i="14"/>
  <c r="P418" i="14"/>
  <c r="R417" i="14"/>
  <c r="P417" i="14"/>
  <c r="R416" i="14"/>
  <c r="P416" i="14"/>
  <c r="R415" i="14"/>
  <c r="P415" i="14"/>
  <c r="R414" i="14"/>
  <c r="P414" i="14"/>
  <c r="R413" i="14"/>
  <c r="P413" i="14"/>
  <c r="R412" i="14"/>
  <c r="P412" i="14"/>
  <c r="R411" i="14"/>
  <c r="P411" i="14"/>
  <c r="R410" i="14"/>
  <c r="P410" i="14"/>
  <c r="R409" i="14"/>
  <c r="P409" i="14"/>
  <c r="R408" i="14"/>
  <c r="P408" i="14"/>
  <c r="R407" i="14"/>
  <c r="P407" i="14"/>
  <c r="R406" i="14"/>
  <c r="P406" i="14"/>
  <c r="R405" i="14"/>
  <c r="P405" i="14"/>
  <c r="R404" i="14"/>
  <c r="P404" i="14"/>
  <c r="R403" i="14"/>
  <c r="P403" i="14"/>
  <c r="R402" i="14"/>
  <c r="P402" i="14"/>
  <c r="R401" i="14"/>
  <c r="P401" i="14"/>
  <c r="R400" i="14"/>
  <c r="P400" i="14"/>
  <c r="R399" i="14"/>
  <c r="P399" i="14"/>
  <c r="R398" i="14"/>
  <c r="P398" i="14"/>
  <c r="R397" i="14"/>
  <c r="P397" i="14"/>
  <c r="R396" i="14"/>
  <c r="P396" i="14"/>
  <c r="R395" i="14"/>
  <c r="P395" i="14"/>
  <c r="R394" i="14"/>
  <c r="P394" i="14"/>
  <c r="R393" i="14"/>
  <c r="P393" i="14"/>
  <c r="R392" i="14"/>
  <c r="P392" i="14"/>
  <c r="R391" i="14"/>
  <c r="P391" i="14"/>
  <c r="R390" i="14"/>
  <c r="P390" i="14"/>
  <c r="R389" i="14"/>
  <c r="P389" i="14"/>
  <c r="R388" i="14"/>
  <c r="P388" i="14"/>
  <c r="R387" i="14"/>
  <c r="P387" i="14"/>
  <c r="R386" i="14"/>
  <c r="P386" i="14"/>
  <c r="R385" i="14"/>
  <c r="P385" i="14"/>
  <c r="R384" i="14"/>
  <c r="P384" i="14"/>
  <c r="R383" i="14"/>
  <c r="P383" i="14"/>
  <c r="R382" i="14"/>
  <c r="P382" i="14"/>
  <c r="R381" i="14"/>
  <c r="P381" i="14"/>
  <c r="R380" i="14"/>
  <c r="P380" i="14"/>
  <c r="R379" i="14"/>
  <c r="P379" i="14"/>
  <c r="R378" i="14"/>
  <c r="P378" i="14"/>
  <c r="G391" i="14"/>
  <c r="R377" i="14"/>
  <c r="P377" i="14"/>
  <c r="G390" i="14"/>
  <c r="R376" i="14"/>
  <c r="P376" i="14"/>
  <c r="G389" i="14"/>
  <c r="R375" i="14"/>
  <c r="P375" i="14"/>
  <c r="G388" i="14"/>
  <c r="R374" i="14"/>
  <c r="P374" i="14"/>
  <c r="G387" i="14"/>
  <c r="R373" i="14"/>
  <c r="P373" i="14"/>
  <c r="G386" i="14"/>
  <c r="R372" i="14"/>
  <c r="P372" i="14"/>
  <c r="G385" i="14"/>
  <c r="R371" i="14"/>
  <c r="P371" i="14"/>
  <c r="G384" i="14"/>
  <c r="R370" i="14"/>
  <c r="P370" i="14"/>
  <c r="G383" i="14"/>
  <c r="R369" i="14"/>
  <c r="P369" i="14"/>
  <c r="G382" i="14"/>
  <c r="R368" i="14"/>
  <c r="P368" i="14"/>
  <c r="G381" i="14"/>
  <c r="R367" i="14"/>
  <c r="P367" i="14"/>
  <c r="G380" i="14"/>
  <c r="R366" i="14"/>
  <c r="P366" i="14"/>
  <c r="G379" i="14"/>
  <c r="R365" i="14"/>
  <c r="P365" i="14"/>
  <c r="G378" i="14"/>
  <c r="R364" i="14"/>
  <c r="P364" i="14"/>
  <c r="G377" i="14"/>
  <c r="R363" i="14"/>
  <c r="P363" i="14"/>
  <c r="G376" i="14"/>
  <c r="R362" i="14"/>
  <c r="P362" i="14"/>
  <c r="G375" i="14"/>
  <c r="R361" i="14"/>
  <c r="P361" i="14"/>
  <c r="G374" i="14"/>
  <c r="R360" i="14"/>
  <c r="P360" i="14"/>
  <c r="G373" i="14"/>
  <c r="R359" i="14"/>
  <c r="P359" i="14"/>
  <c r="G372" i="14"/>
  <c r="R358" i="14"/>
  <c r="P358" i="14"/>
  <c r="G371" i="14"/>
  <c r="R357" i="14"/>
  <c r="P357" i="14"/>
  <c r="G370" i="14"/>
  <c r="R356" i="14"/>
  <c r="P356" i="14"/>
  <c r="G369" i="14"/>
  <c r="R355" i="14"/>
  <c r="P355" i="14"/>
  <c r="G368" i="14"/>
  <c r="R354" i="14"/>
  <c r="P354" i="14"/>
  <c r="G367" i="14"/>
  <c r="R353" i="14"/>
  <c r="P353" i="14"/>
  <c r="G366" i="14"/>
  <c r="R352" i="14"/>
  <c r="P352" i="14"/>
  <c r="G365" i="14"/>
  <c r="R351" i="14"/>
  <c r="P351" i="14"/>
  <c r="G364" i="14"/>
  <c r="R350" i="14"/>
  <c r="P350" i="14"/>
  <c r="G363" i="14"/>
  <c r="R349" i="14"/>
  <c r="P349" i="14"/>
  <c r="G362" i="14"/>
  <c r="R348" i="14"/>
  <c r="P348" i="14"/>
  <c r="G361" i="14"/>
  <c r="R347" i="14"/>
  <c r="P347" i="14"/>
  <c r="R346" i="14"/>
  <c r="P346" i="14"/>
  <c r="G359" i="14"/>
  <c r="R345" i="14"/>
  <c r="P345" i="14"/>
  <c r="G358" i="14"/>
  <c r="R344" i="14"/>
  <c r="P344" i="14"/>
  <c r="G357" i="14"/>
  <c r="R343" i="14"/>
  <c r="P343" i="14"/>
  <c r="G356" i="14"/>
  <c r="R342" i="14"/>
  <c r="P342" i="14"/>
  <c r="G355" i="14"/>
  <c r="R341" i="14"/>
  <c r="P341" i="14"/>
  <c r="G354" i="14"/>
  <c r="R340" i="14"/>
  <c r="P340" i="14"/>
  <c r="G353" i="14"/>
  <c r="R339" i="14"/>
  <c r="P339" i="14"/>
  <c r="G352" i="14"/>
  <c r="R338" i="14"/>
  <c r="P338" i="14"/>
  <c r="G351" i="14"/>
  <c r="R337" i="14"/>
  <c r="P337" i="14"/>
  <c r="G350" i="14"/>
  <c r="R336" i="14"/>
  <c r="P336" i="14"/>
  <c r="G349" i="14"/>
  <c r="R335" i="14"/>
  <c r="P335" i="14"/>
  <c r="G348" i="14"/>
  <c r="R334" i="14"/>
  <c r="P334" i="14"/>
  <c r="G347" i="14"/>
  <c r="R333" i="14"/>
  <c r="P333" i="14"/>
  <c r="G346" i="14"/>
  <c r="R332" i="14"/>
  <c r="P332" i="14"/>
  <c r="G345" i="14"/>
  <c r="R331" i="14"/>
  <c r="P331" i="14"/>
  <c r="G344" i="14"/>
  <c r="R330" i="14"/>
  <c r="P330" i="14"/>
  <c r="G343" i="14"/>
  <c r="R329" i="14"/>
  <c r="P329" i="14"/>
  <c r="G342" i="14"/>
  <c r="R328" i="14"/>
  <c r="P328" i="14"/>
  <c r="G341" i="14"/>
  <c r="R327" i="14"/>
  <c r="P327" i="14"/>
  <c r="G340" i="14"/>
  <c r="R326" i="14"/>
  <c r="P326" i="14"/>
  <c r="G339" i="14"/>
  <c r="R325" i="14"/>
  <c r="P325" i="14"/>
  <c r="G338" i="14"/>
  <c r="R324" i="14"/>
  <c r="P324" i="14"/>
  <c r="G337" i="14"/>
  <c r="R323" i="14"/>
  <c r="P323" i="14"/>
  <c r="G336" i="14"/>
  <c r="R322" i="14"/>
  <c r="P322" i="14"/>
  <c r="G335" i="14"/>
  <c r="R321" i="14"/>
  <c r="P321" i="14"/>
  <c r="G334" i="14"/>
  <c r="R320" i="14"/>
  <c r="P320" i="14"/>
  <c r="G333" i="14"/>
  <c r="R319" i="14"/>
  <c r="P319" i="14"/>
  <c r="G332" i="14"/>
  <c r="R318" i="14"/>
  <c r="P318" i="14"/>
  <c r="G331" i="14"/>
  <c r="R317" i="14"/>
  <c r="P317" i="14"/>
  <c r="G330" i="14"/>
  <c r="R316" i="14"/>
  <c r="P316" i="14"/>
  <c r="G329" i="14"/>
  <c r="R315" i="14"/>
  <c r="P315" i="14"/>
  <c r="R314" i="14"/>
  <c r="P314" i="14"/>
  <c r="G327" i="14"/>
  <c r="R313" i="14"/>
  <c r="P313" i="14"/>
  <c r="G326" i="14"/>
  <c r="R312" i="14"/>
  <c r="P312" i="14"/>
  <c r="G325" i="14"/>
  <c r="R311" i="14"/>
  <c r="P311" i="14"/>
  <c r="G324" i="14"/>
  <c r="R310" i="14"/>
  <c r="P310" i="14"/>
  <c r="G323" i="14"/>
  <c r="R309" i="14"/>
  <c r="P309" i="14"/>
  <c r="G322" i="14"/>
  <c r="R308" i="14"/>
  <c r="P308" i="14"/>
  <c r="G321" i="14"/>
  <c r="R307" i="14"/>
  <c r="P307" i="14"/>
  <c r="G320" i="14"/>
  <c r="R306" i="14"/>
  <c r="P306" i="14"/>
  <c r="G319" i="14"/>
  <c r="R305" i="14"/>
  <c r="P305" i="14"/>
  <c r="G318" i="14"/>
  <c r="R304" i="14"/>
  <c r="P304" i="14"/>
  <c r="G317" i="14"/>
  <c r="R303" i="14"/>
  <c r="P303" i="14"/>
  <c r="G316" i="14"/>
  <c r="R302" i="14"/>
  <c r="P302" i="14"/>
  <c r="G315" i="14"/>
  <c r="R301" i="14"/>
  <c r="P301" i="14"/>
  <c r="G314" i="14"/>
  <c r="R300" i="14"/>
  <c r="P300" i="14"/>
  <c r="G313" i="14"/>
  <c r="R299" i="14"/>
  <c r="P299" i="14"/>
  <c r="G312" i="14"/>
  <c r="R298" i="14"/>
  <c r="P298" i="14"/>
  <c r="G311" i="14"/>
  <c r="R297" i="14"/>
  <c r="P297" i="14"/>
  <c r="G310" i="14"/>
  <c r="R296" i="14"/>
  <c r="P296" i="14"/>
  <c r="G309" i="14"/>
  <c r="R295" i="14"/>
  <c r="P295" i="14"/>
  <c r="G308" i="14"/>
  <c r="R294" i="14"/>
  <c r="P294" i="14"/>
  <c r="G307" i="14"/>
  <c r="R293" i="14"/>
  <c r="P293" i="14"/>
  <c r="G306" i="14"/>
  <c r="R292" i="14"/>
  <c r="P292" i="14"/>
  <c r="G305" i="14"/>
  <c r="R291" i="14"/>
  <c r="P291" i="14"/>
  <c r="G304" i="14"/>
  <c r="R290" i="14"/>
  <c r="P290" i="14"/>
  <c r="G303" i="14"/>
  <c r="R289" i="14"/>
  <c r="P289" i="14"/>
  <c r="G302" i="14"/>
  <c r="R288" i="14"/>
  <c r="P288" i="14"/>
  <c r="G301" i="14"/>
  <c r="R287" i="14"/>
  <c r="P287" i="14"/>
  <c r="G300" i="14"/>
  <c r="R286" i="14"/>
  <c r="P286" i="14"/>
  <c r="G299" i="14"/>
  <c r="R285" i="14"/>
  <c r="P285" i="14"/>
  <c r="G298" i="14"/>
  <c r="R284" i="14"/>
  <c r="P284" i="14"/>
  <c r="G297" i="14"/>
  <c r="R283" i="14"/>
  <c r="P283" i="14"/>
  <c r="R282" i="14"/>
  <c r="P282" i="14"/>
  <c r="G295" i="14"/>
  <c r="R281" i="14"/>
  <c r="P281" i="14"/>
  <c r="G294" i="14"/>
  <c r="R280" i="14"/>
  <c r="P280" i="14"/>
  <c r="G293" i="14"/>
  <c r="R279" i="14"/>
  <c r="P279" i="14"/>
  <c r="G292" i="14"/>
  <c r="R278" i="14"/>
  <c r="P278" i="14"/>
  <c r="G291" i="14"/>
  <c r="R277" i="14"/>
  <c r="P277" i="14"/>
  <c r="G290" i="14"/>
  <c r="R276" i="14"/>
  <c r="P276" i="14"/>
  <c r="G289" i="14"/>
  <c r="R275" i="14"/>
  <c r="P275" i="14"/>
  <c r="G288" i="14"/>
  <c r="R274" i="14"/>
  <c r="P274" i="14"/>
  <c r="G287" i="14"/>
  <c r="R273" i="14"/>
  <c r="P273" i="14"/>
  <c r="G286" i="14"/>
  <c r="R272" i="14"/>
  <c r="P272" i="14"/>
  <c r="G285" i="14"/>
  <c r="R271" i="14"/>
  <c r="P271" i="14"/>
  <c r="G284" i="14"/>
  <c r="R270" i="14"/>
  <c r="P270" i="14"/>
  <c r="G283" i="14"/>
  <c r="R269" i="14"/>
  <c r="P269" i="14"/>
  <c r="G282" i="14"/>
  <c r="R268" i="14"/>
  <c r="P268" i="14"/>
  <c r="G281" i="14"/>
  <c r="R267" i="14"/>
  <c r="P267" i="14"/>
  <c r="G280" i="14"/>
  <c r="R266" i="14"/>
  <c r="P266" i="14"/>
  <c r="G279" i="14"/>
  <c r="R265" i="14"/>
  <c r="P265" i="14"/>
  <c r="G278" i="14"/>
  <c r="R264" i="14"/>
  <c r="P264" i="14"/>
  <c r="G277" i="14"/>
  <c r="R263" i="14"/>
  <c r="P263" i="14"/>
  <c r="G276" i="14"/>
  <c r="R262" i="14"/>
  <c r="P262" i="14"/>
  <c r="G275" i="14"/>
  <c r="R261" i="14"/>
  <c r="P261" i="14"/>
  <c r="G274" i="14"/>
  <c r="R260" i="14"/>
  <c r="P260" i="14"/>
  <c r="G273" i="14"/>
  <c r="R259" i="14"/>
  <c r="P259" i="14"/>
  <c r="G272" i="14"/>
  <c r="R258" i="14"/>
  <c r="P258" i="14"/>
  <c r="G271" i="14"/>
  <c r="R257" i="14"/>
  <c r="P257" i="14"/>
  <c r="G270" i="14"/>
  <c r="R256" i="14"/>
  <c r="P256" i="14"/>
  <c r="G269" i="14"/>
  <c r="R255" i="14"/>
  <c r="P255" i="14"/>
  <c r="G268" i="14"/>
  <c r="R254" i="14"/>
  <c r="P254" i="14"/>
  <c r="G267" i="14"/>
  <c r="R253" i="14"/>
  <c r="P253" i="14"/>
  <c r="G266" i="14"/>
  <c r="R252" i="14"/>
  <c r="P252" i="14"/>
  <c r="G265" i="14"/>
  <c r="R251" i="14"/>
  <c r="P251" i="14"/>
  <c r="R250" i="14"/>
  <c r="P250" i="14"/>
  <c r="R249" i="14"/>
  <c r="P249" i="14"/>
  <c r="R248" i="14"/>
  <c r="P248" i="14"/>
  <c r="R247" i="14"/>
  <c r="P247" i="14"/>
  <c r="R246" i="14"/>
  <c r="P246" i="14"/>
  <c r="R245" i="14"/>
  <c r="P245" i="14"/>
  <c r="R244" i="14"/>
  <c r="P244" i="14"/>
  <c r="R243" i="14"/>
  <c r="P243" i="14"/>
  <c r="R242" i="14"/>
  <c r="P242" i="14"/>
  <c r="R241" i="14"/>
  <c r="P241" i="14"/>
  <c r="R240" i="14"/>
  <c r="P240" i="14"/>
  <c r="R239" i="14"/>
  <c r="P239" i="14"/>
  <c r="R238" i="14"/>
  <c r="P238" i="14"/>
  <c r="R237" i="14"/>
  <c r="P237" i="14"/>
  <c r="R236" i="14"/>
  <c r="P236" i="14"/>
  <c r="R235" i="14"/>
  <c r="P235" i="14"/>
  <c r="R234" i="14"/>
  <c r="P234" i="14"/>
  <c r="R233" i="14"/>
  <c r="P233" i="14"/>
  <c r="R232" i="14"/>
  <c r="P232" i="14"/>
  <c r="R231" i="14"/>
  <c r="P231" i="14"/>
  <c r="R230" i="14"/>
  <c r="P230" i="14"/>
  <c r="R229" i="14"/>
  <c r="P229" i="14"/>
  <c r="R228" i="14"/>
  <c r="P228" i="14"/>
  <c r="R227" i="14"/>
  <c r="P227" i="14"/>
  <c r="R226" i="14"/>
  <c r="P226" i="14"/>
  <c r="R225" i="14"/>
  <c r="P225" i="14"/>
  <c r="R224" i="14"/>
  <c r="P224" i="14"/>
  <c r="R223" i="14"/>
  <c r="P223" i="14"/>
  <c r="R222" i="14"/>
  <c r="P222" i="14"/>
  <c r="R221" i="14"/>
  <c r="P221" i="14"/>
  <c r="R220" i="14"/>
  <c r="P220" i="14"/>
  <c r="R219" i="14"/>
  <c r="P219" i="14"/>
  <c r="R218" i="14"/>
  <c r="P218" i="14"/>
  <c r="R217" i="14"/>
  <c r="P217" i="14"/>
  <c r="R216" i="14"/>
  <c r="P216" i="14"/>
  <c r="R215" i="14"/>
  <c r="P215" i="14"/>
  <c r="R214" i="14"/>
  <c r="P214" i="14"/>
  <c r="R213" i="14"/>
  <c r="P213" i="14"/>
  <c r="R212" i="14"/>
  <c r="P212" i="14"/>
  <c r="R211" i="14"/>
  <c r="P211" i="14"/>
  <c r="R210" i="14"/>
  <c r="P210" i="14"/>
  <c r="R209" i="14"/>
  <c r="P209" i="14"/>
  <c r="R208" i="14"/>
  <c r="P208" i="14"/>
  <c r="R207" i="14"/>
  <c r="P207" i="14"/>
  <c r="R206" i="14"/>
  <c r="P206" i="14"/>
  <c r="R205" i="14"/>
  <c r="P205" i="14"/>
  <c r="R204" i="14"/>
  <c r="P204" i="14"/>
  <c r="R203" i="14"/>
  <c r="P203" i="14"/>
  <c r="R202" i="14"/>
  <c r="P202" i="14"/>
  <c r="R201" i="14"/>
  <c r="P201" i="14"/>
  <c r="R200" i="14"/>
  <c r="P200" i="14"/>
  <c r="R199" i="14"/>
  <c r="P199" i="14"/>
  <c r="R198" i="14"/>
  <c r="P198" i="14"/>
  <c r="R197" i="14"/>
  <c r="P197" i="14"/>
  <c r="R196" i="14"/>
  <c r="P196" i="14"/>
  <c r="R195" i="14"/>
  <c r="P195" i="14"/>
  <c r="R194" i="14"/>
  <c r="P194" i="14"/>
  <c r="R193" i="14"/>
  <c r="P193" i="14"/>
  <c r="R192" i="14"/>
  <c r="P192" i="14"/>
  <c r="R191" i="14"/>
  <c r="P191" i="14"/>
  <c r="R190" i="14"/>
  <c r="P190" i="14"/>
  <c r="R189" i="14"/>
  <c r="P189" i="14"/>
  <c r="R188" i="14"/>
  <c r="P188" i="14"/>
  <c r="R187" i="14"/>
  <c r="P187" i="14"/>
  <c r="R186" i="14"/>
  <c r="P186" i="14"/>
  <c r="R185" i="14"/>
  <c r="P185" i="14"/>
  <c r="R184" i="14"/>
  <c r="P184" i="14"/>
  <c r="R183" i="14"/>
  <c r="P183" i="14"/>
  <c r="R182" i="14"/>
  <c r="P182" i="14"/>
  <c r="R181" i="14"/>
  <c r="P181" i="14"/>
  <c r="R180" i="14"/>
  <c r="P180" i="14"/>
  <c r="R179" i="14"/>
  <c r="P179" i="14"/>
  <c r="R178" i="14"/>
  <c r="P178" i="14"/>
  <c r="R177" i="14"/>
  <c r="P177" i="14"/>
  <c r="R176" i="14"/>
  <c r="P176" i="14"/>
  <c r="R175" i="14"/>
  <c r="P175" i="14"/>
  <c r="R174" i="14"/>
  <c r="P174" i="14"/>
  <c r="R173" i="14"/>
  <c r="P173" i="14"/>
  <c r="R172" i="14"/>
  <c r="P172" i="14"/>
  <c r="R171" i="14"/>
  <c r="P171" i="14"/>
  <c r="R170" i="14"/>
  <c r="P170" i="14"/>
  <c r="R169" i="14"/>
  <c r="P169" i="14"/>
  <c r="R168" i="14"/>
  <c r="P168" i="14"/>
  <c r="R167" i="14"/>
  <c r="P167" i="14"/>
  <c r="R166" i="14"/>
  <c r="P166" i="14"/>
  <c r="R165" i="14"/>
  <c r="P165" i="14"/>
  <c r="R164" i="14"/>
  <c r="P164" i="14"/>
  <c r="R163" i="14"/>
  <c r="P163" i="14"/>
  <c r="R162" i="14"/>
  <c r="P162" i="14"/>
  <c r="R161" i="14"/>
  <c r="P161" i="14"/>
  <c r="R160" i="14"/>
  <c r="P160" i="14"/>
  <c r="R159" i="14"/>
  <c r="P159" i="14"/>
  <c r="R158" i="14"/>
  <c r="P158" i="14"/>
  <c r="R157" i="14"/>
  <c r="P157" i="14"/>
  <c r="R156" i="14"/>
  <c r="P156" i="14"/>
  <c r="R155" i="14"/>
  <c r="P155" i="14"/>
  <c r="R154" i="14"/>
  <c r="P154" i="14"/>
  <c r="R153" i="14"/>
  <c r="P153" i="14"/>
  <c r="R152" i="14"/>
  <c r="P152" i="14"/>
  <c r="R151" i="14"/>
  <c r="P151" i="14"/>
  <c r="R150" i="14"/>
  <c r="P150" i="14"/>
  <c r="R149" i="14"/>
  <c r="P149" i="14"/>
  <c r="R148" i="14"/>
  <c r="P148" i="14"/>
  <c r="R147" i="14"/>
  <c r="P147" i="14"/>
  <c r="R146" i="14"/>
  <c r="P146" i="14"/>
  <c r="R145" i="14"/>
  <c r="P145" i="14"/>
  <c r="R144" i="14"/>
  <c r="P144" i="14"/>
  <c r="R143" i="14"/>
  <c r="P143" i="14"/>
  <c r="R142" i="14"/>
  <c r="P142" i="14"/>
  <c r="R141" i="14"/>
  <c r="P141" i="14"/>
  <c r="R140" i="14"/>
  <c r="P140" i="14"/>
  <c r="R139" i="14"/>
  <c r="P139" i="14"/>
  <c r="R138" i="14"/>
  <c r="P138" i="14"/>
  <c r="R137" i="14"/>
  <c r="P137" i="14"/>
  <c r="R136" i="14"/>
  <c r="P136" i="14"/>
  <c r="R135" i="14"/>
  <c r="P135" i="14"/>
  <c r="R134" i="14"/>
  <c r="P134" i="14"/>
  <c r="R133" i="14"/>
  <c r="P133" i="14"/>
  <c r="R132" i="14"/>
  <c r="P132" i="14"/>
  <c r="R131" i="14"/>
  <c r="P131" i="14"/>
  <c r="R130" i="14"/>
  <c r="P130" i="14"/>
  <c r="R129" i="14"/>
  <c r="P129" i="14"/>
  <c r="R128" i="14"/>
  <c r="P128" i="14"/>
  <c r="R127" i="14"/>
  <c r="P127" i="14"/>
  <c r="R126" i="14"/>
  <c r="P126" i="14"/>
  <c r="R125" i="14"/>
  <c r="P125" i="14"/>
  <c r="R124" i="14"/>
  <c r="P124" i="14"/>
  <c r="R123" i="14"/>
  <c r="P123" i="14"/>
  <c r="R122" i="14"/>
  <c r="P122" i="14"/>
  <c r="R121" i="14"/>
  <c r="P121" i="14"/>
  <c r="R120" i="14"/>
  <c r="P120" i="14"/>
  <c r="R119" i="14"/>
  <c r="P119" i="14"/>
  <c r="R118" i="14"/>
  <c r="P118" i="14"/>
  <c r="R117" i="14"/>
  <c r="P117" i="14"/>
  <c r="R116" i="14"/>
  <c r="P116" i="14"/>
  <c r="R115" i="14"/>
  <c r="P115" i="14"/>
  <c r="R114" i="14"/>
  <c r="P114" i="14"/>
  <c r="R113" i="14"/>
  <c r="P113" i="14"/>
  <c r="R112" i="14"/>
  <c r="P112" i="14"/>
  <c r="R111" i="14"/>
  <c r="P111" i="14"/>
  <c r="R110" i="14"/>
  <c r="P110" i="14"/>
  <c r="R109" i="14"/>
  <c r="P109" i="14"/>
  <c r="R108" i="14"/>
  <c r="P108" i="14"/>
  <c r="R107" i="14"/>
  <c r="P107" i="14"/>
  <c r="R106" i="14"/>
  <c r="P106" i="14"/>
  <c r="R105" i="14"/>
  <c r="P105" i="14"/>
  <c r="R104" i="14"/>
  <c r="P104" i="14"/>
  <c r="R103" i="14"/>
  <c r="P103" i="14"/>
  <c r="R102" i="14"/>
  <c r="P102" i="14"/>
  <c r="R101" i="14"/>
  <c r="P101" i="14"/>
  <c r="R100" i="14"/>
  <c r="P100" i="14"/>
  <c r="R99" i="14"/>
  <c r="P99" i="14"/>
  <c r="R98" i="14"/>
  <c r="P98" i="14"/>
  <c r="R97" i="14"/>
  <c r="P97" i="14"/>
  <c r="R96" i="14"/>
  <c r="P96" i="14"/>
  <c r="R95" i="14"/>
  <c r="P95" i="14"/>
  <c r="R94" i="14"/>
  <c r="P94" i="14"/>
  <c r="R93" i="14"/>
  <c r="P93" i="14"/>
  <c r="R92" i="14"/>
  <c r="P92" i="14"/>
  <c r="R91" i="14"/>
  <c r="P91" i="14"/>
  <c r="R90" i="14"/>
  <c r="P90" i="14"/>
  <c r="R89" i="14"/>
  <c r="P89" i="14"/>
  <c r="R88" i="14"/>
  <c r="P88" i="14"/>
  <c r="R87" i="14"/>
  <c r="P87" i="14"/>
  <c r="R86" i="14"/>
  <c r="P86" i="14"/>
  <c r="R85" i="14"/>
  <c r="P85" i="14"/>
  <c r="R84" i="14"/>
  <c r="P84" i="14"/>
  <c r="R83" i="14"/>
  <c r="P83" i="14"/>
  <c r="R82" i="14"/>
  <c r="P82" i="14"/>
  <c r="R81" i="14"/>
  <c r="P81" i="14"/>
  <c r="R80" i="14"/>
  <c r="P80" i="14"/>
  <c r="R79" i="14"/>
  <c r="P79" i="14"/>
  <c r="R78" i="14"/>
  <c r="P78" i="14"/>
  <c r="R77" i="14"/>
  <c r="P77" i="14"/>
  <c r="R76" i="14"/>
  <c r="P76" i="14"/>
  <c r="R75" i="14"/>
  <c r="P75" i="14"/>
  <c r="R74" i="14"/>
  <c r="P74" i="14"/>
  <c r="R73" i="14"/>
  <c r="P73" i="14"/>
  <c r="R72" i="14"/>
  <c r="P72" i="14"/>
  <c r="R71" i="14"/>
  <c r="P71" i="14"/>
  <c r="R70" i="14"/>
  <c r="P70" i="14"/>
  <c r="R69" i="14"/>
  <c r="P69" i="14"/>
  <c r="R68" i="14"/>
  <c r="P68" i="14"/>
  <c r="R67" i="14"/>
  <c r="P67" i="14"/>
  <c r="R66" i="14"/>
  <c r="P66" i="14"/>
  <c r="R65" i="14"/>
  <c r="P65" i="14"/>
  <c r="R64" i="14"/>
  <c r="P64" i="14"/>
  <c r="R63" i="14"/>
  <c r="P63" i="14"/>
  <c r="R62" i="14"/>
  <c r="P62" i="14"/>
  <c r="R61" i="14"/>
  <c r="P61" i="14"/>
  <c r="R60" i="14"/>
  <c r="P60" i="14"/>
  <c r="R59" i="14"/>
  <c r="P59" i="14"/>
  <c r="R58" i="14"/>
  <c r="P58" i="14"/>
  <c r="R57" i="14"/>
  <c r="P57" i="14"/>
  <c r="R56" i="14"/>
  <c r="P56" i="14"/>
  <c r="R55" i="14"/>
  <c r="P55" i="14"/>
  <c r="R54" i="14"/>
  <c r="P54" i="14"/>
  <c r="R53" i="14"/>
  <c r="P53" i="14"/>
  <c r="R52" i="14"/>
  <c r="P52" i="14"/>
  <c r="R51" i="14"/>
  <c r="P51" i="14"/>
  <c r="R50" i="14"/>
  <c r="P50" i="14"/>
  <c r="R49" i="14"/>
  <c r="P49" i="14"/>
  <c r="R48" i="14"/>
  <c r="P48" i="14"/>
  <c r="R47" i="14"/>
  <c r="P47" i="14"/>
  <c r="R46" i="14"/>
  <c r="P46" i="14"/>
  <c r="R45" i="14"/>
  <c r="P45" i="14"/>
  <c r="R44" i="14"/>
  <c r="P44" i="14"/>
  <c r="R43" i="14"/>
  <c r="P43" i="14"/>
  <c r="R42" i="14"/>
  <c r="P42" i="14"/>
  <c r="R41" i="14"/>
  <c r="P41" i="14"/>
  <c r="R40" i="14"/>
  <c r="P40" i="14"/>
  <c r="R39" i="14"/>
  <c r="P39" i="14"/>
  <c r="R38" i="14"/>
  <c r="P38" i="14"/>
  <c r="R37" i="14"/>
  <c r="P37" i="14"/>
  <c r="R36" i="14"/>
  <c r="P36" i="14"/>
  <c r="R35" i="14"/>
  <c r="P35" i="14"/>
  <c r="R34" i="14"/>
  <c r="P34" i="14"/>
  <c r="R33" i="14"/>
  <c r="P33" i="14"/>
  <c r="R32" i="14"/>
  <c r="P32" i="14"/>
  <c r="R31" i="14"/>
  <c r="P31" i="14"/>
  <c r="R30" i="14"/>
  <c r="P30" i="14"/>
  <c r="R29" i="14"/>
  <c r="P29" i="14"/>
  <c r="R28" i="14"/>
  <c r="P28" i="14"/>
  <c r="R27" i="14"/>
  <c r="P27" i="14"/>
  <c r="R26" i="14"/>
  <c r="P26" i="14"/>
  <c r="R25" i="14"/>
  <c r="P25" i="14"/>
  <c r="R24" i="14"/>
  <c r="P24" i="14"/>
  <c r="R23" i="14"/>
  <c r="P23" i="14"/>
  <c r="R22" i="14"/>
  <c r="P22" i="14"/>
  <c r="R21" i="14"/>
  <c r="P21" i="14"/>
  <c r="R20" i="14"/>
  <c r="P20" i="14"/>
  <c r="R19" i="14"/>
  <c r="P19" i="14"/>
  <c r="R18" i="14"/>
  <c r="P18" i="14"/>
  <c r="R17" i="14"/>
  <c r="P17" i="14"/>
  <c r="R16" i="14"/>
  <c r="P16" i="14"/>
  <c r="R15" i="14"/>
  <c r="P15" i="14"/>
  <c r="R14" i="14"/>
  <c r="P14" i="14"/>
  <c r="R13" i="14"/>
  <c r="P13" i="14"/>
  <c r="R12" i="14"/>
  <c r="P12" i="14"/>
  <c r="R11" i="14"/>
  <c r="P11" i="14"/>
  <c r="B6" i="14"/>
  <c r="B5" i="14"/>
  <c r="W4" i="14"/>
  <c r="V4" i="14"/>
  <c r="U4" i="14"/>
  <c r="T4" i="14"/>
  <c r="R4" i="14"/>
  <c r="Q4" i="14"/>
  <c r="P4" i="14"/>
  <c r="O4" i="14"/>
  <c r="M4" i="14"/>
  <c r="L4" i="14"/>
  <c r="J4" i="14"/>
  <c r="I4" i="14"/>
  <c r="G4" i="14"/>
  <c r="F4" i="14"/>
  <c r="E4" i="14"/>
  <c r="D4" i="14"/>
  <c r="C4" i="14"/>
  <c r="R2041" i="12" l="1"/>
  <c r="P2041" i="12"/>
  <c r="R2040" i="12"/>
  <c r="P2040" i="12"/>
  <c r="R2039" i="12"/>
  <c r="P2039" i="12"/>
  <c r="R2038" i="12"/>
  <c r="P2038" i="12"/>
  <c r="R2037" i="12"/>
  <c r="P2037" i="12"/>
  <c r="R2036" i="12"/>
  <c r="P2036" i="12"/>
  <c r="R2035" i="12"/>
  <c r="P2035" i="12"/>
  <c r="R2034" i="12"/>
  <c r="P2034" i="12"/>
  <c r="R2033" i="12"/>
  <c r="P2033" i="12"/>
  <c r="R2032" i="12"/>
  <c r="P2032" i="12"/>
  <c r="R2031" i="12"/>
  <c r="P2031" i="12"/>
  <c r="R2030" i="12"/>
  <c r="P2030" i="12"/>
  <c r="R2029" i="12"/>
  <c r="P2029" i="12"/>
  <c r="R2028" i="12"/>
  <c r="P2028" i="12"/>
  <c r="R2027" i="12"/>
  <c r="P2027" i="12"/>
  <c r="R2026" i="12"/>
  <c r="P2026" i="12"/>
  <c r="R2025" i="12"/>
  <c r="P2025" i="12"/>
  <c r="R2024" i="12"/>
  <c r="P2024" i="12"/>
  <c r="R2023" i="12"/>
  <c r="P2023" i="12"/>
  <c r="R2022" i="12"/>
  <c r="P2022" i="12"/>
  <c r="R2021" i="12"/>
  <c r="P2021" i="12"/>
  <c r="R2020" i="12"/>
  <c r="P2020" i="12"/>
  <c r="R2019" i="12"/>
  <c r="P2019" i="12"/>
  <c r="R2018" i="12"/>
  <c r="P2018" i="12"/>
  <c r="R2017" i="12"/>
  <c r="P2017" i="12"/>
  <c r="R2016" i="12"/>
  <c r="P2016" i="12"/>
  <c r="R2015" i="12"/>
  <c r="P2015" i="12"/>
  <c r="R2014" i="12"/>
  <c r="P2014" i="12"/>
  <c r="R2013" i="12"/>
  <c r="P2013" i="12"/>
  <c r="R2012" i="12"/>
  <c r="P2012" i="12"/>
  <c r="R2011" i="12"/>
  <c r="P2011" i="12"/>
  <c r="R2010" i="12"/>
  <c r="P2010" i="12"/>
  <c r="R2009" i="12"/>
  <c r="P2009" i="12"/>
  <c r="R2008" i="12"/>
  <c r="P2008" i="12"/>
  <c r="R2007" i="12"/>
  <c r="P2007" i="12"/>
  <c r="R2006" i="12"/>
  <c r="P2006" i="12"/>
  <c r="R2005" i="12"/>
  <c r="P2005" i="12"/>
  <c r="R2004" i="12"/>
  <c r="P2004" i="12"/>
  <c r="R2003" i="12"/>
  <c r="P2003" i="12"/>
  <c r="R2002" i="12"/>
  <c r="P2002" i="12"/>
  <c r="R2001" i="12"/>
  <c r="P2001" i="12"/>
  <c r="R2000" i="12"/>
  <c r="P2000" i="12"/>
  <c r="R1999" i="12"/>
  <c r="P1999" i="12"/>
  <c r="R1998" i="12"/>
  <c r="P1998" i="12"/>
  <c r="R1997" i="12"/>
  <c r="P1997" i="12"/>
  <c r="R1996" i="12"/>
  <c r="P1996" i="12"/>
  <c r="R1995" i="12"/>
  <c r="P1995" i="12"/>
  <c r="R1994" i="12"/>
  <c r="P1994" i="12"/>
  <c r="R1993" i="12"/>
  <c r="P1993" i="12"/>
  <c r="R1992" i="12"/>
  <c r="P1992" i="12"/>
  <c r="R1991" i="12"/>
  <c r="P1991" i="12"/>
  <c r="R1990" i="12"/>
  <c r="P1990" i="12"/>
  <c r="R1989" i="12"/>
  <c r="P1989" i="12"/>
  <c r="R1988" i="12"/>
  <c r="P1988" i="12"/>
  <c r="R1987" i="12"/>
  <c r="P1987" i="12"/>
  <c r="R1986" i="12"/>
  <c r="P1986" i="12"/>
  <c r="R1985" i="12"/>
  <c r="P1985" i="12"/>
  <c r="R1984" i="12"/>
  <c r="P1984" i="12"/>
  <c r="R1983" i="12"/>
  <c r="P1983" i="12"/>
  <c r="R1982" i="12"/>
  <c r="P1982" i="12"/>
  <c r="R1981" i="12"/>
  <c r="P1981" i="12"/>
  <c r="R1980" i="12"/>
  <c r="P1980" i="12"/>
  <c r="R1979" i="12"/>
  <c r="P1979" i="12"/>
  <c r="R1978" i="12"/>
  <c r="P1978" i="12"/>
  <c r="R1977" i="12"/>
  <c r="P1977" i="12"/>
  <c r="R1976" i="12"/>
  <c r="P1976" i="12"/>
  <c r="R1975" i="12"/>
  <c r="P1975" i="12"/>
  <c r="R1974" i="12"/>
  <c r="P1974" i="12"/>
  <c r="R1973" i="12"/>
  <c r="P1973" i="12"/>
  <c r="R1972" i="12"/>
  <c r="P1972" i="12"/>
  <c r="R1971" i="12"/>
  <c r="P1971" i="12"/>
  <c r="R1970" i="12"/>
  <c r="P1970" i="12"/>
  <c r="R1969" i="12"/>
  <c r="P1969" i="12"/>
  <c r="R1968" i="12"/>
  <c r="P1968" i="12"/>
  <c r="R1967" i="12"/>
  <c r="P1967" i="12"/>
  <c r="R1966" i="12"/>
  <c r="P1966" i="12"/>
  <c r="R1965" i="12"/>
  <c r="P1965" i="12"/>
  <c r="R1964" i="12"/>
  <c r="P1964" i="12"/>
  <c r="R1963" i="12"/>
  <c r="P1963" i="12"/>
  <c r="R1962" i="12"/>
  <c r="P1962" i="12"/>
  <c r="R1961" i="12"/>
  <c r="P1961" i="12"/>
  <c r="R1960" i="12"/>
  <c r="P1960" i="12"/>
  <c r="R1959" i="12"/>
  <c r="P1959" i="12"/>
  <c r="R1958" i="12"/>
  <c r="P1958" i="12"/>
  <c r="R1957" i="12"/>
  <c r="P1957" i="12"/>
  <c r="R1956" i="12"/>
  <c r="P1956" i="12"/>
  <c r="R1955" i="12"/>
  <c r="P1955" i="12"/>
  <c r="R1954" i="12"/>
  <c r="P1954" i="12"/>
  <c r="R1953" i="12"/>
  <c r="P1953" i="12"/>
  <c r="R1952" i="12"/>
  <c r="P1952" i="12"/>
  <c r="R1951" i="12"/>
  <c r="P1951" i="12"/>
  <c r="R1950" i="12"/>
  <c r="P1950" i="12"/>
  <c r="R1949" i="12"/>
  <c r="P1949" i="12"/>
  <c r="R1948" i="12"/>
  <c r="P1948" i="12"/>
  <c r="R1947" i="12"/>
  <c r="P1947" i="12"/>
  <c r="R1946" i="12"/>
  <c r="P1946" i="12"/>
  <c r="R1945" i="12"/>
  <c r="P1945" i="12"/>
  <c r="R1944" i="12"/>
  <c r="P1944" i="12"/>
  <c r="R1943" i="12"/>
  <c r="P1943" i="12"/>
  <c r="R1942" i="12"/>
  <c r="P1942" i="12"/>
  <c r="R1941" i="12"/>
  <c r="P1941" i="12"/>
  <c r="R1940" i="12"/>
  <c r="P1940" i="12"/>
  <c r="R1939" i="12"/>
  <c r="P1939" i="12"/>
  <c r="R1938" i="12"/>
  <c r="P1938" i="12"/>
  <c r="R1937" i="12"/>
  <c r="P1937" i="12"/>
  <c r="R1936" i="12"/>
  <c r="P1936" i="12"/>
  <c r="R1935" i="12"/>
  <c r="P1935" i="12"/>
  <c r="R1934" i="12"/>
  <c r="P1934" i="12"/>
  <c r="R1933" i="12"/>
  <c r="P1933" i="12"/>
  <c r="R1932" i="12"/>
  <c r="P1932" i="12"/>
  <c r="R1931" i="12"/>
  <c r="P1931" i="12"/>
  <c r="R1930" i="12"/>
  <c r="P1930" i="12"/>
  <c r="R1929" i="12"/>
  <c r="P1929" i="12"/>
  <c r="R1928" i="12"/>
  <c r="P1928" i="12"/>
  <c r="R1927" i="12"/>
  <c r="P1927" i="12"/>
  <c r="R1926" i="12"/>
  <c r="P1926" i="12"/>
  <c r="R1925" i="12"/>
  <c r="P1925" i="12"/>
  <c r="R1924" i="12"/>
  <c r="P1924" i="12"/>
  <c r="R1923" i="12"/>
  <c r="P1923" i="12"/>
  <c r="R1922" i="12"/>
  <c r="P1922" i="12"/>
  <c r="R1921" i="12"/>
  <c r="P1921" i="12"/>
  <c r="R1920" i="12"/>
  <c r="P1920" i="12"/>
  <c r="R1919" i="12"/>
  <c r="P1919" i="12"/>
  <c r="R1918" i="12"/>
  <c r="P1918" i="12"/>
  <c r="R1917" i="12"/>
  <c r="P1917" i="12"/>
  <c r="R1916" i="12"/>
  <c r="P1916" i="12"/>
  <c r="R1915" i="12"/>
  <c r="P1915" i="12"/>
  <c r="R1914" i="12"/>
  <c r="P1914" i="12"/>
  <c r="R1913" i="12"/>
  <c r="P1913" i="12"/>
  <c r="R1912" i="12"/>
  <c r="P1912" i="12"/>
  <c r="R1911" i="12"/>
  <c r="P1911" i="12"/>
  <c r="R1910" i="12"/>
  <c r="P1910" i="12"/>
  <c r="R1909" i="12"/>
  <c r="P1909" i="12"/>
  <c r="R1908" i="12"/>
  <c r="P1908" i="12"/>
  <c r="R1907" i="12"/>
  <c r="P1907" i="12"/>
  <c r="R1906" i="12"/>
  <c r="P1906" i="12"/>
  <c r="R1905" i="12"/>
  <c r="P1905" i="12"/>
  <c r="R1904" i="12"/>
  <c r="P1904" i="12"/>
  <c r="R1903" i="12"/>
  <c r="P1903" i="12"/>
  <c r="R1902" i="12"/>
  <c r="P1902" i="12"/>
  <c r="R1901" i="12"/>
  <c r="P1901" i="12"/>
  <c r="R1900" i="12"/>
  <c r="P1900" i="12"/>
  <c r="R1899" i="12"/>
  <c r="P1899" i="12"/>
  <c r="R1898" i="12"/>
  <c r="P1898" i="12"/>
  <c r="R1897" i="12"/>
  <c r="P1897" i="12"/>
  <c r="R1896" i="12"/>
  <c r="P1896" i="12"/>
  <c r="R1895" i="12"/>
  <c r="P1895" i="12"/>
  <c r="R1894" i="12"/>
  <c r="P1894" i="12"/>
  <c r="R1893" i="12"/>
  <c r="P1893" i="12"/>
  <c r="R1892" i="12"/>
  <c r="P1892" i="12"/>
  <c r="R1891" i="12"/>
  <c r="P1891" i="12"/>
  <c r="R1890" i="12"/>
  <c r="P1890" i="12"/>
  <c r="R1889" i="12"/>
  <c r="P1889" i="12"/>
  <c r="R1888" i="12"/>
  <c r="P1888" i="12"/>
  <c r="R1887" i="12"/>
  <c r="P1887" i="12"/>
  <c r="R1886" i="12"/>
  <c r="P1886" i="12"/>
  <c r="R1885" i="12"/>
  <c r="P1885" i="12"/>
  <c r="R1884" i="12"/>
  <c r="P1884" i="12"/>
  <c r="R1883" i="12"/>
  <c r="P1883" i="12"/>
  <c r="R1882" i="12"/>
  <c r="P1882" i="12"/>
  <c r="R1881" i="12"/>
  <c r="P1881" i="12"/>
  <c r="R1880" i="12"/>
  <c r="P1880" i="12"/>
  <c r="R1879" i="12"/>
  <c r="P1879" i="12"/>
  <c r="R1878" i="12"/>
  <c r="P1878" i="12"/>
  <c r="R1877" i="12"/>
  <c r="P1877" i="12"/>
  <c r="R1876" i="12"/>
  <c r="P1876" i="12"/>
  <c r="R1875" i="12"/>
  <c r="P1875" i="12"/>
  <c r="R1874" i="12"/>
  <c r="P1874" i="12"/>
  <c r="R1873" i="12"/>
  <c r="P1873" i="12"/>
  <c r="R1872" i="12"/>
  <c r="P1872" i="12"/>
  <c r="R1871" i="12"/>
  <c r="P1871" i="12"/>
  <c r="R1870" i="12"/>
  <c r="P1870" i="12"/>
  <c r="R1869" i="12"/>
  <c r="P1869" i="12"/>
  <c r="R1868" i="12"/>
  <c r="P1868" i="12"/>
  <c r="R1867" i="12"/>
  <c r="P1867" i="12"/>
  <c r="R1866" i="12"/>
  <c r="P1866" i="12"/>
  <c r="R1865" i="12"/>
  <c r="P1865" i="12"/>
  <c r="R1864" i="12"/>
  <c r="P1864" i="12"/>
  <c r="R1863" i="12"/>
  <c r="P1863" i="12"/>
  <c r="R1862" i="12"/>
  <c r="P1862" i="12"/>
  <c r="R1861" i="12"/>
  <c r="P1861" i="12"/>
  <c r="R1860" i="12"/>
  <c r="P1860" i="12"/>
  <c r="R1859" i="12"/>
  <c r="P1859" i="12"/>
  <c r="R1858" i="12"/>
  <c r="P1858" i="12"/>
  <c r="R1857" i="12"/>
  <c r="P1857" i="12"/>
  <c r="R1856" i="12"/>
  <c r="P1856" i="12"/>
  <c r="R1855" i="12"/>
  <c r="P1855" i="12"/>
  <c r="R1854" i="12"/>
  <c r="P1854" i="12"/>
  <c r="R1853" i="12"/>
  <c r="P1853" i="12"/>
  <c r="R1852" i="12"/>
  <c r="P1852" i="12"/>
  <c r="R1851" i="12"/>
  <c r="P1851" i="12"/>
  <c r="R1850" i="12"/>
  <c r="P1850" i="12"/>
  <c r="R1849" i="12"/>
  <c r="P1849" i="12"/>
  <c r="R1848" i="12"/>
  <c r="P1848" i="12"/>
  <c r="R1847" i="12"/>
  <c r="P1847" i="12"/>
  <c r="R1846" i="12"/>
  <c r="P1846" i="12"/>
  <c r="R1845" i="12"/>
  <c r="P1845" i="12"/>
  <c r="R1844" i="12"/>
  <c r="P1844" i="12"/>
  <c r="R1843" i="12"/>
  <c r="P1843" i="12"/>
  <c r="R1842" i="12"/>
  <c r="P1842" i="12"/>
  <c r="R1841" i="12"/>
  <c r="P1841" i="12"/>
  <c r="R1840" i="12"/>
  <c r="P1840" i="12"/>
  <c r="R1839" i="12"/>
  <c r="P1839" i="12"/>
  <c r="R1838" i="12"/>
  <c r="P1838" i="12"/>
  <c r="R1837" i="12"/>
  <c r="P1837" i="12"/>
  <c r="R1836" i="12"/>
  <c r="P1836" i="12"/>
  <c r="R1835" i="12"/>
  <c r="P1835" i="12"/>
  <c r="R1834" i="12"/>
  <c r="P1834" i="12"/>
  <c r="R1833" i="12"/>
  <c r="P1833" i="12"/>
  <c r="R1832" i="12"/>
  <c r="P1832" i="12"/>
  <c r="R1831" i="12"/>
  <c r="P1831" i="12"/>
  <c r="R1830" i="12"/>
  <c r="P1830" i="12"/>
  <c r="R1829" i="12"/>
  <c r="P1829" i="12"/>
  <c r="R1828" i="12"/>
  <c r="P1828" i="12"/>
  <c r="R1827" i="12"/>
  <c r="P1827" i="12"/>
  <c r="R1826" i="12"/>
  <c r="P1826" i="12"/>
  <c r="R1825" i="12"/>
  <c r="P1825" i="12"/>
  <c r="R1824" i="12"/>
  <c r="P1824" i="12"/>
  <c r="R1823" i="12"/>
  <c r="P1823" i="12"/>
  <c r="R1822" i="12"/>
  <c r="P1822" i="12"/>
  <c r="R1821" i="12"/>
  <c r="P1821" i="12"/>
  <c r="R1820" i="12"/>
  <c r="P1820" i="12"/>
  <c r="R1819" i="12"/>
  <c r="P1819" i="12"/>
  <c r="R1818" i="12"/>
  <c r="P1818" i="12"/>
  <c r="R1817" i="12"/>
  <c r="P1817" i="12"/>
  <c r="R1816" i="12"/>
  <c r="P1816" i="12"/>
  <c r="R1815" i="12"/>
  <c r="P1815" i="12"/>
  <c r="R1814" i="12"/>
  <c r="P1814" i="12"/>
  <c r="R1813" i="12"/>
  <c r="P1813" i="12"/>
  <c r="R1812" i="12"/>
  <c r="P1812" i="12"/>
  <c r="R1811" i="12"/>
  <c r="P1811" i="12"/>
  <c r="R1810" i="12"/>
  <c r="P1810" i="12"/>
  <c r="R1809" i="12"/>
  <c r="P1809" i="12"/>
  <c r="R1808" i="12"/>
  <c r="P1808" i="12"/>
  <c r="R1807" i="12"/>
  <c r="P1807" i="12"/>
  <c r="R1806" i="12"/>
  <c r="P1806" i="12"/>
  <c r="R1805" i="12"/>
  <c r="P1805" i="12"/>
  <c r="R1804" i="12"/>
  <c r="P1804" i="12"/>
  <c r="R1803" i="12"/>
  <c r="P1803" i="12"/>
  <c r="R1802" i="12"/>
  <c r="P1802" i="12"/>
  <c r="R1801" i="12"/>
  <c r="P1801" i="12"/>
  <c r="R1800" i="12"/>
  <c r="P1800" i="12"/>
  <c r="R1799" i="12"/>
  <c r="P1799" i="12"/>
  <c r="R1798" i="12"/>
  <c r="P1798" i="12"/>
  <c r="R1797" i="12"/>
  <c r="P1797" i="12"/>
  <c r="R1796" i="12"/>
  <c r="P1796" i="12"/>
  <c r="R1795" i="12"/>
  <c r="P1795" i="12"/>
  <c r="R1794" i="12"/>
  <c r="P1794" i="12"/>
  <c r="R1793" i="12"/>
  <c r="P1793" i="12"/>
  <c r="R1792" i="12"/>
  <c r="P1792" i="12"/>
  <c r="R1791" i="12"/>
  <c r="P1791" i="12"/>
  <c r="R1790" i="12"/>
  <c r="P1790" i="12"/>
  <c r="R1789" i="12"/>
  <c r="P1789" i="12"/>
  <c r="R1788" i="12"/>
  <c r="P1788" i="12"/>
  <c r="R1787" i="12"/>
  <c r="P1787" i="12"/>
  <c r="R1786" i="12"/>
  <c r="P1786" i="12"/>
  <c r="R1785" i="12"/>
  <c r="P1785" i="12"/>
  <c r="R1784" i="12"/>
  <c r="P1784" i="12"/>
  <c r="R1783" i="12"/>
  <c r="P1783" i="12"/>
  <c r="R1782" i="12"/>
  <c r="P1782" i="12"/>
  <c r="R1781" i="12"/>
  <c r="P1781" i="12"/>
  <c r="R1780" i="12"/>
  <c r="P1780" i="12"/>
  <c r="R1779" i="12"/>
  <c r="P1779" i="12"/>
  <c r="R1778" i="12"/>
  <c r="P1778" i="12"/>
  <c r="R1777" i="12"/>
  <c r="P1777" i="12"/>
  <c r="R1776" i="12"/>
  <c r="P1776" i="12"/>
  <c r="R1775" i="12"/>
  <c r="P1775" i="12"/>
  <c r="R1774" i="12"/>
  <c r="P1774" i="12"/>
  <c r="R1773" i="12"/>
  <c r="P1773" i="12"/>
  <c r="R1772" i="12"/>
  <c r="P1772" i="12"/>
  <c r="R1771" i="12"/>
  <c r="P1771" i="12"/>
  <c r="R1770" i="12"/>
  <c r="P1770" i="12"/>
  <c r="R1769" i="12"/>
  <c r="P1769" i="12"/>
  <c r="R1768" i="12"/>
  <c r="P1768" i="12"/>
  <c r="R1767" i="12"/>
  <c r="P1767" i="12"/>
  <c r="R1766" i="12"/>
  <c r="P1766" i="12"/>
  <c r="R1765" i="12"/>
  <c r="P1765" i="12"/>
  <c r="R1764" i="12"/>
  <c r="P1764" i="12"/>
  <c r="R1763" i="12"/>
  <c r="P1763" i="12"/>
  <c r="R1762" i="12"/>
  <c r="P1762" i="12"/>
  <c r="R1761" i="12"/>
  <c r="P1761" i="12"/>
  <c r="R1760" i="12"/>
  <c r="P1760" i="12"/>
  <c r="R1759" i="12"/>
  <c r="P1759" i="12"/>
  <c r="R1758" i="12"/>
  <c r="P1758" i="12"/>
  <c r="R1757" i="12"/>
  <c r="P1757" i="12"/>
  <c r="R1756" i="12"/>
  <c r="P1756" i="12"/>
  <c r="R1755" i="12"/>
  <c r="P1755" i="12"/>
  <c r="R1754" i="12"/>
  <c r="P1754" i="12"/>
  <c r="R1753" i="12"/>
  <c r="P1753" i="12"/>
  <c r="R1752" i="12"/>
  <c r="P1752" i="12"/>
  <c r="R1751" i="12"/>
  <c r="P1751" i="12"/>
  <c r="R1750" i="12"/>
  <c r="P1750" i="12"/>
  <c r="R1749" i="12"/>
  <c r="P1749" i="12"/>
  <c r="R1748" i="12"/>
  <c r="P1748" i="12"/>
  <c r="R1747" i="12"/>
  <c r="P1747" i="12"/>
  <c r="R1746" i="12"/>
  <c r="P1746" i="12"/>
  <c r="R1745" i="12"/>
  <c r="P1745" i="12"/>
  <c r="R1744" i="12"/>
  <c r="P1744" i="12"/>
  <c r="R1743" i="12"/>
  <c r="P1743" i="12"/>
  <c r="R1742" i="12"/>
  <c r="P1742" i="12"/>
  <c r="R1741" i="12"/>
  <c r="P1741" i="12"/>
  <c r="R1740" i="12"/>
  <c r="P1740" i="12"/>
  <c r="R1739" i="12"/>
  <c r="P1739" i="12"/>
  <c r="R1738" i="12"/>
  <c r="P1738" i="12"/>
  <c r="R1737" i="12"/>
  <c r="P1737" i="12"/>
  <c r="R1736" i="12"/>
  <c r="P1736" i="12"/>
  <c r="R1735" i="12"/>
  <c r="P1735" i="12"/>
  <c r="R1734" i="12"/>
  <c r="P1734" i="12"/>
  <c r="R1733" i="12"/>
  <c r="P1733" i="12"/>
  <c r="R1732" i="12"/>
  <c r="P1732" i="12"/>
  <c r="R1731" i="12"/>
  <c r="P1731" i="12"/>
  <c r="R1730" i="12"/>
  <c r="P1730" i="12"/>
  <c r="R1729" i="12"/>
  <c r="P1729" i="12"/>
  <c r="R1728" i="12"/>
  <c r="P1728" i="12"/>
  <c r="R1727" i="12"/>
  <c r="P1727" i="12"/>
  <c r="R1726" i="12"/>
  <c r="P1726" i="12"/>
  <c r="R1725" i="12"/>
  <c r="P1725" i="12"/>
  <c r="R1724" i="12"/>
  <c r="P1724" i="12"/>
  <c r="R1723" i="12"/>
  <c r="P1723" i="12"/>
  <c r="R1722" i="12"/>
  <c r="P1722" i="12"/>
  <c r="R1721" i="12"/>
  <c r="P1721" i="12"/>
  <c r="R1720" i="12"/>
  <c r="P1720" i="12"/>
  <c r="R1719" i="12"/>
  <c r="P1719" i="12"/>
  <c r="R1718" i="12"/>
  <c r="P1718" i="12"/>
  <c r="R1717" i="12"/>
  <c r="P1717" i="12"/>
  <c r="R1716" i="12"/>
  <c r="P1716" i="12"/>
  <c r="R1715" i="12"/>
  <c r="P1715" i="12"/>
  <c r="R1714" i="12"/>
  <c r="P1714" i="12"/>
  <c r="R1713" i="12"/>
  <c r="P1713" i="12"/>
  <c r="R1712" i="12"/>
  <c r="P1712" i="12"/>
  <c r="R1711" i="12"/>
  <c r="P1711" i="12"/>
  <c r="R1710" i="12"/>
  <c r="P1710" i="12"/>
  <c r="R1709" i="12"/>
  <c r="P1709" i="12"/>
  <c r="R1708" i="12"/>
  <c r="P1708" i="12"/>
  <c r="R1707" i="12"/>
  <c r="P1707" i="12"/>
  <c r="R1706" i="12"/>
  <c r="P1706" i="12"/>
  <c r="R1705" i="12"/>
  <c r="P1705" i="12"/>
  <c r="R1704" i="12"/>
  <c r="P1704" i="12"/>
  <c r="R1703" i="12"/>
  <c r="P1703" i="12"/>
  <c r="R1702" i="12"/>
  <c r="P1702" i="12"/>
  <c r="R1701" i="12"/>
  <c r="P1701" i="12"/>
  <c r="R1700" i="12"/>
  <c r="P1700" i="12"/>
  <c r="R1699" i="12"/>
  <c r="P1699" i="12"/>
  <c r="R1698" i="12"/>
  <c r="P1698" i="12"/>
  <c r="R1697" i="12"/>
  <c r="P1697" i="12"/>
  <c r="R1696" i="12"/>
  <c r="P1696" i="12"/>
  <c r="R1695" i="12"/>
  <c r="P1695" i="12"/>
  <c r="R1694" i="12"/>
  <c r="P1694" i="12"/>
  <c r="R1693" i="12"/>
  <c r="P1693" i="12"/>
  <c r="R1692" i="12"/>
  <c r="P1692" i="12"/>
  <c r="R1691" i="12"/>
  <c r="P1691" i="12"/>
  <c r="R1690" i="12"/>
  <c r="P1690" i="12"/>
  <c r="R1689" i="12"/>
  <c r="P1689" i="12"/>
  <c r="R1688" i="12"/>
  <c r="P1688" i="12"/>
  <c r="R1687" i="12"/>
  <c r="P1687" i="12"/>
  <c r="R1686" i="12"/>
  <c r="P1686" i="12"/>
  <c r="R1685" i="12"/>
  <c r="P1685" i="12"/>
  <c r="R1684" i="12"/>
  <c r="P1684" i="12"/>
  <c r="R1683" i="12"/>
  <c r="P1683" i="12"/>
  <c r="R1682" i="12"/>
  <c r="P1682" i="12"/>
  <c r="R1681" i="12"/>
  <c r="P1681" i="12"/>
  <c r="R1680" i="12"/>
  <c r="P1680" i="12"/>
  <c r="R1679" i="12"/>
  <c r="P1679" i="12"/>
  <c r="R1678" i="12"/>
  <c r="P1678" i="12"/>
  <c r="R1677" i="12"/>
  <c r="P1677" i="12"/>
  <c r="R1676" i="12"/>
  <c r="P1676" i="12"/>
  <c r="R1675" i="12"/>
  <c r="P1675" i="12"/>
  <c r="R1674" i="12"/>
  <c r="P1674" i="12"/>
  <c r="R1673" i="12"/>
  <c r="P1673" i="12"/>
  <c r="R1672" i="12"/>
  <c r="P1672" i="12"/>
  <c r="R1671" i="12"/>
  <c r="P1671" i="12"/>
  <c r="R1670" i="12"/>
  <c r="P1670" i="12"/>
  <c r="R1669" i="12"/>
  <c r="P1669" i="12"/>
  <c r="R1668" i="12"/>
  <c r="P1668" i="12"/>
  <c r="R1667" i="12"/>
  <c r="P1667" i="12"/>
  <c r="R1666" i="12"/>
  <c r="P1666" i="12"/>
  <c r="R1665" i="12"/>
  <c r="P1665" i="12"/>
  <c r="R1664" i="12"/>
  <c r="P1664" i="12"/>
  <c r="R1663" i="12"/>
  <c r="P1663" i="12"/>
  <c r="R1662" i="12"/>
  <c r="P1662" i="12"/>
  <c r="R1661" i="12"/>
  <c r="P1661" i="12"/>
  <c r="R1660" i="12"/>
  <c r="P1660" i="12"/>
  <c r="R1659" i="12"/>
  <c r="P1659" i="12"/>
  <c r="R1658" i="12"/>
  <c r="P1658" i="12"/>
  <c r="R1657" i="12"/>
  <c r="P1657" i="12"/>
  <c r="R1656" i="12"/>
  <c r="P1656" i="12"/>
  <c r="R1655" i="12"/>
  <c r="P1655" i="12"/>
  <c r="R1654" i="12"/>
  <c r="P1654" i="12"/>
  <c r="R1653" i="12"/>
  <c r="P1653" i="12"/>
  <c r="R1652" i="12"/>
  <c r="P1652" i="12"/>
  <c r="R1651" i="12"/>
  <c r="P1651" i="12"/>
  <c r="R1650" i="12"/>
  <c r="P1650" i="12"/>
  <c r="R1649" i="12"/>
  <c r="P1649" i="12"/>
  <c r="R1648" i="12"/>
  <c r="P1648" i="12"/>
  <c r="R1647" i="12"/>
  <c r="P1647" i="12"/>
  <c r="R1646" i="12"/>
  <c r="P1646" i="12"/>
  <c r="R1645" i="12"/>
  <c r="P1645" i="12"/>
  <c r="R1644" i="12"/>
  <c r="P1644" i="12"/>
  <c r="R1643" i="12"/>
  <c r="P1643" i="12"/>
  <c r="R1642" i="12"/>
  <c r="P1642" i="12"/>
  <c r="R1641" i="12"/>
  <c r="P1641" i="12"/>
  <c r="R1640" i="12"/>
  <c r="P1640" i="12"/>
  <c r="R1639" i="12"/>
  <c r="P1639" i="12"/>
  <c r="R1638" i="12"/>
  <c r="P1638" i="12"/>
  <c r="R1637" i="12"/>
  <c r="P1637" i="12"/>
  <c r="R1636" i="12"/>
  <c r="P1636" i="12"/>
  <c r="R1635" i="12"/>
  <c r="P1635" i="12"/>
  <c r="R1634" i="12"/>
  <c r="P1634" i="12"/>
  <c r="R1633" i="12"/>
  <c r="P1633" i="12"/>
  <c r="R1632" i="12"/>
  <c r="P1632" i="12"/>
  <c r="R1631" i="12"/>
  <c r="P1631" i="12"/>
  <c r="R1630" i="12"/>
  <c r="P1630" i="12"/>
  <c r="R1629" i="12"/>
  <c r="P1629" i="12"/>
  <c r="R1628" i="12"/>
  <c r="P1628" i="12"/>
  <c r="R1627" i="12"/>
  <c r="P1627" i="12"/>
  <c r="R1626" i="12"/>
  <c r="P1626" i="12"/>
  <c r="R1625" i="12"/>
  <c r="P1625" i="12"/>
  <c r="R1624" i="12"/>
  <c r="P1624" i="12"/>
  <c r="R1623" i="12"/>
  <c r="P1623" i="12"/>
  <c r="R1622" i="12"/>
  <c r="P1622" i="12"/>
  <c r="R1621" i="12"/>
  <c r="P1621" i="12"/>
  <c r="R1620" i="12"/>
  <c r="P1620" i="12"/>
  <c r="R1619" i="12"/>
  <c r="P1619" i="12"/>
  <c r="R1618" i="12"/>
  <c r="P1618" i="12"/>
  <c r="R1617" i="12"/>
  <c r="P1617" i="12"/>
  <c r="R1616" i="12"/>
  <c r="P1616" i="12"/>
  <c r="R1615" i="12"/>
  <c r="P1615" i="12"/>
  <c r="R1614" i="12"/>
  <c r="P1614" i="12"/>
  <c r="R1613" i="12"/>
  <c r="P1613" i="12"/>
  <c r="R1612" i="12"/>
  <c r="P1612" i="12"/>
  <c r="R1611" i="12"/>
  <c r="P1611" i="12"/>
  <c r="R1610" i="12"/>
  <c r="P1610" i="12"/>
  <c r="R1609" i="12"/>
  <c r="P1609" i="12"/>
  <c r="R1608" i="12"/>
  <c r="P1608" i="12"/>
  <c r="R1607" i="12"/>
  <c r="P1607" i="12"/>
  <c r="R1606" i="12"/>
  <c r="P1606" i="12"/>
  <c r="R1605" i="12"/>
  <c r="P1605" i="12"/>
  <c r="R1604" i="12"/>
  <c r="P1604" i="12"/>
  <c r="R1603" i="12"/>
  <c r="P1603" i="12"/>
  <c r="R1602" i="12"/>
  <c r="P1602" i="12"/>
  <c r="R1601" i="12"/>
  <c r="P1601" i="12"/>
  <c r="R1600" i="12"/>
  <c r="P1600" i="12"/>
  <c r="R1599" i="12"/>
  <c r="P1599" i="12"/>
  <c r="R1598" i="12"/>
  <c r="P1598" i="12"/>
  <c r="R1597" i="12"/>
  <c r="P1597" i="12"/>
  <c r="R1596" i="12"/>
  <c r="P1596" i="12"/>
  <c r="R1595" i="12"/>
  <c r="P1595" i="12"/>
  <c r="R1594" i="12"/>
  <c r="P1594" i="12"/>
  <c r="R1593" i="12"/>
  <c r="P1593" i="12"/>
  <c r="R1592" i="12"/>
  <c r="P1592" i="12"/>
  <c r="R1591" i="12"/>
  <c r="P1591" i="12"/>
  <c r="R1590" i="12"/>
  <c r="P1590" i="12"/>
  <c r="R1589" i="12"/>
  <c r="P1589" i="12"/>
  <c r="R1588" i="12"/>
  <c r="P1588" i="12"/>
  <c r="R1587" i="12"/>
  <c r="P1587" i="12"/>
  <c r="R1586" i="12"/>
  <c r="P1586" i="12"/>
  <c r="R1585" i="12"/>
  <c r="P1585" i="12"/>
  <c r="R1584" i="12"/>
  <c r="P1584" i="12"/>
  <c r="R1583" i="12"/>
  <c r="P1583" i="12"/>
  <c r="R1582" i="12"/>
  <c r="P1582" i="12"/>
  <c r="R1581" i="12"/>
  <c r="P1581" i="12"/>
  <c r="R1580" i="12"/>
  <c r="P1580" i="12"/>
  <c r="R1579" i="12"/>
  <c r="P1579" i="12"/>
  <c r="R1578" i="12"/>
  <c r="P1578" i="12"/>
  <c r="R1577" i="12"/>
  <c r="P1577" i="12"/>
  <c r="R1576" i="12"/>
  <c r="P1576" i="12"/>
  <c r="R1575" i="12"/>
  <c r="P1575" i="12"/>
  <c r="R1574" i="12"/>
  <c r="P1574" i="12"/>
  <c r="R1573" i="12"/>
  <c r="P1573" i="12"/>
  <c r="R1572" i="12"/>
  <c r="P1572" i="12"/>
  <c r="R1571" i="12"/>
  <c r="P1571" i="12"/>
  <c r="R1570" i="12"/>
  <c r="P1570" i="12"/>
  <c r="R1569" i="12"/>
  <c r="P1569" i="12"/>
  <c r="R1568" i="12"/>
  <c r="P1568" i="12"/>
  <c r="R1567" i="12"/>
  <c r="P1567" i="12"/>
  <c r="R1566" i="12"/>
  <c r="P1566" i="12"/>
  <c r="R1565" i="12"/>
  <c r="P1565" i="12"/>
  <c r="R1564" i="12"/>
  <c r="P1564" i="12"/>
  <c r="R1563" i="12"/>
  <c r="P1563" i="12"/>
  <c r="R1562" i="12"/>
  <c r="P1562" i="12"/>
  <c r="R1561" i="12"/>
  <c r="P1561" i="12"/>
  <c r="R1560" i="12"/>
  <c r="P1560" i="12"/>
  <c r="R1559" i="12"/>
  <c r="P1559" i="12"/>
  <c r="R1558" i="12"/>
  <c r="P1558" i="12"/>
  <c r="R1557" i="12"/>
  <c r="P1557" i="12"/>
  <c r="R1556" i="12"/>
  <c r="P1556" i="12"/>
  <c r="R1555" i="12"/>
  <c r="P1555" i="12"/>
  <c r="R1554" i="12"/>
  <c r="P1554" i="12"/>
  <c r="R1553" i="12"/>
  <c r="P1553" i="12"/>
  <c r="R1552" i="12"/>
  <c r="P1552" i="12"/>
  <c r="R1551" i="12"/>
  <c r="P1551" i="12"/>
  <c r="R1550" i="12"/>
  <c r="P1550" i="12"/>
  <c r="R1549" i="12"/>
  <c r="P1549" i="12"/>
  <c r="R1548" i="12"/>
  <c r="P1548" i="12"/>
  <c r="R1547" i="12"/>
  <c r="P1547" i="12"/>
  <c r="R1546" i="12"/>
  <c r="P1546" i="12"/>
  <c r="R1545" i="12"/>
  <c r="P1545" i="12"/>
  <c r="R1544" i="12"/>
  <c r="P1544" i="12"/>
  <c r="R1543" i="12"/>
  <c r="P1543" i="12"/>
  <c r="R1542" i="12"/>
  <c r="P1542" i="12"/>
  <c r="R1541" i="12"/>
  <c r="P1541" i="12"/>
  <c r="R1540" i="12"/>
  <c r="P1540" i="12"/>
  <c r="R1539" i="12"/>
  <c r="P1539" i="12"/>
  <c r="R1538" i="12"/>
  <c r="P1538" i="12"/>
  <c r="R1537" i="12"/>
  <c r="P1537" i="12"/>
  <c r="R1536" i="12"/>
  <c r="P1536" i="12"/>
  <c r="R1535" i="12"/>
  <c r="P1535" i="12"/>
  <c r="R1534" i="12"/>
  <c r="P1534" i="12"/>
  <c r="R1533" i="12"/>
  <c r="P1533" i="12"/>
  <c r="R1532" i="12"/>
  <c r="P1532" i="12"/>
  <c r="R1531" i="12"/>
  <c r="P1531" i="12"/>
  <c r="R1530" i="12"/>
  <c r="P1530" i="12"/>
  <c r="R1529" i="12"/>
  <c r="P1529" i="12"/>
  <c r="R1528" i="12"/>
  <c r="P1528" i="12"/>
  <c r="R1527" i="12"/>
  <c r="P1527" i="12"/>
  <c r="R1526" i="12"/>
  <c r="P1526" i="12"/>
  <c r="R1525" i="12"/>
  <c r="P1525" i="12"/>
  <c r="R1524" i="12"/>
  <c r="P1524" i="12"/>
  <c r="R1523" i="12"/>
  <c r="P1523" i="12"/>
  <c r="R1522" i="12"/>
  <c r="P1522" i="12"/>
  <c r="R1521" i="12"/>
  <c r="P1521" i="12"/>
  <c r="R1520" i="12"/>
  <c r="P1520" i="12"/>
  <c r="R1519" i="12"/>
  <c r="P1519" i="12"/>
  <c r="R1518" i="12"/>
  <c r="P1518" i="12"/>
  <c r="R1517" i="12"/>
  <c r="P1517" i="12"/>
  <c r="R1516" i="12"/>
  <c r="P1516" i="12"/>
  <c r="R1515" i="12"/>
  <c r="P1515" i="12"/>
  <c r="R1514" i="12"/>
  <c r="P1514" i="12"/>
  <c r="R1513" i="12"/>
  <c r="P1513" i="12"/>
  <c r="R1512" i="12"/>
  <c r="P1512" i="12"/>
  <c r="R1511" i="12"/>
  <c r="P1511" i="12"/>
  <c r="R1510" i="12"/>
  <c r="P1510" i="12"/>
  <c r="R1509" i="12"/>
  <c r="P1509" i="12"/>
  <c r="R1508" i="12"/>
  <c r="P1508" i="12"/>
  <c r="R1507" i="12"/>
  <c r="P1507" i="12"/>
  <c r="R1506" i="12"/>
  <c r="P1506" i="12"/>
  <c r="R1505" i="12"/>
  <c r="P1505" i="12"/>
  <c r="R1504" i="12"/>
  <c r="P1504" i="12"/>
  <c r="R1503" i="12"/>
  <c r="P1503" i="12"/>
  <c r="R1502" i="12"/>
  <c r="P1502" i="12"/>
  <c r="R1501" i="12"/>
  <c r="P1501" i="12"/>
  <c r="R1500" i="12"/>
  <c r="P1500" i="12"/>
  <c r="R1499" i="12"/>
  <c r="P1499" i="12"/>
  <c r="R1498" i="12"/>
  <c r="P1498" i="12"/>
  <c r="R1497" i="12"/>
  <c r="P1497" i="12"/>
  <c r="R1496" i="12"/>
  <c r="P1496" i="12"/>
  <c r="R1495" i="12"/>
  <c r="P1495" i="12"/>
  <c r="R1494" i="12"/>
  <c r="P1494" i="12"/>
  <c r="R1493" i="12"/>
  <c r="P1493" i="12"/>
  <c r="R1492" i="12"/>
  <c r="P1492" i="12"/>
  <c r="R1491" i="12"/>
  <c r="P1491" i="12"/>
  <c r="R1490" i="12"/>
  <c r="P1490" i="12"/>
  <c r="R1489" i="12"/>
  <c r="P1489" i="12"/>
  <c r="R1488" i="12"/>
  <c r="P1488" i="12"/>
  <c r="R1487" i="12"/>
  <c r="P1487" i="12"/>
  <c r="R1486" i="12"/>
  <c r="P1486" i="12"/>
  <c r="R1485" i="12"/>
  <c r="P1485" i="12"/>
  <c r="R1484" i="12"/>
  <c r="P1484" i="12"/>
  <c r="R1483" i="12"/>
  <c r="P1483" i="12"/>
  <c r="R1482" i="12"/>
  <c r="P1482" i="12"/>
  <c r="R1481" i="12"/>
  <c r="P1481" i="12"/>
  <c r="R1480" i="12"/>
  <c r="P1480" i="12"/>
  <c r="R1479" i="12"/>
  <c r="P1479" i="12"/>
  <c r="R1478" i="12"/>
  <c r="P1478" i="12"/>
  <c r="R1477" i="12"/>
  <c r="P1477" i="12"/>
  <c r="R1476" i="12"/>
  <c r="P1476" i="12"/>
  <c r="R1475" i="12"/>
  <c r="P1475" i="12"/>
  <c r="R1474" i="12"/>
  <c r="P1474" i="12"/>
  <c r="R1473" i="12"/>
  <c r="P1473" i="12"/>
  <c r="R1472" i="12"/>
  <c r="P1472" i="12"/>
  <c r="R1471" i="12"/>
  <c r="P1471" i="12"/>
  <c r="R1470" i="12"/>
  <c r="P1470" i="12"/>
  <c r="R1469" i="12"/>
  <c r="P1469" i="12"/>
  <c r="R1468" i="12"/>
  <c r="P1468" i="12"/>
  <c r="R1467" i="12"/>
  <c r="P1467" i="12"/>
  <c r="R1466" i="12"/>
  <c r="P1466" i="12"/>
  <c r="R1465" i="12"/>
  <c r="P1465" i="12"/>
  <c r="R1464" i="12"/>
  <c r="P1464" i="12"/>
  <c r="R1463" i="12"/>
  <c r="P1463" i="12"/>
  <c r="R1462" i="12"/>
  <c r="P1462" i="12"/>
  <c r="R1461" i="12"/>
  <c r="P1461" i="12"/>
  <c r="R1460" i="12"/>
  <c r="P1460" i="12"/>
  <c r="R1459" i="12"/>
  <c r="P1459" i="12"/>
  <c r="R1458" i="12"/>
  <c r="P1458" i="12"/>
  <c r="R1457" i="12"/>
  <c r="P1457" i="12"/>
  <c r="R1456" i="12"/>
  <c r="P1456" i="12"/>
  <c r="R1455" i="12"/>
  <c r="P1455" i="12"/>
  <c r="R1454" i="12"/>
  <c r="P1454" i="12"/>
  <c r="R1453" i="12"/>
  <c r="P1453" i="12"/>
  <c r="R1452" i="12"/>
  <c r="P1452" i="12"/>
  <c r="R1451" i="12"/>
  <c r="P1451" i="12"/>
  <c r="R1450" i="12"/>
  <c r="P1450" i="12"/>
  <c r="R1449" i="12"/>
  <c r="P1449" i="12"/>
  <c r="R1448" i="12"/>
  <c r="P1448" i="12"/>
  <c r="R1447" i="12"/>
  <c r="P1447" i="12"/>
  <c r="R1446" i="12"/>
  <c r="P1446" i="12"/>
  <c r="R1445" i="12"/>
  <c r="P1445" i="12"/>
  <c r="R1444" i="12"/>
  <c r="P1444" i="12"/>
  <c r="R1443" i="12"/>
  <c r="P1443" i="12"/>
  <c r="R1442" i="12"/>
  <c r="P1442" i="12"/>
  <c r="R1441" i="12"/>
  <c r="P1441" i="12"/>
  <c r="R1440" i="12"/>
  <c r="P1440" i="12"/>
  <c r="R1439" i="12"/>
  <c r="P1439" i="12"/>
  <c r="R1438" i="12"/>
  <c r="P1438" i="12"/>
  <c r="R1437" i="12"/>
  <c r="P1437" i="12"/>
  <c r="R1436" i="12"/>
  <c r="P1436" i="12"/>
  <c r="R1435" i="12"/>
  <c r="P1435" i="12"/>
  <c r="R1434" i="12"/>
  <c r="P1434" i="12"/>
  <c r="R1433" i="12"/>
  <c r="P1433" i="12"/>
  <c r="R1432" i="12"/>
  <c r="P1432" i="12"/>
  <c r="R1431" i="12"/>
  <c r="P1431" i="12"/>
  <c r="R1430" i="12"/>
  <c r="P1430" i="12"/>
  <c r="R1429" i="12"/>
  <c r="P1429" i="12"/>
  <c r="R1428" i="12"/>
  <c r="P1428" i="12"/>
  <c r="R1427" i="12"/>
  <c r="P1427" i="12"/>
  <c r="R1426" i="12"/>
  <c r="P1426" i="12"/>
  <c r="R1425" i="12"/>
  <c r="P1425" i="12"/>
  <c r="R1424" i="12"/>
  <c r="P1424" i="12"/>
  <c r="R1423" i="12"/>
  <c r="P1423" i="12"/>
  <c r="R1422" i="12"/>
  <c r="P1422" i="12"/>
  <c r="R1421" i="12"/>
  <c r="P1421" i="12"/>
  <c r="R1420" i="12"/>
  <c r="P1420" i="12"/>
  <c r="R1419" i="12"/>
  <c r="P1419" i="12"/>
  <c r="R1418" i="12"/>
  <c r="P1418" i="12"/>
  <c r="R1417" i="12"/>
  <c r="P1417" i="12"/>
  <c r="R1416" i="12"/>
  <c r="P1416" i="12"/>
  <c r="R1415" i="12"/>
  <c r="P1415" i="12"/>
  <c r="R1414" i="12"/>
  <c r="P1414" i="12"/>
  <c r="R1413" i="12"/>
  <c r="P1413" i="12"/>
  <c r="R1412" i="12"/>
  <c r="P1412" i="12"/>
  <c r="R1411" i="12"/>
  <c r="P1411" i="12"/>
  <c r="R1410" i="12"/>
  <c r="P1410" i="12"/>
  <c r="R1409" i="12"/>
  <c r="P1409" i="12"/>
  <c r="R1408" i="12"/>
  <c r="P1408" i="12"/>
  <c r="R1407" i="12"/>
  <c r="P1407" i="12"/>
  <c r="R1406" i="12"/>
  <c r="P1406" i="12"/>
  <c r="R1405" i="12"/>
  <c r="P1405" i="12"/>
  <c r="R1404" i="12"/>
  <c r="P1404" i="12"/>
  <c r="R1403" i="12"/>
  <c r="P1403" i="12"/>
  <c r="R1402" i="12"/>
  <c r="P1402" i="12"/>
  <c r="R1401" i="12"/>
  <c r="P1401" i="12"/>
  <c r="R1400" i="12"/>
  <c r="P1400" i="12"/>
  <c r="R1399" i="12"/>
  <c r="P1399" i="12"/>
  <c r="R1398" i="12"/>
  <c r="P1398" i="12"/>
  <c r="R1397" i="12"/>
  <c r="P1397" i="12"/>
  <c r="R1396" i="12"/>
  <c r="P1396" i="12"/>
  <c r="R1395" i="12"/>
  <c r="P1395" i="12"/>
  <c r="R1394" i="12"/>
  <c r="P1394" i="12"/>
  <c r="R1393" i="12"/>
  <c r="P1393" i="12"/>
  <c r="R1392" i="12"/>
  <c r="P1392" i="12"/>
  <c r="R1391" i="12"/>
  <c r="P1391" i="12"/>
  <c r="R1390" i="12"/>
  <c r="P1390" i="12"/>
  <c r="R1389" i="12"/>
  <c r="P1389" i="12"/>
  <c r="R1388" i="12"/>
  <c r="P1388" i="12"/>
  <c r="R1387" i="12"/>
  <c r="P1387" i="12"/>
  <c r="R1386" i="12"/>
  <c r="P1386" i="12"/>
  <c r="R1385" i="12"/>
  <c r="P1385" i="12"/>
  <c r="R1384" i="12"/>
  <c r="P1384" i="12"/>
  <c r="R1383" i="12"/>
  <c r="P1383" i="12"/>
  <c r="R1382" i="12"/>
  <c r="P1382" i="12"/>
  <c r="R1381" i="12"/>
  <c r="P1381" i="12"/>
  <c r="R1380" i="12"/>
  <c r="P1380" i="12"/>
  <c r="R1379" i="12"/>
  <c r="P1379" i="12"/>
  <c r="R1378" i="12"/>
  <c r="P1378" i="12"/>
  <c r="R1377" i="12"/>
  <c r="P1377" i="12"/>
  <c r="R1376" i="12"/>
  <c r="P1376" i="12"/>
  <c r="R1375" i="12"/>
  <c r="P1375" i="12"/>
  <c r="R1374" i="12"/>
  <c r="P1374" i="12"/>
  <c r="R1373" i="12"/>
  <c r="P1373" i="12"/>
  <c r="R1372" i="12"/>
  <c r="P1372" i="12"/>
  <c r="R1371" i="12"/>
  <c r="P1371" i="12"/>
  <c r="R1370" i="12"/>
  <c r="P1370" i="12"/>
  <c r="R1369" i="12"/>
  <c r="P1369" i="12"/>
  <c r="R1368" i="12"/>
  <c r="P1368" i="12"/>
  <c r="R1367" i="12"/>
  <c r="P1367" i="12"/>
  <c r="R1366" i="12"/>
  <c r="P1366" i="12"/>
  <c r="R1365" i="12"/>
  <c r="P1365" i="12"/>
  <c r="R1364" i="12"/>
  <c r="P1364" i="12"/>
  <c r="R1363" i="12"/>
  <c r="P1363" i="12"/>
  <c r="R1362" i="12"/>
  <c r="P1362" i="12"/>
  <c r="R1361" i="12"/>
  <c r="P1361" i="12"/>
  <c r="R1360" i="12"/>
  <c r="P1360" i="12"/>
  <c r="R1359" i="12"/>
  <c r="P1359" i="12"/>
  <c r="R1358" i="12"/>
  <c r="P1358" i="12"/>
  <c r="R1357" i="12"/>
  <c r="P1357" i="12"/>
  <c r="R1356" i="12"/>
  <c r="P1356" i="12"/>
  <c r="R1355" i="12"/>
  <c r="P1355" i="12"/>
  <c r="R1354" i="12"/>
  <c r="P1354" i="12"/>
  <c r="R1353" i="12"/>
  <c r="P1353" i="12"/>
  <c r="R1352" i="12"/>
  <c r="P1352" i="12"/>
  <c r="R1351" i="12"/>
  <c r="P1351" i="12"/>
  <c r="R1350" i="12"/>
  <c r="P1350" i="12"/>
  <c r="R1349" i="12"/>
  <c r="P1349" i="12"/>
  <c r="R1348" i="12"/>
  <c r="P1348" i="12"/>
  <c r="R1347" i="12"/>
  <c r="P1347" i="12"/>
  <c r="R1346" i="12"/>
  <c r="P1346" i="12"/>
  <c r="R1345" i="12"/>
  <c r="P1345" i="12"/>
  <c r="R1344" i="12"/>
  <c r="P1344" i="12"/>
  <c r="R1343" i="12"/>
  <c r="P1343" i="12"/>
  <c r="R1342" i="12"/>
  <c r="P1342" i="12"/>
  <c r="R1341" i="12"/>
  <c r="P1341" i="12"/>
  <c r="R1340" i="12"/>
  <c r="P1340" i="12"/>
  <c r="R1339" i="12"/>
  <c r="P1339" i="12"/>
  <c r="R1338" i="12"/>
  <c r="P1338" i="12"/>
  <c r="R1337" i="12"/>
  <c r="P1337" i="12"/>
  <c r="R1336" i="12"/>
  <c r="P1336" i="12"/>
  <c r="R1335" i="12"/>
  <c r="P1335" i="12"/>
  <c r="R1334" i="12"/>
  <c r="P1334" i="12"/>
  <c r="R1333" i="12"/>
  <c r="P1333" i="12"/>
  <c r="R1332" i="12"/>
  <c r="P1332" i="12"/>
  <c r="R1331" i="12"/>
  <c r="P1331" i="12"/>
  <c r="R1330" i="12"/>
  <c r="P1330" i="12"/>
  <c r="R1329" i="12"/>
  <c r="P1329" i="12"/>
  <c r="R1328" i="12"/>
  <c r="P1328" i="12"/>
  <c r="R1327" i="12"/>
  <c r="P1327" i="12"/>
  <c r="R1326" i="12"/>
  <c r="P1326" i="12"/>
  <c r="R1325" i="12"/>
  <c r="P1325" i="12"/>
  <c r="R1324" i="12"/>
  <c r="P1324" i="12"/>
  <c r="R1323" i="12"/>
  <c r="P1323" i="12"/>
  <c r="R1322" i="12"/>
  <c r="P1322" i="12"/>
  <c r="R1321" i="12"/>
  <c r="P1321" i="12"/>
  <c r="R1320" i="12"/>
  <c r="P1320" i="12"/>
  <c r="R1319" i="12"/>
  <c r="P1319" i="12"/>
  <c r="R1318" i="12"/>
  <c r="P1318" i="12"/>
  <c r="R1317" i="12"/>
  <c r="P1317" i="12"/>
  <c r="R1316" i="12"/>
  <c r="P1316" i="12"/>
  <c r="R1315" i="12"/>
  <c r="P1315" i="12"/>
  <c r="R1314" i="12"/>
  <c r="P1314" i="12"/>
  <c r="R1313" i="12"/>
  <c r="P1313" i="12"/>
  <c r="R1312" i="12"/>
  <c r="P1312" i="12"/>
  <c r="R1311" i="12"/>
  <c r="P1311" i="12"/>
  <c r="R1310" i="12"/>
  <c r="P1310" i="12"/>
  <c r="R1309" i="12"/>
  <c r="P1309" i="12"/>
  <c r="R1308" i="12"/>
  <c r="P1308" i="12"/>
  <c r="R1307" i="12"/>
  <c r="P1307" i="12"/>
  <c r="R1306" i="12"/>
  <c r="P1306" i="12"/>
  <c r="R1305" i="12"/>
  <c r="P1305" i="12"/>
  <c r="R1304" i="12"/>
  <c r="P1304" i="12"/>
  <c r="R1303" i="12"/>
  <c r="P1303" i="12"/>
  <c r="R1302" i="12"/>
  <c r="P1302" i="12"/>
  <c r="R1301" i="12"/>
  <c r="P1301" i="12"/>
  <c r="R1300" i="12"/>
  <c r="P1300" i="12"/>
  <c r="R1299" i="12"/>
  <c r="P1299" i="12"/>
  <c r="R1298" i="12"/>
  <c r="P1298" i="12"/>
  <c r="R1297" i="12"/>
  <c r="P1297" i="12"/>
  <c r="R1296" i="12"/>
  <c r="P1296" i="12"/>
  <c r="R1295" i="12"/>
  <c r="P1295" i="12"/>
  <c r="R1294" i="12"/>
  <c r="P1294" i="12"/>
  <c r="R1293" i="12"/>
  <c r="P1293" i="12"/>
  <c r="R1292" i="12"/>
  <c r="P1292" i="12"/>
  <c r="R1291" i="12"/>
  <c r="P1291" i="12"/>
  <c r="R1290" i="12"/>
  <c r="P1290" i="12"/>
  <c r="R1289" i="12"/>
  <c r="P1289" i="12"/>
  <c r="R1288" i="12"/>
  <c r="P1288" i="12"/>
  <c r="R1287" i="12"/>
  <c r="P1287" i="12"/>
  <c r="R1286" i="12"/>
  <c r="P1286" i="12"/>
  <c r="R1285" i="12"/>
  <c r="P1285" i="12"/>
  <c r="R1284" i="12"/>
  <c r="P1284" i="12"/>
  <c r="R1283" i="12"/>
  <c r="P1283" i="12"/>
  <c r="R1282" i="12"/>
  <c r="P1282" i="12"/>
  <c r="R1281" i="12"/>
  <c r="P1281" i="12"/>
  <c r="R1280" i="12"/>
  <c r="P1280" i="12"/>
  <c r="R1279" i="12"/>
  <c r="P1279" i="12"/>
  <c r="R1278" i="12"/>
  <c r="P1278" i="12"/>
  <c r="R1277" i="12"/>
  <c r="P1277" i="12"/>
  <c r="R1276" i="12"/>
  <c r="P1276" i="12"/>
  <c r="R1275" i="12"/>
  <c r="P1275" i="12"/>
  <c r="R1274" i="12"/>
  <c r="P1274" i="12"/>
  <c r="R1273" i="12"/>
  <c r="P1273" i="12"/>
  <c r="R1272" i="12"/>
  <c r="P1272" i="12"/>
  <c r="R1271" i="12"/>
  <c r="P1271" i="12"/>
  <c r="R1270" i="12"/>
  <c r="P1270" i="12"/>
  <c r="R1269" i="12"/>
  <c r="P1269" i="12"/>
  <c r="R1268" i="12"/>
  <c r="P1268" i="12"/>
  <c r="R1267" i="12"/>
  <c r="P1267" i="12"/>
  <c r="R1266" i="12"/>
  <c r="P1266" i="12"/>
  <c r="R1265" i="12"/>
  <c r="P1265" i="12"/>
  <c r="R1264" i="12"/>
  <c r="P1264" i="12"/>
  <c r="R1263" i="12"/>
  <c r="P1263" i="12"/>
  <c r="R1262" i="12"/>
  <c r="P1262" i="12"/>
  <c r="R1261" i="12"/>
  <c r="P1261" i="12"/>
  <c r="R1260" i="12"/>
  <c r="P1260" i="12"/>
  <c r="R1259" i="12"/>
  <c r="P1259" i="12"/>
  <c r="R1258" i="12"/>
  <c r="P1258" i="12"/>
  <c r="R1257" i="12"/>
  <c r="P1257" i="12"/>
  <c r="R1256" i="12"/>
  <c r="P1256" i="12"/>
  <c r="R1255" i="12"/>
  <c r="P1255" i="12"/>
  <c r="R1254" i="12"/>
  <c r="P1254" i="12"/>
  <c r="R1253" i="12"/>
  <c r="P1253" i="12"/>
  <c r="R1252" i="12"/>
  <c r="P1252" i="12"/>
  <c r="R1251" i="12"/>
  <c r="P1251" i="12"/>
  <c r="R1250" i="12"/>
  <c r="P1250" i="12"/>
  <c r="R1249" i="12"/>
  <c r="P1249" i="12"/>
  <c r="R1248" i="12"/>
  <c r="P1248" i="12"/>
  <c r="R1247" i="12"/>
  <c r="P1247" i="12"/>
  <c r="R1246" i="12"/>
  <c r="P1246" i="12"/>
  <c r="R1245" i="12"/>
  <c r="P1245" i="12"/>
  <c r="R1244" i="12"/>
  <c r="P1244" i="12"/>
  <c r="R1243" i="12"/>
  <c r="P1243" i="12"/>
  <c r="R1242" i="12"/>
  <c r="P1242" i="12"/>
  <c r="R1241" i="12"/>
  <c r="P1241" i="12"/>
  <c r="R1240" i="12"/>
  <c r="P1240" i="12"/>
  <c r="R1239" i="12"/>
  <c r="P1239" i="12"/>
  <c r="R1238" i="12"/>
  <c r="P1238" i="12"/>
  <c r="R1237" i="12"/>
  <c r="P1237" i="12"/>
  <c r="R1236" i="12"/>
  <c r="P1236" i="12"/>
  <c r="R1235" i="12"/>
  <c r="P1235" i="12"/>
  <c r="R1234" i="12"/>
  <c r="P1234" i="12"/>
  <c r="R1233" i="12"/>
  <c r="P1233" i="12"/>
  <c r="R1232" i="12"/>
  <c r="P1232" i="12"/>
  <c r="R1231" i="12"/>
  <c r="P1231" i="12"/>
  <c r="R1230" i="12"/>
  <c r="P1230" i="12"/>
  <c r="R1229" i="12"/>
  <c r="P1229" i="12"/>
  <c r="R1228" i="12"/>
  <c r="P1228" i="12"/>
  <c r="R1227" i="12"/>
  <c r="P1227" i="12"/>
  <c r="R1226" i="12"/>
  <c r="P1226" i="12"/>
  <c r="R1225" i="12"/>
  <c r="P1225" i="12"/>
  <c r="R1224" i="12"/>
  <c r="P1224" i="12"/>
  <c r="R1223" i="12"/>
  <c r="P1223" i="12"/>
  <c r="R1222" i="12"/>
  <c r="P1222" i="12"/>
  <c r="R1221" i="12"/>
  <c r="P1221" i="12"/>
  <c r="R1220" i="12"/>
  <c r="P1220" i="12"/>
  <c r="R1219" i="12"/>
  <c r="P1219" i="12"/>
  <c r="R1218" i="12"/>
  <c r="P1218" i="12"/>
  <c r="R1217" i="12"/>
  <c r="P1217" i="12"/>
  <c r="R1216" i="12"/>
  <c r="P1216" i="12"/>
  <c r="R1215" i="12"/>
  <c r="P1215" i="12"/>
  <c r="R1214" i="12"/>
  <c r="P1214" i="12"/>
  <c r="R1213" i="12"/>
  <c r="P1213" i="12"/>
  <c r="R1212" i="12"/>
  <c r="P1212" i="12"/>
  <c r="R1211" i="12"/>
  <c r="P1211" i="12"/>
  <c r="R1210" i="12"/>
  <c r="P1210" i="12"/>
  <c r="R1209" i="12"/>
  <c r="P1209" i="12"/>
  <c r="R1208" i="12"/>
  <c r="P1208" i="12"/>
  <c r="R1207" i="12"/>
  <c r="P1207" i="12"/>
  <c r="R1206" i="12"/>
  <c r="P1206" i="12"/>
  <c r="R1205" i="12"/>
  <c r="P1205" i="12"/>
  <c r="R1204" i="12"/>
  <c r="P1204" i="12"/>
  <c r="R1203" i="12"/>
  <c r="P1203" i="12"/>
  <c r="R1202" i="12"/>
  <c r="P1202" i="12"/>
  <c r="R1201" i="12"/>
  <c r="P1201" i="12"/>
  <c r="R1200" i="12"/>
  <c r="P1200" i="12"/>
  <c r="R1199" i="12"/>
  <c r="P1199" i="12"/>
  <c r="R1198" i="12"/>
  <c r="P1198" i="12"/>
  <c r="R1197" i="12"/>
  <c r="P1197" i="12"/>
  <c r="R1196" i="12"/>
  <c r="P1196" i="12"/>
  <c r="R1195" i="12"/>
  <c r="P1195" i="12"/>
  <c r="R1194" i="12"/>
  <c r="P1194" i="12"/>
  <c r="R1193" i="12"/>
  <c r="P1193" i="12"/>
  <c r="R1192" i="12"/>
  <c r="P1192" i="12"/>
  <c r="R1191" i="12"/>
  <c r="P1191" i="12"/>
  <c r="R1190" i="12"/>
  <c r="P1190" i="12"/>
  <c r="R1189" i="12"/>
  <c r="P1189" i="12"/>
  <c r="R1188" i="12"/>
  <c r="P1188" i="12"/>
  <c r="R1187" i="12"/>
  <c r="P1187" i="12"/>
  <c r="R1186" i="12"/>
  <c r="P1186" i="12"/>
  <c r="R1185" i="12"/>
  <c r="P1185" i="12"/>
  <c r="R1184" i="12"/>
  <c r="P1184" i="12"/>
  <c r="R1183" i="12"/>
  <c r="P1183" i="12"/>
  <c r="R1182" i="12"/>
  <c r="P1182" i="12"/>
  <c r="R1181" i="12"/>
  <c r="P1181" i="12"/>
  <c r="R1180" i="12"/>
  <c r="P1180" i="12"/>
  <c r="R1179" i="12"/>
  <c r="P1179" i="12"/>
  <c r="R1178" i="12"/>
  <c r="P1178" i="12"/>
  <c r="R1177" i="12"/>
  <c r="P1177" i="12"/>
  <c r="R1176" i="12"/>
  <c r="P1176" i="12"/>
  <c r="R1175" i="12"/>
  <c r="P1175" i="12"/>
  <c r="R1174" i="12"/>
  <c r="P1174" i="12"/>
  <c r="R1173" i="12"/>
  <c r="P1173" i="12"/>
  <c r="R1172" i="12"/>
  <c r="P1172" i="12"/>
  <c r="R1171" i="12"/>
  <c r="P1171" i="12"/>
  <c r="R1170" i="12"/>
  <c r="P1170" i="12"/>
  <c r="R1169" i="12"/>
  <c r="P1169" i="12"/>
  <c r="R1168" i="12"/>
  <c r="P1168" i="12"/>
  <c r="R1167" i="12"/>
  <c r="P1167" i="12"/>
  <c r="R1166" i="12"/>
  <c r="P1166" i="12"/>
  <c r="R1165" i="12"/>
  <c r="P1165" i="12"/>
  <c r="R1164" i="12"/>
  <c r="P1164" i="12"/>
  <c r="R1163" i="12"/>
  <c r="P1163" i="12"/>
  <c r="R1162" i="12"/>
  <c r="P1162" i="12"/>
  <c r="R1161" i="12"/>
  <c r="P1161" i="12"/>
  <c r="R1160" i="12"/>
  <c r="P1160" i="12"/>
  <c r="R1159" i="12"/>
  <c r="P1159" i="12"/>
  <c r="R1158" i="12"/>
  <c r="P1158" i="12"/>
  <c r="R1157" i="12"/>
  <c r="P1157" i="12"/>
  <c r="R1156" i="12"/>
  <c r="P1156" i="12"/>
  <c r="R1155" i="12"/>
  <c r="P1155" i="12"/>
  <c r="R1154" i="12"/>
  <c r="P1154" i="12"/>
  <c r="R1153" i="12"/>
  <c r="P1153" i="12"/>
  <c r="R1152" i="12"/>
  <c r="P1152" i="12"/>
  <c r="R1151" i="12"/>
  <c r="P1151" i="12"/>
  <c r="R1150" i="12"/>
  <c r="P1150" i="12"/>
  <c r="R1149" i="12"/>
  <c r="P1149" i="12"/>
  <c r="R1148" i="12"/>
  <c r="P1148" i="12"/>
  <c r="R1147" i="12"/>
  <c r="P1147" i="12"/>
  <c r="R1146" i="12"/>
  <c r="P1146" i="12"/>
  <c r="R1145" i="12"/>
  <c r="P1145" i="12"/>
  <c r="R1144" i="12"/>
  <c r="P1144" i="12"/>
  <c r="R1143" i="12"/>
  <c r="P1143" i="12"/>
  <c r="R1142" i="12"/>
  <c r="P1142" i="12"/>
  <c r="R1141" i="12"/>
  <c r="P1141" i="12"/>
  <c r="R1140" i="12"/>
  <c r="P1140" i="12"/>
  <c r="R1139" i="12"/>
  <c r="P1139" i="12"/>
  <c r="R1138" i="12"/>
  <c r="P1138" i="12"/>
  <c r="R1137" i="12"/>
  <c r="P1137" i="12"/>
  <c r="R1136" i="12"/>
  <c r="P1136" i="12"/>
  <c r="R1135" i="12"/>
  <c r="P1135" i="12"/>
  <c r="R1134" i="12"/>
  <c r="P1134" i="12"/>
  <c r="R1133" i="12"/>
  <c r="P1133" i="12"/>
  <c r="R1132" i="12"/>
  <c r="P1132" i="12"/>
  <c r="R1131" i="12"/>
  <c r="P1131" i="12"/>
  <c r="R1130" i="12"/>
  <c r="P1130" i="12"/>
  <c r="R1129" i="12"/>
  <c r="P1129" i="12"/>
  <c r="R1128" i="12"/>
  <c r="P1128" i="12"/>
  <c r="R1127" i="12"/>
  <c r="P1127" i="12"/>
  <c r="R1126" i="12"/>
  <c r="P1126" i="12"/>
  <c r="R1125" i="12"/>
  <c r="P1125" i="12"/>
  <c r="R1124" i="12"/>
  <c r="P1124" i="12"/>
  <c r="R1123" i="12"/>
  <c r="P1123" i="12"/>
  <c r="R1122" i="12"/>
  <c r="P1122" i="12"/>
  <c r="R1121" i="12"/>
  <c r="P1121" i="12"/>
  <c r="R1120" i="12"/>
  <c r="P1120" i="12"/>
  <c r="R1119" i="12"/>
  <c r="P1119" i="12"/>
  <c r="R1118" i="12"/>
  <c r="P1118" i="12"/>
  <c r="R1117" i="12"/>
  <c r="P1117" i="12"/>
  <c r="R1116" i="12"/>
  <c r="P1116" i="12"/>
  <c r="R1115" i="12"/>
  <c r="P1115" i="12"/>
  <c r="R1114" i="12"/>
  <c r="P1114" i="12"/>
  <c r="R1113" i="12"/>
  <c r="P1113" i="12"/>
  <c r="R1112" i="12"/>
  <c r="P1112" i="12"/>
  <c r="R1111" i="12"/>
  <c r="P1111" i="12"/>
  <c r="R1110" i="12"/>
  <c r="P1110" i="12"/>
  <c r="R1109" i="12"/>
  <c r="P1109" i="12"/>
  <c r="R1108" i="12"/>
  <c r="P1108" i="12"/>
  <c r="R1107" i="12"/>
  <c r="P1107" i="12"/>
  <c r="R1106" i="12"/>
  <c r="P1106" i="12"/>
  <c r="R1105" i="12"/>
  <c r="P1105" i="12"/>
  <c r="R1104" i="12"/>
  <c r="P1104" i="12"/>
  <c r="R1103" i="12"/>
  <c r="P1103" i="12"/>
  <c r="R1102" i="12"/>
  <c r="P1102" i="12"/>
  <c r="R1101" i="12"/>
  <c r="P1101" i="12"/>
  <c r="R1100" i="12"/>
  <c r="P1100" i="12"/>
  <c r="R1099" i="12"/>
  <c r="P1099" i="12"/>
  <c r="R1098" i="12"/>
  <c r="P1098" i="12"/>
  <c r="R1097" i="12"/>
  <c r="P1097" i="12"/>
  <c r="R1096" i="12"/>
  <c r="P1096" i="12"/>
  <c r="R1095" i="12"/>
  <c r="P1095" i="12"/>
  <c r="R1094" i="12"/>
  <c r="P1094" i="12"/>
  <c r="R1093" i="12"/>
  <c r="P1093" i="12"/>
  <c r="R1092" i="12"/>
  <c r="P1092" i="12"/>
  <c r="R1091" i="12"/>
  <c r="P1091" i="12"/>
  <c r="R1090" i="12"/>
  <c r="P1090" i="12"/>
  <c r="R1089" i="12"/>
  <c r="P1089" i="12"/>
  <c r="R1088" i="12"/>
  <c r="P1088" i="12"/>
  <c r="R1087" i="12"/>
  <c r="P1087" i="12"/>
  <c r="R1086" i="12"/>
  <c r="P1086" i="12"/>
  <c r="R1085" i="12"/>
  <c r="P1085" i="12"/>
  <c r="R1084" i="12"/>
  <c r="P1084" i="12"/>
  <c r="R1083" i="12"/>
  <c r="P1083" i="12"/>
  <c r="R1082" i="12"/>
  <c r="P1082" i="12"/>
  <c r="R1081" i="12"/>
  <c r="P1081" i="12"/>
  <c r="R1080" i="12"/>
  <c r="P1080" i="12"/>
  <c r="R1079" i="12"/>
  <c r="P1079" i="12"/>
  <c r="R1078" i="12"/>
  <c r="P1078" i="12"/>
  <c r="R1077" i="12"/>
  <c r="P1077" i="12"/>
  <c r="R1076" i="12"/>
  <c r="P1076" i="12"/>
  <c r="R1075" i="12"/>
  <c r="P1075" i="12"/>
  <c r="R1074" i="12"/>
  <c r="P1074" i="12"/>
  <c r="R1073" i="12"/>
  <c r="P1073" i="12"/>
  <c r="R1072" i="12"/>
  <c r="P1072" i="12"/>
  <c r="R1071" i="12"/>
  <c r="P1071" i="12"/>
  <c r="R1070" i="12"/>
  <c r="P1070" i="12"/>
  <c r="R1069" i="12"/>
  <c r="P1069" i="12"/>
  <c r="R1068" i="12"/>
  <c r="P1068" i="12"/>
  <c r="R1067" i="12"/>
  <c r="P1067" i="12"/>
  <c r="R1066" i="12"/>
  <c r="P1066" i="12"/>
  <c r="R1065" i="12"/>
  <c r="P1065" i="12"/>
  <c r="R1064" i="12"/>
  <c r="P1064" i="12"/>
  <c r="R1063" i="12"/>
  <c r="P1063" i="12"/>
  <c r="R1062" i="12"/>
  <c r="P1062" i="12"/>
  <c r="R1061" i="12"/>
  <c r="P1061" i="12"/>
  <c r="R1060" i="12"/>
  <c r="P1060" i="12"/>
  <c r="R1059" i="12"/>
  <c r="P1059" i="12"/>
  <c r="R1058" i="12"/>
  <c r="P1058" i="12"/>
  <c r="R1057" i="12"/>
  <c r="P1057" i="12"/>
  <c r="R1056" i="12"/>
  <c r="P1056" i="12"/>
  <c r="R1055" i="12"/>
  <c r="P1055" i="12"/>
  <c r="R1054" i="12"/>
  <c r="P1054" i="12"/>
  <c r="R1053" i="12"/>
  <c r="P1053" i="12"/>
  <c r="R1052" i="12"/>
  <c r="P1052" i="12"/>
  <c r="R1051" i="12"/>
  <c r="P1051" i="12"/>
  <c r="R1050" i="12"/>
  <c r="P1050" i="12"/>
  <c r="R1049" i="12"/>
  <c r="P1049" i="12"/>
  <c r="R1048" i="12"/>
  <c r="P1048" i="12"/>
  <c r="R1047" i="12"/>
  <c r="P1047" i="12"/>
  <c r="R1046" i="12"/>
  <c r="P1046" i="12"/>
  <c r="R1045" i="12"/>
  <c r="P1045" i="12"/>
  <c r="R1044" i="12"/>
  <c r="P1044" i="12"/>
  <c r="R1043" i="12"/>
  <c r="P1043" i="12"/>
  <c r="R1042" i="12"/>
  <c r="P1042" i="12"/>
  <c r="R1041" i="12"/>
  <c r="P1041" i="12"/>
  <c r="R1040" i="12"/>
  <c r="P1040" i="12"/>
  <c r="R1039" i="12"/>
  <c r="P1039" i="12"/>
  <c r="R1038" i="12"/>
  <c r="P1038" i="12"/>
  <c r="R1037" i="12"/>
  <c r="P1037" i="12"/>
  <c r="R1036" i="12"/>
  <c r="P1036" i="12"/>
  <c r="R1035" i="12"/>
  <c r="P1035" i="12"/>
  <c r="R1034" i="12"/>
  <c r="P1034" i="12"/>
  <c r="R1033" i="12"/>
  <c r="P1033" i="12"/>
  <c r="R1032" i="12"/>
  <c r="P1032" i="12"/>
  <c r="R1031" i="12"/>
  <c r="P1031" i="12"/>
  <c r="R1030" i="12"/>
  <c r="P1030" i="12"/>
  <c r="R1029" i="12"/>
  <c r="P1029" i="12"/>
  <c r="R1028" i="12"/>
  <c r="P1028" i="12"/>
  <c r="R1027" i="12"/>
  <c r="P1027" i="12"/>
  <c r="R1026" i="12"/>
  <c r="P1026" i="12"/>
  <c r="R1025" i="12"/>
  <c r="P1025" i="12"/>
  <c r="R1024" i="12"/>
  <c r="P1024" i="12"/>
  <c r="R1023" i="12"/>
  <c r="P1023" i="12"/>
  <c r="R1022" i="12"/>
  <c r="P1022" i="12"/>
  <c r="R1021" i="12"/>
  <c r="P1021" i="12"/>
  <c r="R1020" i="12"/>
  <c r="P1020" i="12"/>
  <c r="R1019" i="12"/>
  <c r="P1019" i="12"/>
  <c r="R1018" i="12"/>
  <c r="P1018" i="12"/>
  <c r="R1017" i="12"/>
  <c r="P1017" i="12"/>
  <c r="R1016" i="12"/>
  <c r="P1016" i="12"/>
  <c r="R1015" i="12"/>
  <c r="P1015" i="12"/>
  <c r="R1014" i="12"/>
  <c r="P1014" i="12"/>
  <c r="R1013" i="12"/>
  <c r="P1013" i="12"/>
  <c r="R1012" i="12"/>
  <c r="P1012" i="12"/>
  <c r="R1011" i="12"/>
  <c r="P1011" i="12"/>
  <c r="R1010" i="12"/>
  <c r="P1010" i="12"/>
  <c r="R1009" i="12"/>
  <c r="P1009" i="12"/>
  <c r="R1008" i="12"/>
  <c r="P1008" i="12"/>
  <c r="R1007" i="12"/>
  <c r="P1007" i="12"/>
  <c r="R1006" i="12"/>
  <c r="P1006" i="12"/>
  <c r="R1005" i="12"/>
  <c r="P1005" i="12"/>
  <c r="R1004" i="12"/>
  <c r="P1004" i="12"/>
  <c r="R1003" i="12"/>
  <c r="P1003" i="12"/>
  <c r="R1002" i="12"/>
  <c r="P1002" i="12"/>
  <c r="R1001" i="12"/>
  <c r="P1001" i="12"/>
  <c r="R1000" i="12"/>
  <c r="P1000" i="12"/>
  <c r="R999" i="12"/>
  <c r="P999" i="12"/>
  <c r="R998" i="12"/>
  <c r="P998" i="12"/>
  <c r="R997" i="12"/>
  <c r="P997" i="12"/>
  <c r="R996" i="12"/>
  <c r="P996" i="12"/>
  <c r="R995" i="12"/>
  <c r="P995" i="12"/>
  <c r="R994" i="12"/>
  <c r="P994" i="12"/>
  <c r="R993" i="12"/>
  <c r="P993" i="12"/>
  <c r="R992" i="12"/>
  <c r="P992" i="12"/>
  <c r="R991" i="12"/>
  <c r="P991" i="12"/>
  <c r="R990" i="12"/>
  <c r="P990" i="12"/>
  <c r="R989" i="12"/>
  <c r="P989" i="12"/>
  <c r="R988" i="12"/>
  <c r="P988" i="12"/>
  <c r="R987" i="12"/>
  <c r="P987" i="12"/>
  <c r="R986" i="12"/>
  <c r="P986" i="12"/>
  <c r="R985" i="12"/>
  <c r="P985" i="12"/>
  <c r="R984" i="12"/>
  <c r="P984" i="12"/>
  <c r="R983" i="12"/>
  <c r="P983" i="12"/>
  <c r="R982" i="12"/>
  <c r="P982" i="12"/>
  <c r="R981" i="12"/>
  <c r="P981" i="12"/>
  <c r="R980" i="12"/>
  <c r="P980" i="12"/>
  <c r="R979" i="12"/>
  <c r="P979" i="12"/>
  <c r="R978" i="12"/>
  <c r="P978" i="12"/>
  <c r="R977" i="12"/>
  <c r="P977" i="12"/>
  <c r="R976" i="12"/>
  <c r="P976" i="12"/>
  <c r="R975" i="12"/>
  <c r="P975" i="12"/>
  <c r="R974" i="12"/>
  <c r="P974" i="12"/>
  <c r="R973" i="12"/>
  <c r="P973" i="12"/>
  <c r="R972" i="12"/>
  <c r="P972" i="12"/>
  <c r="R971" i="12"/>
  <c r="P971" i="12"/>
  <c r="R970" i="12"/>
  <c r="P970" i="12"/>
  <c r="R969" i="12"/>
  <c r="P969" i="12"/>
  <c r="R968" i="12"/>
  <c r="P968" i="12"/>
  <c r="R967" i="12"/>
  <c r="P967" i="12"/>
  <c r="R966" i="12"/>
  <c r="P966" i="12"/>
  <c r="R965" i="12"/>
  <c r="P965" i="12"/>
  <c r="R964" i="12"/>
  <c r="P964" i="12"/>
  <c r="R963" i="12"/>
  <c r="P963" i="12"/>
  <c r="R962" i="12"/>
  <c r="P962" i="12"/>
  <c r="R961" i="12"/>
  <c r="P961" i="12"/>
  <c r="R960" i="12"/>
  <c r="P960" i="12"/>
  <c r="R959" i="12"/>
  <c r="P959" i="12"/>
  <c r="R958" i="12"/>
  <c r="P958" i="12"/>
  <c r="R957" i="12"/>
  <c r="P957" i="12"/>
  <c r="R956" i="12"/>
  <c r="P956" i="12"/>
  <c r="R955" i="12"/>
  <c r="P955" i="12"/>
  <c r="R954" i="12"/>
  <c r="P954" i="12"/>
  <c r="R953" i="12"/>
  <c r="P953" i="12"/>
  <c r="R952" i="12"/>
  <c r="P952" i="12"/>
  <c r="R951" i="12"/>
  <c r="P951" i="12"/>
  <c r="R950" i="12"/>
  <c r="P950" i="12"/>
  <c r="R949" i="12"/>
  <c r="P949" i="12"/>
  <c r="R948" i="12"/>
  <c r="P948" i="12"/>
  <c r="R947" i="12"/>
  <c r="P947" i="12"/>
  <c r="R946" i="12"/>
  <c r="P946" i="12"/>
  <c r="R945" i="12"/>
  <c r="P945" i="12"/>
  <c r="R944" i="12"/>
  <c r="P944" i="12"/>
  <c r="R943" i="12"/>
  <c r="P943" i="12"/>
  <c r="R942" i="12"/>
  <c r="P942" i="12"/>
  <c r="R941" i="12"/>
  <c r="P941" i="12"/>
  <c r="R940" i="12"/>
  <c r="P940" i="12"/>
  <c r="R939" i="12"/>
  <c r="P939" i="12"/>
  <c r="R938" i="12"/>
  <c r="P938" i="12"/>
  <c r="R937" i="12"/>
  <c r="P937" i="12"/>
  <c r="R936" i="12"/>
  <c r="P936" i="12"/>
  <c r="R935" i="12"/>
  <c r="P935" i="12"/>
  <c r="R934" i="12"/>
  <c r="P934" i="12"/>
  <c r="R933" i="12"/>
  <c r="P933" i="12"/>
  <c r="R932" i="12"/>
  <c r="P932" i="12"/>
  <c r="R931" i="12"/>
  <c r="P931" i="12"/>
  <c r="R930" i="12"/>
  <c r="P930" i="12"/>
  <c r="R929" i="12"/>
  <c r="P929" i="12"/>
  <c r="R928" i="12"/>
  <c r="P928" i="12"/>
  <c r="R927" i="12"/>
  <c r="P927" i="12"/>
  <c r="R926" i="12"/>
  <c r="P926" i="12"/>
  <c r="R925" i="12"/>
  <c r="P925" i="12"/>
  <c r="R924" i="12"/>
  <c r="P924" i="12"/>
  <c r="R923" i="12"/>
  <c r="P923" i="12"/>
  <c r="R922" i="12"/>
  <c r="P922" i="12"/>
  <c r="R921" i="12"/>
  <c r="P921" i="12"/>
  <c r="R920" i="12"/>
  <c r="P920" i="12"/>
  <c r="R919" i="12"/>
  <c r="P919" i="12"/>
  <c r="R918" i="12"/>
  <c r="P918" i="12"/>
  <c r="R917" i="12"/>
  <c r="P917" i="12"/>
  <c r="R916" i="12"/>
  <c r="P916" i="12"/>
  <c r="R915" i="12"/>
  <c r="P915" i="12"/>
  <c r="R914" i="12"/>
  <c r="P914" i="12"/>
  <c r="R913" i="12"/>
  <c r="P913" i="12"/>
  <c r="R912" i="12"/>
  <c r="P912" i="12"/>
  <c r="R911" i="12"/>
  <c r="P911" i="12"/>
  <c r="R910" i="12"/>
  <c r="P910" i="12"/>
  <c r="R909" i="12"/>
  <c r="P909" i="12"/>
  <c r="R908" i="12"/>
  <c r="P908" i="12"/>
  <c r="R907" i="12"/>
  <c r="P907" i="12"/>
  <c r="R906" i="12"/>
  <c r="P906" i="12"/>
  <c r="R905" i="12"/>
  <c r="P905" i="12"/>
  <c r="R904" i="12"/>
  <c r="P904" i="12"/>
  <c r="R903" i="12"/>
  <c r="P903" i="12"/>
  <c r="R902" i="12"/>
  <c r="P902" i="12"/>
  <c r="R901" i="12"/>
  <c r="P901" i="12"/>
  <c r="R900" i="12"/>
  <c r="P900" i="12"/>
  <c r="R899" i="12"/>
  <c r="P899" i="12"/>
  <c r="R898" i="12"/>
  <c r="P898" i="12"/>
  <c r="R897" i="12"/>
  <c r="P897" i="12"/>
  <c r="R896" i="12"/>
  <c r="P896" i="12"/>
  <c r="R895" i="12"/>
  <c r="P895" i="12"/>
  <c r="R894" i="12"/>
  <c r="P894" i="12"/>
  <c r="R893" i="12"/>
  <c r="P893" i="12"/>
  <c r="R892" i="12"/>
  <c r="P892" i="12"/>
  <c r="R891" i="12"/>
  <c r="P891" i="12"/>
  <c r="R890" i="12"/>
  <c r="P890" i="12"/>
  <c r="R889" i="12"/>
  <c r="P889" i="12"/>
  <c r="R888" i="12"/>
  <c r="P888" i="12"/>
  <c r="R887" i="12"/>
  <c r="P887" i="12"/>
  <c r="R886" i="12"/>
  <c r="P886" i="12"/>
  <c r="R885" i="12"/>
  <c r="P885" i="12"/>
  <c r="R884" i="12"/>
  <c r="P884" i="12"/>
  <c r="R883" i="12"/>
  <c r="P883" i="12"/>
  <c r="R882" i="12"/>
  <c r="P882" i="12"/>
  <c r="R881" i="12"/>
  <c r="P881" i="12"/>
  <c r="R880" i="12"/>
  <c r="P880" i="12"/>
  <c r="R879" i="12"/>
  <c r="P879" i="12"/>
  <c r="R878" i="12"/>
  <c r="P878" i="12"/>
  <c r="R877" i="12"/>
  <c r="P877" i="12"/>
  <c r="R876" i="12"/>
  <c r="P876" i="12"/>
  <c r="R875" i="12"/>
  <c r="P875" i="12"/>
  <c r="R874" i="12"/>
  <c r="P874" i="12"/>
  <c r="R873" i="12"/>
  <c r="P873" i="12"/>
  <c r="R872" i="12"/>
  <c r="P872" i="12"/>
  <c r="R871" i="12"/>
  <c r="P871" i="12"/>
  <c r="R870" i="12"/>
  <c r="P870" i="12"/>
  <c r="R869" i="12"/>
  <c r="P869" i="12"/>
  <c r="R868" i="12"/>
  <c r="P868" i="12"/>
  <c r="R867" i="12"/>
  <c r="P867" i="12"/>
  <c r="R866" i="12"/>
  <c r="P866" i="12"/>
  <c r="R865" i="12"/>
  <c r="P865" i="12"/>
  <c r="R864" i="12"/>
  <c r="P864" i="12"/>
  <c r="R863" i="12"/>
  <c r="P863" i="12"/>
  <c r="R862" i="12"/>
  <c r="P862" i="12"/>
  <c r="R861" i="12"/>
  <c r="P861" i="12"/>
  <c r="R860" i="12"/>
  <c r="P860" i="12"/>
  <c r="R859" i="12"/>
  <c r="P859" i="12"/>
  <c r="R858" i="12"/>
  <c r="P858" i="12"/>
  <c r="R857" i="12"/>
  <c r="P857" i="12"/>
  <c r="R856" i="12"/>
  <c r="P856" i="12"/>
  <c r="R855" i="12"/>
  <c r="P855" i="12"/>
  <c r="R854" i="12"/>
  <c r="P854" i="12"/>
  <c r="R853" i="12"/>
  <c r="P853" i="12"/>
  <c r="R852" i="12"/>
  <c r="P852" i="12"/>
  <c r="R851" i="12"/>
  <c r="P851" i="12"/>
  <c r="R850" i="12"/>
  <c r="P850" i="12"/>
  <c r="R849" i="12"/>
  <c r="P849" i="12"/>
  <c r="R848" i="12"/>
  <c r="P848" i="12"/>
  <c r="R847" i="12"/>
  <c r="P847" i="12"/>
  <c r="R846" i="12"/>
  <c r="P846" i="12"/>
  <c r="R845" i="12"/>
  <c r="P845" i="12"/>
  <c r="R844" i="12"/>
  <c r="P844" i="12"/>
  <c r="R843" i="12"/>
  <c r="P843" i="12"/>
  <c r="R842" i="12"/>
  <c r="P842" i="12"/>
  <c r="R841" i="12"/>
  <c r="P841" i="12"/>
  <c r="R840" i="12"/>
  <c r="P840" i="12"/>
  <c r="R839" i="12"/>
  <c r="P839" i="12"/>
  <c r="R838" i="12"/>
  <c r="P838" i="12"/>
  <c r="R837" i="12"/>
  <c r="P837" i="12"/>
  <c r="R836" i="12"/>
  <c r="P836" i="12"/>
  <c r="R835" i="12"/>
  <c r="P835" i="12"/>
  <c r="R834" i="12"/>
  <c r="P834" i="12"/>
  <c r="R833" i="12"/>
  <c r="P833" i="12"/>
  <c r="R832" i="12"/>
  <c r="P832" i="12"/>
  <c r="R831" i="12"/>
  <c r="P831" i="12"/>
  <c r="R830" i="12"/>
  <c r="P830" i="12"/>
  <c r="R829" i="12"/>
  <c r="P829" i="12"/>
  <c r="R828" i="12"/>
  <c r="P828" i="12"/>
  <c r="R827" i="12"/>
  <c r="P827" i="12"/>
  <c r="R826" i="12"/>
  <c r="P826" i="12"/>
  <c r="R825" i="12"/>
  <c r="P825" i="12"/>
  <c r="R824" i="12"/>
  <c r="P824" i="12"/>
  <c r="R823" i="12"/>
  <c r="P823" i="12"/>
  <c r="R822" i="12"/>
  <c r="P822" i="12"/>
  <c r="R821" i="12"/>
  <c r="P821" i="12"/>
  <c r="R820" i="12"/>
  <c r="P820" i="12"/>
  <c r="R819" i="12"/>
  <c r="P819" i="12"/>
  <c r="R818" i="12"/>
  <c r="P818" i="12"/>
  <c r="R817" i="12"/>
  <c r="P817" i="12"/>
  <c r="R816" i="12"/>
  <c r="P816" i="12"/>
  <c r="R815" i="12"/>
  <c r="P815" i="12"/>
  <c r="R814" i="12"/>
  <c r="P814" i="12"/>
  <c r="R813" i="12"/>
  <c r="P813" i="12"/>
  <c r="R812" i="12"/>
  <c r="P812" i="12"/>
  <c r="R811" i="12"/>
  <c r="P811" i="12"/>
  <c r="R810" i="12"/>
  <c r="P810" i="12"/>
  <c r="R809" i="12"/>
  <c r="P809" i="12"/>
  <c r="R808" i="12"/>
  <c r="P808" i="12"/>
  <c r="R807" i="12"/>
  <c r="P807" i="12"/>
  <c r="R806" i="12"/>
  <c r="P806" i="12"/>
  <c r="R805" i="12"/>
  <c r="P805" i="12"/>
  <c r="R804" i="12"/>
  <c r="P804" i="12"/>
  <c r="R803" i="12"/>
  <c r="P803" i="12"/>
  <c r="R802" i="12"/>
  <c r="P802" i="12"/>
  <c r="R801" i="12"/>
  <c r="P801" i="12"/>
  <c r="R800" i="12"/>
  <c r="P800" i="12"/>
  <c r="R799" i="12"/>
  <c r="P799" i="12"/>
  <c r="R798" i="12"/>
  <c r="P798" i="12"/>
  <c r="R797" i="12"/>
  <c r="P797" i="12"/>
  <c r="R796" i="12"/>
  <c r="P796" i="12"/>
  <c r="R795" i="12"/>
  <c r="P795" i="12"/>
  <c r="R794" i="12"/>
  <c r="P794" i="12"/>
  <c r="R793" i="12"/>
  <c r="P793" i="12"/>
  <c r="R792" i="12"/>
  <c r="P792" i="12"/>
  <c r="R791" i="12"/>
  <c r="P791" i="12"/>
  <c r="R790" i="12"/>
  <c r="P790" i="12"/>
  <c r="R789" i="12"/>
  <c r="P789" i="12"/>
  <c r="R788" i="12"/>
  <c r="P788" i="12"/>
  <c r="R787" i="12"/>
  <c r="P787" i="12"/>
  <c r="R786" i="12"/>
  <c r="P786" i="12"/>
  <c r="R785" i="12"/>
  <c r="P785" i="12"/>
  <c r="R784" i="12"/>
  <c r="P784" i="12"/>
  <c r="R783" i="12"/>
  <c r="P783" i="12"/>
  <c r="R782" i="12"/>
  <c r="P782" i="12"/>
  <c r="R781" i="12"/>
  <c r="P781" i="12"/>
  <c r="R780" i="12"/>
  <c r="P780" i="12"/>
  <c r="R779" i="12"/>
  <c r="P779" i="12"/>
  <c r="R778" i="12"/>
  <c r="P778" i="12"/>
  <c r="R777" i="12"/>
  <c r="P777" i="12"/>
  <c r="R776" i="12"/>
  <c r="P776" i="12"/>
  <c r="R775" i="12"/>
  <c r="P775" i="12"/>
  <c r="R774" i="12"/>
  <c r="P774" i="12"/>
  <c r="R773" i="12"/>
  <c r="P773" i="12"/>
  <c r="R772" i="12"/>
  <c r="P772" i="12"/>
  <c r="R771" i="12"/>
  <c r="P771" i="12"/>
  <c r="R770" i="12"/>
  <c r="P770" i="12"/>
  <c r="R769" i="12"/>
  <c r="P769" i="12"/>
  <c r="R768" i="12"/>
  <c r="P768" i="12"/>
  <c r="R767" i="12"/>
  <c r="P767" i="12"/>
  <c r="R766" i="12"/>
  <c r="P766" i="12"/>
  <c r="R765" i="12"/>
  <c r="P765" i="12"/>
  <c r="R764" i="12"/>
  <c r="P764" i="12"/>
  <c r="R763" i="12"/>
  <c r="P763" i="12"/>
  <c r="R762" i="12"/>
  <c r="P762" i="12"/>
  <c r="R761" i="12"/>
  <c r="P761" i="12"/>
  <c r="R760" i="12"/>
  <c r="P760" i="12"/>
  <c r="R759" i="12"/>
  <c r="P759" i="12"/>
  <c r="R758" i="12"/>
  <c r="P758" i="12"/>
  <c r="R757" i="12"/>
  <c r="P757" i="12"/>
  <c r="R756" i="12"/>
  <c r="P756" i="12"/>
  <c r="R755" i="12"/>
  <c r="P755" i="12"/>
  <c r="R754" i="12"/>
  <c r="P754" i="12"/>
  <c r="R753" i="12"/>
  <c r="P753" i="12"/>
  <c r="R752" i="12"/>
  <c r="P752" i="12"/>
  <c r="R751" i="12"/>
  <c r="P751" i="12"/>
  <c r="R750" i="12"/>
  <c r="P750" i="12"/>
  <c r="R749" i="12"/>
  <c r="P749" i="12"/>
  <c r="R748" i="12"/>
  <c r="P748" i="12"/>
  <c r="R747" i="12"/>
  <c r="P747" i="12"/>
  <c r="R746" i="12"/>
  <c r="P746" i="12"/>
  <c r="R745" i="12"/>
  <c r="P745" i="12"/>
  <c r="R744" i="12"/>
  <c r="P744" i="12"/>
  <c r="R743" i="12"/>
  <c r="P743" i="12"/>
  <c r="R742" i="12"/>
  <c r="P742" i="12"/>
  <c r="R741" i="12"/>
  <c r="P741" i="12"/>
  <c r="R740" i="12"/>
  <c r="P740" i="12"/>
  <c r="R739" i="12"/>
  <c r="P739" i="12"/>
  <c r="R738" i="12"/>
  <c r="P738" i="12"/>
  <c r="R737" i="12"/>
  <c r="P737" i="12"/>
  <c r="R736" i="12"/>
  <c r="P736" i="12"/>
  <c r="R735" i="12"/>
  <c r="P735" i="12"/>
  <c r="R734" i="12"/>
  <c r="P734" i="12"/>
  <c r="R733" i="12"/>
  <c r="P733" i="12"/>
  <c r="R732" i="12"/>
  <c r="P732" i="12"/>
  <c r="R731" i="12"/>
  <c r="P731" i="12"/>
  <c r="R730" i="12"/>
  <c r="P730" i="12"/>
  <c r="R729" i="12"/>
  <c r="P729" i="12"/>
  <c r="R728" i="12"/>
  <c r="P728" i="12"/>
  <c r="R727" i="12"/>
  <c r="P727" i="12"/>
  <c r="R726" i="12"/>
  <c r="P726" i="12"/>
  <c r="R725" i="12"/>
  <c r="P725" i="12"/>
  <c r="R724" i="12"/>
  <c r="P724" i="12"/>
  <c r="R723" i="12"/>
  <c r="P723" i="12"/>
  <c r="R722" i="12"/>
  <c r="P722" i="12"/>
  <c r="R721" i="12"/>
  <c r="P721" i="12"/>
  <c r="R720" i="12"/>
  <c r="P720" i="12"/>
  <c r="R719" i="12"/>
  <c r="P719" i="12"/>
  <c r="R718" i="12"/>
  <c r="P718" i="12"/>
  <c r="R717" i="12"/>
  <c r="P717" i="12"/>
  <c r="R716" i="12"/>
  <c r="P716" i="12"/>
  <c r="R715" i="12"/>
  <c r="P715" i="12"/>
  <c r="R714" i="12"/>
  <c r="P714" i="12"/>
  <c r="R713" i="12"/>
  <c r="P713" i="12"/>
  <c r="R712" i="12"/>
  <c r="P712" i="12"/>
  <c r="R711" i="12"/>
  <c r="P711" i="12"/>
  <c r="R710" i="12"/>
  <c r="P710" i="12"/>
  <c r="R709" i="12"/>
  <c r="P709" i="12"/>
  <c r="R708" i="12"/>
  <c r="P708" i="12"/>
  <c r="R707" i="12"/>
  <c r="P707" i="12"/>
  <c r="R706" i="12"/>
  <c r="P706" i="12"/>
  <c r="R705" i="12"/>
  <c r="P705" i="12"/>
  <c r="R704" i="12"/>
  <c r="P704" i="12"/>
  <c r="R703" i="12"/>
  <c r="P703" i="12"/>
  <c r="R702" i="12"/>
  <c r="P702" i="12"/>
  <c r="R701" i="12"/>
  <c r="P701" i="12"/>
  <c r="R700" i="12"/>
  <c r="P700" i="12"/>
  <c r="R699" i="12"/>
  <c r="P699" i="12"/>
  <c r="R698" i="12"/>
  <c r="P698" i="12"/>
  <c r="R697" i="12"/>
  <c r="P697" i="12"/>
  <c r="R696" i="12"/>
  <c r="P696" i="12"/>
  <c r="R695" i="12"/>
  <c r="P695" i="12"/>
  <c r="R694" i="12"/>
  <c r="P694" i="12"/>
  <c r="R693" i="12"/>
  <c r="P693" i="12"/>
  <c r="R692" i="12"/>
  <c r="P692" i="12"/>
  <c r="R691" i="12"/>
  <c r="P691" i="12"/>
  <c r="R690" i="12"/>
  <c r="P690" i="12"/>
  <c r="R689" i="12"/>
  <c r="P689" i="12"/>
  <c r="R688" i="12"/>
  <c r="P688" i="12"/>
  <c r="R687" i="12"/>
  <c r="P687" i="12"/>
  <c r="R686" i="12"/>
  <c r="P686" i="12"/>
  <c r="R685" i="12"/>
  <c r="P685" i="12"/>
  <c r="R684" i="12"/>
  <c r="P684" i="12"/>
  <c r="R683" i="12"/>
  <c r="P683" i="12"/>
  <c r="R682" i="12"/>
  <c r="P682" i="12"/>
  <c r="R681" i="12"/>
  <c r="P681" i="12"/>
  <c r="R680" i="12"/>
  <c r="P680" i="12"/>
  <c r="R679" i="12"/>
  <c r="P679" i="12"/>
  <c r="R678" i="12"/>
  <c r="P678" i="12"/>
  <c r="R677" i="12"/>
  <c r="P677" i="12"/>
  <c r="R676" i="12"/>
  <c r="P676" i="12"/>
  <c r="R675" i="12"/>
  <c r="P675" i="12"/>
  <c r="R674" i="12"/>
  <c r="P674" i="12"/>
  <c r="R673" i="12"/>
  <c r="P673" i="12"/>
  <c r="R672" i="12"/>
  <c r="P672" i="12"/>
  <c r="R671" i="12"/>
  <c r="P671" i="12"/>
  <c r="R670" i="12"/>
  <c r="P670" i="12"/>
  <c r="R669" i="12"/>
  <c r="P669" i="12"/>
  <c r="R668" i="12"/>
  <c r="P668" i="12"/>
  <c r="R667" i="12"/>
  <c r="P667" i="12"/>
  <c r="R666" i="12"/>
  <c r="P666" i="12"/>
  <c r="R665" i="12"/>
  <c r="P665" i="12"/>
  <c r="R664" i="12"/>
  <c r="P664" i="12"/>
  <c r="R663" i="12"/>
  <c r="P663" i="12"/>
  <c r="R662" i="12"/>
  <c r="P662" i="12"/>
  <c r="R661" i="12"/>
  <c r="P661" i="12"/>
  <c r="R660" i="12"/>
  <c r="P660" i="12"/>
  <c r="R659" i="12"/>
  <c r="P659" i="12"/>
  <c r="R658" i="12"/>
  <c r="P658" i="12"/>
  <c r="R657" i="12"/>
  <c r="P657" i="12"/>
  <c r="R656" i="12"/>
  <c r="P656" i="12"/>
  <c r="R655" i="12"/>
  <c r="P655" i="12"/>
  <c r="R654" i="12"/>
  <c r="P654" i="12"/>
  <c r="R653" i="12"/>
  <c r="P653" i="12"/>
  <c r="R652" i="12"/>
  <c r="P652" i="12"/>
  <c r="R651" i="12"/>
  <c r="P651" i="12"/>
  <c r="R650" i="12"/>
  <c r="P650" i="12"/>
  <c r="R649" i="12"/>
  <c r="P649" i="12"/>
  <c r="R648" i="12"/>
  <c r="P648" i="12"/>
  <c r="R647" i="12"/>
  <c r="P647" i="12"/>
  <c r="R646" i="12"/>
  <c r="P646" i="12"/>
  <c r="R645" i="12"/>
  <c r="P645" i="12"/>
  <c r="R644" i="12"/>
  <c r="P644" i="12"/>
  <c r="R643" i="12"/>
  <c r="P643" i="12"/>
  <c r="R642" i="12"/>
  <c r="P642" i="12"/>
  <c r="R641" i="12"/>
  <c r="P641" i="12"/>
  <c r="R640" i="12"/>
  <c r="P640" i="12"/>
  <c r="R639" i="12"/>
  <c r="P639" i="12"/>
  <c r="R638" i="12"/>
  <c r="P638" i="12"/>
  <c r="R637" i="12"/>
  <c r="P637" i="12"/>
  <c r="R636" i="12"/>
  <c r="P636" i="12"/>
  <c r="R635" i="12"/>
  <c r="P635" i="12"/>
  <c r="R634" i="12"/>
  <c r="P634" i="12"/>
  <c r="R633" i="12"/>
  <c r="P633" i="12"/>
  <c r="R632" i="12"/>
  <c r="P632" i="12"/>
  <c r="R631" i="12"/>
  <c r="P631" i="12"/>
  <c r="R630" i="12"/>
  <c r="P630" i="12"/>
  <c r="R629" i="12"/>
  <c r="P629" i="12"/>
  <c r="R628" i="12"/>
  <c r="P628" i="12"/>
  <c r="R627" i="12"/>
  <c r="P627" i="12"/>
  <c r="R626" i="12"/>
  <c r="P626" i="12"/>
  <c r="R625" i="12"/>
  <c r="P625" i="12"/>
  <c r="R624" i="12"/>
  <c r="P624" i="12"/>
  <c r="R623" i="12"/>
  <c r="P623" i="12"/>
  <c r="R622" i="12"/>
  <c r="P622" i="12"/>
  <c r="R621" i="12"/>
  <c r="P621" i="12"/>
  <c r="R620" i="12"/>
  <c r="P620" i="12"/>
  <c r="R619" i="12"/>
  <c r="P619" i="12"/>
  <c r="R618" i="12"/>
  <c r="P618" i="12"/>
  <c r="R617" i="12"/>
  <c r="P617" i="12"/>
  <c r="R616" i="12"/>
  <c r="P616" i="12"/>
  <c r="R615" i="12"/>
  <c r="P615" i="12"/>
  <c r="R614" i="12"/>
  <c r="P614" i="12"/>
  <c r="R613" i="12"/>
  <c r="P613" i="12"/>
  <c r="R612" i="12"/>
  <c r="P612" i="12"/>
  <c r="R611" i="12"/>
  <c r="P611" i="12"/>
  <c r="R610" i="12"/>
  <c r="P610" i="12"/>
  <c r="R609" i="12"/>
  <c r="P609" i="12"/>
  <c r="R608" i="12"/>
  <c r="P608" i="12"/>
  <c r="R607" i="12"/>
  <c r="P607" i="12"/>
  <c r="R606" i="12"/>
  <c r="P606" i="12"/>
  <c r="R605" i="12"/>
  <c r="P605" i="12"/>
  <c r="R604" i="12"/>
  <c r="P604" i="12"/>
  <c r="R603" i="12"/>
  <c r="P603" i="12"/>
  <c r="R602" i="12"/>
  <c r="P602" i="12"/>
  <c r="R601" i="12"/>
  <c r="P601" i="12"/>
  <c r="R600" i="12"/>
  <c r="P600" i="12"/>
  <c r="R599" i="12"/>
  <c r="P599" i="12"/>
  <c r="R598" i="12"/>
  <c r="P598" i="12"/>
  <c r="R597" i="12"/>
  <c r="P597" i="12"/>
  <c r="R596" i="12"/>
  <c r="P596" i="12"/>
  <c r="R595" i="12"/>
  <c r="P595" i="12"/>
  <c r="R594" i="12"/>
  <c r="P594" i="12"/>
  <c r="R593" i="12"/>
  <c r="P593" i="12"/>
  <c r="R592" i="12"/>
  <c r="P592" i="12"/>
  <c r="R591" i="12"/>
  <c r="P591" i="12"/>
  <c r="R590" i="12"/>
  <c r="P590" i="12"/>
  <c r="R589" i="12"/>
  <c r="P589" i="12"/>
  <c r="R588" i="12"/>
  <c r="P588" i="12"/>
  <c r="R587" i="12"/>
  <c r="P587" i="12"/>
  <c r="R586" i="12"/>
  <c r="P586" i="12"/>
  <c r="R585" i="12"/>
  <c r="P585" i="12"/>
  <c r="R584" i="12"/>
  <c r="P584" i="12"/>
  <c r="R583" i="12"/>
  <c r="P583" i="12"/>
  <c r="R582" i="12"/>
  <c r="P582" i="12"/>
  <c r="R581" i="12"/>
  <c r="P581" i="12"/>
  <c r="R580" i="12"/>
  <c r="P580" i="12"/>
  <c r="R579" i="12"/>
  <c r="P579" i="12"/>
  <c r="R578" i="12"/>
  <c r="P578" i="12"/>
  <c r="R577" i="12"/>
  <c r="P577" i="12"/>
  <c r="R576" i="12"/>
  <c r="P576" i="12"/>
  <c r="R575" i="12"/>
  <c r="P575" i="12"/>
  <c r="R574" i="12"/>
  <c r="P574" i="12"/>
  <c r="R573" i="12"/>
  <c r="P573" i="12"/>
  <c r="R572" i="12"/>
  <c r="P572" i="12"/>
  <c r="R571" i="12"/>
  <c r="P571" i="12"/>
  <c r="R570" i="12"/>
  <c r="P570" i="12"/>
  <c r="R569" i="12"/>
  <c r="P569" i="12"/>
  <c r="R568" i="12"/>
  <c r="P568" i="12"/>
  <c r="R567" i="12"/>
  <c r="P567" i="12"/>
  <c r="R566" i="12"/>
  <c r="P566" i="12"/>
  <c r="R565" i="12"/>
  <c r="P565" i="12"/>
  <c r="R564" i="12"/>
  <c r="P564" i="12"/>
  <c r="R563" i="12"/>
  <c r="P563" i="12"/>
  <c r="R562" i="12"/>
  <c r="P562" i="12"/>
  <c r="R561" i="12"/>
  <c r="P561" i="12"/>
  <c r="R560" i="12"/>
  <c r="P560" i="12"/>
  <c r="R559" i="12"/>
  <c r="P559" i="12"/>
  <c r="R558" i="12"/>
  <c r="P558" i="12"/>
  <c r="R557" i="12"/>
  <c r="P557" i="12"/>
  <c r="R556" i="12"/>
  <c r="P556" i="12"/>
  <c r="R555" i="12"/>
  <c r="P555" i="12"/>
  <c r="R554" i="12"/>
  <c r="P554" i="12"/>
  <c r="R553" i="12"/>
  <c r="P553" i="12"/>
  <c r="R552" i="12"/>
  <c r="P552" i="12"/>
  <c r="R551" i="12"/>
  <c r="P551" i="12"/>
  <c r="R550" i="12"/>
  <c r="P550" i="12"/>
  <c r="R549" i="12"/>
  <c r="P549" i="12"/>
  <c r="R548" i="12"/>
  <c r="P548" i="12"/>
  <c r="R547" i="12"/>
  <c r="P547" i="12"/>
  <c r="R546" i="12"/>
  <c r="P546" i="12"/>
  <c r="R545" i="12"/>
  <c r="P545" i="12"/>
  <c r="R544" i="12"/>
  <c r="P544" i="12"/>
  <c r="R543" i="12"/>
  <c r="P543" i="12"/>
  <c r="R542" i="12"/>
  <c r="P542" i="12"/>
  <c r="R541" i="12"/>
  <c r="P541" i="12"/>
  <c r="R540" i="12"/>
  <c r="P540" i="12"/>
  <c r="R539" i="12"/>
  <c r="P539" i="12"/>
  <c r="R538" i="12"/>
  <c r="P538" i="12"/>
  <c r="R537" i="12"/>
  <c r="P537" i="12"/>
  <c r="R536" i="12"/>
  <c r="P536" i="12"/>
  <c r="R535" i="12"/>
  <c r="P535" i="12"/>
  <c r="R534" i="12"/>
  <c r="P534" i="12"/>
  <c r="R533" i="12"/>
  <c r="P533" i="12"/>
  <c r="R532" i="12"/>
  <c r="P532" i="12"/>
  <c r="R531" i="12"/>
  <c r="P531" i="12"/>
  <c r="R530" i="12"/>
  <c r="P530" i="12"/>
  <c r="R529" i="12"/>
  <c r="P529" i="12"/>
  <c r="R528" i="12"/>
  <c r="P528" i="12"/>
  <c r="R527" i="12"/>
  <c r="P527" i="12"/>
  <c r="R526" i="12"/>
  <c r="P526" i="12"/>
  <c r="R525" i="12"/>
  <c r="P525" i="12"/>
  <c r="R524" i="12"/>
  <c r="P524" i="12"/>
  <c r="R523" i="12"/>
  <c r="P523" i="12"/>
  <c r="R522" i="12"/>
  <c r="P522" i="12"/>
  <c r="R521" i="12"/>
  <c r="P521" i="12"/>
  <c r="R520" i="12"/>
  <c r="P520" i="12"/>
  <c r="R519" i="12"/>
  <c r="P519" i="12"/>
  <c r="R518" i="12"/>
  <c r="P518" i="12"/>
  <c r="R517" i="12"/>
  <c r="P517" i="12"/>
  <c r="R516" i="12"/>
  <c r="P516" i="12"/>
  <c r="R515" i="12"/>
  <c r="P515" i="12"/>
  <c r="R514" i="12"/>
  <c r="P514" i="12"/>
  <c r="R513" i="12"/>
  <c r="P513" i="12"/>
  <c r="R512" i="12"/>
  <c r="P512" i="12"/>
  <c r="R511" i="12"/>
  <c r="P511" i="12"/>
  <c r="R510" i="12"/>
  <c r="P510" i="12"/>
  <c r="R509" i="12"/>
  <c r="P509" i="12"/>
  <c r="R508" i="12"/>
  <c r="P508" i="12"/>
  <c r="R507" i="12"/>
  <c r="P507" i="12"/>
  <c r="R506" i="12"/>
  <c r="P506" i="12"/>
  <c r="R505" i="12"/>
  <c r="P505" i="12"/>
  <c r="R504" i="12"/>
  <c r="P504" i="12"/>
  <c r="R503" i="12"/>
  <c r="P503" i="12"/>
  <c r="R502" i="12"/>
  <c r="P502" i="12"/>
  <c r="R501" i="12"/>
  <c r="P501" i="12"/>
  <c r="R500" i="12"/>
  <c r="P500" i="12"/>
  <c r="R499" i="12"/>
  <c r="P499" i="12"/>
  <c r="R498" i="12"/>
  <c r="P498" i="12"/>
  <c r="R497" i="12"/>
  <c r="P497" i="12"/>
  <c r="R496" i="12"/>
  <c r="P496" i="12"/>
  <c r="R495" i="12"/>
  <c r="P495" i="12"/>
  <c r="R494" i="12"/>
  <c r="P494" i="12"/>
  <c r="R493" i="12"/>
  <c r="P493" i="12"/>
  <c r="R492" i="12"/>
  <c r="P492" i="12"/>
  <c r="R491" i="12"/>
  <c r="P491" i="12"/>
  <c r="R490" i="12"/>
  <c r="P490" i="12"/>
  <c r="R489" i="12"/>
  <c r="P489" i="12"/>
  <c r="R488" i="12"/>
  <c r="P488" i="12"/>
  <c r="R487" i="12"/>
  <c r="P487" i="12"/>
  <c r="R486" i="12"/>
  <c r="P486" i="12"/>
  <c r="R485" i="12"/>
  <c r="P485" i="12"/>
  <c r="R484" i="12"/>
  <c r="P484" i="12"/>
  <c r="R483" i="12"/>
  <c r="P483" i="12"/>
  <c r="R482" i="12"/>
  <c r="P482" i="12"/>
  <c r="R481" i="12"/>
  <c r="P481" i="12"/>
  <c r="R480" i="12"/>
  <c r="P480" i="12"/>
  <c r="R479" i="12"/>
  <c r="P479" i="12"/>
  <c r="R478" i="12"/>
  <c r="P478" i="12"/>
  <c r="R477" i="12"/>
  <c r="P477" i="12"/>
  <c r="R476" i="12"/>
  <c r="P476" i="12"/>
  <c r="R475" i="12"/>
  <c r="P475" i="12"/>
  <c r="R474" i="12"/>
  <c r="P474" i="12"/>
  <c r="R473" i="12"/>
  <c r="P473" i="12"/>
  <c r="R472" i="12"/>
  <c r="P472" i="12"/>
  <c r="R471" i="12"/>
  <c r="P471" i="12"/>
  <c r="R470" i="12"/>
  <c r="P470" i="12"/>
  <c r="R469" i="12"/>
  <c r="P469" i="12"/>
  <c r="R468" i="12"/>
  <c r="P468" i="12"/>
  <c r="R467" i="12"/>
  <c r="P467" i="12"/>
  <c r="R466" i="12"/>
  <c r="P466" i="12"/>
  <c r="R465" i="12"/>
  <c r="P465" i="12"/>
  <c r="R464" i="12"/>
  <c r="P464" i="12"/>
  <c r="R463" i="12"/>
  <c r="P463" i="12"/>
  <c r="R462" i="12"/>
  <c r="P462" i="12"/>
  <c r="R461" i="12"/>
  <c r="P461" i="12"/>
  <c r="R460" i="12"/>
  <c r="P460" i="12"/>
  <c r="R459" i="12"/>
  <c r="P459" i="12"/>
  <c r="R458" i="12"/>
  <c r="P458" i="12"/>
  <c r="R457" i="12"/>
  <c r="P457" i="12"/>
  <c r="R456" i="12"/>
  <c r="P456" i="12"/>
  <c r="R455" i="12"/>
  <c r="P455" i="12"/>
  <c r="R454" i="12"/>
  <c r="P454" i="12"/>
  <c r="R453" i="12"/>
  <c r="P453" i="12"/>
  <c r="R452" i="12"/>
  <c r="P452" i="12"/>
  <c r="R451" i="12"/>
  <c r="P451" i="12"/>
  <c r="R450" i="12"/>
  <c r="P450" i="12"/>
  <c r="R449" i="12"/>
  <c r="P449" i="12"/>
  <c r="R448" i="12"/>
  <c r="P448" i="12"/>
  <c r="R447" i="12"/>
  <c r="P447" i="12"/>
  <c r="R446" i="12"/>
  <c r="P446" i="12"/>
  <c r="R445" i="12"/>
  <c r="P445" i="12"/>
  <c r="R444" i="12"/>
  <c r="P444" i="12"/>
  <c r="R443" i="12"/>
  <c r="P443" i="12"/>
  <c r="R442" i="12"/>
  <c r="P442" i="12"/>
  <c r="R441" i="12"/>
  <c r="P441" i="12"/>
  <c r="R440" i="12"/>
  <c r="P440" i="12"/>
  <c r="R439" i="12"/>
  <c r="P439" i="12"/>
  <c r="R438" i="12"/>
  <c r="P438" i="12"/>
  <c r="R437" i="12"/>
  <c r="P437" i="12"/>
  <c r="R436" i="12"/>
  <c r="P436" i="12"/>
  <c r="R435" i="12"/>
  <c r="P435" i="12"/>
  <c r="R434" i="12"/>
  <c r="P434" i="12"/>
  <c r="R433" i="12"/>
  <c r="P433" i="12"/>
  <c r="R432" i="12"/>
  <c r="P432" i="12"/>
  <c r="R431" i="12"/>
  <c r="P431" i="12"/>
  <c r="R430" i="12"/>
  <c r="P430" i="12"/>
  <c r="R429" i="12"/>
  <c r="P429" i="12"/>
  <c r="R428" i="12"/>
  <c r="P428" i="12"/>
  <c r="R427" i="12"/>
  <c r="P427" i="12"/>
  <c r="R426" i="12"/>
  <c r="P426" i="12"/>
  <c r="R425" i="12"/>
  <c r="P425" i="12"/>
  <c r="R424" i="12"/>
  <c r="P424" i="12"/>
  <c r="R423" i="12"/>
  <c r="P423" i="12"/>
  <c r="R422" i="12"/>
  <c r="P422" i="12"/>
  <c r="R421" i="12"/>
  <c r="P421" i="12"/>
  <c r="R420" i="12"/>
  <c r="P420" i="12"/>
  <c r="R419" i="12"/>
  <c r="P419" i="12"/>
  <c r="R418" i="12"/>
  <c r="P418" i="12"/>
  <c r="R417" i="12"/>
  <c r="P417" i="12"/>
  <c r="R416" i="12"/>
  <c r="P416" i="12"/>
  <c r="R415" i="12"/>
  <c r="P415" i="12"/>
  <c r="R414" i="12"/>
  <c r="P414" i="12"/>
  <c r="R413" i="12"/>
  <c r="P413" i="12"/>
  <c r="R412" i="12"/>
  <c r="P412" i="12"/>
  <c r="R411" i="12"/>
  <c r="P411" i="12"/>
  <c r="R410" i="12"/>
  <c r="P410" i="12"/>
  <c r="R409" i="12"/>
  <c r="P409" i="12"/>
  <c r="R408" i="12"/>
  <c r="P408" i="12"/>
  <c r="R407" i="12"/>
  <c r="P407" i="12"/>
  <c r="R406" i="12"/>
  <c r="P406" i="12"/>
  <c r="R405" i="12"/>
  <c r="P405" i="12"/>
  <c r="R404" i="12"/>
  <c r="P404" i="12"/>
  <c r="R403" i="12"/>
  <c r="P403" i="12"/>
  <c r="R402" i="12"/>
  <c r="P402" i="12"/>
  <c r="R401" i="12"/>
  <c r="P401" i="12"/>
  <c r="R400" i="12"/>
  <c r="P400" i="12"/>
  <c r="R399" i="12"/>
  <c r="P399" i="12"/>
  <c r="R398" i="12"/>
  <c r="P398" i="12"/>
  <c r="R397" i="12"/>
  <c r="P397" i="12"/>
  <c r="R396" i="12"/>
  <c r="P396" i="12"/>
  <c r="R395" i="12"/>
  <c r="P395" i="12"/>
  <c r="R394" i="12"/>
  <c r="P394" i="12"/>
  <c r="R393" i="12"/>
  <c r="P393" i="12"/>
  <c r="R392" i="12"/>
  <c r="P392" i="12"/>
  <c r="R391" i="12"/>
  <c r="P391" i="12"/>
  <c r="R390" i="12"/>
  <c r="P390" i="12"/>
  <c r="R389" i="12"/>
  <c r="P389" i="12"/>
  <c r="R388" i="12"/>
  <c r="P388" i="12"/>
  <c r="R387" i="12"/>
  <c r="P387" i="12"/>
  <c r="R386" i="12"/>
  <c r="P386" i="12"/>
  <c r="R385" i="12"/>
  <c r="P385" i="12"/>
  <c r="R384" i="12"/>
  <c r="P384" i="12"/>
  <c r="R383" i="12"/>
  <c r="P383" i="12"/>
  <c r="R382" i="12"/>
  <c r="P382" i="12"/>
  <c r="R381" i="12"/>
  <c r="P381" i="12"/>
  <c r="R380" i="12"/>
  <c r="P380" i="12"/>
  <c r="R379" i="12"/>
  <c r="P379" i="12"/>
  <c r="R378" i="12"/>
  <c r="P378" i="12"/>
  <c r="G378" i="12"/>
  <c r="R377" i="12"/>
  <c r="P377" i="12"/>
  <c r="G377" i="12"/>
  <c r="R376" i="12"/>
  <c r="P376" i="12"/>
  <c r="G376" i="12"/>
  <c r="R375" i="12"/>
  <c r="P375" i="12"/>
  <c r="G375" i="12"/>
  <c r="R374" i="12"/>
  <c r="P374" i="12"/>
  <c r="G374" i="12"/>
  <c r="R373" i="12"/>
  <c r="P373" i="12"/>
  <c r="G373" i="12"/>
  <c r="R372" i="12"/>
  <c r="P372" i="12"/>
  <c r="G372" i="12"/>
  <c r="R371" i="12"/>
  <c r="P371" i="12"/>
  <c r="G371" i="12"/>
  <c r="R370" i="12"/>
  <c r="P370" i="12"/>
  <c r="G370" i="12"/>
  <c r="R369" i="12"/>
  <c r="P369" i="12"/>
  <c r="G369" i="12"/>
  <c r="R368" i="12"/>
  <c r="P368" i="12"/>
  <c r="G368" i="12"/>
  <c r="R367" i="12"/>
  <c r="P367" i="12"/>
  <c r="G367" i="12"/>
  <c r="R366" i="12"/>
  <c r="P366" i="12"/>
  <c r="G366" i="12"/>
  <c r="R365" i="12"/>
  <c r="P365" i="12"/>
  <c r="G365" i="12"/>
  <c r="R364" i="12"/>
  <c r="P364" i="12"/>
  <c r="G364" i="12"/>
  <c r="R363" i="12"/>
  <c r="P363" i="12"/>
  <c r="G363" i="12"/>
  <c r="R362" i="12"/>
  <c r="P362" i="12"/>
  <c r="G362" i="12"/>
  <c r="R361" i="12"/>
  <c r="P361" i="12"/>
  <c r="G361" i="12"/>
  <c r="R360" i="12"/>
  <c r="P360" i="12"/>
  <c r="G360" i="12"/>
  <c r="R359" i="12"/>
  <c r="P359" i="12"/>
  <c r="G359" i="12"/>
  <c r="R358" i="12"/>
  <c r="P358" i="12"/>
  <c r="G358" i="12"/>
  <c r="R357" i="12"/>
  <c r="P357" i="12"/>
  <c r="G357" i="12"/>
  <c r="R356" i="12"/>
  <c r="P356" i="12"/>
  <c r="G356" i="12"/>
  <c r="R355" i="12"/>
  <c r="P355" i="12"/>
  <c r="G355" i="12"/>
  <c r="R354" i="12"/>
  <c r="P354" i="12"/>
  <c r="G354" i="12"/>
  <c r="R353" i="12"/>
  <c r="P353" i="12"/>
  <c r="G353" i="12"/>
  <c r="R352" i="12"/>
  <c r="P352" i="12"/>
  <c r="G352" i="12"/>
  <c r="R351" i="12"/>
  <c r="P351" i="12"/>
  <c r="G351" i="12"/>
  <c r="R350" i="12"/>
  <c r="P350" i="12"/>
  <c r="G350" i="12"/>
  <c r="R349" i="12"/>
  <c r="P349" i="12"/>
  <c r="G349" i="12"/>
  <c r="R348" i="12"/>
  <c r="P348" i="12"/>
  <c r="G348" i="12"/>
  <c r="R347" i="12"/>
  <c r="P347" i="12"/>
  <c r="R346" i="12"/>
  <c r="P346" i="12"/>
  <c r="G346" i="12"/>
  <c r="R345" i="12"/>
  <c r="P345" i="12"/>
  <c r="G345" i="12"/>
  <c r="R344" i="12"/>
  <c r="P344" i="12"/>
  <c r="G344" i="12"/>
  <c r="R343" i="12"/>
  <c r="P343" i="12"/>
  <c r="G343" i="12"/>
  <c r="R342" i="12"/>
  <c r="P342" i="12"/>
  <c r="G342" i="12"/>
  <c r="R341" i="12"/>
  <c r="P341" i="12"/>
  <c r="G341" i="12"/>
  <c r="R340" i="12"/>
  <c r="P340" i="12"/>
  <c r="G340" i="12"/>
  <c r="R339" i="12"/>
  <c r="P339" i="12"/>
  <c r="G339" i="12"/>
  <c r="R338" i="12"/>
  <c r="P338" i="12"/>
  <c r="G338" i="12"/>
  <c r="R337" i="12"/>
  <c r="P337" i="12"/>
  <c r="G337" i="12"/>
  <c r="R336" i="12"/>
  <c r="P336" i="12"/>
  <c r="G336" i="12"/>
  <c r="R335" i="12"/>
  <c r="P335" i="12"/>
  <c r="G335" i="12"/>
  <c r="R334" i="12"/>
  <c r="P334" i="12"/>
  <c r="G334" i="12"/>
  <c r="R333" i="12"/>
  <c r="P333" i="12"/>
  <c r="G333" i="12"/>
  <c r="R332" i="12"/>
  <c r="P332" i="12"/>
  <c r="G332" i="12"/>
  <c r="R331" i="12"/>
  <c r="P331" i="12"/>
  <c r="G331" i="12"/>
  <c r="R330" i="12"/>
  <c r="P330" i="12"/>
  <c r="G330" i="12"/>
  <c r="R329" i="12"/>
  <c r="P329" i="12"/>
  <c r="G329" i="12"/>
  <c r="R328" i="12"/>
  <c r="P328" i="12"/>
  <c r="G328" i="12"/>
  <c r="R327" i="12"/>
  <c r="P327" i="12"/>
  <c r="G327" i="12"/>
  <c r="R326" i="12"/>
  <c r="P326" i="12"/>
  <c r="G326" i="12"/>
  <c r="R325" i="12"/>
  <c r="P325" i="12"/>
  <c r="G325" i="12"/>
  <c r="R324" i="12"/>
  <c r="P324" i="12"/>
  <c r="G324" i="12"/>
  <c r="R323" i="12"/>
  <c r="P323" i="12"/>
  <c r="G323" i="12"/>
  <c r="R322" i="12"/>
  <c r="P322" i="12"/>
  <c r="G322" i="12"/>
  <c r="R321" i="12"/>
  <c r="P321" i="12"/>
  <c r="G321" i="12"/>
  <c r="R320" i="12"/>
  <c r="P320" i="12"/>
  <c r="G320" i="12"/>
  <c r="R319" i="12"/>
  <c r="P319" i="12"/>
  <c r="G319" i="12"/>
  <c r="R318" i="12"/>
  <c r="P318" i="12"/>
  <c r="G318" i="12"/>
  <c r="R317" i="12"/>
  <c r="P317" i="12"/>
  <c r="G317" i="12"/>
  <c r="R316" i="12"/>
  <c r="P316" i="12"/>
  <c r="G316" i="12"/>
  <c r="R315" i="12"/>
  <c r="P315" i="12"/>
  <c r="R314" i="12"/>
  <c r="P314" i="12"/>
  <c r="G314" i="12"/>
  <c r="R313" i="12"/>
  <c r="P313" i="12"/>
  <c r="G313" i="12"/>
  <c r="R312" i="12"/>
  <c r="P312" i="12"/>
  <c r="G312" i="12"/>
  <c r="R311" i="12"/>
  <c r="P311" i="12"/>
  <c r="G311" i="12"/>
  <c r="R310" i="12"/>
  <c r="P310" i="12"/>
  <c r="G310" i="12"/>
  <c r="R309" i="12"/>
  <c r="P309" i="12"/>
  <c r="G309" i="12"/>
  <c r="R308" i="12"/>
  <c r="P308" i="12"/>
  <c r="G308" i="12"/>
  <c r="R307" i="12"/>
  <c r="P307" i="12"/>
  <c r="G307" i="12"/>
  <c r="R306" i="12"/>
  <c r="P306" i="12"/>
  <c r="G306" i="12"/>
  <c r="R305" i="12"/>
  <c r="P305" i="12"/>
  <c r="G305" i="12"/>
  <c r="R304" i="12"/>
  <c r="P304" i="12"/>
  <c r="G304" i="12"/>
  <c r="R303" i="12"/>
  <c r="P303" i="12"/>
  <c r="G303" i="12"/>
  <c r="R302" i="12"/>
  <c r="P302" i="12"/>
  <c r="G302" i="12"/>
  <c r="R301" i="12"/>
  <c r="P301" i="12"/>
  <c r="G301" i="12"/>
  <c r="R300" i="12"/>
  <c r="P300" i="12"/>
  <c r="G300" i="12"/>
  <c r="R299" i="12"/>
  <c r="P299" i="12"/>
  <c r="G299" i="12"/>
  <c r="R298" i="12"/>
  <c r="P298" i="12"/>
  <c r="G298" i="12"/>
  <c r="R297" i="12"/>
  <c r="P297" i="12"/>
  <c r="G297" i="12"/>
  <c r="R296" i="12"/>
  <c r="P296" i="12"/>
  <c r="G296" i="12"/>
  <c r="R295" i="12"/>
  <c r="P295" i="12"/>
  <c r="G295" i="12"/>
  <c r="R294" i="12"/>
  <c r="P294" i="12"/>
  <c r="G294" i="12"/>
  <c r="R293" i="12"/>
  <c r="P293" i="12"/>
  <c r="G293" i="12"/>
  <c r="R292" i="12"/>
  <c r="P292" i="12"/>
  <c r="G292" i="12"/>
  <c r="R291" i="12"/>
  <c r="P291" i="12"/>
  <c r="G291" i="12"/>
  <c r="R290" i="12"/>
  <c r="P290" i="12"/>
  <c r="G290" i="12"/>
  <c r="R289" i="12"/>
  <c r="P289" i="12"/>
  <c r="G289" i="12"/>
  <c r="R288" i="12"/>
  <c r="P288" i="12"/>
  <c r="G288" i="12"/>
  <c r="R287" i="12"/>
  <c r="P287" i="12"/>
  <c r="G287" i="12"/>
  <c r="R286" i="12"/>
  <c r="P286" i="12"/>
  <c r="G286" i="12"/>
  <c r="R285" i="12"/>
  <c r="P285" i="12"/>
  <c r="G285" i="12"/>
  <c r="R284" i="12"/>
  <c r="P284" i="12"/>
  <c r="G284" i="12"/>
  <c r="R283" i="12"/>
  <c r="P283" i="12"/>
  <c r="R282" i="12"/>
  <c r="P282" i="12"/>
  <c r="G282" i="12"/>
  <c r="R281" i="12"/>
  <c r="P281" i="12"/>
  <c r="G281" i="12"/>
  <c r="R280" i="12"/>
  <c r="P280" i="12"/>
  <c r="G280" i="12"/>
  <c r="R279" i="12"/>
  <c r="P279" i="12"/>
  <c r="G279" i="12"/>
  <c r="R278" i="12"/>
  <c r="P278" i="12"/>
  <c r="G278" i="12"/>
  <c r="R277" i="12"/>
  <c r="P277" i="12"/>
  <c r="G277" i="12"/>
  <c r="R276" i="12"/>
  <c r="P276" i="12"/>
  <c r="G276" i="12"/>
  <c r="R275" i="12"/>
  <c r="P275" i="12"/>
  <c r="G275" i="12"/>
  <c r="R274" i="12"/>
  <c r="P274" i="12"/>
  <c r="G274" i="12"/>
  <c r="R273" i="12"/>
  <c r="P273" i="12"/>
  <c r="G273" i="12"/>
  <c r="R272" i="12"/>
  <c r="P272" i="12"/>
  <c r="G272" i="12"/>
  <c r="R271" i="12"/>
  <c r="P271" i="12"/>
  <c r="G271" i="12"/>
  <c r="R270" i="12"/>
  <c r="P270" i="12"/>
  <c r="G270" i="12"/>
  <c r="R269" i="12"/>
  <c r="P269" i="12"/>
  <c r="G269" i="12"/>
  <c r="R268" i="12"/>
  <c r="P268" i="12"/>
  <c r="G268" i="12"/>
  <c r="R267" i="12"/>
  <c r="P267" i="12"/>
  <c r="G267" i="12"/>
  <c r="R266" i="12"/>
  <c r="P266" i="12"/>
  <c r="G266" i="12"/>
  <c r="R265" i="12"/>
  <c r="P265" i="12"/>
  <c r="G265" i="12"/>
  <c r="R264" i="12"/>
  <c r="P264" i="12"/>
  <c r="G264" i="12"/>
  <c r="R263" i="12"/>
  <c r="P263" i="12"/>
  <c r="G263" i="12"/>
  <c r="R262" i="12"/>
  <c r="P262" i="12"/>
  <c r="G262" i="12"/>
  <c r="R261" i="12"/>
  <c r="P261" i="12"/>
  <c r="G261" i="12"/>
  <c r="R260" i="12"/>
  <c r="P260" i="12"/>
  <c r="G260" i="12"/>
  <c r="R259" i="12"/>
  <c r="P259" i="12"/>
  <c r="G259" i="12"/>
  <c r="R258" i="12"/>
  <c r="P258" i="12"/>
  <c r="G258" i="12"/>
  <c r="R257" i="12"/>
  <c r="P257" i="12"/>
  <c r="G257" i="12"/>
  <c r="R256" i="12"/>
  <c r="P256" i="12"/>
  <c r="G256" i="12"/>
  <c r="R255" i="12"/>
  <c r="P255" i="12"/>
  <c r="G255" i="12"/>
  <c r="R254" i="12"/>
  <c r="P254" i="12"/>
  <c r="G254" i="12"/>
  <c r="R253" i="12"/>
  <c r="P253" i="12"/>
  <c r="G253" i="12"/>
  <c r="R252" i="12"/>
  <c r="P252" i="12"/>
  <c r="G252" i="12"/>
  <c r="R251" i="12"/>
  <c r="P251" i="12"/>
  <c r="R250" i="12"/>
  <c r="P250" i="12"/>
  <c r="R249" i="12"/>
  <c r="P249" i="12"/>
  <c r="R248" i="12"/>
  <c r="P248" i="12"/>
  <c r="R247" i="12"/>
  <c r="P247" i="12"/>
  <c r="R246" i="12"/>
  <c r="P246" i="12"/>
  <c r="R245" i="12"/>
  <c r="P245" i="12"/>
  <c r="R244" i="12"/>
  <c r="P244" i="12"/>
  <c r="R243" i="12"/>
  <c r="P243" i="12"/>
  <c r="R242" i="12"/>
  <c r="P242" i="12"/>
  <c r="R241" i="12"/>
  <c r="P241" i="12"/>
  <c r="R240" i="12"/>
  <c r="P240" i="12"/>
  <c r="R239" i="12"/>
  <c r="P239" i="12"/>
  <c r="R238" i="12"/>
  <c r="P238" i="12"/>
  <c r="R237" i="12"/>
  <c r="P237" i="12"/>
  <c r="R236" i="12"/>
  <c r="P236" i="12"/>
  <c r="R235" i="12"/>
  <c r="P235" i="12"/>
  <c r="R234" i="12"/>
  <c r="P234" i="12"/>
  <c r="R233" i="12"/>
  <c r="P233" i="12"/>
  <c r="R232" i="12"/>
  <c r="P232" i="12"/>
  <c r="R231" i="12"/>
  <c r="P231" i="12"/>
  <c r="R230" i="12"/>
  <c r="P230" i="12"/>
  <c r="R229" i="12"/>
  <c r="P229" i="12"/>
  <c r="R228" i="12"/>
  <c r="P228" i="12"/>
  <c r="R227" i="12"/>
  <c r="P227" i="12"/>
  <c r="R226" i="12"/>
  <c r="P226" i="12"/>
  <c r="R225" i="12"/>
  <c r="P225" i="12"/>
  <c r="R224" i="12"/>
  <c r="P224" i="12"/>
  <c r="R223" i="12"/>
  <c r="P223" i="12"/>
  <c r="R222" i="12"/>
  <c r="P222" i="12"/>
  <c r="R221" i="12"/>
  <c r="P221" i="12"/>
  <c r="R220" i="12"/>
  <c r="P220" i="12"/>
  <c r="R219" i="12"/>
  <c r="P219" i="12"/>
  <c r="R218" i="12"/>
  <c r="P218" i="12"/>
  <c r="R217" i="12"/>
  <c r="P217" i="12"/>
  <c r="R216" i="12"/>
  <c r="P216" i="12"/>
  <c r="R215" i="12"/>
  <c r="P215" i="12"/>
  <c r="R214" i="12"/>
  <c r="P214" i="12"/>
  <c r="R213" i="12"/>
  <c r="P213" i="12"/>
  <c r="R212" i="12"/>
  <c r="P212" i="12"/>
  <c r="R211" i="12"/>
  <c r="P211" i="12"/>
  <c r="R210" i="12"/>
  <c r="P210" i="12"/>
  <c r="R209" i="12"/>
  <c r="P209" i="12"/>
  <c r="R208" i="12"/>
  <c r="P208" i="12"/>
  <c r="R207" i="12"/>
  <c r="P207" i="12"/>
  <c r="R206" i="12"/>
  <c r="P206" i="12"/>
  <c r="R205" i="12"/>
  <c r="P205" i="12"/>
  <c r="R204" i="12"/>
  <c r="P204" i="12"/>
  <c r="R203" i="12"/>
  <c r="P203" i="12"/>
  <c r="R202" i="12"/>
  <c r="P202" i="12"/>
  <c r="R201" i="12"/>
  <c r="P201" i="12"/>
  <c r="R200" i="12"/>
  <c r="P200" i="12"/>
  <c r="R199" i="12"/>
  <c r="P199" i="12"/>
  <c r="R198" i="12"/>
  <c r="P198" i="12"/>
  <c r="R197" i="12"/>
  <c r="P197" i="12"/>
  <c r="R196" i="12"/>
  <c r="P196" i="12"/>
  <c r="R195" i="12"/>
  <c r="P195" i="12"/>
  <c r="R194" i="12"/>
  <c r="P194" i="12"/>
  <c r="R193" i="12"/>
  <c r="P193" i="12"/>
  <c r="R192" i="12"/>
  <c r="P192" i="12"/>
  <c r="R191" i="12"/>
  <c r="P191" i="12"/>
  <c r="R190" i="12"/>
  <c r="P190" i="12"/>
  <c r="R189" i="12"/>
  <c r="P189" i="12"/>
  <c r="R188" i="12"/>
  <c r="P188" i="12"/>
  <c r="R187" i="12"/>
  <c r="P187" i="12"/>
  <c r="R186" i="12"/>
  <c r="P186" i="12"/>
  <c r="R185" i="12"/>
  <c r="P185" i="12"/>
  <c r="R184" i="12"/>
  <c r="P184" i="12"/>
  <c r="R183" i="12"/>
  <c r="P183" i="12"/>
  <c r="R182" i="12"/>
  <c r="P182" i="12"/>
  <c r="R181" i="12"/>
  <c r="P181" i="12"/>
  <c r="R180" i="12"/>
  <c r="P180" i="12"/>
  <c r="R179" i="12"/>
  <c r="P179" i="12"/>
  <c r="R178" i="12"/>
  <c r="P178" i="12"/>
  <c r="R177" i="12"/>
  <c r="P177" i="12"/>
  <c r="R176" i="12"/>
  <c r="P176" i="12"/>
  <c r="R175" i="12"/>
  <c r="P175" i="12"/>
  <c r="R174" i="12"/>
  <c r="P174" i="12"/>
  <c r="R173" i="12"/>
  <c r="P173" i="12"/>
  <c r="R172" i="12"/>
  <c r="P172" i="12"/>
  <c r="R171" i="12"/>
  <c r="P171" i="12"/>
  <c r="R170" i="12"/>
  <c r="P170" i="12"/>
  <c r="R169" i="12"/>
  <c r="P169" i="12"/>
  <c r="R168" i="12"/>
  <c r="P168" i="12"/>
  <c r="R167" i="12"/>
  <c r="P167" i="12"/>
  <c r="R166" i="12"/>
  <c r="P166" i="12"/>
  <c r="R165" i="12"/>
  <c r="P165" i="12"/>
  <c r="R164" i="12"/>
  <c r="P164" i="12"/>
  <c r="R163" i="12"/>
  <c r="P163" i="12"/>
  <c r="R162" i="12"/>
  <c r="P162" i="12"/>
  <c r="R161" i="12"/>
  <c r="P161" i="12"/>
  <c r="R160" i="12"/>
  <c r="P160" i="12"/>
  <c r="R159" i="12"/>
  <c r="P159" i="12"/>
  <c r="R158" i="12"/>
  <c r="P158" i="12"/>
  <c r="R157" i="12"/>
  <c r="P157" i="12"/>
  <c r="R156" i="12"/>
  <c r="P156" i="12"/>
  <c r="R155" i="12"/>
  <c r="P155" i="12"/>
  <c r="R154" i="12"/>
  <c r="P154" i="12"/>
  <c r="R153" i="12"/>
  <c r="P153" i="12"/>
  <c r="R152" i="12"/>
  <c r="P152" i="12"/>
  <c r="R151" i="12"/>
  <c r="P151" i="12"/>
  <c r="R150" i="12"/>
  <c r="P150" i="12"/>
  <c r="R149" i="12"/>
  <c r="P149" i="12"/>
  <c r="R148" i="12"/>
  <c r="P148" i="12"/>
  <c r="R147" i="12"/>
  <c r="P147" i="12"/>
  <c r="R146" i="12"/>
  <c r="P146" i="12"/>
  <c r="R145" i="12"/>
  <c r="P145" i="12"/>
  <c r="R144" i="12"/>
  <c r="P144" i="12"/>
  <c r="R143" i="12"/>
  <c r="P143" i="12"/>
  <c r="R142" i="12"/>
  <c r="P142" i="12"/>
  <c r="R141" i="12"/>
  <c r="P141" i="12"/>
  <c r="R140" i="12"/>
  <c r="P140" i="12"/>
  <c r="R139" i="12"/>
  <c r="P139" i="12"/>
  <c r="R138" i="12"/>
  <c r="P138" i="12"/>
  <c r="R137" i="12"/>
  <c r="P137" i="12"/>
  <c r="R136" i="12"/>
  <c r="P136" i="12"/>
  <c r="R135" i="12"/>
  <c r="P135" i="12"/>
  <c r="R134" i="12"/>
  <c r="P134" i="12"/>
  <c r="R133" i="12"/>
  <c r="P133" i="12"/>
  <c r="R132" i="12"/>
  <c r="P132" i="12"/>
  <c r="R131" i="12"/>
  <c r="P131" i="12"/>
  <c r="R130" i="12"/>
  <c r="P130" i="12"/>
  <c r="R129" i="12"/>
  <c r="P129" i="12"/>
  <c r="R128" i="12"/>
  <c r="P128" i="12"/>
  <c r="R127" i="12"/>
  <c r="P127" i="12"/>
  <c r="R126" i="12"/>
  <c r="P126" i="12"/>
  <c r="R125" i="12"/>
  <c r="P125" i="12"/>
  <c r="R124" i="12"/>
  <c r="P124" i="12"/>
  <c r="R123" i="12"/>
  <c r="P123" i="12"/>
  <c r="R122" i="12"/>
  <c r="P122" i="12"/>
  <c r="R121" i="12"/>
  <c r="P121" i="12"/>
  <c r="R120" i="12"/>
  <c r="P120" i="12"/>
  <c r="R119" i="12"/>
  <c r="P119" i="12"/>
  <c r="R118" i="12"/>
  <c r="P118" i="12"/>
  <c r="R117" i="12"/>
  <c r="P117" i="12"/>
  <c r="R116" i="12"/>
  <c r="P116" i="12"/>
  <c r="R115" i="12"/>
  <c r="P115" i="12"/>
  <c r="R114" i="12"/>
  <c r="P114" i="12"/>
  <c r="R113" i="12"/>
  <c r="P113" i="12"/>
  <c r="R112" i="12"/>
  <c r="P112" i="12"/>
  <c r="R111" i="12"/>
  <c r="P111" i="12"/>
  <c r="R110" i="12"/>
  <c r="P110" i="12"/>
  <c r="R109" i="12"/>
  <c r="P109" i="12"/>
  <c r="R108" i="12"/>
  <c r="P108" i="12"/>
  <c r="R107" i="12"/>
  <c r="P107" i="12"/>
  <c r="R106" i="12"/>
  <c r="P106" i="12"/>
  <c r="R105" i="12"/>
  <c r="P105" i="12"/>
  <c r="R104" i="12"/>
  <c r="P104" i="12"/>
  <c r="R103" i="12"/>
  <c r="P103" i="12"/>
  <c r="R102" i="12"/>
  <c r="P102" i="12"/>
  <c r="R101" i="12"/>
  <c r="P101" i="12"/>
  <c r="R100" i="12"/>
  <c r="P100" i="12"/>
  <c r="R99" i="12"/>
  <c r="P99" i="12"/>
  <c r="R98" i="12"/>
  <c r="P98" i="12"/>
  <c r="R97" i="12"/>
  <c r="P97" i="12"/>
  <c r="R96" i="12"/>
  <c r="P96" i="12"/>
  <c r="R95" i="12"/>
  <c r="P95" i="12"/>
  <c r="R94" i="12"/>
  <c r="P94" i="12"/>
  <c r="R93" i="12"/>
  <c r="P93" i="12"/>
  <c r="R92" i="12"/>
  <c r="P92" i="12"/>
  <c r="R91" i="12"/>
  <c r="P91" i="12"/>
  <c r="R90" i="12"/>
  <c r="P90" i="12"/>
  <c r="R89" i="12"/>
  <c r="P89" i="12"/>
  <c r="R88" i="12"/>
  <c r="P88" i="12"/>
  <c r="R87" i="12"/>
  <c r="P87" i="12"/>
  <c r="R86" i="12"/>
  <c r="P86" i="12"/>
  <c r="R85" i="12"/>
  <c r="P85" i="12"/>
  <c r="R84" i="12"/>
  <c r="P84" i="12"/>
  <c r="R83" i="12"/>
  <c r="P83" i="12"/>
  <c r="R82" i="12"/>
  <c r="P82" i="12"/>
  <c r="R81" i="12"/>
  <c r="P81" i="12"/>
  <c r="R80" i="12"/>
  <c r="P80" i="12"/>
  <c r="R79" i="12"/>
  <c r="P79" i="12"/>
  <c r="R78" i="12"/>
  <c r="P78" i="12"/>
  <c r="R77" i="12"/>
  <c r="P77" i="12"/>
  <c r="R76" i="12"/>
  <c r="P76" i="12"/>
  <c r="R75" i="12"/>
  <c r="P75" i="12"/>
  <c r="R74" i="12"/>
  <c r="P74" i="12"/>
  <c r="R73" i="12"/>
  <c r="P73" i="12"/>
  <c r="R72" i="12"/>
  <c r="P72" i="12"/>
  <c r="R71" i="12"/>
  <c r="P71" i="12"/>
  <c r="R70" i="12"/>
  <c r="P70" i="12"/>
  <c r="R69" i="12"/>
  <c r="P69" i="12"/>
  <c r="R68" i="12"/>
  <c r="P68" i="12"/>
  <c r="R67" i="12"/>
  <c r="P67" i="12"/>
  <c r="R66" i="12"/>
  <c r="P66" i="12"/>
  <c r="R65" i="12"/>
  <c r="P65" i="12"/>
  <c r="R64" i="12"/>
  <c r="P64" i="12"/>
  <c r="R63" i="12"/>
  <c r="P63" i="12"/>
  <c r="R62" i="12"/>
  <c r="P62" i="12"/>
  <c r="R61" i="12"/>
  <c r="P61" i="12"/>
  <c r="R60" i="12"/>
  <c r="P60" i="12"/>
  <c r="R59" i="12"/>
  <c r="P59" i="12"/>
  <c r="R58" i="12"/>
  <c r="P58" i="12"/>
  <c r="R57" i="12"/>
  <c r="P57" i="12"/>
  <c r="R56" i="12"/>
  <c r="P56" i="12"/>
  <c r="R55" i="12"/>
  <c r="P55" i="12"/>
  <c r="R54" i="12"/>
  <c r="P54" i="12"/>
  <c r="R53" i="12"/>
  <c r="P53" i="12"/>
  <c r="R52" i="12"/>
  <c r="P52" i="12"/>
  <c r="R51" i="12"/>
  <c r="P51" i="12"/>
  <c r="R50" i="12"/>
  <c r="P50" i="12"/>
  <c r="R49" i="12"/>
  <c r="P49" i="12"/>
  <c r="R48" i="12"/>
  <c r="P48" i="12"/>
  <c r="R47" i="12"/>
  <c r="P47" i="12"/>
  <c r="R46" i="12"/>
  <c r="P46" i="12"/>
  <c r="R45" i="12"/>
  <c r="P45" i="12"/>
  <c r="R44" i="12"/>
  <c r="P44" i="12"/>
  <c r="R43" i="12"/>
  <c r="P43" i="12"/>
  <c r="R42" i="12"/>
  <c r="P42" i="12"/>
  <c r="R41" i="12"/>
  <c r="P41" i="12"/>
  <c r="R40" i="12"/>
  <c r="P40" i="12"/>
  <c r="R39" i="12"/>
  <c r="P39" i="12"/>
  <c r="R38" i="12"/>
  <c r="P38" i="12"/>
  <c r="R37" i="12"/>
  <c r="P37" i="12"/>
  <c r="R36" i="12"/>
  <c r="P36" i="12"/>
  <c r="R35" i="12"/>
  <c r="P35" i="12"/>
  <c r="R34" i="12"/>
  <c r="P34" i="12"/>
  <c r="R33" i="12"/>
  <c r="P33" i="12"/>
  <c r="R32" i="12"/>
  <c r="P32" i="12"/>
  <c r="R31" i="12"/>
  <c r="P31" i="12"/>
  <c r="R30" i="12"/>
  <c r="P30" i="12"/>
  <c r="R29" i="12"/>
  <c r="P29" i="12"/>
  <c r="R28" i="12"/>
  <c r="P28" i="12"/>
  <c r="R27" i="12"/>
  <c r="P27" i="12"/>
  <c r="R26" i="12"/>
  <c r="P26" i="12"/>
  <c r="R25" i="12"/>
  <c r="P25" i="12"/>
  <c r="R24" i="12"/>
  <c r="P24" i="12"/>
  <c r="R23" i="12"/>
  <c r="P23" i="12"/>
  <c r="R22" i="12"/>
  <c r="P22" i="12"/>
  <c r="R21" i="12"/>
  <c r="P21" i="12"/>
  <c r="R20" i="12"/>
  <c r="P20" i="12"/>
  <c r="R19" i="12"/>
  <c r="P19" i="12"/>
  <c r="R18" i="12"/>
  <c r="P18" i="12"/>
  <c r="R17" i="12"/>
  <c r="P17" i="12"/>
  <c r="R16" i="12"/>
  <c r="P16" i="12"/>
  <c r="R15" i="12"/>
  <c r="P15" i="12"/>
  <c r="R14" i="12"/>
  <c r="P14" i="12"/>
  <c r="R13" i="12"/>
  <c r="P13" i="12"/>
  <c r="R12" i="12"/>
  <c r="P12" i="12"/>
  <c r="R11" i="12"/>
  <c r="P11" i="12"/>
  <c r="B6" i="12"/>
  <c r="B5" i="12"/>
  <c r="W4" i="12"/>
  <c r="V4" i="12"/>
  <c r="U4" i="12"/>
  <c r="T4" i="12"/>
  <c r="R4" i="12"/>
  <c r="Q4" i="12"/>
  <c r="P4" i="12"/>
  <c r="O4" i="12"/>
  <c r="M4" i="12"/>
  <c r="L4" i="12"/>
  <c r="J4" i="12"/>
  <c r="I4" i="12"/>
  <c r="G4" i="12"/>
  <c r="F4" i="12"/>
  <c r="E4" i="12"/>
  <c r="D4" i="12"/>
  <c r="C4" i="12"/>
  <c r="R2041" i="11" l="1"/>
  <c r="P2041" i="11"/>
  <c r="R2040" i="11"/>
  <c r="P2040" i="11"/>
  <c r="R2039" i="11"/>
  <c r="P2039" i="11"/>
  <c r="R2038" i="11"/>
  <c r="P2038" i="11"/>
  <c r="R2037" i="11"/>
  <c r="P2037" i="11"/>
  <c r="R2036" i="11"/>
  <c r="P2036" i="11"/>
  <c r="R2035" i="11"/>
  <c r="P2035" i="11"/>
  <c r="R2034" i="11"/>
  <c r="P2034" i="11"/>
  <c r="R2033" i="11"/>
  <c r="P2033" i="11"/>
  <c r="R2032" i="11"/>
  <c r="P2032" i="11"/>
  <c r="R2031" i="11"/>
  <c r="P2031" i="11"/>
  <c r="R2030" i="11"/>
  <c r="P2030" i="11"/>
  <c r="R2029" i="11"/>
  <c r="P2029" i="11"/>
  <c r="R2028" i="11"/>
  <c r="P2028" i="11"/>
  <c r="R2027" i="11"/>
  <c r="P2027" i="11"/>
  <c r="R2026" i="11"/>
  <c r="P2026" i="11"/>
  <c r="R2025" i="11"/>
  <c r="P2025" i="11"/>
  <c r="R2024" i="11"/>
  <c r="P2024" i="11"/>
  <c r="R2023" i="11"/>
  <c r="P2023" i="11"/>
  <c r="R2022" i="11"/>
  <c r="P2022" i="11"/>
  <c r="R2021" i="11"/>
  <c r="P2021" i="11"/>
  <c r="R2020" i="11"/>
  <c r="P2020" i="11"/>
  <c r="R2019" i="11"/>
  <c r="P2019" i="11"/>
  <c r="R2018" i="11"/>
  <c r="P2018" i="11"/>
  <c r="R2017" i="11"/>
  <c r="P2017" i="11"/>
  <c r="R2016" i="11"/>
  <c r="P2016" i="11"/>
  <c r="R2015" i="11"/>
  <c r="P2015" i="11"/>
  <c r="R2014" i="11"/>
  <c r="P2014" i="11"/>
  <c r="R2013" i="11"/>
  <c r="P2013" i="11"/>
  <c r="R2012" i="11"/>
  <c r="P2012" i="11"/>
  <c r="R2011" i="11"/>
  <c r="P2011" i="11"/>
  <c r="R2010" i="11"/>
  <c r="P2010" i="11"/>
  <c r="R2009" i="11"/>
  <c r="P2009" i="11"/>
  <c r="R2008" i="11"/>
  <c r="P2008" i="11"/>
  <c r="R2007" i="11"/>
  <c r="P2007" i="11"/>
  <c r="R2006" i="11"/>
  <c r="P2006" i="11"/>
  <c r="R2005" i="11"/>
  <c r="P2005" i="11"/>
  <c r="R2004" i="11"/>
  <c r="P2004" i="11"/>
  <c r="R2003" i="11"/>
  <c r="P2003" i="11"/>
  <c r="R2002" i="11"/>
  <c r="P2002" i="11"/>
  <c r="R2001" i="11"/>
  <c r="P2001" i="11"/>
  <c r="R2000" i="11"/>
  <c r="P2000" i="11"/>
  <c r="R1999" i="11"/>
  <c r="P1999" i="11"/>
  <c r="R1998" i="11"/>
  <c r="P1998" i="11"/>
  <c r="R1997" i="11"/>
  <c r="P1997" i="11"/>
  <c r="R1996" i="11"/>
  <c r="P1996" i="11"/>
  <c r="R1995" i="11"/>
  <c r="P1995" i="11"/>
  <c r="R1994" i="11"/>
  <c r="P1994" i="11"/>
  <c r="R1993" i="11"/>
  <c r="P1993" i="11"/>
  <c r="R1992" i="11"/>
  <c r="P1992" i="11"/>
  <c r="R1991" i="11"/>
  <c r="P1991" i="11"/>
  <c r="R1990" i="11"/>
  <c r="P1990" i="11"/>
  <c r="R1989" i="11"/>
  <c r="P1989" i="11"/>
  <c r="R1988" i="11"/>
  <c r="P1988" i="11"/>
  <c r="R1987" i="11"/>
  <c r="P1987" i="11"/>
  <c r="R1986" i="11"/>
  <c r="P1986" i="11"/>
  <c r="R1985" i="11"/>
  <c r="P1985" i="11"/>
  <c r="R1984" i="11"/>
  <c r="P1984" i="11"/>
  <c r="R1983" i="11"/>
  <c r="P1983" i="11"/>
  <c r="R1982" i="11"/>
  <c r="P1982" i="11"/>
  <c r="R1981" i="11"/>
  <c r="P1981" i="11"/>
  <c r="R1980" i="11"/>
  <c r="P1980" i="11"/>
  <c r="R1979" i="11"/>
  <c r="P1979" i="11"/>
  <c r="R1978" i="11"/>
  <c r="P1978" i="11"/>
  <c r="R1977" i="11"/>
  <c r="P1977" i="11"/>
  <c r="R1976" i="11"/>
  <c r="P1976" i="11"/>
  <c r="R1975" i="11"/>
  <c r="P1975" i="11"/>
  <c r="R1974" i="11"/>
  <c r="P1974" i="11"/>
  <c r="R1973" i="11"/>
  <c r="P1973" i="11"/>
  <c r="R1972" i="11"/>
  <c r="P1972" i="11"/>
  <c r="R1971" i="11"/>
  <c r="P1971" i="11"/>
  <c r="R1970" i="11"/>
  <c r="P1970" i="11"/>
  <c r="R1969" i="11"/>
  <c r="P1969" i="11"/>
  <c r="R1968" i="11"/>
  <c r="P1968" i="11"/>
  <c r="R1967" i="11"/>
  <c r="P1967" i="11"/>
  <c r="R1966" i="11"/>
  <c r="P1966" i="11"/>
  <c r="R1965" i="11"/>
  <c r="P1965" i="11"/>
  <c r="R1964" i="11"/>
  <c r="P1964" i="11"/>
  <c r="R1963" i="11"/>
  <c r="P1963" i="11"/>
  <c r="R1962" i="11"/>
  <c r="P1962" i="11"/>
  <c r="R1961" i="11"/>
  <c r="P1961" i="11"/>
  <c r="R1960" i="11"/>
  <c r="P1960" i="11"/>
  <c r="R1959" i="11"/>
  <c r="P1959" i="11"/>
  <c r="R1958" i="11"/>
  <c r="P1958" i="11"/>
  <c r="R1957" i="11"/>
  <c r="P1957" i="11"/>
  <c r="R1956" i="11"/>
  <c r="P1956" i="11"/>
  <c r="R1955" i="11"/>
  <c r="P1955" i="11"/>
  <c r="R1954" i="11"/>
  <c r="P1954" i="11"/>
  <c r="R1953" i="11"/>
  <c r="P1953" i="11"/>
  <c r="R1952" i="11"/>
  <c r="P1952" i="11"/>
  <c r="R1951" i="11"/>
  <c r="P1951" i="11"/>
  <c r="R1950" i="11"/>
  <c r="P1950" i="11"/>
  <c r="R1949" i="11"/>
  <c r="P1949" i="11"/>
  <c r="R1948" i="11"/>
  <c r="P1948" i="11"/>
  <c r="R1947" i="11"/>
  <c r="P1947" i="11"/>
  <c r="R1946" i="11"/>
  <c r="P1946" i="11"/>
  <c r="R1945" i="11"/>
  <c r="P1945" i="11"/>
  <c r="R1944" i="11"/>
  <c r="P1944" i="11"/>
  <c r="R1943" i="11"/>
  <c r="P1943" i="11"/>
  <c r="R1942" i="11"/>
  <c r="P1942" i="11"/>
  <c r="R1941" i="11"/>
  <c r="P1941" i="11"/>
  <c r="R1940" i="11"/>
  <c r="P1940" i="11"/>
  <c r="R1939" i="11"/>
  <c r="P1939" i="11"/>
  <c r="R1938" i="11"/>
  <c r="P1938" i="11"/>
  <c r="R1937" i="11"/>
  <c r="P1937" i="11"/>
  <c r="R1936" i="11"/>
  <c r="P1936" i="11"/>
  <c r="R1935" i="11"/>
  <c r="P1935" i="11"/>
  <c r="R1934" i="11"/>
  <c r="P1934" i="11"/>
  <c r="R1933" i="11"/>
  <c r="P1933" i="11"/>
  <c r="R1932" i="11"/>
  <c r="P1932" i="11"/>
  <c r="R1931" i="11"/>
  <c r="P1931" i="11"/>
  <c r="R1930" i="11"/>
  <c r="P1930" i="11"/>
  <c r="R1929" i="11"/>
  <c r="P1929" i="11"/>
  <c r="R1928" i="11"/>
  <c r="P1928" i="11"/>
  <c r="R1927" i="11"/>
  <c r="P1927" i="11"/>
  <c r="R1926" i="11"/>
  <c r="P1926" i="11"/>
  <c r="R1925" i="11"/>
  <c r="P1925" i="11"/>
  <c r="R1924" i="11"/>
  <c r="P1924" i="11"/>
  <c r="R1923" i="11"/>
  <c r="P1923" i="11"/>
  <c r="R1922" i="11"/>
  <c r="P1922" i="11"/>
  <c r="R1921" i="11"/>
  <c r="P1921" i="11"/>
  <c r="R1920" i="11"/>
  <c r="P1920" i="11"/>
  <c r="R1919" i="11"/>
  <c r="P1919" i="11"/>
  <c r="R1918" i="11"/>
  <c r="P1918" i="11"/>
  <c r="R1917" i="11"/>
  <c r="P1917" i="11"/>
  <c r="R1916" i="11"/>
  <c r="P1916" i="11"/>
  <c r="R1915" i="11"/>
  <c r="P1915" i="11"/>
  <c r="R1914" i="11"/>
  <c r="P1914" i="11"/>
  <c r="R1913" i="11"/>
  <c r="P1913" i="11"/>
  <c r="R1912" i="11"/>
  <c r="P1912" i="11"/>
  <c r="R1911" i="11"/>
  <c r="P1911" i="11"/>
  <c r="R1910" i="11"/>
  <c r="P1910" i="11"/>
  <c r="R1909" i="11"/>
  <c r="P1909" i="11"/>
  <c r="R1908" i="11"/>
  <c r="P1908" i="11"/>
  <c r="R1907" i="11"/>
  <c r="P1907" i="11"/>
  <c r="R1906" i="11"/>
  <c r="P1906" i="11"/>
  <c r="R1905" i="11"/>
  <c r="P1905" i="11"/>
  <c r="R1904" i="11"/>
  <c r="P1904" i="11"/>
  <c r="R1903" i="11"/>
  <c r="P1903" i="11"/>
  <c r="R1902" i="11"/>
  <c r="P1902" i="11"/>
  <c r="R1901" i="11"/>
  <c r="P1901" i="11"/>
  <c r="R1900" i="11"/>
  <c r="P1900" i="11"/>
  <c r="R1899" i="11"/>
  <c r="P1899" i="11"/>
  <c r="R1898" i="11"/>
  <c r="P1898" i="11"/>
  <c r="R1897" i="11"/>
  <c r="P1897" i="11"/>
  <c r="R1896" i="11"/>
  <c r="P1896" i="11"/>
  <c r="R1895" i="11"/>
  <c r="P1895" i="11"/>
  <c r="R1894" i="11"/>
  <c r="P1894" i="11"/>
  <c r="R1893" i="11"/>
  <c r="P1893" i="11"/>
  <c r="R1892" i="11"/>
  <c r="P1892" i="11"/>
  <c r="R1891" i="11"/>
  <c r="P1891" i="11"/>
  <c r="R1890" i="11"/>
  <c r="P1890" i="11"/>
  <c r="R1889" i="11"/>
  <c r="P1889" i="11"/>
  <c r="R1888" i="11"/>
  <c r="P1888" i="11"/>
  <c r="R1887" i="11"/>
  <c r="P1887" i="11"/>
  <c r="R1886" i="11"/>
  <c r="P1886" i="11"/>
  <c r="R1885" i="11"/>
  <c r="P1885" i="11"/>
  <c r="R1884" i="11"/>
  <c r="P1884" i="11"/>
  <c r="R1883" i="11"/>
  <c r="P1883" i="11"/>
  <c r="R1882" i="11"/>
  <c r="P1882" i="11"/>
  <c r="R1881" i="11"/>
  <c r="P1881" i="11"/>
  <c r="R1880" i="11"/>
  <c r="P1880" i="11"/>
  <c r="R1879" i="11"/>
  <c r="P1879" i="11"/>
  <c r="R1878" i="11"/>
  <c r="P1878" i="11"/>
  <c r="R1877" i="11"/>
  <c r="P1877" i="11"/>
  <c r="R1876" i="11"/>
  <c r="P1876" i="11"/>
  <c r="R1875" i="11"/>
  <c r="P1875" i="11"/>
  <c r="R1874" i="11"/>
  <c r="P1874" i="11"/>
  <c r="R1873" i="11"/>
  <c r="P1873" i="11"/>
  <c r="R1872" i="11"/>
  <c r="P1872" i="11"/>
  <c r="R1871" i="11"/>
  <c r="P1871" i="11"/>
  <c r="R1870" i="11"/>
  <c r="P1870" i="11"/>
  <c r="R1869" i="11"/>
  <c r="P1869" i="11"/>
  <c r="R1868" i="11"/>
  <c r="P1868" i="11"/>
  <c r="R1867" i="11"/>
  <c r="P1867" i="11"/>
  <c r="R1866" i="11"/>
  <c r="P1866" i="11"/>
  <c r="R1865" i="11"/>
  <c r="P1865" i="11"/>
  <c r="R1864" i="11"/>
  <c r="P1864" i="11"/>
  <c r="R1863" i="11"/>
  <c r="P1863" i="11"/>
  <c r="R1862" i="11"/>
  <c r="P1862" i="11"/>
  <c r="R1861" i="11"/>
  <c r="P1861" i="11"/>
  <c r="R1860" i="11"/>
  <c r="P1860" i="11"/>
  <c r="R1859" i="11"/>
  <c r="P1859" i="11"/>
  <c r="R1858" i="11"/>
  <c r="P1858" i="11"/>
  <c r="R1857" i="11"/>
  <c r="P1857" i="11"/>
  <c r="R1856" i="11"/>
  <c r="P1856" i="11"/>
  <c r="R1855" i="11"/>
  <c r="P1855" i="11"/>
  <c r="R1854" i="11"/>
  <c r="P1854" i="11"/>
  <c r="R1853" i="11"/>
  <c r="P1853" i="11"/>
  <c r="R1852" i="11"/>
  <c r="P1852" i="11"/>
  <c r="R1851" i="11"/>
  <c r="P1851" i="11"/>
  <c r="R1850" i="11"/>
  <c r="P1850" i="11"/>
  <c r="R1849" i="11"/>
  <c r="P1849" i="11"/>
  <c r="R1848" i="11"/>
  <c r="P1848" i="11"/>
  <c r="R1847" i="11"/>
  <c r="P1847" i="11"/>
  <c r="R1846" i="11"/>
  <c r="P1846" i="11"/>
  <c r="R1845" i="11"/>
  <c r="P1845" i="11"/>
  <c r="R1844" i="11"/>
  <c r="P1844" i="11"/>
  <c r="R1843" i="11"/>
  <c r="P1843" i="11"/>
  <c r="R1842" i="11"/>
  <c r="P1842" i="11"/>
  <c r="R1841" i="11"/>
  <c r="P1841" i="11"/>
  <c r="R1840" i="11"/>
  <c r="P1840" i="11"/>
  <c r="R1839" i="11"/>
  <c r="P1839" i="11"/>
  <c r="R1838" i="11"/>
  <c r="P1838" i="11"/>
  <c r="R1837" i="11"/>
  <c r="P1837" i="11"/>
  <c r="R1836" i="11"/>
  <c r="P1836" i="11"/>
  <c r="R1835" i="11"/>
  <c r="P1835" i="11"/>
  <c r="R1834" i="11"/>
  <c r="P1834" i="11"/>
  <c r="R1833" i="11"/>
  <c r="P1833" i="11"/>
  <c r="R1832" i="11"/>
  <c r="P1832" i="11"/>
  <c r="R1831" i="11"/>
  <c r="P1831" i="11"/>
  <c r="R1830" i="11"/>
  <c r="P1830" i="11"/>
  <c r="R1829" i="11"/>
  <c r="P1829" i="11"/>
  <c r="R1828" i="11"/>
  <c r="P1828" i="11"/>
  <c r="R1827" i="11"/>
  <c r="P1827" i="11"/>
  <c r="R1826" i="11"/>
  <c r="P1826" i="11"/>
  <c r="R1825" i="11"/>
  <c r="P1825" i="11"/>
  <c r="R1824" i="11"/>
  <c r="P1824" i="11"/>
  <c r="R1823" i="11"/>
  <c r="P1823" i="11"/>
  <c r="R1822" i="11"/>
  <c r="P1822" i="11"/>
  <c r="R1821" i="11"/>
  <c r="P1821" i="11"/>
  <c r="R1820" i="11"/>
  <c r="P1820" i="11"/>
  <c r="R1819" i="11"/>
  <c r="P1819" i="11"/>
  <c r="R1818" i="11"/>
  <c r="P1818" i="11"/>
  <c r="R1817" i="11"/>
  <c r="P1817" i="11"/>
  <c r="R1816" i="11"/>
  <c r="P1816" i="11"/>
  <c r="R1815" i="11"/>
  <c r="P1815" i="11"/>
  <c r="R1814" i="11"/>
  <c r="P1814" i="11"/>
  <c r="R1813" i="11"/>
  <c r="P1813" i="11"/>
  <c r="R1812" i="11"/>
  <c r="P1812" i="11"/>
  <c r="R1811" i="11"/>
  <c r="P1811" i="11"/>
  <c r="R1810" i="11"/>
  <c r="P1810" i="11"/>
  <c r="R1809" i="11"/>
  <c r="P1809" i="11"/>
  <c r="R1808" i="11"/>
  <c r="P1808" i="11"/>
  <c r="R1807" i="11"/>
  <c r="P1807" i="11"/>
  <c r="R1806" i="11"/>
  <c r="P1806" i="11"/>
  <c r="R1805" i="11"/>
  <c r="P1805" i="11"/>
  <c r="R1804" i="11"/>
  <c r="P1804" i="11"/>
  <c r="R1803" i="11"/>
  <c r="P1803" i="11"/>
  <c r="R1802" i="11"/>
  <c r="P1802" i="11"/>
  <c r="R1801" i="11"/>
  <c r="P1801" i="11"/>
  <c r="R1800" i="11"/>
  <c r="P1800" i="11"/>
  <c r="R1799" i="11"/>
  <c r="P1799" i="11"/>
  <c r="R1798" i="11"/>
  <c r="P1798" i="11"/>
  <c r="R1797" i="11"/>
  <c r="P1797" i="11"/>
  <c r="R1796" i="11"/>
  <c r="P1796" i="11"/>
  <c r="R1795" i="11"/>
  <c r="P1795" i="11"/>
  <c r="R1794" i="11"/>
  <c r="P1794" i="11"/>
  <c r="R1793" i="11"/>
  <c r="P1793" i="11"/>
  <c r="R1792" i="11"/>
  <c r="P1792" i="11"/>
  <c r="R1791" i="11"/>
  <c r="P1791" i="11"/>
  <c r="R1790" i="11"/>
  <c r="P1790" i="11"/>
  <c r="R1789" i="11"/>
  <c r="P1789" i="11"/>
  <c r="R1788" i="11"/>
  <c r="P1788" i="11"/>
  <c r="R1787" i="11"/>
  <c r="P1787" i="11"/>
  <c r="R1786" i="11"/>
  <c r="P1786" i="11"/>
  <c r="R1785" i="11"/>
  <c r="P1785" i="11"/>
  <c r="R1784" i="11"/>
  <c r="P1784" i="11"/>
  <c r="R1783" i="11"/>
  <c r="P1783" i="11"/>
  <c r="R1782" i="11"/>
  <c r="P1782" i="11"/>
  <c r="R1781" i="11"/>
  <c r="P1781" i="11"/>
  <c r="R1780" i="11"/>
  <c r="P1780" i="11"/>
  <c r="R1779" i="11"/>
  <c r="P1779" i="11"/>
  <c r="R1778" i="11"/>
  <c r="P1778" i="11"/>
  <c r="R1777" i="11"/>
  <c r="P1777" i="11"/>
  <c r="R1776" i="11"/>
  <c r="P1776" i="11"/>
  <c r="R1775" i="11"/>
  <c r="P1775" i="11"/>
  <c r="R1774" i="11"/>
  <c r="P1774" i="11"/>
  <c r="R1773" i="11"/>
  <c r="P1773" i="11"/>
  <c r="R1772" i="11"/>
  <c r="P1772" i="11"/>
  <c r="R1771" i="11"/>
  <c r="P1771" i="11"/>
  <c r="R1770" i="11"/>
  <c r="P1770" i="11"/>
  <c r="R1769" i="11"/>
  <c r="P1769" i="11"/>
  <c r="R1768" i="11"/>
  <c r="P1768" i="11"/>
  <c r="R1767" i="11"/>
  <c r="P1767" i="11"/>
  <c r="R1766" i="11"/>
  <c r="P1766" i="11"/>
  <c r="R1765" i="11"/>
  <c r="P1765" i="11"/>
  <c r="R1764" i="11"/>
  <c r="P1764" i="11"/>
  <c r="R1763" i="11"/>
  <c r="P1763" i="11"/>
  <c r="R1762" i="11"/>
  <c r="P1762" i="11"/>
  <c r="R1761" i="11"/>
  <c r="P1761" i="11"/>
  <c r="R1760" i="11"/>
  <c r="P1760" i="11"/>
  <c r="R1759" i="11"/>
  <c r="P1759" i="11"/>
  <c r="R1758" i="11"/>
  <c r="P1758" i="11"/>
  <c r="R1757" i="11"/>
  <c r="P1757" i="11"/>
  <c r="R1756" i="11"/>
  <c r="P1756" i="11"/>
  <c r="R1755" i="11"/>
  <c r="P1755" i="11"/>
  <c r="R1754" i="11"/>
  <c r="P1754" i="11"/>
  <c r="R1753" i="11"/>
  <c r="P1753" i="11"/>
  <c r="R1752" i="11"/>
  <c r="P1752" i="11"/>
  <c r="R1751" i="11"/>
  <c r="P1751" i="11"/>
  <c r="R1750" i="11"/>
  <c r="P1750" i="11"/>
  <c r="R1749" i="11"/>
  <c r="P1749" i="11"/>
  <c r="R1748" i="11"/>
  <c r="P1748" i="11"/>
  <c r="R1747" i="11"/>
  <c r="P1747" i="11"/>
  <c r="R1746" i="11"/>
  <c r="P1746" i="11"/>
  <c r="R1745" i="11"/>
  <c r="P1745" i="11"/>
  <c r="R1744" i="11"/>
  <c r="P1744" i="11"/>
  <c r="R1743" i="11"/>
  <c r="P1743" i="11"/>
  <c r="R1742" i="11"/>
  <c r="P1742" i="11"/>
  <c r="R1741" i="11"/>
  <c r="P1741" i="11"/>
  <c r="R1740" i="11"/>
  <c r="P1740" i="11"/>
  <c r="R1739" i="11"/>
  <c r="P1739" i="11"/>
  <c r="R1738" i="11"/>
  <c r="P1738" i="11"/>
  <c r="R1737" i="11"/>
  <c r="P1737" i="11"/>
  <c r="R1736" i="11"/>
  <c r="P1736" i="11"/>
  <c r="R1735" i="11"/>
  <c r="P1735" i="11"/>
  <c r="R1734" i="11"/>
  <c r="P1734" i="11"/>
  <c r="R1733" i="11"/>
  <c r="P1733" i="11"/>
  <c r="R1732" i="11"/>
  <c r="P1732" i="11"/>
  <c r="R1731" i="11"/>
  <c r="P1731" i="11"/>
  <c r="R1730" i="11"/>
  <c r="P1730" i="11"/>
  <c r="R1729" i="11"/>
  <c r="P1729" i="11"/>
  <c r="R1728" i="11"/>
  <c r="P1728" i="11"/>
  <c r="R1727" i="11"/>
  <c r="P1727" i="11"/>
  <c r="R1726" i="11"/>
  <c r="P1726" i="11"/>
  <c r="R1725" i="11"/>
  <c r="P1725" i="11"/>
  <c r="R1724" i="11"/>
  <c r="P1724" i="11"/>
  <c r="R1723" i="11"/>
  <c r="P1723" i="11"/>
  <c r="R1722" i="11"/>
  <c r="P1722" i="11"/>
  <c r="R1721" i="11"/>
  <c r="P1721" i="11"/>
  <c r="R1720" i="11"/>
  <c r="P1720" i="11"/>
  <c r="R1719" i="11"/>
  <c r="P1719" i="11"/>
  <c r="R1718" i="11"/>
  <c r="P1718" i="11"/>
  <c r="R1717" i="11"/>
  <c r="P1717" i="11"/>
  <c r="R1716" i="11"/>
  <c r="P1716" i="11"/>
  <c r="R1715" i="11"/>
  <c r="P1715" i="11"/>
  <c r="R1714" i="11"/>
  <c r="P1714" i="11"/>
  <c r="R1713" i="11"/>
  <c r="P1713" i="11"/>
  <c r="R1712" i="11"/>
  <c r="P1712" i="11"/>
  <c r="R1711" i="11"/>
  <c r="P1711" i="11"/>
  <c r="R1710" i="11"/>
  <c r="P1710" i="11"/>
  <c r="R1709" i="11"/>
  <c r="P1709" i="11"/>
  <c r="R1708" i="11"/>
  <c r="P1708" i="11"/>
  <c r="R1707" i="11"/>
  <c r="P1707" i="11"/>
  <c r="R1706" i="11"/>
  <c r="P1706" i="11"/>
  <c r="R1705" i="11"/>
  <c r="P1705" i="11"/>
  <c r="R1704" i="11"/>
  <c r="P1704" i="11"/>
  <c r="R1703" i="11"/>
  <c r="P1703" i="11"/>
  <c r="R1702" i="11"/>
  <c r="P1702" i="11"/>
  <c r="R1701" i="11"/>
  <c r="P1701" i="11"/>
  <c r="R1700" i="11"/>
  <c r="P1700" i="11"/>
  <c r="R1699" i="11"/>
  <c r="P1699" i="11"/>
  <c r="R1698" i="11"/>
  <c r="P1698" i="11"/>
  <c r="R1697" i="11"/>
  <c r="P1697" i="11"/>
  <c r="R1696" i="11"/>
  <c r="P1696" i="11"/>
  <c r="R1695" i="11"/>
  <c r="P1695" i="11"/>
  <c r="R1694" i="11"/>
  <c r="P1694" i="11"/>
  <c r="R1693" i="11"/>
  <c r="P1693" i="11"/>
  <c r="R1692" i="11"/>
  <c r="P1692" i="11"/>
  <c r="R1691" i="11"/>
  <c r="P1691" i="11"/>
  <c r="R1690" i="11"/>
  <c r="P1690" i="11"/>
  <c r="R1689" i="11"/>
  <c r="P1689" i="11"/>
  <c r="R1688" i="11"/>
  <c r="P1688" i="11"/>
  <c r="R1687" i="11"/>
  <c r="P1687" i="11"/>
  <c r="R1686" i="11"/>
  <c r="P1686" i="11"/>
  <c r="R1685" i="11"/>
  <c r="P1685" i="11"/>
  <c r="R1684" i="11"/>
  <c r="P1684" i="11"/>
  <c r="R1683" i="11"/>
  <c r="P1683" i="11"/>
  <c r="R1682" i="11"/>
  <c r="P1682" i="11"/>
  <c r="R1681" i="11"/>
  <c r="P1681" i="11"/>
  <c r="R1680" i="11"/>
  <c r="P1680" i="11"/>
  <c r="R1679" i="11"/>
  <c r="P1679" i="11"/>
  <c r="R1678" i="11"/>
  <c r="P1678" i="11"/>
  <c r="R1677" i="11"/>
  <c r="P1677" i="11"/>
  <c r="R1676" i="11"/>
  <c r="P1676" i="11"/>
  <c r="R1675" i="11"/>
  <c r="P1675" i="11"/>
  <c r="R1674" i="11"/>
  <c r="P1674" i="11"/>
  <c r="R1673" i="11"/>
  <c r="P1673" i="11"/>
  <c r="R1672" i="11"/>
  <c r="P1672" i="11"/>
  <c r="R1671" i="11"/>
  <c r="P1671" i="11"/>
  <c r="R1670" i="11"/>
  <c r="P1670" i="11"/>
  <c r="R1669" i="11"/>
  <c r="P1669" i="11"/>
  <c r="R1668" i="11"/>
  <c r="P1668" i="11"/>
  <c r="R1667" i="11"/>
  <c r="P1667" i="11"/>
  <c r="R1666" i="11"/>
  <c r="P1666" i="11"/>
  <c r="R1665" i="11"/>
  <c r="P1665" i="11"/>
  <c r="R1664" i="11"/>
  <c r="P1664" i="11"/>
  <c r="R1663" i="11"/>
  <c r="P1663" i="11"/>
  <c r="R1662" i="11"/>
  <c r="P1662" i="11"/>
  <c r="R1661" i="11"/>
  <c r="P1661" i="11"/>
  <c r="R1660" i="11"/>
  <c r="P1660" i="11"/>
  <c r="R1659" i="11"/>
  <c r="P1659" i="11"/>
  <c r="R1658" i="11"/>
  <c r="P1658" i="11"/>
  <c r="R1657" i="11"/>
  <c r="P1657" i="11"/>
  <c r="R1656" i="11"/>
  <c r="P1656" i="11"/>
  <c r="R1655" i="11"/>
  <c r="P1655" i="11"/>
  <c r="R1654" i="11"/>
  <c r="P1654" i="11"/>
  <c r="R1653" i="11"/>
  <c r="P1653" i="11"/>
  <c r="R1652" i="11"/>
  <c r="P1652" i="11"/>
  <c r="R1651" i="11"/>
  <c r="P1651" i="11"/>
  <c r="R1650" i="11"/>
  <c r="P1650" i="11"/>
  <c r="R1649" i="11"/>
  <c r="P1649" i="11"/>
  <c r="R1648" i="11"/>
  <c r="P1648" i="11"/>
  <c r="R1647" i="11"/>
  <c r="P1647" i="11"/>
  <c r="R1646" i="11"/>
  <c r="P1646" i="11"/>
  <c r="R1645" i="11"/>
  <c r="P1645" i="11"/>
  <c r="R1644" i="11"/>
  <c r="P1644" i="11"/>
  <c r="R1643" i="11"/>
  <c r="P1643" i="11"/>
  <c r="R1642" i="11"/>
  <c r="P1642" i="11"/>
  <c r="R1641" i="11"/>
  <c r="P1641" i="11"/>
  <c r="R1640" i="11"/>
  <c r="P1640" i="11"/>
  <c r="R1639" i="11"/>
  <c r="P1639" i="11"/>
  <c r="R1638" i="11"/>
  <c r="P1638" i="11"/>
  <c r="R1637" i="11"/>
  <c r="P1637" i="11"/>
  <c r="R1636" i="11"/>
  <c r="P1636" i="11"/>
  <c r="R1635" i="11"/>
  <c r="P1635" i="11"/>
  <c r="R1634" i="11"/>
  <c r="P1634" i="11"/>
  <c r="R1633" i="11"/>
  <c r="P1633" i="11"/>
  <c r="R1632" i="11"/>
  <c r="P1632" i="11"/>
  <c r="R1631" i="11"/>
  <c r="P1631" i="11"/>
  <c r="R1630" i="11"/>
  <c r="P1630" i="11"/>
  <c r="R1629" i="11"/>
  <c r="P1629" i="11"/>
  <c r="R1628" i="11"/>
  <c r="P1628" i="11"/>
  <c r="R1627" i="11"/>
  <c r="P1627" i="11"/>
  <c r="R1626" i="11"/>
  <c r="P1626" i="11"/>
  <c r="R1625" i="11"/>
  <c r="P1625" i="11"/>
  <c r="R1624" i="11"/>
  <c r="P1624" i="11"/>
  <c r="R1623" i="11"/>
  <c r="P1623" i="11"/>
  <c r="R1622" i="11"/>
  <c r="P1622" i="11"/>
  <c r="R1621" i="11"/>
  <c r="P1621" i="11"/>
  <c r="R1620" i="11"/>
  <c r="P1620" i="11"/>
  <c r="R1619" i="11"/>
  <c r="P1619" i="11"/>
  <c r="R1618" i="11"/>
  <c r="P1618" i="11"/>
  <c r="R1617" i="11"/>
  <c r="P1617" i="11"/>
  <c r="R1616" i="11"/>
  <c r="P1616" i="11"/>
  <c r="R1615" i="11"/>
  <c r="P1615" i="11"/>
  <c r="R1614" i="11"/>
  <c r="P1614" i="11"/>
  <c r="R1613" i="11"/>
  <c r="P1613" i="11"/>
  <c r="R1612" i="11"/>
  <c r="P1612" i="11"/>
  <c r="R1611" i="11"/>
  <c r="P1611" i="11"/>
  <c r="R1610" i="11"/>
  <c r="P1610" i="11"/>
  <c r="R1609" i="11"/>
  <c r="P1609" i="11"/>
  <c r="R1608" i="11"/>
  <c r="P1608" i="11"/>
  <c r="R1607" i="11"/>
  <c r="P1607" i="11"/>
  <c r="R1606" i="11"/>
  <c r="P1606" i="11"/>
  <c r="R1605" i="11"/>
  <c r="P1605" i="11"/>
  <c r="R1604" i="11"/>
  <c r="P1604" i="11"/>
  <c r="R1603" i="11"/>
  <c r="P1603" i="11"/>
  <c r="R1602" i="11"/>
  <c r="P1602" i="11"/>
  <c r="R1601" i="11"/>
  <c r="P1601" i="11"/>
  <c r="R1600" i="11"/>
  <c r="P1600" i="11"/>
  <c r="R1599" i="11"/>
  <c r="P1599" i="11"/>
  <c r="R1598" i="11"/>
  <c r="P1598" i="11"/>
  <c r="R1597" i="11"/>
  <c r="P1597" i="11"/>
  <c r="R1596" i="11"/>
  <c r="P1596" i="11"/>
  <c r="R1595" i="11"/>
  <c r="P1595" i="11"/>
  <c r="R1594" i="11"/>
  <c r="P1594" i="11"/>
  <c r="R1593" i="11"/>
  <c r="P1593" i="11"/>
  <c r="R1592" i="11"/>
  <c r="P1592" i="11"/>
  <c r="R1591" i="11"/>
  <c r="P1591" i="11"/>
  <c r="R1590" i="11"/>
  <c r="P1590" i="11"/>
  <c r="R1589" i="11"/>
  <c r="P1589" i="11"/>
  <c r="R1588" i="11"/>
  <c r="P1588" i="11"/>
  <c r="R1587" i="11"/>
  <c r="P1587" i="11"/>
  <c r="R1586" i="11"/>
  <c r="P1586" i="11"/>
  <c r="R1585" i="11"/>
  <c r="P1585" i="11"/>
  <c r="R1584" i="11"/>
  <c r="P1584" i="11"/>
  <c r="R1583" i="11"/>
  <c r="P1583" i="11"/>
  <c r="R1582" i="11"/>
  <c r="P1582" i="11"/>
  <c r="R1581" i="11"/>
  <c r="P1581" i="11"/>
  <c r="R1580" i="11"/>
  <c r="P1580" i="11"/>
  <c r="R1579" i="11"/>
  <c r="P1579" i="11"/>
  <c r="R1578" i="11"/>
  <c r="P1578" i="11"/>
  <c r="R1577" i="11"/>
  <c r="P1577" i="11"/>
  <c r="R1576" i="11"/>
  <c r="P1576" i="11"/>
  <c r="R1575" i="11"/>
  <c r="P1575" i="11"/>
  <c r="R1574" i="11"/>
  <c r="P1574" i="11"/>
  <c r="R1573" i="11"/>
  <c r="P1573" i="11"/>
  <c r="R1572" i="11"/>
  <c r="P1572" i="11"/>
  <c r="R1571" i="11"/>
  <c r="P1571" i="11"/>
  <c r="R1570" i="11"/>
  <c r="P1570" i="11"/>
  <c r="R1569" i="11"/>
  <c r="P1569" i="11"/>
  <c r="R1568" i="11"/>
  <c r="P1568" i="11"/>
  <c r="R1567" i="11"/>
  <c r="P1567" i="11"/>
  <c r="R1566" i="11"/>
  <c r="P1566" i="11"/>
  <c r="R1565" i="11"/>
  <c r="P1565" i="11"/>
  <c r="R1564" i="11"/>
  <c r="P1564" i="11"/>
  <c r="R1563" i="11"/>
  <c r="P1563" i="11"/>
  <c r="R1562" i="11"/>
  <c r="P1562" i="11"/>
  <c r="R1561" i="11"/>
  <c r="P1561" i="11"/>
  <c r="R1560" i="11"/>
  <c r="P1560" i="11"/>
  <c r="R1559" i="11"/>
  <c r="P1559" i="11"/>
  <c r="R1558" i="11"/>
  <c r="P1558" i="11"/>
  <c r="R1557" i="11"/>
  <c r="P1557" i="11"/>
  <c r="R1556" i="11"/>
  <c r="P1556" i="11"/>
  <c r="R1555" i="11"/>
  <c r="P1555" i="11"/>
  <c r="R1554" i="11"/>
  <c r="P1554" i="11"/>
  <c r="R1553" i="11"/>
  <c r="P1553" i="11"/>
  <c r="R1552" i="11"/>
  <c r="P1552" i="11"/>
  <c r="R1551" i="11"/>
  <c r="P1551" i="11"/>
  <c r="R1550" i="11"/>
  <c r="P1550" i="11"/>
  <c r="R1549" i="11"/>
  <c r="P1549" i="11"/>
  <c r="R1548" i="11"/>
  <c r="P1548" i="11"/>
  <c r="R1547" i="11"/>
  <c r="P1547" i="11"/>
  <c r="R1546" i="11"/>
  <c r="P1546" i="11"/>
  <c r="R1545" i="11"/>
  <c r="P1545" i="11"/>
  <c r="R1544" i="11"/>
  <c r="P1544" i="11"/>
  <c r="R1543" i="11"/>
  <c r="P1543" i="11"/>
  <c r="R1542" i="11"/>
  <c r="P1542" i="11"/>
  <c r="R1541" i="11"/>
  <c r="P1541" i="11"/>
  <c r="R1540" i="11"/>
  <c r="P1540" i="11"/>
  <c r="R1539" i="11"/>
  <c r="P1539" i="11"/>
  <c r="R1538" i="11"/>
  <c r="P1538" i="11"/>
  <c r="R1537" i="11"/>
  <c r="P1537" i="11"/>
  <c r="R1536" i="11"/>
  <c r="P1536" i="11"/>
  <c r="R1535" i="11"/>
  <c r="P1535" i="11"/>
  <c r="R1534" i="11"/>
  <c r="P1534" i="11"/>
  <c r="R1533" i="11"/>
  <c r="P1533" i="11"/>
  <c r="R1532" i="11"/>
  <c r="P1532" i="11"/>
  <c r="R1531" i="11"/>
  <c r="P1531" i="11"/>
  <c r="R1530" i="11"/>
  <c r="P1530" i="11"/>
  <c r="R1529" i="11"/>
  <c r="P1529" i="11"/>
  <c r="R1528" i="11"/>
  <c r="P1528" i="11"/>
  <c r="R1527" i="11"/>
  <c r="P1527" i="11"/>
  <c r="R1526" i="11"/>
  <c r="P1526" i="11"/>
  <c r="R1525" i="11"/>
  <c r="P1525" i="11"/>
  <c r="R1524" i="11"/>
  <c r="P1524" i="11"/>
  <c r="R1523" i="11"/>
  <c r="P1523" i="11"/>
  <c r="R1522" i="11"/>
  <c r="P1522" i="11"/>
  <c r="R1521" i="11"/>
  <c r="P1521" i="11"/>
  <c r="R1520" i="11"/>
  <c r="P1520" i="11"/>
  <c r="R1519" i="11"/>
  <c r="P1519" i="11"/>
  <c r="R1518" i="11"/>
  <c r="P1518" i="11"/>
  <c r="R1517" i="11"/>
  <c r="P1517" i="11"/>
  <c r="R1516" i="11"/>
  <c r="P1516" i="11"/>
  <c r="R1515" i="11"/>
  <c r="P1515" i="11"/>
  <c r="R1514" i="11"/>
  <c r="P1514" i="11"/>
  <c r="R1513" i="11"/>
  <c r="P1513" i="11"/>
  <c r="R1512" i="11"/>
  <c r="P1512" i="11"/>
  <c r="R1511" i="11"/>
  <c r="P1511" i="11"/>
  <c r="R1510" i="11"/>
  <c r="P1510" i="11"/>
  <c r="R1509" i="11"/>
  <c r="P1509" i="11"/>
  <c r="R1508" i="11"/>
  <c r="P1508" i="11"/>
  <c r="R1507" i="11"/>
  <c r="P1507" i="11"/>
  <c r="R1506" i="11"/>
  <c r="P1506" i="11"/>
  <c r="R1505" i="11"/>
  <c r="P1505" i="11"/>
  <c r="R1504" i="11"/>
  <c r="P1504" i="11"/>
  <c r="R1503" i="11"/>
  <c r="P1503" i="11"/>
  <c r="R1502" i="11"/>
  <c r="P1502" i="11"/>
  <c r="R1501" i="11"/>
  <c r="P1501" i="11"/>
  <c r="R1500" i="11"/>
  <c r="P1500" i="11"/>
  <c r="R1499" i="11"/>
  <c r="P1499" i="11"/>
  <c r="R1498" i="11"/>
  <c r="P1498" i="11"/>
  <c r="R1497" i="11"/>
  <c r="P1497" i="11"/>
  <c r="R1496" i="11"/>
  <c r="P1496" i="11"/>
  <c r="R1495" i="11"/>
  <c r="P1495" i="11"/>
  <c r="R1494" i="11"/>
  <c r="P1494" i="11"/>
  <c r="R1493" i="11"/>
  <c r="P1493" i="11"/>
  <c r="R1492" i="11"/>
  <c r="P1492" i="11"/>
  <c r="R1491" i="11"/>
  <c r="P1491" i="11"/>
  <c r="R1490" i="11"/>
  <c r="P1490" i="11"/>
  <c r="R1489" i="11"/>
  <c r="P1489" i="11"/>
  <c r="R1488" i="11"/>
  <c r="P1488" i="11"/>
  <c r="R1487" i="11"/>
  <c r="P1487" i="11"/>
  <c r="R1486" i="11"/>
  <c r="P1486" i="11"/>
  <c r="R1485" i="11"/>
  <c r="P1485" i="11"/>
  <c r="R1484" i="11"/>
  <c r="P1484" i="11"/>
  <c r="R1483" i="11"/>
  <c r="P1483" i="11"/>
  <c r="R1482" i="11"/>
  <c r="P1482" i="11"/>
  <c r="R1481" i="11"/>
  <c r="P1481" i="11"/>
  <c r="R1480" i="11"/>
  <c r="P1480" i="11"/>
  <c r="R1479" i="11"/>
  <c r="P1479" i="11"/>
  <c r="R1478" i="11"/>
  <c r="P1478" i="11"/>
  <c r="R1477" i="11"/>
  <c r="P1477" i="11"/>
  <c r="R1476" i="11"/>
  <c r="P1476" i="11"/>
  <c r="R1475" i="11"/>
  <c r="P1475" i="11"/>
  <c r="R1474" i="11"/>
  <c r="P1474" i="11"/>
  <c r="R1473" i="11"/>
  <c r="P1473" i="11"/>
  <c r="R1472" i="11"/>
  <c r="P1472" i="11"/>
  <c r="R1471" i="11"/>
  <c r="P1471" i="11"/>
  <c r="R1470" i="11"/>
  <c r="P1470" i="11"/>
  <c r="R1469" i="11"/>
  <c r="P1469" i="11"/>
  <c r="R1468" i="11"/>
  <c r="P1468" i="11"/>
  <c r="R1467" i="11"/>
  <c r="P1467" i="11"/>
  <c r="R1466" i="11"/>
  <c r="P1466" i="11"/>
  <c r="R1465" i="11"/>
  <c r="P1465" i="11"/>
  <c r="R1464" i="11"/>
  <c r="P1464" i="11"/>
  <c r="R1463" i="11"/>
  <c r="P1463" i="11"/>
  <c r="R1462" i="11"/>
  <c r="P1462" i="11"/>
  <c r="R1461" i="11"/>
  <c r="P1461" i="11"/>
  <c r="R1460" i="11"/>
  <c r="P1460" i="11"/>
  <c r="R1459" i="11"/>
  <c r="P1459" i="11"/>
  <c r="R1458" i="11"/>
  <c r="P1458" i="11"/>
  <c r="R1457" i="11"/>
  <c r="P1457" i="11"/>
  <c r="R1456" i="11"/>
  <c r="P1456" i="11"/>
  <c r="R1455" i="11"/>
  <c r="P1455" i="11"/>
  <c r="R1454" i="11"/>
  <c r="P1454" i="11"/>
  <c r="R1453" i="11"/>
  <c r="P1453" i="11"/>
  <c r="R1452" i="11"/>
  <c r="P1452" i="11"/>
  <c r="R1451" i="11"/>
  <c r="P1451" i="11"/>
  <c r="R1450" i="11"/>
  <c r="P1450" i="11"/>
  <c r="R1449" i="11"/>
  <c r="P1449" i="11"/>
  <c r="R1448" i="11"/>
  <c r="P1448" i="11"/>
  <c r="R1447" i="11"/>
  <c r="P1447" i="11"/>
  <c r="R1446" i="11"/>
  <c r="P1446" i="11"/>
  <c r="R1445" i="11"/>
  <c r="P1445" i="11"/>
  <c r="R1444" i="11"/>
  <c r="P1444" i="11"/>
  <c r="R1443" i="11"/>
  <c r="P1443" i="11"/>
  <c r="R1442" i="11"/>
  <c r="P1442" i="11"/>
  <c r="R1441" i="11"/>
  <c r="P1441" i="11"/>
  <c r="R1440" i="11"/>
  <c r="P1440" i="11"/>
  <c r="R1439" i="11"/>
  <c r="P1439" i="11"/>
  <c r="R1438" i="11"/>
  <c r="P1438" i="11"/>
  <c r="R1437" i="11"/>
  <c r="P1437" i="11"/>
  <c r="R1436" i="11"/>
  <c r="P1436" i="11"/>
  <c r="R1435" i="11"/>
  <c r="P1435" i="11"/>
  <c r="R1434" i="11"/>
  <c r="P1434" i="11"/>
  <c r="R1433" i="11"/>
  <c r="P1433" i="11"/>
  <c r="R1432" i="11"/>
  <c r="P1432" i="11"/>
  <c r="R1431" i="11"/>
  <c r="P1431" i="11"/>
  <c r="R1430" i="11"/>
  <c r="P1430" i="11"/>
  <c r="R1429" i="11"/>
  <c r="P1429" i="11"/>
  <c r="R1428" i="11"/>
  <c r="P1428" i="11"/>
  <c r="R1427" i="11"/>
  <c r="P1427" i="11"/>
  <c r="R1426" i="11"/>
  <c r="P1426" i="11"/>
  <c r="R1425" i="11"/>
  <c r="P1425" i="11"/>
  <c r="R1424" i="11"/>
  <c r="P1424" i="11"/>
  <c r="R1423" i="11"/>
  <c r="P1423" i="11"/>
  <c r="R1422" i="11"/>
  <c r="P1422" i="11"/>
  <c r="R1421" i="11"/>
  <c r="P1421" i="11"/>
  <c r="R1420" i="11"/>
  <c r="P1420" i="11"/>
  <c r="R1419" i="11"/>
  <c r="P1419" i="11"/>
  <c r="R1418" i="11"/>
  <c r="P1418" i="11"/>
  <c r="R1417" i="11"/>
  <c r="P1417" i="11"/>
  <c r="R1416" i="11"/>
  <c r="P1416" i="11"/>
  <c r="R1415" i="11"/>
  <c r="P1415" i="11"/>
  <c r="R1414" i="11"/>
  <c r="P1414" i="11"/>
  <c r="R1413" i="11"/>
  <c r="P1413" i="11"/>
  <c r="R1412" i="11"/>
  <c r="P1412" i="11"/>
  <c r="R1411" i="11"/>
  <c r="P1411" i="11"/>
  <c r="R1410" i="11"/>
  <c r="P1410" i="11"/>
  <c r="R1409" i="11"/>
  <c r="P1409" i="11"/>
  <c r="R1408" i="11"/>
  <c r="P1408" i="11"/>
  <c r="R1407" i="11"/>
  <c r="P1407" i="11"/>
  <c r="R1406" i="11"/>
  <c r="P1406" i="11"/>
  <c r="R1405" i="11"/>
  <c r="P1405" i="11"/>
  <c r="R1404" i="11"/>
  <c r="P1404" i="11"/>
  <c r="R1403" i="11"/>
  <c r="P1403" i="11"/>
  <c r="R1402" i="11"/>
  <c r="P1402" i="11"/>
  <c r="R1401" i="11"/>
  <c r="P1401" i="11"/>
  <c r="R1400" i="11"/>
  <c r="P1400" i="11"/>
  <c r="R1399" i="11"/>
  <c r="P1399" i="11"/>
  <c r="R1398" i="11"/>
  <c r="P1398" i="11"/>
  <c r="R1397" i="11"/>
  <c r="P1397" i="11"/>
  <c r="R1396" i="11"/>
  <c r="P1396" i="11"/>
  <c r="R1395" i="11"/>
  <c r="P1395" i="11"/>
  <c r="R1394" i="11"/>
  <c r="P1394" i="11"/>
  <c r="R1393" i="11"/>
  <c r="P1393" i="11"/>
  <c r="R1392" i="11"/>
  <c r="P1392" i="11"/>
  <c r="R1391" i="11"/>
  <c r="P1391" i="11"/>
  <c r="R1390" i="11"/>
  <c r="P1390" i="11"/>
  <c r="R1389" i="11"/>
  <c r="P1389" i="11"/>
  <c r="R1388" i="11"/>
  <c r="P1388" i="11"/>
  <c r="R1387" i="11"/>
  <c r="P1387" i="11"/>
  <c r="R1386" i="11"/>
  <c r="P1386" i="11"/>
  <c r="R1385" i="11"/>
  <c r="P1385" i="11"/>
  <c r="R1384" i="11"/>
  <c r="P1384" i="11"/>
  <c r="R1383" i="11"/>
  <c r="P1383" i="11"/>
  <c r="R1382" i="11"/>
  <c r="P1382" i="11"/>
  <c r="R1381" i="11"/>
  <c r="P1381" i="11"/>
  <c r="R1380" i="11"/>
  <c r="P1380" i="11"/>
  <c r="R1379" i="11"/>
  <c r="P1379" i="11"/>
  <c r="R1378" i="11"/>
  <c r="P1378" i="11"/>
  <c r="R1377" i="11"/>
  <c r="P1377" i="11"/>
  <c r="R1376" i="11"/>
  <c r="P1376" i="11"/>
  <c r="R1375" i="11"/>
  <c r="P1375" i="11"/>
  <c r="R1374" i="11"/>
  <c r="P1374" i="11"/>
  <c r="R1373" i="11"/>
  <c r="P1373" i="11"/>
  <c r="R1372" i="11"/>
  <c r="P1372" i="11"/>
  <c r="R1371" i="11"/>
  <c r="P1371" i="11"/>
  <c r="R1370" i="11"/>
  <c r="P1370" i="11"/>
  <c r="R1369" i="11"/>
  <c r="P1369" i="11"/>
  <c r="R1368" i="11"/>
  <c r="P1368" i="11"/>
  <c r="R1367" i="11"/>
  <c r="P1367" i="11"/>
  <c r="R1366" i="11"/>
  <c r="P1366" i="11"/>
  <c r="R1365" i="11"/>
  <c r="P1365" i="11"/>
  <c r="R1364" i="11"/>
  <c r="P1364" i="11"/>
  <c r="R1363" i="11"/>
  <c r="P1363" i="11"/>
  <c r="R1362" i="11"/>
  <c r="P1362" i="11"/>
  <c r="R1361" i="11"/>
  <c r="P1361" i="11"/>
  <c r="R1360" i="11"/>
  <c r="P1360" i="11"/>
  <c r="R1359" i="11"/>
  <c r="P1359" i="11"/>
  <c r="R1358" i="11"/>
  <c r="P1358" i="11"/>
  <c r="R1357" i="11"/>
  <c r="P1357" i="11"/>
  <c r="R1356" i="11"/>
  <c r="P1356" i="11"/>
  <c r="R1355" i="11"/>
  <c r="P1355" i="11"/>
  <c r="R1354" i="11"/>
  <c r="P1354" i="11"/>
  <c r="R1353" i="11"/>
  <c r="P1353" i="11"/>
  <c r="R1352" i="11"/>
  <c r="P1352" i="11"/>
  <c r="R1351" i="11"/>
  <c r="P1351" i="11"/>
  <c r="R1350" i="11"/>
  <c r="P1350" i="11"/>
  <c r="R1349" i="11"/>
  <c r="P1349" i="11"/>
  <c r="R1348" i="11"/>
  <c r="P1348" i="11"/>
  <c r="R1347" i="11"/>
  <c r="P1347" i="11"/>
  <c r="R1346" i="11"/>
  <c r="P1346" i="11"/>
  <c r="R1345" i="11"/>
  <c r="P1345" i="11"/>
  <c r="R1344" i="11"/>
  <c r="P1344" i="11"/>
  <c r="R1343" i="11"/>
  <c r="P1343" i="11"/>
  <c r="R1342" i="11"/>
  <c r="P1342" i="11"/>
  <c r="R1341" i="11"/>
  <c r="P1341" i="11"/>
  <c r="R1340" i="11"/>
  <c r="P1340" i="11"/>
  <c r="R1339" i="11"/>
  <c r="P1339" i="11"/>
  <c r="R1338" i="11"/>
  <c r="P1338" i="11"/>
  <c r="R1337" i="11"/>
  <c r="P1337" i="11"/>
  <c r="R1336" i="11"/>
  <c r="P1336" i="11"/>
  <c r="R1335" i="11"/>
  <c r="P1335" i="11"/>
  <c r="R1334" i="11"/>
  <c r="P1334" i="11"/>
  <c r="R1333" i="11"/>
  <c r="P1333" i="11"/>
  <c r="R1332" i="11"/>
  <c r="P1332" i="11"/>
  <c r="R1331" i="11"/>
  <c r="P1331" i="11"/>
  <c r="R1330" i="11"/>
  <c r="P1330" i="11"/>
  <c r="R1329" i="11"/>
  <c r="P1329" i="11"/>
  <c r="R1328" i="11"/>
  <c r="P1328" i="11"/>
  <c r="R1327" i="11"/>
  <c r="P1327" i="11"/>
  <c r="R1326" i="11"/>
  <c r="P1326" i="11"/>
  <c r="R1325" i="11"/>
  <c r="P1325" i="11"/>
  <c r="R1324" i="11"/>
  <c r="P1324" i="11"/>
  <c r="R1323" i="11"/>
  <c r="P1323" i="11"/>
  <c r="R1322" i="11"/>
  <c r="P1322" i="11"/>
  <c r="R1321" i="11"/>
  <c r="P1321" i="11"/>
  <c r="R1320" i="11"/>
  <c r="P1320" i="11"/>
  <c r="R1319" i="11"/>
  <c r="P1319" i="11"/>
  <c r="R1318" i="11"/>
  <c r="P1318" i="11"/>
  <c r="R1317" i="11"/>
  <c r="P1317" i="11"/>
  <c r="R1316" i="11"/>
  <c r="P1316" i="11"/>
  <c r="R1315" i="11"/>
  <c r="P1315" i="11"/>
  <c r="R1314" i="11"/>
  <c r="P1314" i="11"/>
  <c r="R1313" i="11"/>
  <c r="P1313" i="11"/>
  <c r="R1312" i="11"/>
  <c r="P1312" i="11"/>
  <c r="R1311" i="11"/>
  <c r="P1311" i="11"/>
  <c r="R1310" i="11"/>
  <c r="P1310" i="11"/>
  <c r="R1309" i="11"/>
  <c r="P1309" i="11"/>
  <c r="R1308" i="11"/>
  <c r="P1308" i="11"/>
  <c r="R1307" i="11"/>
  <c r="P1307" i="11"/>
  <c r="R1306" i="11"/>
  <c r="P1306" i="11"/>
  <c r="R1305" i="11"/>
  <c r="P1305" i="11"/>
  <c r="R1304" i="11"/>
  <c r="P1304" i="11"/>
  <c r="R1303" i="11"/>
  <c r="P1303" i="11"/>
  <c r="R1302" i="11"/>
  <c r="P1302" i="11"/>
  <c r="R1301" i="11"/>
  <c r="P1301" i="11"/>
  <c r="R1300" i="11"/>
  <c r="P1300" i="11"/>
  <c r="R1299" i="11"/>
  <c r="P1299" i="11"/>
  <c r="R1298" i="11"/>
  <c r="P1298" i="11"/>
  <c r="R1297" i="11"/>
  <c r="P1297" i="11"/>
  <c r="R1296" i="11"/>
  <c r="P1296" i="11"/>
  <c r="R1295" i="11"/>
  <c r="P1295" i="11"/>
  <c r="R1294" i="11"/>
  <c r="P1294" i="11"/>
  <c r="R1293" i="11"/>
  <c r="P1293" i="11"/>
  <c r="R1292" i="11"/>
  <c r="P1292" i="11"/>
  <c r="R1291" i="11"/>
  <c r="P1291" i="11"/>
  <c r="R1290" i="11"/>
  <c r="P1290" i="11"/>
  <c r="R1289" i="11"/>
  <c r="P1289" i="11"/>
  <c r="R1288" i="11"/>
  <c r="P1288" i="11"/>
  <c r="R1287" i="11"/>
  <c r="P1287" i="11"/>
  <c r="R1286" i="11"/>
  <c r="P1286" i="11"/>
  <c r="R1285" i="11"/>
  <c r="P1285" i="11"/>
  <c r="R1284" i="11"/>
  <c r="P1284" i="11"/>
  <c r="R1283" i="11"/>
  <c r="P1283" i="11"/>
  <c r="R1282" i="11"/>
  <c r="P1282" i="11"/>
  <c r="R1281" i="11"/>
  <c r="P1281" i="11"/>
  <c r="R1280" i="11"/>
  <c r="P1280" i="11"/>
  <c r="R1279" i="11"/>
  <c r="P1279" i="11"/>
  <c r="R1278" i="11"/>
  <c r="P1278" i="11"/>
  <c r="R1277" i="11"/>
  <c r="P1277" i="11"/>
  <c r="R1276" i="11"/>
  <c r="P1276" i="11"/>
  <c r="R1275" i="11"/>
  <c r="P1275" i="11"/>
  <c r="R1274" i="11"/>
  <c r="P1274" i="11"/>
  <c r="R1273" i="11"/>
  <c r="P1273" i="11"/>
  <c r="R1272" i="11"/>
  <c r="P1272" i="11"/>
  <c r="R1271" i="11"/>
  <c r="P1271" i="11"/>
  <c r="R1270" i="11"/>
  <c r="P1270" i="11"/>
  <c r="R1269" i="11"/>
  <c r="P1269" i="11"/>
  <c r="R1268" i="11"/>
  <c r="P1268" i="11"/>
  <c r="R1267" i="11"/>
  <c r="P1267" i="11"/>
  <c r="R1266" i="11"/>
  <c r="P1266" i="11"/>
  <c r="R1265" i="11"/>
  <c r="P1265" i="11"/>
  <c r="R1264" i="11"/>
  <c r="P1264" i="11"/>
  <c r="R1263" i="11"/>
  <c r="P1263" i="11"/>
  <c r="R1262" i="11"/>
  <c r="P1262" i="11"/>
  <c r="R1261" i="11"/>
  <c r="P1261" i="11"/>
  <c r="R1260" i="11"/>
  <c r="P1260" i="11"/>
  <c r="R1259" i="11"/>
  <c r="P1259" i="11"/>
  <c r="R1258" i="11"/>
  <c r="P1258" i="11"/>
  <c r="R1257" i="11"/>
  <c r="P1257" i="11"/>
  <c r="R1256" i="11"/>
  <c r="P1256" i="11"/>
  <c r="R1255" i="11"/>
  <c r="P1255" i="11"/>
  <c r="R1254" i="11"/>
  <c r="P1254" i="11"/>
  <c r="R1253" i="11"/>
  <c r="P1253" i="11"/>
  <c r="R1252" i="11"/>
  <c r="P1252" i="11"/>
  <c r="R1251" i="11"/>
  <c r="P1251" i="11"/>
  <c r="R1250" i="11"/>
  <c r="P1250" i="11"/>
  <c r="R1249" i="11"/>
  <c r="P1249" i="11"/>
  <c r="R1248" i="11"/>
  <c r="P1248" i="11"/>
  <c r="R1247" i="11"/>
  <c r="P1247" i="11"/>
  <c r="R1246" i="11"/>
  <c r="P1246" i="11"/>
  <c r="R1245" i="11"/>
  <c r="P1245" i="11"/>
  <c r="R1244" i="11"/>
  <c r="P1244" i="11"/>
  <c r="R1243" i="11"/>
  <c r="P1243" i="11"/>
  <c r="R1242" i="11"/>
  <c r="P1242" i="11"/>
  <c r="R1241" i="11"/>
  <c r="P1241" i="11"/>
  <c r="R1240" i="11"/>
  <c r="P1240" i="11"/>
  <c r="R1239" i="11"/>
  <c r="P1239" i="11"/>
  <c r="R1238" i="11"/>
  <c r="P1238" i="11"/>
  <c r="R1237" i="11"/>
  <c r="P1237" i="11"/>
  <c r="R1236" i="11"/>
  <c r="P1236" i="11"/>
  <c r="R1235" i="11"/>
  <c r="P1235" i="11"/>
  <c r="R1234" i="11"/>
  <c r="P1234" i="11"/>
  <c r="R1233" i="11"/>
  <c r="P1233" i="11"/>
  <c r="R1232" i="11"/>
  <c r="P1232" i="11"/>
  <c r="R1231" i="11"/>
  <c r="P1231" i="11"/>
  <c r="R1230" i="11"/>
  <c r="P1230" i="11"/>
  <c r="R1229" i="11"/>
  <c r="P1229" i="11"/>
  <c r="R1228" i="11"/>
  <c r="P1228" i="11"/>
  <c r="R1227" i="11"/>
  <c r="P1227" i="11"/>
  <c r="R1226" i="11"/>
  <c r="P1226" i="11"/>
  <c r="R1225" i="11"/>
  <c r="P1225" i="11"/>
  <c r="R1224" i="11"/>
  <c r="P1224" i="11"/>
  <c r="R1223" i="11"/>
  <c r="P1223" i="11"/>
  <c r="R1222" i="11"/>
  <c r="P1222" i="11"/>
  <c r="R1221" i="11"/>
  <c r="P1221" i="11"/>
  <c r="R1220" i="11"/>
  <c r="P1220" i="11"/>
  <c r="R1219" i="11"/>
  <c r="P1219" i="11"/>
  <c r="R1218" i="11"/>
  <c r="P1218" i="11"/>
  <c r="R1217" i="11"/>
  <c r="P1217" i="11"/>
  <c r="R1216" i="11"/>
  <c r="P1216" i="11"/>
  <c r="R1215" i="11"/>
  <c r="P1215" i="11"/>
  <c r="R1214" i="11"/>
  <c r="P1214" i="11"/>
  <c r="R1213" i="11"/>
  <c r="P1213" i="11"/>
  <c r="R1212" i="11"/>
  <c r="P1212" i="11"/>
  <c r="R1211" i="11"/>
  <c r="P1211" i="11"/>
  <c r="R1210" i="11"/>
  <c r="P1210" i="11"/>
  <c r="R1209" i="11"/>
  <c r="P1209" i="11"/>
  <c r="R1208" i="11"/>
  <c r="P1208" i="11"/>
  <c r="R1207" i="11"/>
  <c r="P1207" i="11"/>
  <c r="R1206" i="11"/>
  <c r="P1206" i="11"/>
  <c r="R1205" i="11"/>
  <c r="P1205" i="11"/>
  <c r="R1204" i="11"/>
  <c r="P1204" i="11"/>
  <c r="R1203" i="11"/>
  <c r="P1203" i="11"/>
  <c r="R1202" i="11"/>
  <c r="P1202" i="11"/>
  <c r="R1201" i="11"/>
  <c r="P1201" i="11"/>
  <c r="R1200" i="11"/>
  <c r="P1200" i="11"/>
  <c r="R1199" i="11"/>
  <c r="P1199" i="11"/>
  <c r="R1198" i="11"/>
  <c r="P1198" i="11"/>
  <c r="R1197" i="11"/>
  <c r="P1197" i="11"/>
  <c r="R1196" i="11"/>
  <c r="P1196" i="11"/>
  <c r="R1195" i="11"/>
  <c r="P1195" i="11"/>
  <c r="R1194" i="11"/>
  <c r="P1194" i="11"/>
  <c r="R1193" i="11"/>
  <c r="P1193" i="11"/>
  <c r="R1192" i="11"/>
  <c r="P1192" i="11"/>
  <c r="R1191" i="11"/>
  <c r="P1191" i="11"/>
  <c r="R1190" i="11"/>
  <c r="P1190" i="11"/>
  <c r="R1189" i="11"/>
  <c r="P1189" i="11"/>
  <c r="R1188" i="11"/>
  <c r="P1188" i="11"/>
  <c r="R1187" i="11"/>
  <c r="P1187" i="11"/>
  <c r="R1186" i="11"/>
  <c r="P1186" i="11"/>
  <c r="R1185" i="11"/>
  <c r="P1185" i="11"/>
  <c r="R1184" i="11"/>
  <c r="P1184" i="11"/>
  <c r="R1183" i="11"/>
  <c r="P1183" i="11"/>
  <c r="R1182" i="11"/>
  <c r="P1182" i="11"/>
  <c r="R1181" i="11"/>
  <c r="P1181" i="11"/>
  <c r="R1180" i="11"/>
  <c r="P1180" i="11"/>
  <c r="R1179" i="11"/>
  <c r="P1179" i="11"/>
  <c r="R1178" i="11"/>
  <c r="P1178" i="11"/>
  <c r="R1177" i="11"/>
  <c r="P1177" i="11"/>
  <c r="R1176" i="11"/>
  <c r="P1176" i="11"/>
  <c r="R1175" i="11"/>
  <c r="P1175" i="11"/>
  <c r="R1174" i="11"/>
  <c r="P1174" i="11"/>
  <c r="R1173" i="11"/>
  <c r="P1173" i="11"/>
  <c r="R1172" i="11"/>
  <c r="P1172" i="11"/>
  <c r="R1171" i="11"/>
  <c r="P1171" i="11"/>
  <c r="R1170" i="11"/>
  <c r="P1170" i="11"/>
  <c r="R1169" i="11"/>
  <c r="P1169" i="11"/>
  <c r="R1168" i="11"/>
  <c r="P1168" i="11"/>
  <c r="R1167" i="11"/>
  <c r="P1167" i="11"/>
  <c r="R1166" i="11"/>
  <c r="P1166" i="11"/>
  <c r="R1165" i="11"/>
  <c r="P1165" i="11"/>
  <c r="R1164" i="11"/>
  <c r="P1164" i="11"/>
  <c r="R1163" i="11"/>
  <c r="P1163" i="11"/>
  <c r="R1162" i="11"/>
  <c r="P1162" i="11"/>
  <c r="R1161" i="11"/>
  <c r="P1161" i="11"/>
  <c r="R1160" i="11"/>
  <c r="P1160" i="11"/>
  <c r="R1159" i="11"/>
  <c r="P1159" i="11"/>
  <c r="R1158" i="11"/>
  <c r="P1158" i="11"/>
  <c r="R1157" i="11"/>
  <c r="P1157" i="11"/>
  <c r="R1156" i="11"/>
  <c r="P1156" i="11"/>
  <c r="R1155" i="11"/>
  <c r="P1155" i="11"/>
  <c r="R1154" i="11"/>
  <c r="P1154" i="11"/>
  <c r="R1153" i="11"/>
  <c r="P1153" i="11"/>
  <c r="R1152" i="11"/>
  <c r="P1152" i="11"/>
  <c r="R1151" i="11"/>
  <c r="P1151" i="11"/>
  <c r="R1150" i="11"/>
  <c r="P1150" i="11"/>
  <c r="R1149" i="11"/>
  <c r="P1149" i="11"/>
  <c r="R1148" i="11"/>
  <c r="P1148" i="11"/>
  <c r="R1147" i="11"/>
  <c r="P1147" i="11"/>
  <c r="R1146" i="11"/>
  <c r="P1146" i="11"/>
  <c r="R1145" i="11"/>
  <c r="P1145" i="11"/>
  <c r="R1144" i="11"/>
  <c r="P1144" i="11"/>
  <c r="R1143" i="11"/>
  <c r="P1143" i="11"/>
  <c r="R1142" i="11"/>
  <c r="P1142" i="11"/>
  <c r="R1141" i="11"/>
  <c r="P1141" i="11"/>
  <c r="R1140" i="11"/>
  <c r="P1140" i="11"/>
  <c r="R1139" i="11"/>
  <c r="P1139" i="11"/>
  <c r="R1138" i="11"/>
  <c r="P1138" i="11"/>
  <c r="R1137" i="11"/>
  <c r="P1137" i="11"/>
  <c r="R1136" i="11"/>
  <c r="P1136" i="11"/>
  <c r="R1135" i="11"/>
  <c r="P1135" i="11"/>
  <c r="R1134" i="11"/>
  <c r="P1134" i="11"/>
  <c r="R1133" i="11"/>
  <c r="P1133" i="11"/>
  <c r="R1132" i="11"/>
  <c r="P1132" i="11"/>
  <c r="R1131" i="11"/>
  <c r="P1131" i="11"/>
  <c r="R1130" i="11"/>
  <c r="P1130" i="11"/>
  <c r="R1129" i="11"/>
  <c r="P1129" i="11"/>
  <c r="R1128" i="11"/>
  <c r="P1128" i="11"/>
  <c r="R1127" i="11"/>
  <c r="P1127" i="11"/>
  <c r="R1126" i="11"/>
  <c r="P1126" i="11"/>
  <c r="R1125" i="11"/>
  <c r="P1125" i="11"/>
  <c r="R1124" i="11"/>
  <c r="P1124" i="11"/>
  <c r="R1123" i="11"/>
  <c r="P1123" i="11"/>
  <c r="R1122" i="11"/>
  <c r="P1122" i="11"/>
  <c r="R1121" i="11"/>
  <c r="P1121" i="11"/>
  <c r="R1120" i="11"/>
  <c r="P1120" i="11"/>
  <c r="R1119" i="11"/>
  <c r="P1119" i="11"/>
  <c r="R1118" i="11"/>
  <c r="P1118" i="11"/>
  <c r="R1117" i="11"/>
  <c r="P1117" i="11"/>
  <c r="R1116" i="11"/>
  <c r="P1116" i="11"/>
  <c r="R1115" i="11"/>
  <c r="P1115" i="11"/>
  <c r="R1114" i="11"/>
  <c r="P1114" i="11"/>
  <c r="R1113" i="11"/>
  <c r="P1113" i="11"/>
  <c r="R1112" i="11"/>
  <c r="P1112" i="11"/>
  <c r="R1111" i="11"/>
  <c r="P1111" i="11"/>
  <c r="R1110" i="11"/>
  <c r="P1110" i="11"/>
  <c r="R1109" i="11"/>
  <c r="P1109" i="11"/>
  <c r="R1108" i="11"/>
  <c r="P1108" i="11"/>
  <c r="R1107" i="11"/>
  <c r="P1107" i="11"/>
  <c r="R1106" i="11"/>
  <c r="P1106" i="11"/>
  <c r="R1105" i="11"/>
  <c r="P1105" i="11"/>
  <c r="R1104" i="11"/>
  <c r="P1104" i="11"/>
  <c r="R1103" i="11"/>
  <c r="P1103" i="11"/>
  <c r="R1102" i="11"/>
  <c r="P1102" i="11"/>
  <c r="R1101" i="11"/>
  <c r="P1101" i="11"/>
  <c r="R1100" i="11"/>
  <c r="P1100" i="11"/>
  <c r="R1099" i="11"/>
  <c r="P1099" i="11"/>
  <c r="R1098" i="11"/>
  <c r="P1098" i="11"/>
  <c r="R1097" i="11"/>
  <c r="P1097" i="11"/>
  <c r="R1096" i="11"/>
  <c r="P1096" i="11"/>
  <c r="R1095" i="11"/>
  <c r="P1095" i="11"/>
  <c r="R1094" i="11"/>
  <c r="P1094" i="11"/>
  <c r="R1093" i="11"/>
  <c r="P1093" i="11"/>
  <c r="R1092" i="11"/>
  <c r="P1092" i="11"/>
  <c r="R1091" i="11"/>
  <c r="P1091" i="11"/>
  <c r="R1090" i="11"/>
  <c r="P1090" i="11"/>
  <c r="R1089" i="11"/>
  <c r="P1089" i="11"/>
  <c r="R1088" i="11"/>
  <c r="P1088" i="11"/>
  <c r="R1087" i="11"/>
  <c r="P1087" i="11"/>
  <c r="R1086" i="11"/>
  <c r="P1086" i="11"/>
  <c r="R1085" i="11"/>
  <c r="P1085" i="11"/>
  <c r="R1084" i="11"/>
  <c r="P1084" i="11"/>
  <c r="R1083" i="11"/>
  <c r="P1083" i="11"/>
  <c r="R1082" i="11"/>
  <c r="P1082" i="11"/>
  <c r="R1081" i="11"/>
  <c r="P1081" i="11"/>
  <c r="R1080" i="11"/>
  <c r="P1080" i="11"/>
  <c r="R1079" i="11"/>
  <c r="P1079" i="11"/>
  <c r="R1078" i="11"/>
  <c r="P1078" i="11"/>
  <c r="R1077" i="11"/>
  <c r="P1077" i="11"/>
  <c r="R1076" i="11"/>
  <c r="P1076" i="11"/>
  <c r="R1075" i="11"/>
  <c r="P1075" i="11"/>
  <c r="R1074" i="11"/>
  <c r="P1074" i="11"/>
  <c r="R1073" i="11"/>
  <c r="P1073" i="11"/>
  <c r="R1072" i="11"/>
  <c r="P1072" i="11"/>
  <c r="R1071" i="11"/>
  <c r="P1071" i="11"/>
  <c r="R1070" i="11"/>
  <c r="P1070" i="11"/>
  <c r="R1069" i="11"/>
  <c r="P1069" i="11"/>
  <c r="R1068" i="11"/>
  <c r="P1068" i="11"/>
  <c r="R1067" i="11"/>
  <c r="P1067" i="11"/>
  <c r="R1066" i="11"/>
  <c r="P1066" i="11"/>
  <c r="R1065" i="11"/>
  <c r="P1065" i="11"/>
  <c r="R1064" i="11"/>
  <c r="P1064" i="11"/>
  <c r="R1063" i="11"/>
  <c r="P1063" i="11"/>
  <c r="R1062" i="11"/>
  <c r="P1062" i="11"/>
  <c r="R1061" i="11"/>
  <c r="P1061" i="11"/>
  <c r="R1060" i="11"/>
  <c r="P1060" i="11"/>
  <c r="R1059" i="11"/>
  <c r="P1059" i="11"/>
  <c r="R1058" i="11"/>
  <c r="P1058" i="11"/>
  <c r="R1057" i="11"/>
  <c r="P1057" i="11"/>
  <c r="R1056" i="11"/>
  <c r="P1056" i="11"/>
  <c r="R1055" i="11"/>
  <c r="P1055" i="11"/>
  <c r="R1054" i="11"/>
  <c r="P1054" i="11"/>
  <c r="R1053" i="11"/>
  <c r="P1053" i="11"/>
  <c r="R1052" i="11"/>
  <c r="P1052" i="11"/>
  <c r="R1051" i="11"/>
  <c r="P1051" i="11"/>
  <c r="R1050" i="11"/>
  <c r="P1050" i="11"/>
  <c r="R1049" i="11"/>
  <c r="P1049" i="11"/>
  <c r="R1048" i="11"/>
  <c r="P1048" i="11"/>
  <c r="R1047" i="11"/>
  <c r="P1047" i="11"/>
  <c r="R1046" i="11"/>
  <c r="P1046" i="11"/>
  <c r="R1045" i="11"/>
  <c r="P1045" i="11"/>
  <c r="R1044" i="11"/>
  <c r="P1044" i="11"/>
  <c r="R1043" i="11"/>
  <c r="P1043" i="11"/>
  <c r="R1042" i="11"/>
  <c r="P1042" i="11"/>
  <c r="R1041" i="11"/>
  <c r="P1041" i="11"/>
  <c r="R1040" i="11"/>
  <c r="P1040" i="11"/>
  <c r="R1039" i="11"/>
  <c r="P1039" i="11"/>
  <c r="R1038" i="11"/>
  <c r="P1038" i="11"/>
  <c r="R1037" i="11"/>
  <c r="P1037" i="11"/>
  <c r="R1036" i="11"/>
  <c r="P1036" i="11"/>
  <c r="R1035" i="11"/>
  <c r="P1035" i="11"/>
  <c r="R1034" i="11"/>
  <c r="P1034" i="11"/>
  <c r="R1033" i="11"/>
  <c r="P1033" i="11"/>
  <c r="R1032" i="11"/>
  <c r="P1032" i="11"/>
  <c r="R1031" i="11"/>
  <c r="P1031" i="11"/>
  <c r="R1030" i="11"/>
  <c r="P1030" i="11"/>
  <c r="R1029" i="11"/>
  <c r="P1029" i="11"/>
  <c r="R1028" i="11"/>
  <c r="P1028" i="11"/>
  <c r="R1027" i="11"/>
  <c r="P1027" i="11"/>
  <c r="R1026" i="11"/>
  <c r="P1026" i="11"/>
  <c r="R1025" i="11"/>
  <c r="P1025" i="11"/>
  <c r="R1024" i="11"/>
  <c r="P1024" i="11"/>
  <c r="R1023" i="11"/>
  <c r="P1023" i="11"/>
  <c r="R1022" i="11"/>
  <c r="P1022" i="11"/>
  <c r="R1021" i="11"/>
  <c r="P1021" i="11"/>
  <c r="R1020" i="11"/>
  <c r="P1020" i="11"/>
  <c r="R1019" i="11"/>
  <c r="P1019" i="11"/>
  <c r="R1018" i="11"/>
  <c r="P1018" i="11"/>
  <c r="R1017" i="11"/>
  <c r="P1017" i="11"/>
  <c r="R1016" i="11"/>
  <c r="P1016" i="11"/>
  <c r="R1015" i="11"/>
  <c r="P1015" i="11"/>
  <c r="R1014" i="11"/>
  <c r="P1014" i="11"/>
  <c r="R1013" i="11"/>
  <c r="P1013" i="11"/>
  <c r="R1012" i="11"/>
  <c r="P1012" i="11"/>
  <c r="R1011" i="11"/>
  <c r="P1011" i="11"/>
  <c r="R1010" i="11"/>
  <c r="P1010" i="11"/>
  <c r="R1009" i="11"/>
  <c r="P1009" i="11"/>
  <c r="R1008" i="11"/>
  <c r="P1008" i="11"/>
  <c r="R1007" i="11"/>
  <c r="P1007" i="11"/>
  <c r="R1006" i="11"/>
  <c r="P1006" i="11"/>
  <c r="R1005" i="11"/>
  <c r="P1005" i="11"/>
  <c r="R1004" i="11"/>
  <c r="P1004" i="11"/>
  <c r="R1003" i="11"/>
  <c r="P1003" i="11"/>
  <c r="R1002" i="11"/>
  <c r="P1002" i="11"/>
  <c r="R1001" i="11"/>
  <c r="P1001" i="11"/>
  <c r="R1000" i="11"/>
  <c r="P1000" i="11"/>
  <c r="R999" i="11"/>
  <c r="P999" i="11"/>
  <c r="R998" i="11"/>
  <c r="P998" i="11"/>
  <c r="R997" i="11"/>
  <c r="P997" i="11"/>
  <c r="R996" i="11"/>
  <c r="P996" i="11"/>
  <c r="R995" i="11"/>
  <c r="P995" i="11"/>
  <c r="R994" i="11"/>
  <c r="P994" i="11"/>
  <c r="R993" i="11"/>
  <c r="P993" i="11"/>
  <c r="R992" i="11"/>
  <c r="P992" i="11"/>
  <c r="R991" i="11"/>
  <c r="P991" i="11"/>
  <c r="R990" i="11"/>
  <c r="P990" i="11"/>
  <c r="R989" i="11"/>
  <c r="P989" i="11"/>
  <c r="R988" i="11"/>
  <c r="P988" i="11"/>
  <c r="R987" i="11"/>
  <c r="P987" i="11"/>
  <c r="R986" i="11"/>
  <c r="P986" i="11"/>
  <c r="R985" i="11"/>
  <c r="P985" i="11"/>
  <c r="R984" i="11"/>
  <c r="P984" i="11"/>
  <c r="R983" i="11"/>
  <c r="P983" i="11"/>
  <c r="R982" i="11"/>
  <c r="P982" i="11"/>
  <c r="R981" i="11"/>
  <c r="P981" i="11"/>
  <c r="R980" i="11"/>
  <c r="P980" i="11"/>
  <c r="R979" i="11"/>
  <c r="P979" i="11"/>
  <c r="R978" i="11"/>
  <c r="P978" i="11"/>
  <c r="R977" i="11"/>
  <c r="P977" i="11"/>
  <c r="R976" i="11"/>
  <c r="P976" i="11"/>
  <c r="R975" i="11"/>
  <c r="P975" i="11"/>
  <c r="R974" i="11"/>
  <c r="P974" i="11"/>
  <c r="R973" i="11"/>
  <c r="P973" i="11"/>
  <c r="R972" i="11"/>
  <c r="P972" i="11"/>
  <c r="R971" i="11"/>
  <c r="P971" i="11"/>
  <c r="R970" i="11"/>
  <c r="P970" i="11"/>
  <c r="R969" i="11"/>
  <c r="P969" i="11"/>
  <c r="R968" i="11"/>
  <c r="P968" i="11"/>
  <c r="R967" i="11"/>
  <c r="P967" i="11"/>
  <c r="R966" i="11"/>
  <c r="P966" i="11"/>
  <c r="R965" i="11"/>
  <c r="P965" i="11"/>
  <c r="R964" i="11"/>
  <c r="P964" i="11"/>
  <c r="R963" i="11"/>
  <c r="P963" i="11"/>
  <c r="R962" i="11"/>
  <c r="P962" i="11"/>
  <c r="R961" i="11"/>
  <c r="P961" i="11"/>
  <c r="R960" i="11"/>
  <c r="P960" i="11"/>
  <c r="R959" i="11"/>
  <c r="P959" i="11"/>
  <c r="R958" i="11"/>
  <c r="P958" i="11"/>
  <c r="R957" i="11"/>
  <c r="P957" i="11"/>
  <c r="R956" i="11"/>
  <c r="P956" i="11"/>
  <c r="R955" i="11"/>
  <c r="P955" i="11"/>
  <c r="R954" i="11"/>
  <c r="P954" i="11"/>
  <c r="R953" i="11"/>
  <c r="P953" i="11"/>
  <c r="R952" i="11"/>
  <c r="P952" i="11"/>
  <c r="R951" i="11"/>
  <c r="P951" i="11"/>
  <c r="R950" i="11"/>
  <c r="P950" i="11"/>
  <c r="R949" i="11"/>
  <c r="P949" i="11"/>
  <c r="R948" i="11"/>
  <c r="P948" i="11"/>
  <c r="R947" i="11"/>
  <c r="P947" i="11"/>
  <c r="R946" i="11"/>
  <c r="P946" i="11"/>
  <c r="R945" i="11"/>
  <c r="P945" i="11"/>
  <c r="R944" i="11"/>
  <c r="P944" i="11"/>
  <c r="R943" i="11"/>
  <c r="P943" i="11"/>
  <c r="R942" i="11"/>
  <c r="P942" i="11"/>
  <c r="R941" i="11"/>
  <c r="P941" i="11"/>
  <c r="R940" i="11"/>
  <c r="P940" i="11"/>
  <c r="R939" i="11"/>
  <c r="P939" i="11"/>
  <c r="R938" i="11"/>
  <c r="P938" i="11"/>
  <c r="R937" i="11"/>
  <c r="P937" i="11"/>
  <c r="R936" i="11"/>
  <c r="P936" i="11"/>
  <c r="R935" i="11"/>
  <c r="P935" i="11"/>
  <c r="R934" i="11"/>
  <c r="P934" i="11"/>
  <c r="R933" i="11"/>
  <c r="P933" i="11"/>
  <c r="R932" i="11"/>
  <c r="P932" i="11"/>
  <c r="R931" i="11"/>
  <c r="P931" i="11"/>
  <c r="R930" i="11"/>
  <c r="P930" i="11"/>
  <c r="R929" i="11"/>
  <c r="P929" i="11"/>
  <c r="R928" i="11"/>
  <c r="P928" i="11"/>
  <c r="R927" i="11"/>
  <c r="P927" i="11"/>
  <c r="R926" i="11"/>
  <c r="P926" i="11"/>
  <c r="R925" i="11"/>
  <c r="P925" i="11"/>
  <c r="R924" i="11"/>
  <c r="P924" i="11"/>
  <c r="R923" i="11"/>
  <c r="P923" i="11"/>
  <c r="R922" i="11"/>
  <c r="P922" i="11"/>
  <c r="R921" i="11"/>
  <c r="P921" i="11"/>
  <c r="R920" i="11"/>
  <c r="P920" i="11"/>
  <c r="R919" i="11"/>
  <c r="P919" i="11"/>
  <c r="R918" i="11"/>
  <c r="P918" i="11"/>
  <c r="R917" i="11"/>
  <c r="P917" i="11"/>
  <c r="R916" i="11"/>
  <c r="P916" i="11"/>
  <c r="R915" i="11"/>
  <c r="P915" i="11"/>
  <c r="R914" i="11"/>
  <c r="P914" i="11"/>
  <c r="R913" i="11"/>
  <c r="P913" i="11"/>
  <c r="R912" i="11"/>
  <c r="P912" i="11"/>
  <c r="R911" i="11"/>
  <c r="P911" i="11"/>
  <c r="R910" i="11"/>
  <c r="P910" i="11"/>
  <c r="R909" i="11"/>
  <c r="P909" i="11"/>
  <c r="R908" i="11"/>
  <c r="P908" i="11"/>
  <c r="R907" i="11"/>
  <c r="P907" i="11"/>
  <c r="R906" i="11"/>
  <c r="P906" i="11"/>
  <c r="R905" i="11"/>
  <c r="P905" i="11"/>
  <c r="R904" i="11"/>
  <c r="P904" i="11"/>
  <c r="R903" i="11"/>
  <c r="P903" i="11"/>
  <c r="R902" i="11"/>
  <c r="P902" i="11"/>
  <c r="R901" i="11"/>
  <c r="P901" i="11"/>
  <c r="R900" i="11"/>
  <c r="P900" i="11"/>
  <c r="R899" i="11"/>
  <c r="P899" i="11"/>
  <c r="R898" i="11"/>
  <c r="P898" i="11"/>
  <c r="R897" i="11"/>
  <c r="P897" i="11"/>
  <c r="R896" i="11"/>
  <c r="P896" i="11"/>
  <c r="R895" i="11"/>
  <c r="P895" i="11"/>
  <c r="R894" i="11"/>
  <c r="P894" i="11"/>
  <c r="R893" i="11"/>
  <c r="P893" i="11"/>
  <c r="R892" i="11"/>
  <c r="P892" i="11"/>
  <c r="R891" i="11"/>
  <c r="P891" i="11"/>
  <c r="R890" i="11"/>
  <c r="P890" i="11"/>
  <c r="R889" i="11"/>
  <c r="P889" i="11"/>
  <c r="R888" i="11"/>
  <c r="P888" i="11"/>
  <c r="R887" i="11"/>
  <c r="P887" i="11"/>
  <c r="R886" i="11"/>
  <c r="P886" i="11"/>
  <c r="R885" i="11"/>
  <c r="P885" i="11"/>
  <c r="R884" i="11"/>
  <c r="P884" i="11"/>
  <c r="R883" i="11"/>
  <c r="P883" i="11"/>
  <c r="R882" i="11"/>
  <c r="P882" i="11"/>
  <c r="R881" i="11"/>
  <c r="P881" i="11"/>
  <c r="R880" i="11"/>
  <c r="P880" i="11"/>
  <c r="R879" i="11"/>
  <c r="P879" i="11"/>
  <c r="R878" i="11"/>
  <c r="P878" i="11"/>
  <c r="R877" i="11"/>
  <c r="P877" i="11"/>
  <c r="R876" i="11"/>
  <c r="P876" i="11"/>
  <c r="R875" i="11"/>
  <c r="P875" i="11"/>
  <c r="R874" i="11"/>
  <c r="P874" i="11"/>
  <c r="R873" i="11"/>
  <c r="P873" i="11"/>
  <c r="R872" i="11"/>
  <c r="P872" i="11"/>
  <c r="R871" i="11"/>
  <c r="P871" i="11"/>
  <c r="R870" i="11"/>
  <c r="P870" i="11"/>
  <c r="R869" i="11"/>
  <c r="P869" i="11"/>
  <c r="R868" i="11"/>
  <c r="P868" i="11"/>
  <c r="R867" i="11"/>
  <c r="P867" i="11"/>
  <c r="R866" i="11"/>
  <c r="P866" i="11"/>
  <c r="R865" i="11"/>
  <c r="P865" i="11"/>
  <c r="R864" i="11"/>
  <c r="P864" i="11"/>
  <c r="R863" i="11"/>
  <c r="P863" i="11"/>
  <c r="R862" i="11"/>
  <c r="P862" i="11"/>
  <c r="R861" i="11"/>
  <c r="P861" i="11"/>
  <c r="R860" i="11"/>
  <c r="P860" i="11"/>
  <c r="R859" i="11"/>
  <c r="P859" i="11"/>
  <c r="R858" i="11"/>
  <c r="P858" i="11"/>
  <c r="R857" i="11"/>
  <c r="P857" i="11"/>
  <c r="R856" i="11"/>
  <c r="P856" i="11"/>
  <c r="R855" i="11"/>
  <c r="P855" i="11"/>
  <c r="R854" i="11"/>
  <c r="P854" i="11"/>
  <c r="R853" i="11"/>
  <c r="P853" i="11"/>
  <c r="R852" i="11"/>
  <c r="P852" i="11"/>
  <c r="R851" i="11"/>
  <c r="P851" i="11"/>
  <c r="R850" i="11"/>
  <c r="P850" i="11"/>
  <c r="R849" i="11"/>
  <c r="P849" i="11"/>
  <c r="R848" i="11"/>
  <c r="P848" i="11"/>
  <c r="R847" i="11"/>
  <c r="P847" i="11"/>
  <c r="R846" i="11"/>
  <c r="P846" i="11"/>
  <c r="R845" i="11"/>
  <c r="P845" i="11"/>
  <c r="R844" i="11"/>
  <c r="P844" i="11"/>
  <c r="R843" i="11"/>
  <c r="P843" i="11"/>
  <c r="R842" i="11"/>
  <c r="P842" i="11"/>
  <c r="R841" i="11"/>
  <c r="P841" i="11"/>
  <c r="R840" i="11"/>
  <c r="P840" i="11"/>
  <c r="R839" i="11"/>
  <c r="P839" i="11"/>
  <c r="R838" i="11"/>
  <c r="P838" i="11"/>
  <c r="R837" i="11"/>
  <c r="P837" i="11"/>
  <c r="R836" i="11"/>
  <c r="P836" i="11"/>
  <c r="R835" i="11"/>
  <c r="P835" i="11"/>
  <c r="R834" i="11"/>
  <c r="P834" i="11"/>
  <c r="R833" i="11"/>
  <c r="P833" i="11"/>
  <c r="R832" i="11"/>
  <c r="P832" i="11"/>
  <c r="R831" i="11"/>
  <c r="P831" i="11"/>
  <c r="R830" i="11"/>
  <c r="P830" i="11"/>
  <c r="R829" i="11"/>
  <c r="P829" i="11"/>
  <c r="R828" i="11"/>
  <c r="P828" i="11"/>
  <c r="R827" i="11"/>
  <c r="P827" i="11"/>
  <c r="R826" i="11"/>
  <c r="P826" i="11"/>
  <c r="R825" i="11"/>
  <c r="P825" i="11"/>
  <c r="R824" i="11"/>
  <c r="P824" i="11"/>
  <c r="R823" i="11"/>
  <c r="P823" i="11"/>
  <c r="R822" i="11"/>
  <c r="P822" i="11"/>
  <c r="R821" i="11"/>
  <c r="P821" i="11"/>
  <c r="R820" i="11"/>
  <c r="P820" i="11"/>
  <c r="R819" i="11"/>
  <c r="P819" i="11"/>
  <c r="R818" i="11"/>
  <c r="P818" i="11"/>
  <c r="R817" i="11"/>
  <c r="P817" i="11"/>
  <c r="R816" i="11"/>
  <c r="P816" i="11"/>
  <c r="R815" i="11"/>
  <c r="P815" i="11"/>
  <c r="R814" i="11"/>
  <c r="P814" i="11"/>
  <c r="R813" i="11"/>
  <c r="P813" i="11"/>
  <c r="R812" i="11"/>
  <c r="P812" i="11"/>
  <c r="R811" i="11"/>
  <c r="P811" i="11"/>
  <c r="R810" i="11"/>
  <c r="P810" i="11"/>
  <c r="R809" i="11"/>
  <c r="P809" i="11"/>
  <c r="R808" i="11"/>
  <c r="P808" i="11"/>
  <c r="R807" i="11"/>
  <c r="P807" i="11"/>
  <c r="R806" i="11"/>
  <c r="P806" i="11"/>
  <c r="R805" i="11"/>
  <c r="P805" i="11"/>
  <c r="R804" i="11"/>
  <c r="P804" i="11"/>
  <c r="R803" i="11"/>
  <c r="P803" i="11"/>
  <c r="R802" i="11"/>
  <c r="P802" i="11"/>
  <c r="R801" i="11"/>
  <c r="P801" i="11"/>
  <c r="R800" i="11"/>
  <c r="P800" i="11"/>
  <c r="R799" i="11"/>
  <c r="P799" i="11"/>
  <c r="R798" i="11"/>
  <c r="P798" i="11"/>
  <c r="R797" i="11"/>
  <c r="P797" i="11"/>
  <c r="R796" i="11"/>
  <c r="P796" i="11"/>
  <c r="R795" i="11"/>
  <c r="P795" i="11"/>
  <c r="R794" i="11"/>
  <c r="P794" i="11"/>
  <c r="R793" i="11"/>
  <c r="P793" i="11"/>
  <c r="R792" i="11"/>
  <c r="P792" i="11"/>
  <c r="R791" i="11"/>
  <c r="P791" i="11"/>
  <c r="R790" i="11"/>
  <c r="P790" i="11"/>
  <c r="R789" i="11"/>
  <c r="P789" i="11"/>
  <c r="R788" i="11"/>
  <c r="P788" i="11"/>
  <c r="R787" i="11"/>
  <c r="P787" i="11"/>
  <c r="R786" i="11"/>
  <c r="P786" i="11"/>
  <c r="R785" i="11"/>
  <c r="P785" i="11"/>
  <c r="R784" i="11"/>
  <c r="P784" i="11"/>
  <c r="R783" i="11"/>
  <c r="P783" i="11"/>
  <c r="R782" i="11"/>
  <c r="P782" i="11"/>
  <c r="R781" i="11"/>
  <c r="P781" i="11"/>
  <c r="R780" i="11"/>
  <c r="P780" i="11"/>
  <c r="R779" i="11"/>
  <c r="P779" i="11"/>
  <c r="R778" i="11"/>
  <c r="P778" i="11"/>
  <c r="R777" i="11"/>
  <c r="P777" i="11"/>
  <c r="R776" i="11"/>
  <c r="P776" i="11"/>
  <c r="R775" i="11"/>
  <c r="P775" i="11"/>
  <c r="R774" i="11"/>
  <c r="P774" i="11"/>
  <c r="R773" i="11"/>
  <c r="P773" i="11"/>
  <c r="R772" i="11"/>
  <c r="P772" i="11"/>
  <c r="R771" i="11"/>
  <c r="P771" i="11"/>
  <c r="R770" i="11"/>
  <c r="P770" i="11"/>
  <c r="R769" i="11"/>
  <c r="P769" i="11"/>
  <c r="R768" i="11"/>
  <c r="P768" i="11"/>
  <c r="R767" i="11"/>
  <c r="P767" i="11"/>
  <c r="R766" i="11"/>
  <c r="P766" i="11"/>
  <c r="R765" i="11"/>
  <c r="P765" i="11"/>
  <c r="R764" i="11"/>
  <c r="P764" i="11"/>
  <c r="R763" i="11"/>
  <c r="P763" i="11"/>
  <c r="R762" i="11"/>
  <c r="P762" i="11"/>
  <c r="R761" i="11"/>
  <c r="P761" i="11"/>
  <c r="R760" i="11"/>
  <c r="P760" i="11"/>
  <c r="R759" i="11"/>
  <c r="P759" i="11"/>
  <c r="R758" i="11"/>
  <c r="P758" i="11"/>
  <c r="R757" i="11"/>
  <c r="P757" i="11"/>
  <c r="R756" i="11"/>
  <c r="P756" i="11"/>
  <c r="R755" i="11"/>
  <c r="P755" i="11"/>
  <c r="R754" i="11"/>
  <c r="P754" i="11"/>
  <c r="R753" i="11"/>
  <c r="P753" i="11"/>
  <c r="R752" i="11"/>
  <c r="P752" i="11"/>
  <c r="R751" i="11"/>
  <c r="P751" i="11"/>
  <c r="R750" i="11"/>
  <c r="P750" i="11"/>
  <c r="R749" i="11"/>
  <c r="P749" i="11"/>
  <c r="R748" i="11"/>
  <c r="P748" i="11"/>
  <c r="R747" i="11"/>
  <c r="P747" i="11"/>
  <c r="R746" i="11"/>
  <c r="P746" i="11"/>
  <c r="R745" i="11"/>
  <c r="P745" i="11"/>
  <c r="R744" i="11"/>
  <c r="P744" i="11"/>
  <c r="R743" i="11"/>
  <c r="P743" i="11"/>
  <c r="R742" i="11"/>
  <c r="P742" i="11"/>
  <c r="R741" i="11"/>
  <c r="P741" i="11"/>
  <c r="R740" i="11"/>
  <c r="P740" i="11"/>
  <c r="R739" i="11"/>
  <c r="P739" i="11"/>
  <c r="R738" i="11"/>
  <c r="P738" i="11"/>
  <c r="R737" i="11"/>
  <c r="P737" i="11"/>
  <c r="R736" i="11"/>
  <c r="P736" i="11"/>
  <c r="R735" i="11"/>
  <c r="P735" i="11"/>
  <c r="R734" i="11"/>
  <c r="P734" i="11"/>
  <c r="R733" i="11"/>
  <c r="P733" i="11"/>
  <c r="R732" i="11"/>
  <c r="P732" i="11"/>
  <c r="R731" i="11"/>
  <c r="P731" i="11"/>
  <c r="R730" i="11"/>
  <c r="P730" i="11"/>
  <c r="R729" i="11"/>
  <c r="P729" i="11"/>
  <c r="R728" i="11"/>
  <c r="P728" i="11"/>
  <c r="R727" i="11"/>
  <c r="P727" i="11"/>
  <c r="R726" i="11"/>
  <c r="P726" i="11"/>
  <c r="R725" i="11"/>
  <c r="P725" i="11"/>
  <c r="R724" i="11"/>
  <c r="P724" i="11"/>
  <c r="R723" i="11"/>
  <c r="P723" i="11"/>
  <c r="R722" i="11"/>
  <c r="P722" i="11"/>
  <c r="R721" i="11"/>
  <c r="P721" i="11"/>
  <c r="R720" i="11"/>
  <c r="P720" i="11"/>
  <c r="R719" i="11"/>
  <c r="P719" i="11"/>
  <c r="R718" i="11"/>
  <c r="P718" i="11"/>
  <c r="R717" i="11"/>
  <c r="P717" i="11"/>
  <c r="R716" i="11"/>
  <c r="P716" i="11"/>
  <c r="R715" i="11"/>
  <c r="P715" i="11"/>
  <c r="R714" i="11"/>
  <c r="P714" i="11"/>
  <c r="R713" i="11"/>
  <c r="P713" i="11"/>
  <c r="R712" i="11"/>
  <c r="P712" i="11"/>
  <c r="R711" i="11"/>
  <c r="P711" i="11"/>
  <c r="R710" i="11"/>
  <c r="P710" i="11"/>
  <c r="R709" i="11"/>
  <c r="P709" i="11"/>
  <c r="R708" i="11"/>
  <c r="P708" i="11"/>
  <c r="R707" i="11"/>
  <c r="P707" i="11"/>
  <c r="R706" i="11"/>
  <c r="P706" i="11"/>
  <c r="R705" i="11"/>
  <c r="P705" i="11"/>
  <c r="R704" i="11"/>
  <c r="P704" i="11"/>
  <c r="R703" i="11"/>
  <c r="P703" i="11"/>
  <c r="R702" i="11"/>
  <c r="P702" i="11"/>
  <c r="R701" i="11"/>
  <c r="P701" i="11"/>
  <c r="R700" i="11"/>
  <c r="P700" i="11"/>
  <c r="R699" i="11"/>
  <c r="P699" i="11"/>
  <c r="R698" i="11"/>
  <c r="P698" i="11"/>
  <c r="R697" i="11"/>
  <c r="P697" i="11"/>
  <c r="R696" i="11"/>
  <c r="P696" i="11"/>
  <c r="R695" i="11"/>
  <c r="P695" i="11"/>
  <c r="R694" i="11"/>
  <c r="P694" i="11"/>
  <c r="R693" i="11"/>
  <c r="P693" i="11"/>
  <c r="R692" i="11"/>
  <c r="P692" i="11"/>
  <c r="R691" i="11"/>
  <c r="P691" i="11"/>
  <c r="R690" i="11"/>
  <c r="P690" i="11"/>
  <c r="R689" i="11"/>
  <c r="P689" i="11"/>
  <c r="R688" i="11"/>
  <c r="P688" i="11"/>
  <c r="R687" i="11"/>
  <c r="P687" i="11"/>
  <c r="R686" i="11"/>
  <c r="P686" i="11"/>
  <c r="R685" i="11"/>
  <c r="P685" i="11"/>
  <c r="R684" i="11"/>
  <c r="P684" i="11"/>
  <c r="R683" i="11"/>
  <c r="P683" i="11"/>
  <c r="R682" i="11"/>
  <c r="P682" i="11"/>
  <c r="R681" i="11"/>
  <c r="P681" i="11"/>
  <c r="R680" i="11"/>
  <c r="P680" i="11"/>
  <c r="R679" i="11"/>
  <c r="P679" i="11"/>
  <c r="R678" i="11"/>
  <c r="P678" i="11"/>
  <c r="R677" i="11"/>
  <c r="P677" i="11"/>
  <c r="R676" i="11"/>
  <c r="P676" i="11"/>
  <c r="R675" i="11"/>
  <c r="P675" i="11"/>
  <c r="R674" i="11"/>
  <c r="P674" i="11"/>
  <c r="R673" i="11"/>
  <c r="P673" i="11"/>
  <c r="R672" i="11"/>
  <c r="P672" i="11"/>
  <c r="R671" i="11"/>
  <c r="P671" i="11"/>
  <c r="R670" i="11"/>
  <c r="P670" i="11"/>
  <c r="R669" i="11"/>
  <c r="P669" i="11"/>
  <c r="R668" i="11"/>
  <c r="P668" i="11"/>
  <c r="R667" i="11"/>
  <c r="P667" i="11"/>
  <c r="R666" i="11"/>
  <c r="P666" i="11"/>
  <c r="R665" i="11"/>
  <c r="P665" i="11"/>
  <c r="R664" i="11"/>
  <c r="P664" i="11"/>
  <c r="R663" i="11"/>
  <c r="P663" i="11"/>
  <c r="R662" i="11"/>
  <c r="P662" i="11"/>
  <c r="R661" i="11"/>
  <c r="P661" i="11"/>
  <c r="R660" i="11"/>
  <c r="P660" i="11"/>
  <c r="R659" i="11"/>
  <c r="P659" i="11"/>
  <c r="R658" i="11"/>
  <c r="P658" i="11"/>
  <c r="R657" i="11"/>
  <c r="P657" i="11"/>
  <c r="R656" i="11"/>
  <c r="P656" i="11"/>
  <c r="R655" i="11"/>
  <c r="P655" i="11"/>
  <c r="R654" i="11"/>
  <c r="P654" i="11"/>
  <c r="R653" i="11"/>
  <c r="P653" i="11"/>
  <c r="R652" i="11"/>
  <c r="P652" i="11"/>
  <c r="R651" i="11"/>
  <c r="P651" i="11"/>
  <c r="R650" i="11"/>
  <c r="P650" i="11"/>
  <c r="R649" i="11"/>
  <c r="P649" i="11"/>
  <c r="R648" i="11"/>
  <c r="P648" i="11"/>
  <c r="R647" i="11"/>
  <c r="P647" i="11"/>
  <c r="R646" i="11"/>
  <c r="P646" i="11"/>
  <c r="R645" i="11"/>
  <c r="P645" i="11"/>
  <c r="R644" i="11"/>
  <c r="P644" i="11"/>
  <c r="R643" i="11"/>
  <c r="P643" i="11"/>
  <c r="R642" i="11"/>
  <c r="P642" i="11"/>
  <c r="R641" i="11"/>
  <c r="P641" i="11"/>
  <c r="R640" i="11"/>
  <c r="P640" i="11"/>
  <c r="R639" i="11"/>
  <c r="P639" i="11"/>
  <c r="R638" i="11"/>
  <c r="P638" i="11"/>
  <c r="R637" i="11"/>
  <c r="P637" i="11"/>
  <c r="R636" i="11"/>
  <c r="P636" i="11"/>
  <c r="R635" i="11"/>
  <c r="P635" i="11"/>
  <c r="R634" i="11"/>
  <c r="P634" i="11"/>
  <c r="R633" i="11"/>
  <c r="P633" i="11"/>
  <c r="R632" i="11"/>
  <c r="P632" i="11"/>
  <c r="R631" i="11"/>
  <c r="P631" i="11"/>
  <c r="R630" i="11"/>
  <c r="P630" i="11"/>
  <c r="R629" i="11"/>
  <c r="P629" i="11"/>
  <c r="R628" i="11"/>
  <c r="P628" i="11"/>
  <c r="R627" i="11"/>
  <c r="P627" i="11"/>
  <c r="R626" i="11"/>
  <c r="P626" i="11"/>
  <c r="R625" i="11"/>
  <c r="P625" i="11"/>
  <c r="R624" i="11"/>
  <c r="P624" i="11"/>
  <c r="R623" i="11"/>
  <c r="P623" i="11"/>
  <c r="R622" i="11"/>
  <c r="P622" i="11"/>
  <c r="R621" i="11"/>
  <c r="P621" i="11"/>
  <c r="R620" i="11"/>
  <c r="P620" i="11"/>
  <c r="R619" i="11"/>
  <c r="P619" i="11"/>
  <c r="R618" i="11"/>
  <c r="P618" i="11"/>
  <c r="R617" i="11"/>
  <c r="P617" i="11"/>
  <c r="R616" i="11"/>
  <c r="P616" i="11"/>
  <c r="R615" i="11"/>
  <c r="P615" i="11"/>
  <c r="R614" i="11"/>
  <c r="P614" i="11"/>
  <c r="R613" i="11"/>
  <c r="P613" i="11"/>
  <c r="R612" i="11"/>
  <c r="P612" i="11"/>
  <c r="R611" i="11"/>
  <c r="P611" i="11"/>
  <c r="R610" i="11"/>
  <c r="P610" i="11"/>
  <c r="R609" i="11"/>
  <c r="P609" i="11"/>
  <c r="R608" i="11"/>
  <c r="P608" i="11"/>
  <c r="R607" i="11"/>
  <c r="P607" i="11"/>
  <c r="R606" i="11"/>
  <c r="P606" i="11"/>
  <c r="R605" i="11"/>
  <c r="P605" i="11"/>
  <c r="R604" i="11"/>
  <c r="P604" i="11"/>
  <c r="R603" i="11"/>
  <c r="P603" i="11"/>
  <c r="R602" i="11"/>
  <c r="P602" i="11"/>
  <c r="R601" i="11"/>
  <c r="P601" i="11"/>
  <c r="R600" i="11"/>
  <c r="P600" i="11"/>
  <c r="R599" i="11"/>
  <c r="P599" i="11"/>
  <c r="R598" i="11"/>
  <c r="P598" i="11"/>
  <c r="R597" i="11"/>
  <c r="P597" i="11"/>
  <c r="R596" i="11"/>
  <c r="P596" i="11"/>
  <c r="R595" i="11"/>
  <c r="P595" i="11"/>
  <c r="R594" i="11"/>
  <c r="P594" i="11"/>
  <c r="R593" i="11"/>
  <c r="P593" i="11"/>
  <c r="R592" i="11"/>
  <c r="P592" i="11"/>
  <c r="R591" i="11"/>
  <c r="P591" i="11"/>
  <c r="R590" i="11"/>
  <c r="P590" i="11"/>
  <c r="R589" i="11"/>
  <c r="P589" i="11"/>
  <c r="R588" i="11"/>
  <c r="P588" i="11"/>
  <c r="R587" i="11"/>
  <c r="P587" i="11"/>
  <c r="R586" i="11"/>
  <c r="P586" i="11"/>
  <c r="R585" i="11"/>
  <c r="P585" i="11"/>
  <c r="R584" i="11"/>
  <c r="P584" i="11"/>
  <c r="R583" i="11"/>
  <c r="P583" i="11"/>
  <c r="R582" i="11"/>
  <c r="P582" i="11"/>
  <c r="R581" i="11"/>
  <c r="P581" i="11"/>
  <c r="R580" i="11"/>
  <c r="P580" i="11"/>
  <c r="R579" i="11"/>
  <c r="P579" i="11"/>
  <c r="R578" i="11"/>
  <c r="P578" i="11"/>
  <c r="R577" i="11"/>
  <c r="P577" i="11"/>
  <c r="R576" i="11"/>
  <c r="P576" i="11"/>
  <c r="R575" i="11"/>
  <c r="P575" i="11"/>
  <c r="R574" i="11"/>
  <c r="P574" i="11"/>
  <c r="R573" i="11"/>
  <c r="P573" i="11"/>
  <c r="R572" i="11"/>
  <c r="P572" i="11"/>
  <c r="R571" i="11"/>
  <c r="P571" i="11"/>
  <c r="R570" i="11"/>
  <c r="P570" i="11"/>
  <c r="R569" i="11"/>
  <c r="P569" i="11"/>
  <c r="R568" i="11"/>
  <c r="P568" i="11"/>
  <c r="R567" i="11"/>
  <c r="P567" i="11"/>
  <c r="R566" i="11"/>
  <c r="P566" i="11"/>
  <c r="R565" i="11"/>
  <c r="P565" i="11"/>
  <c r="R564" i="11"/>
  <c r="P564" i="11"/>
  <c r="R563" i="11"/>
  <c r="P563" i="11"/>
  <c r="R562" i="11"/>
  <c r="P562" i="11"/>
  <c r="R561" i="11"/>
  <c r="P561" i="11"/>
  <c r="R560" i="11"/>
  <c r="P560" i="11"/>
  <c r="R559" i="11"/>
  <c r="P559" i="11"/>
  <c r="R558" i="11"/>
  <c r="P558" i="11"/>
  <c r="R557" i="11"/>
  <c r="P557" i="11"/>
  <c r="R556" i="11"/>
  <c r="P556" i="11"/>
  <c r="R555" i="11"/>
  <c r="P555" i="11"/>
  <c r="R554" i="11"/>
  <c r="P554" i="11"/>
  <c r="R553" i="11"/>
  <c r="P553" i="11"/>
  <c r="R552" i="11"/>
  <c r="P552" i="11"/>
  <c r="R551" i="11"/>
  <c r="P551" i="11"/>
  <c r="R550" i="11"/>
  <c r="P550" i="11"/>
  <c r="R549" i="11"/>
  <c r="P549" i="11"/>
  <c r="R548" i="11"/>
  <c r="P548" i="11"/>
  <c r="R547" i="11"/>
  <c r="P547" i="11"/>
  <c r="R546" i="11"/>
  <c r="P546" i="11"/>
  <c r="R545" i="11"/>
  <c r="P545" i="11"/>
  <c r="R544" i="11"/>
  <c r="P544" i="11"/>
  <c r="R543" i="11"/>
  <c r="P543" i="11"/>
  <c r="R542" i="11"/>
  <c r="P542" i="11"/>
  <c r="R541" i="11"/>
  <c r="P541" i="11"/>
  <c r="R540" i="11"/>
  <c r="P540" i="11"/>
  <c r="R539" i="11"/>
  <c r="P539" i="11"/>
  <c r="R538" i="11"/>
  <c r="P538" i="11"/>
  <c r="R537" i="11"/>
  <c r="P537" i="11"/>
  <c r="R536" i="11"/>
  <c r="P536" i="11"/>
  <c r="R535" i="11"/>
  <c r="P535" i="11"/>
  <c r="R534" i="11"/>
  <c r="P534" i="11"/>
  <c r="R533" i="11"/>
  <c r="P533" i="11"/>
  <c r="R532" i="11"/>
  <c r="P532" i="11"/>
  <c r="R531" i="11"/>
  <c r="P531" i="11"/>
  <c r="R530" i="11"/>
  <c r="P530" i="11"/>
  <c r="R529" i="11"/>
  <c r="P529" i="11"/>
  <c r="R528" i="11"/>
  <c r="P528" i="11"/>
  <c r="R527" i="11"/>
  <c r="P527" i="11"/>
  <c r="R526" i="11"/>
  <c r="P526" i="11"/>
  <c r="R525" i="11"/>
  <c r="P525" i="11"/>
  <c r="R524" i="11"/>
  <c r="P524" i="11"/>
  <c r="R523" i="11"/>
  <c r="P523" i="11"/>
  <c r="R522" i="11"/>
  <c r="P522" i="11"/>
  <c r="R521" i="11"/>
  <c r="P521" i="11"/>
  <c r="R520" i="11"/>
  <c r="P520" i="11"/>
  <c r="R519" i="11"/>
  <c r="P519" i="11"/>
  <c r="R518" i="11"/>
  <c r="P518" i="11"/>
  <c r="R517" i="11"/>
  <c r="P517" i="11"/>
  <c r="R516" i="11"/>
  <c r="P516" i="11"/>
  <c r="R515" i="11"/>
  <c r="P515" i="11"/>
  <c r="R514" i="11"/>
  <c r="P514" i="11"/>
  <c r="R513" i="11"/>
  <c r="P513" i="11"/>
  <c r="R512" i="11"/>
  <c r="P512" i="11"/>
  <c r="R511" i="11"/>
  <c r="P511" i="11"/>
  <c r="R510" i="11"/>
  <c r="P510" i="11"/>
  <c r="R509" i="11"/>
  <c r="P509" i="11"/>
  <c r="R508" i="11"/>
  <c r="P508" i="11"/>
  <c r="R507" i="11"/>
  <c r="P507" i="11"/>
  <c r="R506" i="11"/>
  <c r="P506" i="11"/>
  <c r="R505" i="11"/>
  <c r="P505" i="11"/>
  <c r="R504" i="11"/>
  <c r="P504" i="11"/>
  <c r="R503" i="11"/>
  <c r="P503" i="11"/>
  <c r="R502" i="11"/>
  <c r="P502" i="11"/>
  <c r="R501" i="11"/>
  <c r="P501" i="11"/>
  <c r="R500" i="11"/>
  <c r="P500" i="11"/>
  <c r="R499" i="11"/>
  <c r="P499" i="11"/>
  <c r="R498" i="11"/>
  <c r="P498" i="11"/>
  <c r="R497" i="11"/>
  <c r="P497" i="11"/>
  <c r="R496" i="11"/>
  <c r="P496" i="11"/>
  <c r="R495" i="11"/>
  <c r="P495" i="11"/>
  <c r="R494" i="11"/>
  <c r="P494" i="11"/>
  <c r="R493" i="11"/>
  <c r="P493" i="11"/>
  <c r="R492" i="11"/>
  <c r="P492" i="11"/>
  <c r="R491" i="11"/>
  <c r="P491" i="11"/>
  <c r="R490" i="11"/>
  <c r="P490" i="11"/>
  <c r="R489" i="11"/>
  <c r="P489" i="11"/>
  <c r="R488" i="11"/>
  <c r="P488" i="11"/>
  <c r="R487" i="11"/>
  <c r="P487" i="11"/>
  <c r="R486" i="11"/>
  <c r="P486" i="11"/>
  <c r="R485" i="11"/>
  <c r="P485" i="11"/>
  <c r="R484" i="11"/>
  <c r="P484" i="11"/>
  <c r="R483" i="11"/>
  <c r="P483" i="11"/>
  <c r="R482" i="11"/>
  <c r="P482" i="11"/>
  <c r="R481" i="11"/>
  <c r="P481" i="11"/>
  <c r="R480" i="11"/>
  <c r="P480" i="11"/>
  <c r="R479" i="11"/>
  <c r="P479" i="11"/>
  <c r="R478" i="11"/>
  <c r="P478" i="11"/>
  <c r="R477" i="11"/>
  <c r="P477" i="11"/>
  <c r="R476" i="11"/>
  <c r="P476" i="11"/>
  <c r="R475" i="11"/>
  <c r="P475" i="11"/>
  <c r="R474" i="11"/>
  <c r="P474" i="11"/>
  <c r="R473" i="11"/>
  <c r="P473" i="11"/>
  <c r="R472" i="11"/>
  <c r="P472" i="11"/>
  <c r="R471" i="11"/>
  <c r="P471" i="11"/>
  <c r="R470" i="11"/>
  <c r="P470" i="11"/>
  <c r="R469" i="11"/>
  <c r="P469" i="11"/>
  <c r="R468" i="11"/>
  <c r="P468" i="11"/>
  <c r="R467" i="11"/>
  <c r="P467" i="11"/>
  <c r="R466" i="11"/>
  <c r="P466" i="11"/>
  <c r="R465" i="11"/>
  <c r="P465" i="11"/>
  <c r="R464" i="11"/>
  <c r="P464" i="11"/>
  <c r="R463" i="11"/>
  <c r="P463" i="11"/>
  <c r="R462" i="11"/>
  <c r="P462" i="11"/>
  <c r="R461" i="11"/>
  <c r="P461" i="11"/>
  <c r="R460" i="11"/>
  <c r="P460" i="11"/>
  <c r="R459" i="11"/>
  <c r="P459" i="11"/>
  <c r="R458" i="11"/>
  <c r="P458" i="11"/>
  <c r="R457" i="11"/>
  <c r="P457" i="11"/>
  <c r="R456" i="11"/>
  <c r="P456" i="11"/>
  <c r="R455" i="11"/>
  <c r="P455" i="11"/>
  <c r="R454" i="11"/>
  <c r="P454" i="11"/>
  <c r="R453" i="11"/>
  <c r="P453" i="11"/>
  <c r="R452" i="11"/>
  <c r="P452" i="11"/>
  <c r="R451" i="11"/>
  <c r="P451" i="11"/>
  <c r="R450" i="11"/>
  <c r="P450" i="11"/>
  <c r="R449" i="11"/>
  <c r="P449" i="11"/>
  <c r="R448" i="11"/>
  <c r="P448" i="11"/>
  <c r="R447" i="11"/>
  <c r="P447" i="11"/>
  <c r="R446" i="11"/>
  <c r="P446" i="11"/>
  <c r="R445" i="11"/>
  <c r="P445" i="11"/>
  <c r="R444" i="11"/>
  <c r="P444" i="11"/>
  <c r="R443" i="11"/>
  <c r="P443" i="11"/>
  <c r="R442" i="11"/>
  <c r="P442" i="11"/>
  <c r="R441" i="11"/>
  <c r="P441" i="11"/>
  <c r="R440" i="11"/>
  <c r="P440" i="11"/>
  <c r="R439" i="11"/>
  <c r="P439" i="11"/>
  <c r="R438" i="11"/>
  <c r="P438" i="11"/>
  <c r="R437" i="11"/>
  <c r="P437" i="11"/>
  <c r="R436" i="11"/>
  <c r="P436" i="11"/>
  <c r="R435" i="11"/>
  <c r="P435" i="11"/>
  <c r="R434" i="11"/>
  <c r="P434" i="11"/>
  <c r="R433" i="11"/>
  <c r="P433" i="11"/>
  <c r="R432" i="11"/>
  <c r="P432" i="11"/>
  <c r="R431" i="11"/>
  <c r="P431" i="11"/>
  <c r="R430" i="11"/>
  <c r="P430" i="11"/>
  <c r="R429" i="11"/>
  <c r="P429" i="11"/>
  <c r="R428" i="11"/>
  <c r="P428" i="11"/>
  <c r="R427" i="11"/>
  <c r="P427" i="11"/>
  <c r="R426" i="11"/>
  <c r="P426" i="11"/>
  <c r="R425" i="11"/>
  <c r="P425" i="11"/>
  <c r="R424" i="11"/>
  <c r="P424" i="11"/>
  <c r="R423" i="11"/>
  <c r="P423" i="11"/>
  <c r="R422" i="11"/>
  <c r="P422" i="11"/>
  <c r="R421" i="11"/>
  <c r="P421" i="11"/>
  <c r="R420" i="11"/>
  <c r="P420" i="11"/>
  <c r="R419" i="11"/>
  <c r="P419" i="11"/>
  <c r="R418" i="11"/>
  <c r="P418" i="11"/>
  <c r="R417" i="11"/>
  <c r="P417" i="11"/>
  <c r="R416" i="11"/>
  <c r="P416" i="11"/>
  <c r="R415" i="11"/>
  <c r="P415" i="11"/>
  <c r="R414" i="11"/>
  <c r="P414" i="11"/>
  <c r="R413" i="11"/>
  <c r="P413" i="11"/>
  <c r="R412" i="11"/>
  <c r="P412" i="11"/>
  <c r="R411" i="11"/>
  <c r="P411" i="11"/>
  <c r="R410" i="11"/>
  <c r="P410" i="11"/>
  <c r="R409" i="11"/>
  <c r="P409" i="11"/>
  <c r="R408" i="11"/>
  <c r="P408" i="11"/>
  <c r="R407" i="11"/>
  <c r="P407" i="11"/>
  <c r="R406" i="11"/>
  <c r="P406" i="11"/>
  <c r="R405" i="11"/>
  <c r="P405" i="11"/>
  <c r="R404" i="11"/>
  <c r="P404" i="11"/>
  <c r="R403" i="11"/>
  <c r="P403" i="11"/>
  <c r="R402" i="11"/>
  <c r="P402" i="11"/>
  <c r="R401" i="11"/>
  <c r="P401" i="11"/>
  <c r="R400" i="11"/>
  <c r="P400" i="11"/>
  <c r="R399" i="11"/>
  <c r="P399" i="11"/>
  <c r="R398" i="11"/>
  <c r="P398" i="11"/>
  <c r="R397" i="11"/>
  <c r="P397" i="11"/>
  <c r="R396" i="11"/>
  <c r="P396" i="11"/>
  <c r="R395" i="11"/>
  <c r="P395" i="11"/>
  <c r="R394" i="11"/>
  <c r="P394" i="11"/>
  <c r="R393" i="11"/>
  <c r="P393" i="11"/>
  <c r="R392" i="11"/>
  <c r="P392" i="11"/>
  <c r="R391" i="11"/>
  <c r="P391" i="11"/>
  <c r="R390" i="11"/>
  <c r="P390" i="11"/>
  <c r="R389" i="11"/>
  <c r="P389" i="11"/>
  <c r="R388" i="11"/>
  <c r="P388" i="11"/>
  <c r="R387" i="11"/>
  <c r="P387" i="11"/>
  <c r="R386" i="11"/>
  <c r="P386" i="11"/>
  <c r="R385" i="11"/>
  <c r="P385" i="11"/>
  <c r="R384" i="11"/>
  <c r="P384" i="11"/>
  <c r="R383" i="11"/>
  <c r="P383" i="11"/>
  <c r="R382" i="11"/>
  <c r="P382" i="11"/>
  <c r="R381" i="11"/>
  <c r="P381" i="11"/>
  <c r="R380" i="11"/>
  <c r="P380" i="11"/>
  <c r="R379" i="11"/>
  <c r="P379" i="11"/>
  <c r="R378" i="11"/>
  <c r="P378" i="11"/>
  <c r="R377" i="11"/>
  <c r="P377" i="11"/>
  <c r="R376" i="11"/>
  <c r="P376" i="11"/>
  <c r="R375" i="11"/>
  <c r="P375" i="11"/>
  <c r="R374" i="11"/>
  <c r="P374" i="11"/>
  <c r="R373" i="11"/>
  <c r="P373" i="11"/>
  <c r="R372" i="11"/>
  <c r="P372" i="11"/>
  <c r="R371" i="11"/>
  <c r="P371" i="11"/>
  <c r="R370" i="11"/>
  <c r="P370" i="11"/>
  <c r="R369" i="11"/>
  <c r="P369" i="11"/>
  <c r="R368" i="11"/>
  <c r="P368" i="11"/>
  <c r="R367" i="11"/>
  <c r="P367" i="11"/>
  <c r="R366" i="11"/>
  <c r="P366" i="11"/>
  <c r="R365" i="11"/>
  <c r="P365" i="11"/>
  <c r="R364" i="11"/>
  <c r="P364" i="11"/>
  <c r="G282" i="11"/>
  <c r="R363" i="11"/>
  <c r="P363" i="11"/>
  <c r="G281" i="11"/>
  <c r="R362" i="11"/>
  <c r="P362" i="11"/>
  <c r="R361" i="11"/>
  <c r="P361" i="11"/>
  <c r="R360" i="11"/>
  <c r="P360" i="11"/>
  <c r="R359" i="11"/>
  <c r="P359" i="11"/>
  <c r="R358" i="11"/>
  <c r="P358" i="11"/>
  <c r="R357" i="11"/>
  <c r="P357" i="11"/>
  <c r="R356" i="11"/>
  <c r="P356" i="11"/>
  <c r="R355" i="11"/>
  <c r="P355" i="11"/>
  <c r="G280" i="11"/>
  <c r="R354" i="11"/>
  <c r="P354" i="11"/>
  <c r="G279" i="11"/>
  <c r="R353" i="11"/>
  <c r="P353" i="11"/>
  <c r="G278" i="11"/>
  <c r="R352" i="11"/>
  <c r="P352" i="11"/>
  <c r="G277" i="11"/>
  <c r="R351" i="11"/>
  <c r="P351" i="11"/>
  <c r="G276" i="11"/>
  <c r="R350" i="11"/>
  <c r="P350" i="11"/>
  <c r="G275" i="11"/>
  <c r="R349" i="11"/>
  <c r="P349" i="11"/>
  <c r="G274" i="11"/>
  <c r="R348" i="11"/>
  <c r="P348" i="11"/>
  <c r="G273" i="11"/>
  <c r="R347" i="11"/>
  <c r="P347" i="11"/>
  <c r="R346" i="11"/>
  <c r="P346" i="11"/>
  <c r="R345" i="11"/>
  <c r="P345" i="11"/>
  <c r="R344" i="11"/>
  <c r="P344" i="11"/>
  <c r="R343" i="11"/>
  <c r="P343" i="11"/>
  <c r="R342" i="11"/>
  <c r="P342" i="11"/>
  <c r="R341" i="11"/>
  <c r="P341" i="11"/>
  <c r="R340" i="11"/>
  <c r="P340" i="11"/>
  <c r="R339" i="11"/>
  <c r="P339" i="11"/>
  <c r="R338" i="11"/>
  <c r="P338" i="11"/>
  <c r="R337" i="11"/>
  <c r="P337" i="11"/>
  <c r="R336" i="11"/>
  <c r="P336" i="11"/>
  <c r="R335" i="11"/>
  <c r="P335" i="11"/>
  <c r="R334" i="11"/>
  <c r="P334" i="11"/>
  <c r="R333" i="11"/>
  <c r="P333" i="11"/>
  <c r="R332" i="11"/>
  <c r="P332" i="11"/>
  <c r="G270" i="11"/>
  <c r="R331" i="11"/>
  <c r="P331" i="11"/>
  <c r="G269" i="11"/>
  <c r="R330" i="11"/>
  <c r="P330" i="11"/>
  <c r="R329" i="11"/>
  <c r="P329" i="11"/>
  <c r="R328" i="11"/>
  <c r="P328" i="11"/>
  <c r="R327" i="11"/>
  <c r="P327" i="11"/>
  <c r="R326" i="11"/>
  <c r="P326" i="11"/>
  <c r="R325" i="11"/>
  <c r="P325" i="11"/>
  <c r="R324" i="11"/>
  <c r="P324" i="11"/>
  <c r="G268" i="11"/>
  <c r="R323" i="11"/>
  <c r="P323" i="11"/>
  <c r="G267" i="11"/>
  <c r="R322" i="11"/>
  <c r="P322" i="11"/>
  <c r="G266" i="11"/>
  <c r="R321" i="11"/>
  <c r="P321" i="11"/>
  <c r="G265" i="11"/>
  <c r="R320" i="11"/>
  <c r="P320" i="11"/>
  <c r="G264" i="11"/>
  <c r="R319" i="11"/>
  <c r="P319" i="11"/>
  <c r="G263" i="11"/>
  <c r="R318" i="11"/>
  <c r="P318" i="11"/>
  <c r="G262" i="11"/>
  <c r="R317" i="11"/>
  <c r="P317" i="11"/>
  <c r="G261" i="11"/>
  <c r="R316" i="11"/>
  <c r="P316" i="11"/>
  <c r="G260" i="11"/>
  <c r="R315" i="11"/>
  <c r="P315" i="11"/>
  <c r="R314" i="11"/>
  <c r="P314" i="11"/>
  <c r="R313" i="11"/>
  <c r="P313" i="11"/>
  <c r="R312" i="11"/>
  <c r="P312" i="11"/>
  <c r="R311" i="11"/>
  <c r="P311" i="11"/>
  <c r="R310" i="11"/>
  <c r="P310" i="11"/>
  <c r="R309" i="11"/>
  <c r="P309" i="11"/>
  <c r="R308" i="11"/>
  <c r="P308" i="11"/>
  <c r="R307" i="11"/>
  <c r="P307" i="11"/>
  <c r="R306" i="11"/>
  <c r="P306" i="11"/>
  <c r="R305" i="11"/>
  <c r="P305" i="11"/>
  <c r="R304" i="11"/>
  <c r="P304" i="11"/>
  <c r="R303" i="11"/>
  <c r="P303" i="11"/>
  <c r="R302" i="11"/>
  <c r="P302" i="11"/>
  <c r="R301" i="11"/>
  <c r="P301" i="11"/>
  <c r="R300" i="11"/>
  <c r="P300" i="11"/>
  <c r="G257" i="11"/>
  <c r="R299" i="11"/>
  <c r="P299" i="11"/>
  <c r="G256" i="11"/>
  <c r="R298" i="11"/>
  <c r="P298" i="11"/>
  <c r="R297" i="11"/>
  <c r="P297" i="11"/>
  <c r="R296" i="11"/>
  <c r="P296" i="11"/>
  <c r="R295" i="11"/>
  <c r="P295" i="11"/>
  <c r="R294" i="11"/>
  <c r="P294" i="11"/>
  <c r="R293" i="11"/>
  <c r="P293" i="11"/>
  <c r="R292" i="11"/>
  <c r="P292" i="11"/>
  <c r="G255" i="11"/>
  <c r="R291" i="11"/>
  <c r="P291" i="11"/>
  <c r="G254" i="11"/>
  <c r="R290" i="11"/>
  <c r="P290" i="11"/>
  <c r="G253" i="11"/>
  <c r="R289" i="11"/>
  <c r="P289" i="11"/>
  <c r="G252" i="11"/>
  <c r="R288" i="11"/>
  <c r="P288" i="11"/>
  <c r="G251" i="11"/>
  <c r="R287" i="11"/>
  <c r="P287" i="11"/>
  <c r="G250" i="11"/>
  <c r="R286" i="11"/>
  <c r="P286" i="11"/>
  <c r="G249" i="11"/>
  <c r="R285" i="11"/>
  <c r="P285" i="11"/>
  <c r="G248" i="11"/>
  <c r="R284" i="11"/>
  <c r="P284" i="11"/>
  <c r="G247" i="11"/>
  <c r="R283" i="11"/>
  <c r="P283" i="11"/>
  <c r="R282" i="11"/>
  <c r="P282" i="11"/>
  <c r="R281" i="11"/>
  <c r="P281" i="11"/>
  <c r="R280" i="11"/>
  <c r="P280" i="11"/>
  <c r="R279" i="11"/>
  <c r="P279" i="11"/>
  <c r="R278" i="11"/>
  <c r="P278" i="11"/>
  <c r="R277" i="11"/>
  <c r="P277" i="11"/>
  <c r="R276" i="11"/>
  <c r="P276" i="11"/>
  <c r="R275" i="11"/>
  <c r="P275" i="11"/>
  <c r="R274" i="11"/>
  <c r="P274" i="11"/>
  <c r="R273" i="11"/>
  <c r="P273" i="11"/>
  <c r="R272" i="11"/>
  <c r="P272" i="11"/>
  <c r="R271" i="11"/>
  <c r="P271" i="11"/>
  <c r="R270" i="11"/>
  <c r="P270" i="11"/>
  <c r="R269" i="11"/>
  <c r="P269" i="11"/>
  <c r="R268" i="11"/>
  <c r="P268" i="11"/>
  <c r="G244" i="11"/>
  <c r="R267" i="11"/>
  <c r="P267" i="11"/>
  <c r="R266" i="11"/>
  <c r="P266" i="11"/>
  <c r="R265" i="11"/>
  <c r="P265" i="11"/>
  <c r="R264" i="11"/>
  <c r="P264" i="11"/>
  <c r="R263" i="11"/>
  <c r="P263" i="11"/>
  <c r="R262" i="11"/>
  <c r="P262" i="11"/>
  <c r="R261" i="11"/>
  <c r="P261" i="11"/>
  <c r="R260" i="11"/>
  <c r="P260" i="11"/>
  <c r="G242" i="11"/>
  <c r="R259" i="11"/>
  <c r="P259" i="11"/>
  <c r="G241" i="11"/>
  <c r="R258" i="11"/>
  <c r="P258" i="11"/>
  <c r="G240" i="11"/>
  <c r="R257" i="11"/>
  <c r="P257" i="11"/>
  <c r="G239" i="11"/>
  <c r="R256" i="11"/>
  <c r="P256" i="11"/>
  <c r="G238" i="11"/>
  <c r="R255" i="11"/>
  <c r="P255" i="11"/>
  <c r="G237" i="11"/>
  <c r="R254" i="11"/>
  <c r="P254" i="11"/>
  <c r="G236" i="11"/>
  <c r="R253" i="11"/>
  <c r="P253" i="11"/>
  <c r="G235" i="11"/>
  <c r="R252" i="11"/>
  <c r="P252" i="11"/>
  <c r="G234" i="11"/>
  <c r="R251" i="11"/>
  <c r="P251" i="11"/>
  <c r="R250" i="11"/>
  <c r="P250" i="11"/>
  <c r="R249" i="11"/>
  <c r="P249" i="11"/>
  <c r="R248" i="11"/>
  <c r="P248" i="11"/>
  <c r="R247" i="11"/>
  <c r="P247" i="11"/>
  <c r="R246" i="11"/>
  <c r="P246" i="11"/>
  <c r="R245" i="11"/>
  <c r="P245" i="11"/>
  <c r="R244" i="11"/>
  <c r="P244" i="11"/>
  <c r="R243" i="11"/>
  <c r="P243" i="11"/>
  <c r="R242" i="11"/>
  <c r="P242" i="11"/>
  <c r="R241" i="11"/>
  <c r="P241" i="11"/>
  <c r="R240" i="11"/>
  <c r="P240" i="11"/>
  <c r="R239" i="11"/>
  <c r="P239" i="11"/>
  <c r="R238" i="11"/>
  <c r="P238" i="11"/>
  <c r="R237" i="11"/>
  <c r="P237" i="11"/>
  <c r="R236" i="11"/>
  <c r="P236" i="11"/>
  <c r="R235" i="11"/>
  <c r="P235" i="11"/>
  <c r="R234" i="11"/>
  <c r="P234" i="11"/>
  <c r="R233" i="11"/>
  <c r="P233" i="11"/>
  <c r="R232" i="11"/>
  <c r="P232" i="11"/>
  <c r="R231" i="11"/>
  <c r="P231" i="11"/>
  <c r="R230" i="11"/>
  <c r="P230" i="11"/>
  <c r="R229" i="11"/>
  <c r="P229" i="11"/>
  <c r="R228" i="11"/>
  <c r="P228" i="11"/>
  <c r="R227" i="11"/>
  <c r="P227" i="11"/>
  <c r="R226" i="11"/>
  <c r="P226" i="11"/>
  <c r="R225" i="11"/>
  <c r="P225" i="11"/>
  <c r="R224" i="11"/>
  <c r="P224" i="11"/>
  <c r="R223" i="11"/>
  <c r="P223" i="11"/>
  <c r="R222" i="11"/>
  <c r="P222" i="11"/>
  <c r="R221" i="11"/>
  <c r="P221" i="11"/>
  <c r="R220" i="11"/>
  <c r="P220" i="11"/>
  <c r="R219" i="11"/>
  <c r="P219" i="11"/>
  <c r="R218" i="11"/>
  <c r="P218" i="11"/>
  <c r="R217" i="11"/>
  <c r="P217" i="11"/>
  <c r="R216" i="11"/>
  <c r="P216" i="11"/>
  <c r="R215" i="11"/>
  <c r="P215" i="11"/>
  <c r="R214" i="11"/>
  <c r="P214" i="11"/>
  <c r="R213" i="11"/>
  <c r="P213" i="11"/>
  <c r="R212" i="11"/>
  <c r="P212" i="11"/>
  <c r="R211" i="11"/>
  <c r="P211" i="11"/>
  <c r="R210" i="11"/>
  <c r="P210" i="11"/>
  <c r="R209" i="11"/>
  <c r="P209" i="11"/>
  <c r="R208" i="11"/>
  <c r="P208" i="11"/>
  <c r="R207" i="11"/>
  <c r="P207" i="11"/>
  <c r="R206" i="11"/>
  <c r="P206" i="11"/>
  <c r="R205" i="11"/>
  <c r="P205" i="11"/>
  <c r="R204" i="11"/>
  <c r="P204" i="11"/>
  <c r="R203" i="11"/>
  <c r="P203" i="11"/>
  <c r="R202" i="11"/>
  <c r="P202" i="11"/>
  <c r="R201" i="11"/>
  <c r="P201" i="11"/>
  <c r="R200" i="11"/>
  <c r="P200" i="11"/>
  <c r="R199" i="11"/>
  <c r="P199" i="11"/>
  <c r="R198" i="11"/>
  <c r="P198" i="11"/>
  <c r="R197" i="11"/>
  <c r="P197" i="11"/>
  <c r="R196" i="11"/>
  <c r="P196" i="11"/>
  <c r="R195" i="11"/>
  <c r="P195" i="11"/>
  <c r="R194" i="11"/>
  <c r="P194" i="11"/>
  <c r="R193" i="11"/>
  <c r="P193" i="11"/>
  <c r="R192" i="11"/>
  <c r="P192" i="11"/>
  <c r="R191" i="11"/>
  <c r="P191" i="11"/>
  <c r="R190" i="11"/>
  <c r="P190" i="11"/>
  <c r="R189" i="11"/>
  <c r="P189" i="11"/>
  <c r="R188" i="11"/>
  <c r="P188" i="11"/>
  <c r="R187" i="11"/>
  <c r="P187" i="11"/>
  <c r="R186" i="11"/>
  <c r="P186" i="11"/>
  <c r="R185" i="11"/>
  <c r="P185" i="11"/>
  <c r="R184" i="11"/>
  <c r="P184" i="11"/>
  <c r="R183" i="11"/>
  <c r="P183" i="11"/>
  <c r="R182" i="11"/>
  <c r="P182" i="11"/>
  <c r="R181" i="11"/>
  <c r="P181" i="11"/>
  <c r="R180" i="11"/>
  <c r="P180" i="11"/>
  <c r="R179" i="11"/>
  <c r="P179" i="11"/>
  <c r="R178" i="11"/>
  <c r="P178" i="11"/>
  <c r="R177" i="11"/>
  <c r="P177" i="11"/>
  <c r="R176" i="11"/>
  <c r="P176" i="11"/>
  <c r="R175" i="11"/>
  <c r="P175" i="11"/>
  <c r="R174" i="11"/>
  <c r="P174" i="11"/>
  <c r="R173" i="11"/>
  <c r="P173" i="11"/>
  <c r="R172" i="11"/>
  <c r="P172" i="11"/>
  <c r="R171" i="11"/>
  <c r="P171" i="11"/>
  <c r="R170" i="11"/>
  <c r="P170" i="11"/>
  <c r="R169" i="11"/>
  <c r="P169" i="11"/>
  <c r="R168" i="11"/>
  <c r="P168" i="11"/>
  <c r="R167" i="11"/>
  <c r="P167" i="11"/>
  <c r="R166" i="11"/>
  <c r="P166" i="11"/>
  <c r="R165" i="11"/>
  <c r="P165" i="11"/>
  <c r="R164" i="11"/>
  <c r="P164" i="11"/>
  <c r="R163" i="11"/>
  <c r="P163" i="11"/>
  <c r="R162" i="11"/>
  <c r="P162" i="11"/>
  <c r="R161" i="11"/>
  <c r="P161" i="11"/>
  <c r="R160" i="11"/>
  <c r="P160" i="11"/>
  <c r="R159" i="11"/>
  <c r="P159" i="11"/>
  <c r="R158" i="11"/>
  <c r="P158" i="11"/>
  <c r="R157" i="11"/>
  <c r="P157" i="11"/>
  <c r="R156" i="11"/>
  <c r="P156" i="11"/>
  <c r="R155" i="11"/>
  <c r="P155" i="11"/>
  <c r="R154" i="11"/>
  <c r="P154" i="11"/>
  <c r="R153" i="11"/>
  <c r="P153" i="11"/>
  <c r="R152" i="11"/>
  <c r="P152" i="11"/>
  <c r="R151" i="11"/>
  <c r="P151" i="11"/>
  <c r="R150" i="11"/>
  <c r="P150" i="11"/>
  <c r="R149" i="11"/>
  <c r="P149" i="11"/>
  <c r="R148" i="11"/>
  <c r="P148" i="11"/>
  <c r="R147" i="11"/>
  <c r="P147" i="11"/>
  <c r="R146" i="11"/>
  <c r="P146" i="11"/>
  <c r="R145" i="11"/>
  <c r="P145" i="11"/>
  <c r="R144" i="11"/>
  <c r="P144" i="11"/>
  <c r="R143" i="11"/>
  <c r="P143" i="11"/>
  <c r="R142" i="11"/>
  <c r="P142" i="11"/>
  <c r="R141" i="11"/>
  <c r="P141" i="11"/>
  <c r="R140" i="11"/>
  <c r="P140" i="11"/>
  <c r="R139" i="11"/>
  <c r="P139" i="11"/>
  <c r="R138" i="11"/>
  <c r="P138" i="11"/>
  <c r="R137" i="11"/>
  <c r="P137" i="11"/>
  <c r="R136" i="11"/>
  <c r="P136" i="11"/>
  <c r="R135" i="11"/>
  <c r="P135" i="11"/>
  <c r="R134" i="11"/>
  <c r="P134" i="11"/>
  <c r="R133" i="11"/>
  <c r="P133" i="11"/>
  <c r="R132" i="11"/>
  <c r="P132" i="11"/>
  <c r="R131" i="11"/>
  <c r="P131" i="11"/>
  <c r="R130" i="11"/>
  <c r="P130" i="11"/>
  <c r="R129" i="11"/>
  <c r="P129" i="11"/>
  <c r="R128" i="11"/>
  <c r="P128" i="11"/>
  <c r="R127" i="11"/>
  <c r="P127" i="11"/>
  <c r="R126" i="11"/>
  <c r="P126" i="11"/>
  <c r="R125" i="11"/>
  <c r="P125" i="11"/>
  <c r="R124" i="11"/>
  <c r="P124" i="11"/>
  <c r="R123" i="11"/>
  <c r="P123" i="11"/>
  <c r="R122" i="11"/>
  <c r="P122" i="11"/>
  <c r="R121" i="11"/>
  <c r="P121" i="11"/>
  <c r="R120" i="11"/>
  <c r="P120" i="11"/>
  <c r="R119" i="11"/>
  <c r="P119" i="11"/>
  <c r="R118" i="11"/>
  <c r="P118" i="11"/>
  <c r="R117" i="11"/>
  <c r="P117" i="11"/>
  <c r="R116" i="11"/>
  <c r="P116" i="11"/>
  <c r="R115" i="11"/>
  <c r="P115" i="11"/>
  <c r="R114" i="11"/>
  <c r="P114" i="11"/>
  <c r="R113" i="11"/>
  <c r="P113" i="11"/>
  <c r="R112" i="11"/>
  <c r="P112" i="11"/>
  <c r="R111" i="11"/>
  <c r="P111" i="11"/>
  <c r="R110" i="11"/>
  <c r="P110" i="11"/>
  <c r="R109" i="11"/>
  <c r="P109" i="11"/>
  <c r="R108" i="11"/>
  <c r="P108" i="11"/>
  <c r="R107" i="11"/>
  <c r="P107" i="11"/>
  <c r="R106" i="11"/>
  <c r="P106" i="11"/>
  <c r="R105" i="11"/>
  <c r="P105" i="11"/>
  <c r="R104" i="11"/>
  <c r="P104" i="11"/>
  <c r="R103" i="11"/>
  <c r="P103" i="11"/>
  <c r="R102" i="11"/>
  <c r="P102" i="11"/>
  <c r="R101" i="11"/>
  <c r="P101" i="11"/>
  <c r="R100" i="11"/>
  <c r="P100" i="11"/>
  <c r="R99" i="11"/>
  <c r="P99" i="11"/>
  <c r="R98" i="11"/>
  <c r="P98" i="11"/>
  <c r="R97" i="11"/>
  <c r="P97" i="11"/>
  <c r="R96" i="11"/>
  <c r="P96" i="11"/>
  <c r="R95" i="11"/>
  <c r="P95" i="11"/>
  <c r="R94" i="11"/>
  <c r="P94" i="11"/>
  <c r="R93" i="11"/>
  <c r="P93" i="11"/>
  <c r="R92" i="11"/>
  <c r="P92" i="11"/>
  <c r="R91" i="11"/>
  <c r="P91" i="11"/>
  <c r="R90" i="11"/>
  <c r="P90" i="11"/>
  <c r="R89" i="11"/>
  <c r="P89" i="11"/>
  <c r="R88" i="11"/>
  <c r="P88" i="11"/>
  <c r="R87" i="11"/>
  <c r="P87" i="11"/>
  <c r="R86" i="11"/>
  <c r="P86" i="11"/>
  <c r="R85" i="11"/>
  <c r="P85" i="11"/>
  <c r="R84" i="11"/>
  <c r="P84" i="11"/>
  <c r="R83" i="11"/>
  <c r="P83" i="11"/>
  <c r="R82" i="11"/>
  <c r="P82" i="11"/>
  <c r="R81" i="11"/>
  <c r="P81" i="11"/>
  <c r="R80" i="11"/>
  <c r="P80" i="11"/>
  <c r="R79" i="11"/>
  <c r="P79" i="11"/>
  <c r="R78" i="11"/>
  <c r="P78" i="11"/>
  <c r="R77" i="11"/>
  <c r="P77" i="11"/>
  <c r="R76" i="11"/>
  <c r="P76" i="11"/>
  <c r="R75" i="11"/>
  <c r="P75" i="11"/>
  <c r="R74" i="11"/>
  <c r="P74" i="11"/>
  <c r="R73" i="11"/>
  <c r="P73" i="11"/>
  <c r="R72" i="11"/>
  <c r="P72" i="11"/>
  <c r="R71" i="11"/>
  <c r="P71" i="11"/>
  <c r="R70" i="11"/>
  <c r="P70" i="11"/>
  <c r="R69" i="11"/>
  <c r="P69" i="11"/>
  <c r="R68" i="11"/>
  <c r="P68" i="11"/>
  <c r="R67" i="11"/>
  <c r="P67" i="11"/>
  <c r="R66" i="11"/>
  <c r="P66" i="11"/>
  <c r="R65" i="11"/>
  <c r="P65" i="11"/>
  <c r="R64" i="11"/>
  <c r="P64" i="11"/>
  <c r="R63" i="11"/>
  <c r="P63" i="11"/>
  <c r="R62" i="11"/>
  <c r="P62" i="11"/>
  <c r="R61" i="11"/>
  <c r="P61" i="11"/>
  <c r="R60" i="11"/>
  <c r="P60" i="11"/>
  <c r="R59" i="11"/>
  <c r="P59" i="11"/>
  <c r="R58" i="11"/>
  <c r="P58" i="11"/>
  <c r="R57" i="11"/>
  <c r="P57" i="11"/>
  <c r="R56" i="11"/>
  <c r="P56" i="11"/>
  <c r="R55" i="11"/>
  <c r="P55" i="11"/>
  <c r="R54" i="11"/>
  <c r="P54" i="11"/>
  <c r="R53" i="11"/>
  <c r="P53" i="11"/>
  <c r="R52" i="11"/>
  <c r="P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B6" i="11"/>
  <c r="B5" i="11"/>
  <c r="W4" i="11"/>
  <c r="V4" i="11"/>
  <c r="U4" i="11"/>
  <c r="T4" i="11"/>
  <c r="R4" i="11"/>
  <c r="Q4" i="11"/>
  <c r="P4" i="11"/>
  <c r="O4" i="11"/>
  <c r="M4" i="11"/>
  <c r="L4" i="11"/>
  <c r="J4" i="11"/>
  <c r="I4" i="11"/>
  <c r="G4" i="11"/>
  <c r="F4" i="11"/>
  <c r="E4" i="11"/>
  <c r="D4" i="11"/>
  <c r="C4" i="11"/>
  <c r="R2041" i="10" l="1"/>
  <c r="P2041" i="10"/>
  <c r="R2040" i="10"/>
  <c r="P2040" i="10"/>
  <c r="R2039" i="10"/>
  <c r="P2039" i="10"/>
  <c r="R2038" i="10"/>
  <c r="P2038" i="10"/>
  <c r="R2037" i="10"/>
  <c r="P2037" i="10"/>
  <c r="R2036" i="10"/>
  <c r="P2036" i="10"/>
  <c r="R2035" i="10"/>
  <c r="P2035" i="10"/>
  <c r="R2034" i="10"/>
  <c r="P2034" i="10"/>
  <c r="R2033" i="10"/>
  <c r="P2033" i="10"/>
  <c r="R2032" i="10"/>
  <c r="P2032" i="10"/>
  <c r="R2031" i="10"/>
  <c r="P2031" i="10"/>
  <c r="R2030" i="10"/>
  <c r="P2030" i="10"/>
  <c r="R2029" i="10"/>
  <c r="P2029" i="10"/>
  <c r="R2028" i="10"/>
  <c r="P2028" i="10"/>
  <c r="R2027" i="10"/>
  <c r="P2027" i="10"/>
  <c r="R2026" i="10"/>
  <c r="P2026" i="10"/>
  <c r="R2025" i="10"/>
  <c r="P2025" i="10"/>
  <c r="R2024" i="10"/>
  <c r="P2024" i="10"/>
  <c r="R2023" i="10"/>
  <c r="P2023" i="10"/>
  <c r="R2022" i="10"/>
  <c r="P2022" i="10"/>
  <c r="R2021" i="10"/>
  <c r="P2021" i="10"/>
  <c r="R2020" i="10"/>
  <c r="P2020" i="10"/>
  <c r="R2019" i="10"/>
  <c r="P2019" i="10"/>
  <c r="R2018" i="10"/>
  <c r="P2018" i="10"/>
  <c r="R2017" i="10"/>
  <c r="P2017" i="10"/>
  <c r="R2016" i="10"/>
  <c r="P2016" i="10"/>
  <c r="R2015" i="10"/>
  <c r="P2015" i="10"/>
  <c r="R2014" i="10"/>
  <c r="P2014" i="10"/>
  <c r="R2013" i="10"/>
  <c r="P2013" i="10"/>
  <c r="R2012" i="10"/>
  <c r="P2012" i="10"/>
  <c r="R2011" i="10"/>
  <c r="P2011" i="10"/>
  <c r="R2010" i="10"/>
  <c r="P2010" i="10"/>
  <c r="R2009" i="10"/>
  <c r="P2009" i="10"/>
  <c r="R2008" i="10"/>
  <c r="P2008" i="10"/>
  <c r="R2007" i="10"/>
  <c r="P2007" i="10"/>
  <c r="R2006" i="10"/>
  <c r="P2006" i="10"/>
  <c r="R2005" i="10"/>
  <c r="P2005" i="10"/>
  <c r="R2004" i="10"/>
  <c r="P2004" i="10"/>
  <c r="R2003" i="10"/>
  <c r="P2003" i="10"/>
  <c r="R2002" i="10"/>
  <c r="P2002" i="10"/>
  <c r="R2001" i="10"/>
  <c r="P2001" i="10"/>
  <c r="R2000" i="10"/>
  <c r="P2000" i="10"/>
  <c r="R1999" i="10"/>
  <c r="P1999" i="10"/>
  <c r="R1998" i="10"/>
  <c r="P1998" i="10"/>
  <c r="R1997" i="10"/>
  <c r="P1997" i="10"/>
  <c r="R1996" i="10"/>
  <c r="P1996" i="10"/>
  <c r="R1995" i="10"/>
  <c r="P1995" i="10"/>
  <c r="R1994" i="10"/>
  <c r="P1994" i="10"/>
  <c r="R1993" i="10"/>
  <c r="P1993" i="10"/>
  <c r="R1992" i="10"/>
  <c r="P1992" i="10"/>
  <c r="R1991" i="10"/>
  <c r="P1991" i="10"/>
  <c r="R1990" i="10"/>
  <c r="P1990" i="10"/>
  <c r="R1989" i="10"/>
  <c r="P1989" i="10"/>
  <c r="R1988" i="10"/>
  <c r="P1988" i="10"/>
  <c r="R1987" i="10"/>
  <c r="P1987" i="10"/>
  <c r="R1986" i="10"/>
  <c r="P1986" i="10"/>
  <c r="R1985" i="10"/>
  <c r="P1985" i="10"/>
  <c r="R1984" i="10"/>
  <c r="P1984" i="10"/>
  <c r="R1983" i="10"/>
  <c r="P1983" i="10"/>
  <c r="R1982" i="10"/>
  <c r="P1982" i="10"/>
  <c r="R1981" i="10"/>
  <c r="P1981" i="10"/>
  <c r="R1980" i="10"/>
  <c r="P1980" i="10"/>
  <c r="R1979" i="10"/>
  <c r="P1979" i="10"/>
  <c r="R1978" i="10"/>
  <c r="P1978" i="10"/>
  <c r="R1977" i="10"/>
  <c r="P1977" i="10"/>
  <c r="R1976" i="10"/>
  <c r="P1976" i="10"/>
  <c r="R1975" i="10"/>
  <c r="P1975" i="10"/>
  <c r="R1974" i="10"/>
  <c r="P1974" i="10"/>
  <c r="R1973" i="10"/>
  <c r="P1973" i="10"/>
  <c r="R1972" i="10"/>
  <c r="P1972" i="10"/>
  <c r="R1971" i="10"/>
  <c r="P1971" i="10"/>
  <c r="R1970" i="10"/>
  <c r="P1970" i="10"/>
  <c r="R1969" i="10"/>
  <c r="P1969" i="10"/>
  <c r="R1968" i="10"/>
  <c r="P1968" i="10"/>
  <c r="R1967" i="10"/>
  <c r="P1967" i="10"/>
  <c r="R1966" i="10"/>
  <c r="P1966" i="10"/>
  <c r="R1965" i="10"/>
  <c r="P1965" i="10"/>
  <c r="R1964" i="10"/>
  <c r="P1964" i="10"/>
  <c r="R1963" i="10"/>
  <c r="P1963" i="10"/>
  <c r="R1962" i="10"/>
  <c r="P1962" i="10"/>
  <c r="R1961" i="10"/>
  <c r="P1961" i="10"/>
  <c r="R1960" i="10"/>
  <c r="P1960" i="10"/>
  <c r="R1959" i="10"/>
  <c r="P1959" i="10"/>
  <c r="R1958" i="10"/>
  <c r="P1958" i="10"/>
  <c r="R1957" i="10"/>
  <c r="P1957" i="10"/>
  <c r="R1956" i="10"/>
  <c r="P1956" i="10"/>
  <c r="R1955" i="10"/>
  <c r="P1955" i="10"/>
  <c r="R1954" i="10"/>
  <c r="P1954" i="10"/>
  <c r="R1953" i="10"/>
  <c r="P1953" i="10"/>
  <c r="R1952" i="10"/>
  <c r="P1952" i="10"/>
  <c r="R1951" i="10"/>
  <c r="P1951" i="10"/>
  <c r="R1950" i="10"/>
  <c r="P1950" i="10"/>
  <c r="R1949" i="10"/>
  <c r="P1949" i="10"/>
  <c r="R1948" i="10"/>
  <c r="P1948" i="10"/>
  <c r="R1947" i="10"/>
  <c r="P1947" i="10"/>
  <c r="R1946" i="10"/>
  <c r="P1946" i="10"/>
  <c r="R1945" i="10"/>
  <c r="P1945" i="10"/>
  <c r="R1944" i="10"/>
  <c r="P1944" i="10"/>
  <c r="R1943" i="10"/>
  <c r="P1943" i="10"/>
  <c r="R1942" i="10"/>
  <c r="P1942" i="10"/>
  <c r="R1941" i="10"/>
  <c r="P1941" i="10"/>
  <c r="R1940" i="10"/>
  <c r="P1940" i="10"/>
  <c r="R1939" i="10"/>
  <c r="P1939" i="10"/>
  <c r="R1938" i="10"/>
  <c r="P1938" i="10"/>
  <c r="R1937" i="10"/>
  <c r="P1937" i="10"/>
  <c r="R1936" i="10"/>
  <c r="P1936" i="10"/>
  <c r="R1935" i="10"/>
  <c r="P1935" i="10"/>
  <c r="R1934" i="10"/>
  <c r="P1934" i="10"/>
  <c r="R1933" i="10"/>
  <c r="P1933" i="10"/>
  <c r="R1932" i="10"/>
  <c r="P1932" i="10"/>
  <c r="R1931" i="10"/>
  <c r="P1931" i="10"/>
  <c r="R1930" i="10"/>
  <c r="P1930" i="10"/>
  <c r="R1929" i="10"/>
  <c r="P1929" i="10"/>
  <c r="R1928" i="10"/>
  <c r="P1928" i="10"/>
  <c r="R1927" i="10"/>
  <c r="P1927" i="10"/>
  <c r="R1926" i="10"/>
  <c r="P1926" i="10"/>
  <c r="R1925" i="10"/>
  <c r="P1925" i="10"/>
  <c r="R1924" i="10"/>
  <c r="P1924" i="10"/>
  <c r="R1923" i="10"/>
  <c r="P1923" i="10"/>
  <c r="R1922" i="10"/>
  <c r="P1922" i="10"/>
  <c r="R1921" i="10"/>
  <c r="P1921" i="10"/>
  <c r="R1920" i="10"/>
  <c r="P1920" i="10"/>
  <c r="R1919" i="10"/>
  <c r="P1919" i="10"/>
  <c r="R1918" i="10"/>
  <c r="P1918" i="10"/>
  <c r="R1917" i="10"/>
  <c r="P1917" i="10"/>
  <c r="R1916" i="10"/>
  <c r="P1916" i="10"/>
  <c r="R1915" i="10"/>
  <c r="P1915" i="10"/>
  <c r="R1914" i="10"/>
  <c r="P1914" i="10"/>
  <c r="R1913" i="10"/>
  <c r="P1913" i="10"/>
  <c r="R1912" i="10"/>
  <c r="P1912" i="10"/>
  <c r="R1911" i="10"/>
  <c r="P1911" i="10"/>
  <c r="R1910" i="10"/>
  <c r="P1910" i="10"/>
  <c r="R1909" i="10"/>
  <c r="P1909" i="10"/>
  <c r="R1908" i="10"/>
  <c r="P1908" i="10"/>
  <c r="R1907" i="10"/>
  <c r="P1907" i="10"/>
  <c r="R1906" i="10"/>
  <c r="P1906" i="10"/>
  <c r="R1905" i="10"/>
  <c r="P1905" i="10"/>
  <c r="R1904" i="10"/>
  <c r="P1904" i="10"/>
  <c r="R1903" i="10"/>
  <c r="P1903" i="10"/>
  <c r="R1902" i="10"/>
  <c r="P1902" i="10"/>
  <c r="R1901" i="10"/>
  <c r="P1901" i="10"/>
  <c r="R1900" i="10"/>
  <c r="P1900" i="10"/>
  <c r="R1899" i="10"/>
  <c r="P1899" i="10"/>
  <c r="R1898" i="10"/>
  <c r="P1898" i="10"/>
  <c r="R1897" i="10"/>
  <c r="P1897" i="10"/>
  <c r="R1896" i="10"/>
  <c r="P1896" i="10"/>
  <c r="R1895" i="10"/>
  <c r="P1895" i="10"/>
  <c r="R1894" i="10"/>
  <c r="P1894" i="10"/>
  <c r="R1893" i="10"/>
  <c r="P1893" i="10"/>
  <c r="R1892" i="10"/>
  <c r="P1892" i="10"/>
  <c r="R1891" i="10"/>
  <c r="P1891" i="10"/>
  <c r="R1890" i="10"/>
  <c r="P1890" i="10"/>
  <c r="R1889" i="10"/>
  <c r="P1889" i="10"/>
  <c r="R1888" i="10"/>
  <c r="P1888" i="10"/>
  <c r="R1887" i="10"/>
  <c r="P1887" i="10"/>
  <c r="R1886" i="10"/>
  <c r="P1886" i="10"/>
  <c r="R1885" i="10"/>
  <c r="P1885" i="10"/>
  <c r="R1884" i="10"/>
  <c r="P1884" i="10"/>
  <c r="R1883" i="10"/>
  <c r="P1883" i="10"/>
  <c r="R1882" i="10"/>
  <c r="P1882" i="10"/>
  <c r="R1881" i="10"/>
  <c r="P1881" i="10"/>
  <c r="R1880" i="10"/>
  <c r="P1880" i="10"/>
  <c r="R1879" i="10"/>
  <c r="P1879" i="10"/>
  <c r="R1878" i="10"/>
  <c r="P1878" i="10"/>
  <c r="R1877" i="10"/>
  <c r="P1877" i="10"/>
  <c r="R1876" i="10"/>
  <c r="P1876" i="10"/>
  <c r="R1875" i="10"/>
  <c r="P1875" i="10"/>
  <c r="R1874" i="10"/>
  <c r="P1874" i="10"/>
  <c r="R1873" i="10"/>
  <c r="P1873" i="10"/>
  <c r="R1872" i="10"/>
  <c r="P1872" i="10"/>
  <c r="R1871" i="10"/>
  <c r="P1871" i="10"/>
  <c r="R1870" i="10"/>
  <c r="P1870" i="10"/>
  <c r="R1869" i="10"/>
  <c r="P1869" i="10"/>
  <c r="R1868" i="10"/>
  <c r="P1868" i="10"/>
  <c r="R1867" i="10"/>
  <c r="P1867" i="10"/>
  <c r="R1866" i="10"/>
  <c r="P1866" i="10"/>
  <c r="R1865" i="10"/>
  <c r="P1865" i="10"/>
  <c r="R1864" i="10"/>
  <c r="P1864" i="10"/>
  <c r="R1863" i="10"/>
  <c r="P1863" i="10"/>
  <c r="R1862" i="10"/>
  <c r="P1862" i="10"/>
  <c r="R1861" i="10"/>
  <c r="P1861" i="10"/>
  <c r="R1860" i="10"/>
  <c r="P1860" i="10"/>
  <c r="R1859" i="10"/>
  <c r="P1859" i="10"/>
  <c r="R1858" i="10"/>
  <c r="P1858" i="10"/>
  <c r="R1857" i="10"/>
  <c r="P1857" i="10"/>
  <c r="R1856" i="10"/>
  <c r="P1856" i="10"/>
  <c r="R1855" i="10"/>
  <c r="P1855" i="10"/>
  <c r="R1854" i="10"/>
  <c r="P1854" i="10"/>
  <c r="R1853" i="10"/>
  <c r="P1853" i="10"/>
  <c r="R1852" i="10"/>
  <c r="P1852" i="10"/>
  <c r="R1851" i="10"/>
  <c r="P1851" i="10"/>
  <c r="R1850" i="10"/>
  <c r="P1850" i="10"/>
  <c r="R1849" i="10"/>
  <c r="P1849" i="10"/>
  <c r="R1848" i="10"/>
  <c r="P1848" i="10"/>
  <c r="R1847" i="10"/>
  <c r="P1847" i="10"/>
  <c r="R1846" i="10"/>
  <c r="P1846" i="10"/>
  <c r="R1845" i="10"/>
  <c r="P1845" i="10"/>
  <c r="R1844" i="10"/>
  <c r="P1844" i="10"/>
  <c r="R1843" i="10"/>
  <c r="P1843" i="10"/>
  <c r="R1842" i="10"/>
  <c r="P1842" i="10"/>
  <c r="R1841" i="10"/>
  <c r="P1841" i="10"/>
  <c r="R1840" i="10"/>
  <c r="P1840" i="10"/>
  <c r="R1839" i="10"/>
  <c r="P1839" i="10"/>
  <c r="R1838" i="10"/>
  <c r="P1838" i="10"/>
  <c r="R1837" i="10"/>
  <c r="P1837" i="10"/>
  <c r="R1836" i="10"/>
  <c r="P1836" i="10"/>
  <c r="R1835" i="10"/>
  <c r="P1835" i="10"/>
  <c r="R1834" i="10"/>
  <c r="P1834" i="10"/>
  <c r="R1833" i="10"/>
  <c r="P1833" i="10"/>
  <c r="R1832" i="10"/>
  <c r="P1832" i="10"/>
  <c r="R1831" i="10"/>
  <c r="P1831" i="10"/>
  <c r="R1830" i="10"/>
  <c r="P1830" i="10"/>
  <c r="R1829" i="10"/>
  <c r="P1829" i="10"/>
  <c r="R1828" i="10"/>
  <c r="P1828" i="10"/>
  <c r="R1827" i="10"/>
  <c r="P1827" i="10"/>
  <c r="R1826" i="10"/>
  <c r="P1826" i="10"/>
  <c r="R1825" i="10"/>
  <c r="P1825" i="10"/>
  <c r="R1824" i="10"/>
  <c r="P1824" i="10"/>
  <c r="R1823" i="10"/>
  <c r="P1823" i="10"/>
  <c r="R1822" i="10"/>
  <c r="P1822" i="10"/>
  <c r="R1821" i="10"/>
  <c r="P1821" i="10"/>
  <c r="R1820" i="10"/>
  <c r="P1820" i="10"/>
  <c r="R1819" i="10"/>
  <c r="P1819" i="10"/>
  <c r="R1818" i="10"/>
  <c r="P1818" i="10"/>
  <c r="R1817" i="10"/>
  <c r="P1817" i="10"/>
  <c r="R1816" i="10"/>
  <c r="P1816" i="10"/>
  <c r="R1815" i="10"/>
  <c r="P1815" i="10"/>
  <c r="R1814" i="10"/>
  <c r="P1814" i="10"/>
  <c r="R1813" i="10"/>
  <c r="P1813" i="10"/>
  <c r="R1812" i="10"/>
  <c r="P1812" i="10"/>
  <c r="R1811" i="10"/>
  <c r="P1811" i="10"/>
  <c r="R1810" i="10"/>
  <c r="P1810" i="10"/>
  <c r="R1809" i="10"/>
  <c r="P1809" i="10"/>
  <c r="R1808" i="10"/>
  <c r="P1808" i="10"/>
  <c r="R1807" i="10"/>
  <c r="P1807" i="10"/>
  <c r="R1806" i="10"/>
  <c r="P1806" i="10"/>
  <c r="R1805" i="10"/>
  <c r="P1805" i="10"/>
  <c r="R1804" i="10"/>
  <c r="P1804" i="10"/>
  <c r="R1803" i="10"/>
  <c r="P1803" i="10"/>
  <c r="R1802" i="10"/>
  <c r="P1802" i="10"/>
  <c r="R1801" i="10"/>
  <c r="P1801" i="10"/>
  <c r="R1800" i="10"/>
  <c r="P1800" i="10"/>
  <c r="R1799" i="10"/>
  <c r="P1799" i="10"/>
  <c r="R1798" i="10"/>
  <c r="P1798" i="10"/>
  <c r="R1797" i="10"/>
  <c r="P1797" i="10"/>
  <c r="R1796" i="10"/>
  <c r="P1796" i="10"/>
  <c r="R1795" i="10"/>
  <c r="P1795" i="10"/>
  <c r="R1794" i="10"/>
  <c r="P1794" i="10"/>
  <c r="R1793" i="10"/>
  <c r="P1793" i="10"/>
  <c r="R1792" i="10"/>
  <c r="P1792" i="10"/>
  <c r="R1791" i="10"/>
  <c r="P1791" i="10"/>
  <c r="R1790" i="10"/>
  <c r="P1790" i="10"/>
  <c r="R1789" i="10"/>
  <c r="P1789" i="10"/>
  <c r="R1788" i="10"/>
  <c r="P1788" i="10"/>
  <c r="R1787" i="10"/>
  <c r="P1787" i="10"/>
  <c r="R1786" i="10"/>
  <c r="P1786" i="10"/>
  <c r="R1785" i="10"/>
  <c r="P1785" i="10"/>
  <c r="R1784" i="10"/>
  <c r="P1784" i="10"/>
  <c r="R1783" i="10"/>
  <c r="P1783" i="10"/>
  <c r="R1782" i="10"/>
  <c r="P1782" i="10"/>
  <c r="R1781" i="10"/>
  <c r="P1781" i="10"/>
  <c r="R1780" i="10"/>
  <c r="P1780" i="10"/>
  <c r="R1779" i="10"/>
  <c r="P1779" i="10"/>
  <c r="R1778" i="10"/>
  <c r="P1778" i="10"/>
  <c r="R1777" i="10"/>
  <c r="P1777" i="10"/>
  <c r="R1776" i="10"/>
  <c r="P1776" i="10"/>
  <c r="R1775" i="10"/>
  <c r="P1775" i="10"/>
  <c r="R1774" i="10"/>
  <c r="P1774" i="10"/>
  <c r="R1773" i="10"/>
  <c r="P1773" i="10"/>
  <c r="R1772" i="10"/>
  <c r="P1772" i="10"/>
  <c r="R1771" i="10"/>
  <c r="P1771" i="10"/>
  <c r="R1770" i="10"/>
  <c r="P1770" i="10"/>
  <c r="R1769" i="10"/>
  <c r="P1769" i="10"/>
  <c r="R1768" i="10"/>
  <c r="P1768" i="10"/>
  <c r="R1767" i="10"/>
  <c r="P1767" i="10"/>
  <c r="R1766" i="10"/>
  <c r="P1766" i="10"/>
  <c r="R1765" i="10"/>
  <c r="P1765" i="10"/>
  <c r="R1764" i="10"/>
  <c r="P1764" i="10"/>
  <c r="R1763" i="10"/>
  <c r="P1763" i="10"/>
  <c r="R1762" i="10"/>
  <c r="P1762" i="10"/>
  <c r="R1761" i="10"/>
  <c r="P1761" i="10"/>
  <c r="R1760" i="10"/>
  <c r="P1760" i="10"/>
  <c r="R1759" i="10"/>
  <c r="P1759" i="10"/>
  <c r="R1758" i="10"/>
  <c r="P1758" i="10"/>
  <c r="R1757" i="10"/>
  <c r="P1757" i="10"/>
  <c r="R1756" i="10"/>
  <c r="P1756" i="10"/>
  <c r="R1755" i="10"/>
  <c r="P1755" i="10"/>
  <c r="R1754" i="10"/>
  <c r="P1754" i="10"/>
  <c r="R1753" i="10"/>
  <c r="P1753" i="10"/>
  <c r="R1752" i="10"/>
  <c r="P1752" i="10"/>
  <c r="R1751" i="10"/>
  <c r="P1751" i="10"/>
  <c r="R1750" i="10"/>
  <c r="P1750" i="10"/>
  <c r="R1749" i="10"/>
  <c r="P1749" i="10"/>
  <c r="R1748" i="10"/>
  <c r="P1748" i="10"/>
  <c r="R1747" i="10"/>
  <c r="P1747" i="10"/>
  <c r="R1746" i="10"/>
  <c r="P1746" i="10"/>
  <c r="R1745" i="10"/>
  <c r="P1745" i="10"/>
  <c r="R1744" i="10"/>
  <c r="P1744" i="10"/>
  <c r="R1743" i="10"/>
  <c r="P1743" i="10"/>
  <c r="R1742" i="10"/>
  <c r="P1742" i="10"/>
  <c r="R1741" i="10"/>
  <c r="P1741" i="10"/>
  <c r="R1740" i="10"/>
  <c r="P1740" i="10"/>
  <c r="R1739" i="10"/>
  <c r="P1739" i="10"/>
  <c r="R1738" i="10"/>
  <c r="P1738" i="10"/>
  <c r="R1737" i="10"/>
  <c r="P1737" i="10"/>
  <c r="R1736" i="10"/>
  <c r="P1736" i="10"/>
  <c r="R1735" i="10"/>
  <c r="P1735" i="10"/>
  <c r="R1734" i="10"/>
  <c r="P1734" i="10"/>
  <c r="R1733" i="10"/>
  <c r="P1733" i="10"/>
  <c r="R1732" i="10"/>
  <c r="P1732" i="10"/>
  <c r="R1731" i="10"/>
  <c r="P1731" i="10"/>
  <c r="R1730" i="10"/>
  <c r="P1730" i="10"/>
  <c r="R1729" i="10"/>
  <c r="P1729" i="10"/>
  <c r="R1728" i="10"/>
  <c r="P1728" i="10"/>
  <c r="R1727" i="10"/>
  <c r="P1727" i="10"/>
  <c r="R1726" i="10"/>
  <c r="P1726" i="10"/>
  <c r="R1725" i="10"/>
  <c r="P1725" i="10"/>
  <c r="R1724" i="10"/>
  <c r="P1724" i="10"/>
  <c r="R1723" i="10"/>
  <c r="P1723" i="10"/>
  <c r="R1722" i="10"/>
  <c r="P1722" i="10"/>
  <c r="R1721" i="10"/>
  <c r="P1721" i="10"/>
  <c r="R1720" i="10"/>
  <c r="P1720" i="10"/>
  <c r="R1719" i="10"/>
  <c r="P1719" i="10"/>
  <c r="R1718" i="10"/>
  <c r="P1718" i="10"/>
  <c r="R1717" i="10"/>
  <c r="P1717" i="10"/>
  <c r="R1716" i="10"/>
  <c r="P1716" i="10"/>
  <c r="R1715" i="10"/>
  <c r="P1715" i="10"/>
  <c r="R1714" i="10"/>
  <c r="P1714" i="10"/>
  <c r="R1713" i="10"/>
  <c r="P1713" i="10"/>
  <c r="R1712" i="10"/>
  <c r="P1712" i="10"/>
  <c r="R1711" i="10"/>
  <c r="P1711" i="10"/>
  <c r="R1710" i="10"/>
  <c r="P1710" i="10"/>
  <c r="R1709" i="10"/>
  <c r="P1709" i="10"/>
  <c r="R1708" i="10"/>
  <c r="P1708" i="10"/>
  <c r="R1707" i="10"/>
  <c r="P1707" i="10"/>
  <c r="R1706" i="10"/>
  <c r="P1706" i="10"/>
  <c r="R1705" i="10"/>
  <c r="P1705" i="10"/>
  <c r="R1704" i="10"/>
  <c r="P1704" i="10"/>
  <c r="R1703" i="10"/>
  <c r="P1703" i="10"/>
  <c r="R1702" i="10"/>
  <c r="P1702" i="10"/>
  <c r="R1701" i="10"/>
  <c r="P1701" i="10"/>
  <c r="R1700" i="10"/>
  <c r="P1700" i="10"/>
  <c r="R1699" i="10"/>
  <c r="P1699" i="10"/>
  <c r="R1698" i="10"/>
  <c r="P1698" i="10"/>
  <c r="R1697" i="10"/>
  <c r="P1697" i="10"/>
  <c r="R1696" i="10"/>
  <c r="P1696" i="10"/>
  <c r="R1695" i="10"/>
  <c r="P1695" i="10"/>
  <c r="R1694" i="10"/>
  <c r="P1694" i="10"/>
  <c r="R1693" i="10"/>
  <c r="P1693" i="10"/>
  <c r="R1692" i="10"/>
  <c r="P1692" i="10"/>
  <c r="R1691" i="10"/>
  <c r="P1691" i="10"/>
  <c r="R1690" i="10"/>
  <c r="P1690" i="10"/>
  <c r="R1689" i="10"/>
  <c r="P1689" i="10"/>
  <c r="R1688" i="10"/>
  <c r="P1688" i="10"/>
  <c r="R1687" i="10"/>
  <c r="P1687" i="10"/>
  <c r="R1686" i="10"/>
  <c r="P1686" i="10"/>
  <c r="R1685" i="10"/>
  <c r="P1685" i="10"/>
  <c r="R1684" i="10"/>
  <c r="P1684" i="10"/>
  <c r="R1683" i="10"/>
  <c r="P1683" i="10"/>
  <c r="R1682" i="10"/>
  <c r="P1682" i="10"/>
  <c r="R1681" i="10"/>
  <c r="P1681" i="10"/>
  <c r="R1680" i="10"/>
  <c r="P1680" i="10"/>
  <c r="R1679" i="10"/>
  <c r="P1679" i="10"/>
  <c r="R1678" i="10"/>
  <c r="P1678" i="10"/>
  <c r="R1677" i="10"/>
  <c r="P1677" i="10"/>
  <c r="R1676" i="10"/>
  <c r="P1676" i="10"/>
  <c r="R1675" i="10"/>
  <c r="P1675" i="10"/>
  <c r="R1674" i="10"/>
  <c r="P1674" i="10"/>
  <c r="R1673" i="10"/>
  <c r="P1673" i="10"/>
  <c r="R1672" i="10"/>
  <c r="P1672" i="10"/>
  <c r="R1671" i="10"/>
  <c r="P1671" i="10"/>
  <c r="R1670" i="10"/>
  <c r="P1670" i="10"/>
  <c r="R1669" i="10"/>
  <c r="P1669" i="10"/>
  <c r="R1668" i="10"/>
  <c r="P1668" i="10"/>
  <c r="R1667" i="10"/>
  <c r="P1667" i="10"/>
  <c r="R1666" i="10"/>
  <c r="P1666" i="10"/>
  <c r="R1665" i="10"/>
  <c r="P1665" i="10"/>
  <c r="R1664" i="10"/>
  <c r="P1664" i="10"/>
  <c r="R1663" i="10"/>
  <c r="P1663" i="10"/>
  <c r="R1662" i="10"/>
  <c r="P1662" i="10"/>
  <c r="R1661" i="10"/>
  <c r="P1661" i="10"/>
  <c r="R1660" i="10"/>
  <c r="P1660" i="10"/>
  <c r="R1659" i="10"/>
  <c r="P1659" i="10"/>
  <c r="R1658" i="10"/>
  <c r="P1658" i="10"/>
  <c r="R1657" i="10"/>
  <c r="P1657" i="10"/>
  <c r="R1656" i="10"/>
  <c r="P1656" i="10"/>
  <c r="R1655" i="10"/>
  <c r="P1655" i="10"/>
  <c r="R1654" i="10"/>
  <c r="P1654" i="10"/>
  <c r="R1653" i="10"/>
  <c r="P1653" i="10"/>
  <c r="R1652" i="10"/>
  <c r="P1652" i="10"/>
  <c r="R1651" i="10"/>
  <c r="P1651" i="10"/>
  <c r="R1650" i="10"/>
  <c r="P1650" i="10"/>
  <c r="R1649" i="10"/>
  <c r="P1649" i="10"/>
  <c r="R1648" i="10"/>
  <c r="P1648" i="10"/>
  <c r="R1647" i="10"/>
  <c r="P1647" i="10"/>
  <c r="R1646" i="10"/>
  <c r="P1646" i="10"/>
  <c r="R1645" i="10"/>
  <c r="P1645" i="10"/>
  <c r="R1644" i="10"/>
  <c r="P1644" i="10"/>
  <c r="R1643" i="10"/>
  <c r="P1643" i="10"/>
  <c r="R1642" i="10"/>
  <c r="P1642" i="10"/>
  <c r="R1641" i="10"/>
  <c r="P1641" i="10"/>
  <c r="R1640" i="10"/>
  <c r="P1640" i="10"/>
  <c r="R1639" i="10"/>
  <c r="P1639" i="10"/>
  <c r="R1638" i="10"/>
  <c r="P1638" i="10"/>
  <c r="R1637" i="10"/>
  <c r="P1637" i="10"/>
  <c r="R1636" i="10"/>
  <c r="P1636" i="10"/>
  <c r="R1635" i="10"/>
  <c r="P1635" i="10"/>
  <c r="R1634" i="10"/>
  <c r="P1634" i="10"/>
  <c r="R1633" i="10"/>
  <c r="P1633" i="10"/>
  <c r="R1632" i="10"/>
  <c r="P1632" i="10"/>
  <c r="R1631" i="10"/>
  <c r="P1631" i="10"/>
  <c r="R1630" i="10"/>
  <c r="P1630" i="10"/>
  <c r="R1629" i="10"/>
  <c r="P1629" i="10"/>
  <c r="R1628" i="10"/>
  <c r="P1628" i="10"/>
  <c r="R1627" i="10"/>
  <c r="P1627" i="10"/>
  <c r="R1626" i="10"/>
  <c r="P1626" i="10"/>
  <c r="R1625" i="10"/>
  <c r="P1625" i="10"/>
  <c r="R1624" i="10"/>
  <c r="P1624" i="10"/>
  <c r="R1623" i="10"/>
  <c r="P1623" i="10"/>
  <c r="R1622" i="10"/>
  <c r="P1622" i="10"/>
  <c r="R1621" i="10"/>
  <c r="P1621" i="10"/>
  <c r="R1620" i="10"/>
  <c r="P1620" i="10"/>
  <c r="R1619" i="10"/>
  <c r="P1619" i="10"/>
  <c r="R1618" i="10"/>
  <c r="P1618" i="10"/>
  <c r="R1617" i="10"/>
  <c r="P1617" i="10"/>
  <c r="R1616" i="10"/>
  <c r="P1616" i="10"/>
  <c r="R1615" i="10"/>
  <c r="P1615" i="10"/>
  <c r="R1614" i="10"/>
  <c r="P1614" i="10"/>
  <c r="R1613" i="10"/>
  <c r="P1613" i="10"/>
  <c r="R1612" i="10"/>
  <c r="P1612" i="10"/>
  <c r="R1611" i="10"/>
  <c r="P1611" i="10"/>
  <c r="R1610" i="10"/>
  <c r="P1610" i="10"/>
  <c r="R1609" i="10"/>
  <c r="P1609" i="10"/>
  <c r="R1608" i="10"/>
  <c r="P1608" i="10"/>
  <c r="R1607" i="10"/>
  <c r="P1607" i="10"/>
  <c r="R1606" i="10"/>
  <c r="P1606" i="10"/>
  <c r="R1605" i="10"/>
  <c r="P1605" i="10"/>
  <c r="R1604" i="10"/>
  <c r="P1604" i="10"/>
  <c r="R1603" i="10"/>
  <c r="P1603" i="10"/>
  <c r="R1602" i="10"/>
  <c r="P1602" i="10"/>
  <c r="R1601" i="10"/>
  <c r="P1601" i="10"/>
  <c r="R1600" i="10"/>
  <c r="P1600" i="10"/>
  <c r="R1599" i="10"/>
  <c r="P1599" i="10"/>
  <c r="R1598" i="10"/>
  <c r="P1598" i="10"/>
  <c r="R1597" i="10"/>
  <c r="P1597" i="10"/>
  <c r="R1596" i="10"/>
  <c r="P1596" i="10"/>
  <c r="R1595" i="10"/>
  <c r="P1595" i="10"/>
  <c r="R1594" i="10"/>
  <c r="P1594" i="10"/>
  <c r="R1593" i="10"/>
  <c r="P1593" i="10"/>
  <c r="R1592" i="10"/>
  <c r="P1592" i="10"/>
  <c r="R1591" i="10"/>
  <c r="P1591" i="10"/>
  <c r="R1590" i="10"/>
  <c r="P1590" i="10"/>
  <c r="R1589" i="10"/>
  <c r="P1589" i="10"/>
  <c r="R1588" i="10"/>
  <c r="P1588" i="10"/>
  <c r="R1587" i="10"/>
  <c r="P1587" i="10"/>
  <c r="R1586" i="10"/>
  <c r="P1586" i="10"/>
  <c r="R1585" i="10"/>
  <c r="P1585" i="10"/>
  <c r="R1584" i="10"/>
  <c r="P1584" i="10"/>
  <c r="R1583" i="10"/>
  <c r="P1583" i="10"/>
  <c r="R1582" i="10"/>
  <c r="P1582" i="10"/>
  <c r="R1581" i="10"/>
  <c r="P1581" i="10"/>
  <c r="R1580" i="10"/>
  <c r="P1580" i="10"/>
  <c r="R1579" i="10"/>
  <c r="P1579" i="10"/>
  <c r="R1578" i="10"/>
  <c r="P1578" i="10"/>
  <c r="R1577" i="10"/>
  <c r="P1577" i="10"/>
  <c r="R1576" i="10"/>
  <c r="P1576" i="10"/>
  <c r="R1575" i="10"/>
  <c r="P1575" i="10"/>
  <c r="R1574" i="10"/>
  <c r="P1574" i="10"/>
  <c r="R1573" i="10"/>
  <c r="P1573" i="10"/>
  <c r="R1572" i="10"/>
  <c r="P1572" i="10"/>
  <c r="R1571" i="10"/>
  <c r="P1571" i="10"/>
  <c r="R1570" i="10"/>
  <c r="P1570" i="10"/>
  <c r="R1569" i="10"/>
  <c r="P1569" i="10"/>
  <c r="R1568" i="10"/>
  <c r="P1568" i="10"/>
  <c r="R1567" i="10"/>
  <c r="P1567" i="10"/>
  <c r="R1566" i="10"/>
  <c r="P1566" i="10"/>
  <c r="R1565" i="10"/>
  <c r="P1565" i="10"/>
  <c r="R1564" i="10"/>
  <c r="P1564" i="10"/>
  <c r="R1563" i="10"/>
  <c r="P1563" i="10"/>
  <c r="R1562" i="10"/>
  <c r="P1562" i="10"/>
  <c r="R1561" i="10"/>
  <c r="P1561" i="10"/>
  <c r="R1560" i="10"/>
  <c r="P1560" i="10"/>
  <c r="R1559" i="10"/>
  <c r="P1559" i="10"/>
  <c r="R1558" i="10"/>
  <c r="P1558" i="10"/>
  <c r="R1557" i="10"/>
  <c r="P1557" i="10"/>
  <c r="R1556" i="10"/>
  <c r="P1556" i="10"/>
  <c r="R1555" i="10"/>
  <c r="P1555" i="10"/>
  <c r="R1554" i="10"/>
  <c r="P1554" i="10"/>
  <c r="R1553" i="10"/>
  <c r="P1553" i="10"/>
  <c r="R1552" i="10"/>
  <c r="P1552" i="10"/>
  <c r="R1551" i="10"/>
  <c r="P1551" i="10"/>
  <c r="R1550" i="10"/>
  <c r="P1550" i="10"/>
  <c r="R1549" i="10"/>
  <c r="P1549" i="10"/>
  <c r="R1548" i="10"/>
  <c r="P1548" i="10"/>
  <c r="R1547" i="10"/>
  <c r="P1547" i="10"/>
  <c r="R1546" i="10"/>
  <c r="P1546" i="10"/>
  <c r="R1545" i="10"/>
  <c r="P1545" i="10"/>
  <c r="R1544" i="10"/>
  <c r="P1544" i="10"/>
  <c r="R1543" i="10"/>
  <c r="P1543" i="10"/>
  <c r="R1542" i="10"/>
  <c r="P1542" i="10"/>
  <c r="R1541" i="10"/>
  <c r="P1541" i="10"/>
  <c r="R1540" i="10"/>
  <c r="P1540" i="10"/>
  <c r="R1539" i="10"/>
  <c r="P1539" i="10"/>
  <c r="R1538" i="10"/>
  <c r="P1538" i="10"/>
  <c r="R1537" i="10"/>
  <c r="P1537" i="10"/>
  <c r="R1536" i="10"/>
  <c r="P1536" i="10"/>
  <c r="R1535" i="10"/>
  <c r="P1535" i="10"/>
  <c r="R1534" i="10"/>
  <c r="P1534" i="10"/>
  <c r="R1533" i="10"/>
  <c r="P1533" i="10"/>
  <c r="R1532" i="10"/>
  <c r="P1532" i="10"/>
  <c r="R1531" i="10"/>
  <c r="P1531" i="10"/>
  <c r="R1530" i="10"/>
  <c r="P1530" i="10"/>
  <c r="R1529" i="10"/>
  <c r="P1529" i="10"/>
  <c r="R1528" i="10"/>
  <c r="P1528" i="10"/>
  <c r="R1527" i="10"/>
  <c r="P1527" i="10"/>
  <c r="R1526" i="10"/>
  <c r="P1526" i="10"/>
  <c r="R1525" i="10"/>
  <c r="P1525" i="10"/>
  <c r="R1524" i="10"/>
  <c r="P1524" i="10"/>
  <c r="R1523" i="10"/>
  <c r="P1523" i="10"/>
  <c r="R1522" i="10"/>
  <c r="P1522" i="10"/>
  <c r="R1521" i="10"/>
  <c r="P1521" i="10"/>
  <c r="R1520" i="10"/>
  <c r="P1520" i="10"/>
  <c r="R1519" i="10"/>
  <c r="P1519" i="10"/>
  <c r="R1518" i="10"/>
  <c r="P1518" i="10"/>
  <c r="R1517" i="10"/>
  <c r="P1517" i="10"/>
  <c r="R1516" i="10"/>
  <c r="P1516" i="10"/>
  <c r="R1515" i="10"/>
  <c r="P1515" i="10"/>
  <c r="R1514" i="10"/>
  <c r="P1514" i="10"/>
  <c r="R1513" i="10"/>
  <c r="P1513" i="10"/>
  <c r="R1512" i="10"/>
  <c r="P1512" i="10"/>
  <c r="R1511" i="10"/>
  <c r="P1511" i="10"/>
  <c r="R1510" i="10"/>
  <c r="P1510" i="10"/>
  <c r="R1509" i="10"/>
  <c r="P1509" i="10"/>
  <c r="R1508" i="10"/>
  <c r="P1508" i="10"/>
  <c r="R1507" i="10"/>
  <c r="P1507" i="10"/>
  <c r="R1506" i="10"/>
  <c r="P1506" i="10"/>
  <c r="R1505" i="10"/>
  <c r="P1505" i="10"/>
  <c r="R1504" i="10"/>
  <c r="P1504" i="10"/>
  <c r="R1503" i="10"/>
  <c r="P1503" i="10"/>
  <c r="R1502" i="10"/>
  <c r="P1502" i="10"/>
  <c r="R1501" i="10"/>
  <c r="P1501" i="10"/>
  <c r="R1500" i="10"/>
  <c r="P1500" i="10"/>
  <c r="R1499" i="10"/>
  <c r="P1499" i="10"/>
  <c r="R1498" i="10"/>
  <c r="P1498" i="10"/>
  <c r="R1497" i="10"/>
  <c r="P1497" i="10"/>
  <c r="R1496" i="10"/>
  <c r="P1496" i="10"/>
  <c r="R1495" i="10"/>
  <c r="P1495" i="10"/>
  <c r="R1494" i="10"/>
  <c r="P1494" i="10"/>
  <c r="R1493" i="10"/>
  <c r="P1493" i="10"/>
  <c r="R1492" i="10"/>
  <c r="P1492" i="10"/>
  <c r="R1491" i="10"/>
  <c r="P1491" i="10"/>
  <c r="R1490" i="10"/>
  <c r="P1490" i="10"/>
  <c r="R1489" i="10"/>
  <c r="P1489" i="10"/>
  <c r="R1488" i="10"/>
  <c r="P1488" i="10"/>
  <c r="R1487" i="10"/>
  <c r="P1487" i="10"/>
  <c r="R1486" i="10"/>
  <c r="P1486" i="10"/>
  <c r="R1485" i="10"/>
  <c r="P1485" i="10"/>
  <c r="R1484" i="10"/>
  <c r="P1484" i="10"/>
  <c r="R1483" i="10"/>
  <c r="P1483" i="10"/>
  <c r="R1482" i="10"/>
  <c r="P1482" i="10"/>
  <c r="R1481" i="10"/>
  <c r="P1481" i="10"/>
  <c r="R1480" i="10"/>
  <c r="P1480" i="10"/>
  <c r="R1479" i="10"/>
  <c r="P1479" i="10"/>
  <c r="R1478" i="10"/>
  <c r="P1478" i="10"/>
  <c r="R1477" i="10"/>
  <c r="P1477" i="10"/>
  <c r="R1476" i="10"/>
  <c r="P1476" i="10"/>
  <c r="R1475" i="10"/>
  <c r="P1475" i="10"/>
  <c r="R1474" i="10"/>
  <c r="P1474" i="10"/>
  <c r="R1473" i="10"/>
  <c r="P1473" i="10"/>
  <c r="R1472" i="10"/>
  <c r="P1472" i="10"/>
  <c r="R1471" i="10"/>
  <c r="P1471" i="10"/>
  <c r="R1470" i="10"/>
  <c r="P1470" i="10"/>
  <c r="R1469" i="10"/>
  <c r="P1469" i="10"/>
  <c r="R1468" i="10"/>
  <c r="P1468" i="10"/>
  <c r="R1467" i="10"/>
  <c r="P1467" i="10"/>
  <c r="R1466" i="10"/>
  <c r="P1466" i="10"/>
  <c r="R1465" i="10"/>
  <c r="P1465" i="10"/>
  <c r="R1464" i="10"/>
  <c r="P1464" i="10"/>
  <c r="R1463" i="10"/>
  <c r="P1463" i="10"/>
  <c r="R1462" i="10"/>
  <c r="P1462" i="10"/>
  <c r="R1461" i="10"/>
  <c r="P1461" i="10"/>
  <c r="R1460" i="10"/>
  <c r="P1460" i="10"/>
  <c r="R1459" i="10"/>
  <c r="P1459" i="10"/>
  <c r="R1458" i="10"/>
  <c r="P1458" i="10"/>
  <c r="R1457" i="10"/>
  <c r="P1457" i="10"/>
  <c r="R1456" i="10"/>
  <c r="P1456" i="10"/>
  <c r="R1455" i="10"/>
  <c r="P1455" i="10"/>
  <c r="R1454" i="10"/>
  <c r="P1454" i="10"/>
  <c r="R1453" i="10"/>
  <c r="P1453" i="10"/>
  <c r="R1452" i="10"/>
  <c r="P1452" i="10"/>
  <c r="R1451" i="10"/>
  <c r="P1451" i="10"/>
  <c r="R1450" i="10"/>
  <c r="P1450" i="10"/>
  <c r="R1449" i="10"/>
  <c r="P1449" i="10"/>
  <c r="R1448" i="10"/>
  <c r="P1448" i="10"/>
  <c r="R1447" i="10"/>
  <c r="P1447" i="10"/>
  <c r="R1446" i="10"/>
  <c r="P1446" i="10"/>
  <c r="R1445" i="10"/>
  <c r="P1445" i="10"/>
  <c r="R1444" i="10"/>
  <c r="P1444" i="10"/>
  <c r="R1443" i="10"/>
  <c r="P1443" i="10"/>
  <c r="R1442" i="10"/>
  <c r="P1442" i="10"/>
  <c r="R1441" i="10"/>
  <c r="P1441" i="10"/>
  <c r="R1440" i="10"/>
  <c r="P1440" i="10"/>
  <c r="R1439" i="10"/>
  <c r="P1439" i="10"/>
  <c r="R1438" i="10"/>
  <c r="P1438" i="10"/>
  <c r="R1437" i="10"/>
  <c r="P1437" i="10"/>
  <c r="R1436" i="10"/>
  <c r="P1436" i="10"/>
  <c r="R1435" i="10"/>
  <c r="P1435" i="10"/>
  <c r="R1434" i="10"/>
  <c r="P1434" i="10"/>
  <c r="R1433" i="10"/>
  <c r="P1433" i="10"/>
  <c r="R1432" i="10"/>
  <c r="P1432" i="10"/>
  <c r="R1431" i="10"/>
  <c r="P1431" i="10"/>
  <c r="R1430" i="10"/>
  <c r="P1430" i="10"/>
  <c r="R1429" i="10"/>
  <c r="P1429" i="10"/>
  <c r="R1428" i="10"/>
  <c r="P1428" i="10"/>
  <c r="R1427" i="10"/>
  <c r="P1427" i="10"/>
  <c r="R1426" i="10"/>
  <c r="P1426" i="10"/>
  <c r="R1425" i="10"/>
  <c r="P1425" i="10"/>
  <c r="R1424" i="10"/>
  <c r="P1424" i="10"/>
  <c r="R1423" i="10"/>
  <c r="P1423" i="10"/>
  <c r="R1422" i="10"/>
  <c r="P1422" i="10"/>
  <c r="R1421" i="10"/>
  <c r="P1421" i="10"/>
  <c r="R1420" i="10"/>
  <c r="P1420" i="10"/>
  <c r="R1419" i="10"/>
  <c r="P1419" i="10"/>
  <c r="R1418" i="10"/>
  <c r="P1418" i="10"/>
  <c r="R1417" i="10"/>
  <c r="P1417" i="10"/>
  <c r="R1416" i="10"/>
  <c r="P1416" i="10"/>
  <c r="R1415" i="10"/>
  <c r="P1415" i="10"/>
  <c r="R1414" i="10"/>
  <c r="P1414" i="10"/>
  <c r="R1413" i="10"/>
  <c r="P1413" i="10"/>
  <c r="R1412" i="10"/>
  <c r="P1412" i="10"/>
  <c r="R1411" i="10"/>
  <c r="P1411" i="10"/>
  <c r="R1410" i="10"/>
  <c r="P1410" i="10"/>
  <c r="R1409" i="10"/>
  <c r="P1409" i="10"/>
  <c r="R1408" i="10"/>
  <c r="P1408" i="10"/>
  <c r="R1407" i="10"/>
  <c r="P1407" i="10"/>
  <c r="R1406" i="10"/>
  <c r="P1406" i="10"/>
  <c r="R1405" i="10"/>
  <c r="P1405" i="10"/>
  <c r="R1404" i="10"/>
  <c r="P1404" i="10"/>
  <c r="R1403" i="10"/>
  <c r="P1403" i="10"/>
  <c r="R1402" i="10"/>
  <c r="P1402" i="10"/>
  <c r="R1401" i="10"/>
  <c r="P1401" i="10"/>
  <c r="R1400" i="10"/>
  <c r="P1400" i="10"/>
  <c r="R1399" i="10"/>
  <c r="P1399" i="10"/>
  <c r="R1398" i="10"/>
  <c r="P1398" i="10"/>
  <c r="R1397" i="10"/>
  <c r="P1397" i="10"/>
  <c r="R1396" i="10"/>
  <c r="P1396" i="10"/>
  <c r="R1395" i="10"/>
  <c r="P1395" i="10"/>
  <c r="R1394" i="10"/>
  <c r="P1394" i="10"/>
  <c r="R1393" i="10"/>
  <c r="P1393" i="10"/>
  <c r="R1392" i="10"/>
  <c r="P1392" i="10"/>
  <c r="R1391" i="10"/>
  <c r="P1391" i="10"/>
  <c r="R1390" i="10"/>
  <c r="P1390" i="10"/>
  <c r="R1389" i="10"/>
  <c r="P1389" i="10"/>
  <c r="R1388" i="10"/>
  <c r="P1388" i="10"/>
  <c r="R1387" i="10"/>
  <c r="P1387" i="10"/>
  <c r="R1386" i="10"/>
  <c r="P1386" i="10"/>
  <c r="R1385" i="10"/>
  <c r="P1385" i="10"/>
  <c r="R1384" i="10"/>
  <c r="P1384" i="10"/>
  <c r="R1383" i="10"/>
  <c r="P1383" i="10"/>
  <c r="R1382" i="10"/>
  <c r="P1382" i="10"/>
  <c r="R1381" i="10"/>
  <c r="P1381" i="10"/>
  <c r="R1380" i="10"/>
  <c r="P1380" i="10"/>
  <c r="R1379" i="10"/>
  <c r="P1379" i="10"/>
  <c r="R1378" i="10"/>
  <c r="P1378" i="10"/>
  <c r="R1377" i="10"/>
  <c r="P1377" i="10"/>
  <c r="R1376" i="10"/>
  <c r="P1376" i="10"/>
  <c r="R1375" i="10"/>
  <c r="P1375" i="10"/>
  <c r="R1374" i="10"/>
  <c r="P1374" i="10"/>
  <c r="R1373" i="10"/>
  <c r="P1373" i="10"/>
  <c r="R1372" i="10"/>
  <c r="P1372" i="10"/>
  <c r="R1371" i="10"/>
  <c r="P1371" i="10"/>
  <c r="R1370" i="10"/>
  <c r="P1370" i="10"/>
  <c r="R1369" i="10"/>
  <c r="P1369" i="10"/>
  <c r="R1368" i="10"/>
  <c r="P1368" i="10"/>
  <c r="R1367" i="10"/>
  <c r="P1367" i="10"/>
  <c r="R1366" i="10"/>
  <c r="P1366" i="10"/>
  <c r="R1365" i="10"/>
  <c r="P1365" i="10"/>
  <c r="R1364" i="10"/>
  <c r="P1364" i="10"/>
  <c r="R1363" i="10"/>
  <c r="P1363" i="10"/>
  <c r="R1362" i="10"/>
  <c r="P1362" i="10"/>
  <c r="R1361" i="10"/>
  <c r="P1361" i="10"/>
  <c r="R1360" i="10"/>
  <c r="P1360" i="10"/>
  <c r="R1359" i="10"/>
  <c r="P1359" i="10"/>
  <c r="R1358" i="10"/>
  <c r="P1358" i="10"/>
  <c r="R1357" i="10"/>
  <c r="P1357" i="10"/>
  <c r="R1356" i="10"/>
  <c r="P1356" i="10"/>
  <c r="R1355" i="10"/>
  <c r="P1355" i="10"/>
  <c r="R1354" i="10"/>
  <c r="P1354" i="10"/>
  <c r="R1353" i="10"/>
  <c r="P1353" i="10"/>
  <c r="R1352" i="10"/>
  <c r="P1352" i="10"/>
  <c r="R1351" i="10"/>
  <c r="P1351" i="10"/>
  <c r="R1350" i="10"/>
  <c r="P1350" i="10"/>
  <c r="R1349" i="10"/>
  <c r="P1349" i="10"/>
  <c r="R1348" i="10"/>
  <c r="P1348" i="10"/>
  <c r="R1347" i="10"/>
  <c r="P1347" i="10"/>
  <c r="R1346" i="10"/>
  <c r="P1346" i="10"/>
  <c r="R1345" i="10"/>
  <c r="P1345" i="10"/>
  <c r="R1344" i="10"/>
  <c r="P1344" i="10"/>
  <c r="R1343" i="10"/>
  <c r="P1343" i="10"/>
  <c r="R1342" i="10"/>
  <c r="P1342" i="10"/>
  <c r="R1341" i="10"/>
  <c r="P1341" i="10"/>
  <c r="R1340" i="10"/>
  <c r="P1340" i="10"/>
  <c r="R1339" i="10"/>
  <c r="P1339" i="10"/>
  <c r="R1338" i="10"/>
  <c r="P1338" i="10"/>
  <c r="R1337" i="10"/>
  <c r="P1337" i="10"/>
  <c r="R1336" i="10"/>
  <c r="P1336" i="10"/>
  <c r="R1335" i="10"/>
  <c r="P1335" i="10"/>
  <c r="R1334" i="10"/>
  <c r="P1334" i="10"/>
  <c r="R1333" i="10"/>
  <c r="P1333" i="10"/>
  <c r="R1332" i="10"/>
  <c r="P1332" i="10"/>
  <c r="R1331" i="10"/>
  <c r="P1331" i="10"/>
  <c r="R1330" i="10"/>
  <c r="P1330" i="10"/>
  <c r="R1329" i="10"/>
  <c r="P1329" i="10"/>
  <c r="R1328" i="10"/>
  <c r="P1328" i="10"/>
  <c r="R1327" i="10"/>
  <c r="P1327" i="10"/>
  <c r="R1326" i="10"/>
  <c r="P1326" i="10"/>
  <c r="R1325" i="10"/>
  <c r="P1325" i="10"/>
  <c r="R1324" i="10"/>
  <c r="P1324" i="10"/>
  <c r="R1323" i="10"/>
  <c r="P1323" i="10"/>
  <c r="R1322" i="10"/>
  <c r="P1322" i="10"/>
  <c r="R1321" i="10"/>
  <c r="P1321" i="10"/>
  <c r="R1320" i="10"/>
  <c r="P1320" i="10"/>
  <c r="R1319" i="10"/>
  <c r="P1319" i="10"/>
  <c r="R1318" i="10"/>
  <c r="P1318" i="10"/>
  <c r="R1317" i="10"/>
  <c r="P1317" i="10"/>
  <c r="R1316" i="10"/>
  <c r="P1316" i="10"/>
  <c r="R1315" i="10"/>
  <c r="P1315" i="10"/>
  <c r="R1314" i="10"/>
  <c r="P1314" i="10"/>
  <c r="R1313" i="10"/>
  <c r="P1313" i="10"/>
  <c r="R1312" i="10"/>
  <c r="P1312" i="10"/>
  <c r="R1311" i="10"/>
  <c r="P1311" i="10"/>
  <c r="R1310" i="10"/>
  <c r="P1310" i="10"/>
  <c r="R1309" i="10"/>
  <c r="P1309" i="10"/>
  <c r="R1308" i="10"/>
  <c r="P1308" i="10"/>
  <c r="R1307" i="10"/>
  <c r="P1307" i="10"/>
  <c r="R1306" i="10"/>
  <c r="P1306" i="10"/>
  <c r="R1305" i="10"/>
  <c r="P1305" i="10"/>
  <c r="R1304" i="10"/>
  <c r="P1304" i="10"/>
  <c r="R1303" i="10"/>
  <c r="P1303" i="10"/>
  <c r="R1302" i="10"/>
  <c r="P1302" i="10"/>
  <c r="R1301" i="10"/>
  <c r="P1301" i="10"/>
  <c r="R1300" i="10"/>
  <c r="P1300" i="10"/>
  <c r="R1299" i="10"/>
  <c r="P1299" i="10"/>
  <c r="R1298" i="10"/>
  <c r="P1298" i="10"/>
  <c r="R1297" i="10"/>
  <c r="P1297" i="10"/>
  <c r="R1296" i="10"/>
  <c r="P1296" i="10"/>
  <c r="R1295" i="10"/>
  <c r="P1295" i="10"/>
  <c r="R1294" i="10"/>
  <c r="P1294" i="10"/>
  <c r="R1293" i="10"/>
  <c r="P1293" i="10"/>
  <c r="R1292" i="10"/>
  <c r="P1292" i="10"/>
  <c r="R1291" i="10"/>
  <c r="P1291" i="10"/>
  <c r="R1290" i="10"/>
  <c r="P1290" i="10"/>
  <c r="R1289" i="10"/>
  <c r="P1289" i="10"/>
  <c r="R1288" i="10"/>
  <c r="P1288" i="10"/>
  <c r="R1287" i="10"/>
  <c r="P1287" i="10"/>
  <c r="R1286" i="10"/>
  <c r="P1286" i="10"/>
  <c r="R1285" i="10"/>
  <c r="P1285" i="10"/>
  <c r="R1284" i="10"/>
  <c r="P1284" i="10"/>
  <c r="R1283" i="10"/>
  <c r="P1283" i="10"/>
  <c r="R1282" i="10"/>
  <c r="P1282" i="10"/>
  <c r="R1281" i="10"/>
  <c r="P1281" i="10"/>
  <c r="R1280" i="10"/>
  <c r="P1280" i="10"/>
  <c r="R1279" i="10"/>
  <c r="P1279" i="10"/>
  <c r="R1278" i="10"/>
  <c r="P1278" i="10"/>
  <c r="R1277" i="10"/>
  <c r="P1277" i="10"/>
  <c r="R1276" i="10"/>
  <c r="P1276" i="10"/>
  <c r="R1275" i="10"/>
  <c r="P1275" i="10"/>
  <c r="R1274" i="10"/>
  <c r="P1274" i="10"/>
  <c r="R1273" i="10"/>
  <c r="P1273" i="10"/>
  <c r="R1272" i="10"/>
  <c r="P1272" i="10"/>
  <c r="R1271" i="10"/>
  <c r="P1271" i="10"/>
  <c r="R1270" i="10"/>
  <c r="P1270" i="10"/>
  <c r="R1269" i="10"/>
  <c r="P1269" i="10"/>
  <c r="R1268" i="10"/>
  <c r="P1268" i="10"/>
  <c r="R1267" i="10"/>
  <c r="P1267" i="10"/>
  <c r="R1266" i="10"/>
  <c r="P1266" i="10"/>
  <c r="R1265" i="10"/>
  <c r="P1265" i="10"/>
  <c r="R1264" i="10"/>
  <c r="P1264" i="10"/>
  <c r="R1263" i="10"/>
  <c r="P1263" i="10"/>
  <c r="R1262" i="10"/>
  <c r="P1262" i="10"/>
  <c r="R1261" i="10"/>
  <c r="P1261" i="10"/>
  <c r="R1260" i="10"/>
  <c r="P1260" i="10"/>
  <c r="R1259" i="10"/>
  <c r="P1259" i="10"/>
  <c r="R1258" i="10"/>
  <c r="P1258" i="10"/>
  <c r="R1257" i="10"/>
  <c r="P1257" i="10"/>
  <c r="R1256" i="10"/>
  <c r="P1256" i="10"/>
  <c r="R1255" i="10"/>
  <c r="P1255" i="10"/>
  <c r="R1254" i="10"/>
  <c r="P1254" i="10"/>
  <c r="R1253" i="10"/>
  <c r="P1253" i="10"/>
  <c r="R1252" i="10"/>
  <c r="P1252" i="10"/>
  <c r="R1251" i="10"/>
  <c r="P1251" i="10"/>
  <c r="R1250" i="10"/>
  <c r="P1250" i="10"/>
  <c r="R1249" i="10"/>
  <c r="P1249" i="10"/>
  <c r="R1248" i="10"/>
  <c r="P1248" i="10"/>
  <c r="R1247" i="10"/>
  <c r="P1247" i="10"/>
  <c r="R1246" i="10"/>
  <c r="P1246" i="10"/>
  <c r="R1245" i="10"/>
  <c r="P1245" i="10"/>
  <c r="R1244" i="10"/>
  <c r="P1244" i="10"/>
  <c r="R1243" i="10"/>
  <c r="P1243" i="10"/>
  <c r="R1242" i="10"/>
  <c r="P1242" i="10"/>
  <c r="R1241" i="10"/>
  <c r="P1241" i="10"/>
  <c r="R1240" i="10"/>
  <c r="P1240" i="10"/>
  <c r="R1239" i="10"/>
  <c r="P1239" i="10"/>
  <c r="R1238" i="10"/>
  <c r="P1238" i="10"/>
  <c r="R1237" i="10"/>
  <c r="P1237" i="10"/>
  <c r="R1236" i="10"/>
  <c r="P1236" i="10"/>
  <c r="R1235" i="10"/>
  <c r="P1235" i="10"/>
  <c r="R1234" i="10"/>
  <c r="P1234" i="10"/>
  <c r="R1233" i="10"/>
  <c r="P1233" i="10"/>
  <c r="R1232" i="10"/>
  <c r="P1232" i="10"/>
  <c r="R1231" i="10"/>
  <c r="P1231" i="10"/>
  <c r="R1230" i="10"/>
  <c r="P1230" i="10"/>
  <c r="R1229" i="10"/>
  <c r="P1229" i="10"/>
  <c r="R1228" i="10"/>
  <c r="P1228" i="10"/>
  <c r="R1227" i="10"/>
  <c r="P1227" i="10"/>
  <c r="R1226" i="10"/>
  <c r="P1226" i="10"/>
  <c r="R1225" i="10"/>
  <c r="P1225" i="10"/>
  <c r="R1224" i="10"/>
  <c r="P1224" i="10"/>
  <c r="R1223" i="10"/>
  <c r="P1223" i="10"/>
  <c r="R1222" i="10"/>
  <c r="P1222" i="10"/>
  <c r="R1221" i="10"/>
  <c r="P1221" i="10"/>
  <c r="R1220" i="10"/>
  <c r="P1220" i="10"/>
  <c r="R1219" i="10"/>
  <c r="P1219" i="10"/>
  <c r="R1218" i="10"/>
  <c r="P1218" i="10"/>
  <c r="R1217" i="10"/>
  <c r="P1217" i="10"/>
  <c r="R1216" i="10"/>
  <c r="P1216" i="10"/>
  <c r="R1215" i="10"/>
  <c r="P1215" i="10"/>
  <c r="R1214" i="10"/>
  <c r="P1214" i="10"/>
  <c r="R1213" i="10"/>
  <c r="P1213" i="10"/>
  <c r="R1212" i="10"/>
  <c r="P1212" i="10"/>
  <c r="R1211" i="10"/>
  <c r="P1211" i="10"/>
  <c r="R1210" i="10"/>
  <c r="P1210" i="10"/>
  <c r="R1209" i="10"/>
  <c r="P1209" i="10"/>
  <c r="R1208" i="10"/>
  <c r="P1208" i="10"/>
  <c r="R1207" i="10"/>
  <c r="P1207" i="10"/>
  <c r="R1206" i="10"/>
  <c r="P1206" i="10"/>
  <c r="R1205" i="10"/>
  <c r="P1205" i="10"/>
  <c r="R1204" i="10"/>
  <c r="P1204" i="10"/>
  <c r="R1203" i="10"/>
  <c r="P1203" i="10"/>
  <c r="R1202" i="10"/>
  <c r="P1202" i="10"/>
  <c r="R1201" i="10"/>
  <c r="P1201" i="10"/>
  <c r="R1200" i="10"/>
  <c r="P1200" i="10"/>
  <c r="R1199" i="10"/>
  <c r="P1199" i="10"/>
  <c r="R1198" i="10"/>
  <c r="P1198" i="10"/>
  <c r="R1197" i="10"/>
  <c r="P1197" i="10"/>
  <c r="R1196" i="10"/>
  <c r="P1196" i="10"/>
  <c r="R1195" i="10"/>
  <c r="P1195" i="10"/>
  <c r="R1194" i="10"/>
  <c r="P1194" i="10"/>
  <c r="R1193" i="10"/>
  <c r="P1193" i="10"/>
  <c r="R1192" i="10"/>
  <c r="P1192" i="10"/>
  <c r="R1191" i="10"/>
  <c r="P1191" i="10"/>
  <c r="R1190" i="10"/>
  <c r="P1190" i="10"/>
  <c r="R1189" i="10"/>
  <c r="P1189" i="10"/>
  <c r="R1188" i="10"/>
  <c r="P1188" i="10"/>
  <c r="R1187" i="10"/>
  <c r="P1187" i="10"/>
  <c r="R1186" i="10"/>
  <c r="P1186" i="10"/>
  <c r="R1185" i="10"/>
  <c r="P1185" i="10"/>
  <c r="R1184" i="10"/>
  <c r="P1184" i="10"/>
  <c r="R1183" i="10"/>
  <c r="P1183" i="10"/>
  <c r="R1182" i="10"/>
  <c r="P1182" i="10"/>
  <c r="R1181" i="10"/>
  <c r="P1181" i="10"/>
  <c r="R1180" i="10"/>
  <c r="P1180" i="10"/>
  <c r="R1179" i="10"/>
  <c r="P1179" i="10"/>
  <c r="R1178" i="10"/>
  <c r="P1178" i="10"/>
  <c r="R1177" i="10"/>
  <c r="P1177" i="10"/>
  <c r="R1176" i="10"/>
  <c r="P1176" i="10"/>
  <c r="R1175" i="10"/>
  <c r="P1175" i="10"/>
  <c r="R1174" i="10"/>
  <c r="P1174" i="10"/>
  <c r="R1173" i="10"/>
  <c r="P1173" i="10"/>
  <c r="R1172" i="10"/>
  <c r="P1172" i="10"/>
  <c r="R1171" i="10"/>
  <c r="P1171" i="10"/>
  <c r="R1170" i="10"/>
  <c r="P1170" i="10"/>
  <c r="R1169" i="10"/>
  <c r="P1169" i="10"/>
  <c r="R1168" i="10"/>
  <c r="P1168" i="10"/>
  <c r="R1167" i="10"/>
  <c r="P1167" i="10"/>
  <c r="R1166" i="10"/>
  <c r="P1166" i="10"/>
  <c r="R1165" i="10"/>
  <c r="P1165" i="10"/>
  <c r="R1164" i="10"/>
  <c r="P1164" i="10"/>
  <c r="R1163" i="10"/>
  <c r="P1163" i="10"/>
  <c r="R1162" i="10"/>
  <c r="P1162" i="10"/>
  <c r="R1161" i="10"/>
  <c r="P1161" i="10"/>
  <c r="R1160" i="10"/>
  <c r="P1160" i="10"/>
  <c r="R1159" i="10"/>
  <c r="P1159" i="10"/>
  <c r="R1158" i="10"/>
  <c r="P1158" i="10"/>
  <c r="R1157" i="10"/>
  <c r="P1157" i="10"/>
  <c r="R1156" i="10"/>
  <c r="P1156" i="10"/>
  <c r="R1155" i="10"/>
  <c r="P1155" i="10"/>
  <c r="R1154" i="10"/>
  <c r="P1154" i="10"/>
  <c r="R1153" i="10"/>
  <c r="P1153" i="10"/>
  <c r="R1152" i="10"/>
  <c r="P1152" i="10"/>
  <c r="R1151" i="10"/>
  <c r="P1151" i="10"/>
  <c r="R1150" i="10"/>
  <c r="P1150" i="10"/>
  <c r="R1149" i="10"/>
  <c r="P1149" i="10"/>
  <c r="R1148" i="10"/>
  <c r="P1148" i="10"/>
  <c r="R1147" i="10"/>
  <c r="P1147" i="10"/>
  <c r="R1146" i="10"/>
  <c r="P1146" i="10"/>
  <c r="R1145" i="10"/>
  <c r="P1145" i="10"/>
  <c r="R1144" i="10"/>
  <c r="P1144" i="10"/>
  <c r="R1143" i="10"/>
  <c r="P1143" i="10"/>
  <c r="R1142" i="10"/>
  <c r="P1142" i="10"/>
  <c r="R1141" i="10"/>
  <c r="P1141" i="10"/>
  <c r="R1140" i="10"/>
  <c r="P1140" i="10"/>
  <c r="R1139" i="10"/>
  <c r="P1139" i="10"/>
  <c r="R1138" i="10"/>
  <c r="P1138" i="10"/>
  <c r="R1137" i="10"/>
  <c r="P1137" i="10"/>
  <c r="R1136" i="10"/>
  <c r="P1136" i="10"/>
  <c r="R1135" i="10"/>
  <c r="P1135" i="10"/>
  <c r="R1134" i="10"/>
  <c r="P1134" i="10"/>
  <c r="R1133" i="10"/>
  <c r="P1133" i="10"/>
  <c r="R1132" i="10"/>
  <c r="P1132" i="10"/>
  <c r="R1131" i="10"/>
  <c r="P1131" i="10"/>
  <c r="R1130" i="10"/>
  <c r="P1130" i="10"/>
  <c r="R1129" i="10"/>
  <c r="P1129" i="10"/>
  <c r="R1128" i="10"/>
  <c r="P1128" i="10"/>
  <c r="R1127" i="10"/>
  <c r="P1127" i="10"/>
  <c r="R1126" i="10"/>
  <c r="P1126" i="10"/>
  <c r="R1125" i="10"/>
  <c r="P1125" i="10"/>
  <c r="R1124" i="10"/>
  <c r="P1124" i="10"/>
  <c r="R1123" i="10"/>
  <c r="P1123" i="10"/>
  <c r="R1122" i="10"/>
  <c r="P1122" i="10"/>
  <c r="R1121" i="10"/>
  <c r="P1121" i="10"/>
  <c r="R1120" i="10"/>
  <c r="P1120" i="10"/>
  <c r="R1119" i="10"/>
  <c r="P1119" i="10"/>
  <c r="R1118" i="10"/>
  <c r="P1118" i="10"/>
  <c r="R1117" i="10"/>
  <c r="P1117" i="10"/>
  <c r="R1116" i="10"/>
  <c r="P1116" i="10"/>
  <c r="R1115" i="10"/>
  <c r="P1115" i="10"/>
  <c r="R1114" i="10"/>
  <c r="P1114" i="10"/>
  <c r="R1113" i="10"/>
  <c r="P1113" i="10"/>
  <c r="R1112" i="10"/>
  <c r="P1112" i="10"/>
  <c r="R1111" i="10"/>
  <c r="P1111" i="10"/>
  <c r="R1110" i="10"/>
  <c r="P1110" i="10"/>
  <c r="R1109" i="10"/>
  <c r="P1109" i="10"/>
  <c r="R1108" i="10"/>
  <c r="P1108" i="10"/>
  <c r="R1107" i="10"/>
  <c r="P1107" i="10"/>
  <c r="R1106" i="10"/>
  <c r="P1106" i="10"/>
  <c r="R1105" i="10"/>
  <c r="P1105" i="10"/>
  <c r="R1104" i="10"/>
  <c r="P1104" i="10"/>
  <c r="R1103" i="10"/>
  <c r="P1103" i="10"/>
  <c r="R1102" i="10"/>
  <c r="P1102" i="10"/>
  <c r="R1101" i="10"/>
  <c r="P1101" i="10"/>
  <c r="R1100" i="10"/>
  <c r="P1100" i="10"/>
  <c r="R1099" i="10"/>
  <c r="P1099" i="10"/>
  <c r="R1098" i="10"/>
  <c r="P1098" i="10"/>
  <c r="R1097" i="10"/>
  <c r="P1097" i="10"/>
  <c r="R1096" i="10"/>
  <c r="P1096" i="10"/>
  <c r="R1095" i="10"/>
  <c r="P1095" i="10"/>
  <c r="R1094" i="10"/>
  <c r="P1094" i="10"/>
  <c r="R1093" i="10"/>
  <c r="P1093" i="10"/>
  <c r="R1092" i="10"/>
  <c r="P1092" i="10"/>
  <c r="R1091" i="10"/>
  <c r="P1091" i="10"/>
  <c r="R1090" i="10"/>
  <c r="P1090" i="10"/>
  <c r="R1089" i="10"/>
  <c r="P1089" i="10"/>
  <c r="R1088" i="10"/>
  <c r="P1088" i="10"/>
  <c r="R1087" i="10"/>
  <c r="P1087" i="10"/>
  <c r="R1086" i="10"/>
  <c r="P1086" i="10"/>
  <c r="R1085" i="10"/>
  <c r="P1085" i="10"/>
  <c r="R1084" i="10"/>
  <c r="P1084" i="10"/>
  <c r="R1083" i="10"/>
  <c r="P1083" i="10"/>
  <c r="R1082" i="10"/>
  <c r="P1082" i="10"/>
  <c r="R1081" i="10"/>
  <c r="P1081" i="10"/>
  <c r="R1080" i="10"/>
  <c r="P1080" i="10"/>
  <c r="R1079" i="10"/>
  <c r="P1079" i="10"/>
  <c r="R1078" i="10"/>
  <c r="P1078" i="10"/>
  <c r="R1077" i="10"/>
  <c r="P1077" i="10"/>
  <c r="R1076" i="10"/>
  <c r="P1076" i="10"/>
  <c r="R1075" i="10"/>
  <c r="P1075" i="10"/>
  <c r="R1074" i="10"/>
  <c r="P1074" i="10"/>
  <c r="R1073" i="10"/>
  <c r="P1073" i="10"/>
  <c r="R1072" i="10"/>
  <c r="P1072" i="10"/>
  <c r="R1071" i="10"/>
  <c r="P1071" i="10"/>
  <c r="R1070" i="10"/>
  <c r="P1070" i="10"/>
  <c r="R1069" i="10"/>
  <c r="P1069" i="10"/>
  <c r="R1068" i="10"/>
  <c r="P1068" i="10"/>
  <c r="R1067" i="10"/>
  <c r="P1067" i="10"/>
  <c r="R1066" i="10"/>
  <c r="P1066" i="10"/>
  <c r="R1065" i="10"/>
  <c r="P1065" i="10"/>
  <c r="R1064" i="10"/>
  <c r="P1064" i="10"/>
  <c r="R1063" i="10"/>
  <c r="P1063" i="10"/>
  <c r="R1062" i="10"/>
  <c r="P1062" i="10"/>
  <c r="R1061" i="10"/>
  <c r="P1061" i="10"/>
  <c r="R1060" i="10"/>
  <c r="P1060" i="10"/>
  <c r="R1059" i="10"/>
  <c r="P1059" i="10"/>
  <c r="R1058" i="10"/>
  <c r="P1058" i="10"/>
  <c r="R1057" i="10"/>
  <c r="P1057" i="10"/>
  <c r="R1056" i="10"/>
  <c r="P1056" i="10"/>
  <c r="R1055" i="10"/>
  <c r="P1055" i="10"/>
  <c r="R1054" i="10"/>
  <c r="P1054" i="10"/>
  <c r="R1053" i="10"/>
  <c r="P1053" i="10"/>
  <c r="R1052" i="10"/>
  <c r="P1052" i="10"/>
  <c r="R1051" i="10"/>
  <c r="P1051" i="10"/>
  <c r="R1050" i="10"/>
  <c r="P1050" i="10"/>
  <c r="R1049" i="10"/>
  <c r="P1049" i="10"/>
  <c r="R1048" i="10"/>
  <c r="P1048" i="10"/>
  <c r="R1047" i="10"/>
  <c r="P1047" i="10"/>
  <c r="R1046" i="10"/>
  <c r="P1046" i="10"/>
  <c r="R1045" i="10"/>
  <c r="P1045" i="10"/>
  <c r="R1044" i="10"/>
  <c r="P1044" i="10"/>
  <c r="R1043" i="10"/>
  <c r="P1043" i="10"/>
  <c r="R1042" i="10"/>
  <c r="P1042" i="10"/>
  <c r="R1041" i="10"/>
  <c r="P1041" i="10"/>
  <c r="R1040" i="10"/>
  <c r="P1040" i="10"/>
  <c r="R1039" i="10"/>
  <c r="P1039" i="10"/>
  <c r="R1038" i="10"/>
  <c r="P1038" i="10"/>
  <c r="R1037" i="10"/>
  <c r="P1037" i="10"/>
  <c r="R1036" i="10"/>
  <c r="P1036" i="10"/>
  <c r="R1035" i="10"/>
  <c r="P1035" i="10"/>
  <c r="R1034" i="10"/>
  <c r="P1034" i="10"/>
  <c r="R1033" i="10"/>
  <c r="P1033" i="10"/>
  <c r="R1032" i="10"/>
  <c r="P1032" i="10"/>
  <c r="R1031" i="10"/>
  <c r="P1031" i="10"/>
  <c r="R1030" i="10"/>
  <c r="P1030" i="10"/>
  <c r="R1029" i="10"/>
  <c r="P1029" i="10"/>
  <c r="R1028" i="10"/>
  <c r="P1028" i="10"/>
  <c r="R1027" i="10"/>
  <c r="P1027" i="10"/>
  <c r="R1026" i="10"/>
  <c r="P1026" i="10"/>
  <c r="R1025" i="10"/>
  <c r="P1025" i="10"/>
  <c r="R1024" i="10"/>
  <c r="P1024" i="10"/>
  <c r="R1023" i="10"/>
  <c r="P1023" i="10"/>
  <c r="R1022" i="10"/>
  <c r="P1022" i="10"/>
  <c r="R1021" i="10"/>
  <c r="P1021" i="10"/>
  <c r="R1020" i="10"/>
  <c r="P1020" i="10"/>
  <c r="R1019" i="10"/>
  <c r="P1019" i="10"/>
  <c r="R1018" i="10"/>
  <c r="P1018" i="10"/>
  <c r="R1017" i="10"/>
  <c r="P1017" i="10"/>
  <c r="R1016" i="10"/>
  <c r="P1016" i="10"/>
  <c r="R1015" i="10"/>
  <c r="P1015" i="10"/>
  <c r="R1014" i="10"/>
  <c r="P1014" i="10"/>
  <c r="R1013" i="10"/>
  <c r="P1013" i="10"/>
  <c r="R1012" i="10"/>
  <c r="P1012" i="10"/>
  <c r="R1011" i="10"/>
  <c r="P1011" i="10"/>
  <c r="R1010" i="10"/>
  <c r="P1010" i="10"/>
  <c r="R1009" i="10"/>
  <c r="P1009" i="10"/>
  <c r="R1008" i="10"/>
  <c r="P1008" i="10"/>
  <c r="R1007" i="10"/>
  <c r="P1007" i="10"/>
  <c r="R1006" i="10"/>
  <c r="P1006" i="10"/>
  <c r="R1005" i="10"/>
  <c r="P1005" i="10"/>
  <c r="R1004" i="10"/>
  <c r="P1004" i="10"/>
  <c r="R1003" i="10"/>
  <c r="P1003" i="10"/>
  <c r="R1002" i="10"/>
  <c r="P1002" i="10"/>
  <c r="R1001" i="10"/>
  <c r="P1001" i="10"/>
  <c r="R1000" i="10"/>
  <c r="P1000" i="10"/>
  <c r="R999" i="10"/>
  <c r="P999" i="10"/>
  <c r="R998" i="10"/>
  <c r="P998" i="10"/>
  <c r="R997" i="10"/>
  <c r="P997" i="10"/>
  <c r="R996" i="10"/>
  <c r="P996" i="10"/>
  <c r="R995" i="10"/>
  <c r="P995" i="10"/>
  <c r="R994" i="10"/>
  <c r="P994" i="10"/>
  <c r="R993" i="10"/>
  <c r="P993" i="10"/>
  <c r="R992" i="10"/>
  <c r="P992" i="10"/>
  <c r="R991" i="10"/>
  <c r="P991" i="10"/>
  <c r="R990" i="10"/>
  <c r="P990" i="10"/>
  <c r="R989" i="10"/>
  <c r="P989" i="10"/>
  <c r="R988" i="10"/>
  <c r="P988" i="10"/>
  <c r="R987" i="10"/>
  <c r="P987" i="10"/>
  <c r="R986" i="10"/>
  <c r="P986" i="10"/>
  <c r="R985" i="10"/>
  <c r="P985" i="10"/>
  <c r="R984" i="10"/>
  <c r="P984" i="10"/>
  <c r="R983" i="10"/>
  <c r="P983" i="10"/>
  <c r="R982" i="10"/>
  <c r="P982" i="10"/>
  <c r="R981" i="10"/>
  <c r="P981" i="10"/>
  <c r="R980" i="10"/>
  <c r="P980" i="10"/>
  <c r="R979" i="10"/>
  <c r="P979" i="10"/>
  <c r="R978" i="10"/>
  <c r="P978" i="10"/>
  <c r="R977" i="10"/>
  <c r="P977" i="10"/>
  <c r="R976" i="10"/>
  <c r="P976" i="10"/>
  <c r="R975" i="10"/>
  <c r="P975" i="10"/>
  <c r="R974" i="10"/>
  <c r="P974" i="10"/>
  <c r="R973" i="10"/>
  <c r="P973" i="10"/>
  <c r="R972" i="10"/>
  <c r="P972" i="10"/>
  <c r="R971" i="10"/>
  <c r="P971" i="10"/>
  <c r="R970" i="10"/>
  <c r="P970" i="10"/>
  <c r="R969" i="10"/>
  <c r="P969" i="10"/>
  <c r="R968" i="10"/>
  <c r="P968" i="10"/>
  <c r="R967" i="10"/>
  <c r="P967" i="10"/>
  <c r="R966" i="10"/>
  <c r="P966" i="10"/>
  <c r="R965" i="10"/>
  <c r="P965" i="10"/>
  <c r="R964" i="10"/>
  <c r="P964" i="10"/>
  <c r="R963" i="10"/>
  <c r="P963" i="10"/>
  <c r="R962" i="10"/>
  <c r="P962" i="10"/>
  <c r="R961" i="10"/>
  <c r="P961" i="10"/>
  <c r="R960" i="10"/>
  <c r="P960" i="10"/>
  <c r="R959" i="10"/>
  <c r="P959" i="10"/>
  <c r="R958" i="10"/>
  <c r="P958" i="10"/>
  <c r="R957" i="10"/>
  <c r="P957" i="10"/>
  <c r="R956" i="10"/>
  <c r="P956" i="10"/>
  <c r="R955" i="10"/>
  <c r="P955" i="10"/>
  <c r="R954" i="10"/>
  <c r="P954" i="10"/>
  <c r="R953" i="10"/>
  <c r="P953" i="10"/>
  <c r="R952" i="10"/>
  <c r="P952" i="10"/>
  <c r="R951" i="10"/>
  <c r="P951" i="10"/>
  <c r="R950" i="10"/>
  <c r="P950" i="10"/>
  <c r="R949" i="10"/>
  <c r="P949" i="10"/>
  <c r="R948" i="10"/>
  <c r="P948" i="10"/>
  <c r="R947" i="10"/>
  <c r="P947" i="10"/>
  <c r="R946" i="10"/>
  <c r="P946" i="10"/>
  <c r="R945" i="10"/>
  <c r="P945" i="10"/>
  <c r="R944" i="10"/>
  <c r="P944" i="10"/>
  <c r="R943" i="10"/>
  <c r="P943" i="10"/>
  <c r="R942" i="10"/>
  <c r="P942" i="10"/>
  <c r="R941" i="10"/>
  <c r="P941" i="10"/>
  <c r="R940" i="10"/>
  <c r="P940" i="10"/>
  <c r="R939" i="10"/>
  <c r="P939" i="10"/>
  <c r="R938" i="10"/>
  <c r="P938" i="10"/>
  <c r="R937" i="10"/>
  <c r="P937" i="10"/>
  <c r="R936" i="10"/>
  <c r="P936" i="10"/>
  <c r="R935" i="10"/>
  <c r="P935" i="10"/>
  <c r="R934" i="10"/>
  <c r="P934" i="10"/>
  <c r="R933" i="10"/>
  <c r="P933" i="10"/>
  <c r="R932" i="10"/>
  <c r="P932" i="10"/>
  <c r="R931" i="10"/>
  <c r="P931" i="10"/>
  <c r="R930" i="10"/>
  <c r="P930" i="10"/>
  <c r="R929" i="10"/>
  <c r="P929" i="10"/>
  <c r="R928" i="10"/>
  <c r="P928" i="10"/>
  <c r="R927" i="10"/>
  <c r="P927" i="10"/>
  <c r="R926" i="10"/>
  <c r="P926" i="10"/>
  <c r="R925" i="10"/>
  <c r="P925" i="10"/>
  <c r="R924" i="10"/>
  <c r="P924" i="10"/>
  <c r="R923" i="10"/>
  <c r="P923" i="10"/>
  <c r="R922" i="10"/>
  <c r="P922" i="10"/>
  <c r="R921" i="10"/>
  <c r="P921" i="10"/>
  <c r="R920" i="10"/>
  <c r="P920" i="10"/>
  <c r="R919" i="10"/>
  <c r="P919" i="10"/>
  <c r="R918" i="10"/>
  <c r="P918" i="10"/>
  <c r="R917" i="10"/>
  <c r="P917" i="10"/>
  <c r="R916" i="10"/>
  <c r="P916" i="10"/>
  <c r="R915" i="10"/>
  <c r="P915" i="10"/>
  <c r="R914" i="10"/>
  <c r="P914" i="10"/>
  <c r="R913" i="10"/>
  <c r="P913" i="10"/>
  <c r="R912" i="10"/>
  <c r="P912" i="10"/>
  <c r="R911" i="10"/>
  <c r="P911" i="10"/>
  <c r="R910" i="10"/>
  <c r="P910" i="10"/>
  <c r="R909" i="10"/>
  <c r="P909" i="10"/>
  <c r="R908" i="10"/>
  <c r="P908" i="10"/>
  <c r="R907" i="10"/>
  <c r="P907" i="10"/>
  <c r="R906" i="10"/>
  <c r="P906" i="10"/>
  <c r="R905" i="10"/>
  <c r="P905" i="10"/>
  <c r="R904" i="10"/>
  <c r="P904" i="10"/>
  <c r="R903" i="10"/>
  <c r="P903" i="10"/>
  <c r="R902" i="10"/>
  <c r="P902" i="10"/>
  <c r="R901" i="10"/>
  <c r="P901" i="10"/>
  <c r="R900" i="10"/>
  <c r="P900" i="10"/>
  <c r="R899" i="10"/>
  <c r="P899" i="10"/>
  <c r="R898" i="10"/>
  <c r="P898" i="10"/>
  <c r="R897" i="10"/>
  <c r="P897" i="10"/>
  <c r="R896" i="10"/>
  <c r="P896" i="10"/>
  <c r="R895" i="10"/>
  <c r="P895" i="10"/>
  <c r="R894" i="10"/>
  <c r="P894" i="10"/>
  <c r="R893" i="10"/>
  <c r="P893" i="10"/>
  <c r="R892" i="10"/>
  <c r="P892" i="10"/>
  <c r="R891" i="10"/>
  <c r="P891" i="10"/>
  <c r="R890" i="10"/>
  <c r="P890" i="10"/>
  <c r="R889" i="10"/>
  <c r="P889" i="10"/>
  <c r="R888" i="10"/>
  <c r="P888" i="10"/>
  <c r="R887" i="10"/>
  <c r="P887" i="10"/>
  <c r="R886" i="10"/>
  <c r="P886" i="10"/>
  <c r="R885" i="10"/>
  <c r="P885" i="10"/>
  <c r="R884" i="10"/>
  <c r="P884" i="10"/>
  <c r="R883" i="10"/>
  <c r="P883" i="10"/>
  <c r="R882" i="10"/>
  <c r="P882" i="10"/>
  <c r="R881" i="10"/>
  <c r="P881" i="10"/>
  <c r="R880" i="10"/>
  <c r="P880" i="10"/>
  <c r="R879" i="10"/>
  <c r="P879" i="10"/>
  <c r="R878" i="10"/>
  <c r="P878" i="10"/>
  <c r="R877" i="10"/>
  <c r="P877" i="10"/>
  <c r="R876" i="10"/>
  <c r="P876" i="10"/>
  <c r="R875" i="10"/>
  <c r="P875" i="10"/>
  <c r="R874" i="10"/>
  <c r="P874" i="10"/>
  <c r="R873" i="10"/>
  <c r="P873" i="10"/>
  <c r="R872" i="10"/>
  <c r="P872" i="10"/>
  <c r="R871" i="10"/>
  <c r="P871" i="10"/>
  <c r="R870" i="10"/>
  <c r="P870" i="10"/>
  <c r="R869" i="10"/>
  <c r="P869" i="10"/>
  <c r="R868" i="10"/>
  <c r="P868" i="10"/>
  <c r="R867" i="10"/>
  <c r="P867" i="10"/>
  <c r="R866" i="10"/>
  <c r="P866" i="10"/>
  <c r="R865" i="10"/>
  <c r="P865" i="10"/>
  <c r="R864" i="10"/>
  <c r="P864" i="10"/>
  <c r="R863" i="10"/>
  <c r="P863" i="10"/>
  <c r="R862" i="10"/>
  <c r="P862" i="10"/>
  <c r="R861" i="10"/>
  <c r="P861" i="10"/>
  <c r="R860" i="10"/>
  <c r="P860" i="10"/>
  <c r="R859" i="10"/>
  <c r="P859" i="10"/>
  <c r="R858" i="10"/>
  <c r="P858" i="10"/>
  <c r="R857" i="10"/>
  <c r="P857" i="10"/>
  <c r="R856" i="10"/>
  <c r="P856" i="10"/>
  <c r="R855" i="10"/>
  <c r="P855" i="10"/>
  <c r="R854" i="10"/>
  <c r="P854" i="10"/>
  <c r="R853" i="10"/>
  <c r="P853" i="10"/>
  <c r="R852" i="10"/>
  <c r="P852" i="10"/>
  <c r="R851" i="10"/>
  <c r="P851" i="10"/>
  <c r="R850" i="10"/>
  <c r="P850" i="10"/>
  <c r="R849" i="10"/>
  <c r="P849" i="10"/>
  <c r="R848" i="10"/>
  <c r="P848" i="10"/>
  <c r="R847" i="10"/>
  <c r="P847" i="10"/>
  <c r="R846" i="10"/>
  <c r="P846" i="10"/>
  <c r="R845" i="10"/>
  <c r="P845" i="10"/>
  <c r="R844" i="10"/>
  <c r="P844" i="10"/>
  <c r="R843" i="10"/>
  <c r="P843" i="10"/>
  <c r="R842" i="10"/>
  <c r="P842" i="10"/>
  <c r="R841" i="10"/>
  <c r="P841" i="10"/>
  <c r="R840" i="10"/>
  <c r="P840" i="10"/>
  <c r="R839" i="10"/>
  <c r="P839" i="10"/>
  <c r="R838" i="10"/>
  <c r="P838" i="10"/>
  <c r="R837" i="10"/>
  <c r="P837" i="10"/>
  <c r="R836" i="10"/>
  <c r="P836" i="10"/>
  <c r="R835" i="10"/>
  <c r="P835" i="10"/>
  <c r="R834" i="10"/>
  <c r="P834" i="10"/>
  <c r="R833" i="10"/>
  <c r="P833" i="10"/>
  <c r="R832" i="10"/>
  <c r="P832" i="10"/>
  <c r="R831" i="10"/>
  <c r="P831" i="10"/>
  <c r="R830" i="10"/>
  <c r="P830" i="10"/>
  <c r="R829" i="10"/>
  <c r="P829" i="10"/>
  <c r="R828" i="10"/>
  <c r="P828" i="10"/>
  <c r="R827" i="10"/>
  <c r="P827" i="10"/>
  <c r="R826" i="10"/>
  <c r="P826" i="10"/>
  <c r="R825" i="10"/>
  <c r="P825" i="10"/>
  <c r="R824" i="10"/>
  <c r="P824" i="10"/>
  <c r="R823" i="10"/>
  <c r="P823" i="10"/>
  <c r="R822" i="10"/>
  <c r="P822" i="10"/>
  <c r="R821" i="10"/>
  <c r="P821" i="10"/>
  <c r="R820" i="10"/>
  <c r="P820" i="10"/>
  <c r="R819" i="10"/>
  <c r="P819" i="10"/>
  <c r="R818" i="10"/>
  <c r="P818" i="10"/>
  <c r="R817" i="10"/>
  <c r="P817" i="10"/>
  <c r="R816" i="10"/>
  <c r="P816" i="10"/>
  <c r="R815" i="10"/>
  <c r="P815" i="10"/>
  <c r="R814" i="10"/>
  <c r="P814" i="10"/>
  <c r="R813" i="10"/>
  <c r="P813" i="10"/>
  <c r="R812" i="10"/>
  <c r="P812" i="10"/>
  <c r="R811" i="10"/>
  <c r="P811" i="10"/>
  <c r="R810" i="10"/>
  <c r="P810" i="10"/>
  <c r="R809" i="10"/>
  <c r="P809" i="10"/>
  <c r="R808" i="10"/>
  <c r="P808" i="10"/>
  <c r="R807" i="10"/>
  <c r="P807" i="10"/>
  <c r="R806" i="10"/>
  <c r="P806" i="10"/>
  <c r="R805" i="10"/>
  <c r="P805" i="10"/>
  <c r="R804" i="10"/>
  <c r="P804" i="10"/>
  <c r="R803" i="10"/>
  <c r="P803" i="10"/>
  <c r="R802" i="10"/>
  <c r="P802" i="10"/>
  <c r="R801" i="10"/>
  <c r="P801" i="10"/>
  <c r="R800" i="10"/>
  <c r="P800" i="10"/>
  <c r="R799" i="10"/>
  <c r="P799" i="10"/>
  <c r="R798" i="10"/>
  <c r="P798" i="10"/>
  <c r="R797" i="10"/>
  <c r="P797" i="10"/>
  <c r="R796" i="10"/>
  <c r="P796" i="10"/>
  <c r="R795" i="10"/>
  <c r="P795" i="10"/>
  <c r="R794" i="10"/>
  <c r="P794" i="10"/>
  <c r="R793" i="10"/>
  <c r="P793" i="10"/>
  <c r="R792" i="10"/>
  <c r="P792" i="10"/>
  <c r="R791" i="10"/>
  <c r="P791" i="10"/>
  <c r="R790" i="10"/>
  <c r="P790" i="10"/>
  <c r="R789" i="10"/>
  <c r="P789" i="10"/>
  <c r="R788" i="10"/>
  <c r="P788" i="10"/>
  <c r="R787" i="10"/>
  <c r="P787" i="10"/>
  <c r="R786" i="10"/>
  <c r="P786" i="10"/>
  <c r="R785" i="10"/>
  <c r="P785" i="10"/>
  <c r="R784" i="10"/>
  <c r="P784" i="10"/>
  <c r="R783" i="10"/>
  <c r="P783" i="10"/>
  <c r="R782" i="10"/>
  <c r="P782" i="10"/>
  <c r="R781" i="10"/>
  <c r="P781" i="10"/>
  <c r="R780" i="10"/>
  <c r="P780" i="10"/>
  <c r="R779" i="10"/>
  <c r="P779" i="10"/>
  <c r="R778" i="10"/>
  <c r="P778" i="10"/>
  <c r="R777" i="10"/>
  <c r="P777" i="10"/>
  <c r="R776" i="10"/>
  <c r="P776" i="10"/>
  <c r="R775" i="10"/>
  <c r="P775" i="10"/>
  <c r="R774" i="10"/>
  <c r="P774" i="10"/>
  <c r="R773" i="10"/>
  <c r="P773" i="10"/>
  <c r="R772" i="10"/>
  <c r="P772" i="10"/>
  <c r="R771" i="10"/>
  <c r="P771" i="10"/>
  <c r="R770" i="10"/>
  <c r="P770" i="10"/>
  <c r="R769" i="10"/>
  <c r="P769" i="10"/>
  <c r="R768" i="10"/>
  <c r="P768" i="10"/>
  <c r="R767" i="10"/>
  <c r="P767" i="10"/>
  <c r="R766" i="10"/>
  <c r="P766" i="10"/>
  <c r="R765" i="10"/>
  <c r="P765" i="10"/>
  <c r="R764" i="10"/>
  <c r="P764" i="10"/>
  <c r="R763" i="10"/>
  <c r="P763" i="10"/>
  <c r="R762" i="10"/>
  <c r="P762" i="10"/>
  <c r="R761" i="10"/>
  <c r="P761" i="10"/>
  <c r="R760" i="10"/>
  <c r="P760" i="10"/>
  <c r="R759" i="10"/>
  <c r="P759" i="10"/>
  <c r="R758" i="10"/>
  <c r="P758" i="10"/>
  <c r="R757" i="10"/>
  <c r="P757" i="10"/>
  <c r="R756" i="10"/>
  <c r="P756" i="10"/>
  <c r="R755" i="10"/>
  <c r="P755" i="10"/>
  <c r="R754" i="10"/>
  <c r="P754" i="10"/>
  <c r="R753" i="10"/>
  <c r="P753" i="10"/>
  <c r="R752" i="10"/>
  <c r="P752" i="10"/>
  <c r="R751" i="10"/>
  <c r="P751" i="10"/>
  <c r="R750" i="10"/>
  <c r="P750" i="10"/>
  <c r="R749" i="10"/>
  <c r="P749" i="10"/>
  <c r="R748" i="10"/>
  <c r="P748" i="10"/>
  <c r="R747" i="10"/>
  <c r="P747" i="10"/>
  <c r="R746" i="10"/>
  <c r="P746" i="10"/>
  <c r="R745" i="10"/>
  <c r="P745" i="10"/>
  <c r="R744" i="10"/>
  <c r="P744" i="10"/>
  <c r="R743" i="10"/>
  <c r="P743" i="10"/>
  <c r="R742" i="10"/>
  <c r="P742" i="10"/>
  <c r="R741" i="10"/>
  <c r="P741" i="10"/>
  <c r="R740" i="10"/>
  <c r="P740" i="10"/>
  <c r="R739" i="10"/>
  <c r="P739" i="10"/>
  <c r="R738" i="10"/>
  <c r="P738" i="10"/>
  <c r="R737" i="10"/>
  <c r="P737" i="10"/>
  <c r="R736" i="10"/>
  <c r="P736" i="10"/>
  <c r="R735" i="10"/>
  <c r="P735" i="10"/>
  <c r="R734" i="10"/>
  <c r="P734" i="10"/>
  <c r="R733" i="10"/>
  <c r="P733" i="10"/>
  <c r="R732" i="10"/>
  <c r="P732" i="10"/>
  <c r="R731" i="10"/>
  <c r="P731" i="10"/>
  <c r="R730" i="10"/>
  <c r="P730" i="10"/>
  <c r="R729" i="10"/>
  <c r="P729" i="10"/>
  <c r="R728" i="10"/>
  <c r="P728" i="10"/>
  <c r="R727" i="10"/>
  <c r="P727" i="10"/>
  <c r="R726" i="10"/>
  <c r="P726" i="10"/>
  <c r="R725" i="10"/>
  <c r="P725" i="10"/>
  <c r="R724" i="10"/>
  <c r="P724" i="10"/>
  <c r="R723" i="10"/>
  <c r="P723" i="10"/>
  <c r="R722" i="10"/>
  <c r="P722" i="10"/>
  <c r="R721" i="10"/>
  <c r="P721" i="10"/>
  <c r="R720" i="10"/>
  <c r="P720" i="10"/>
  <c r="R719" i="10"/>
  <c r="P719" i="10"/>
  <c r="R718" i="10"/>
  <c r="P718" i="10"/>
  <c r="R717" i="10"/>
  <c r="P717" i="10"/>
  <c r="R716" i="10"/>
  <c r="P716" i="10"/>
  <c r="R715" i="10"/>
  <c r="P715" i="10"/>
  <c r="R714" i="10"/>
  <c r="P714" i="10"/>
  <c r="R713" i="10"/>
  <c r="P713" i="10"/>
  <c r="R712" i="10"/>
  <c r="P712" i="10"/>
  <c r="R711" i="10"/>
  <c r="P711" i="10"/>
  <c r="R710" i="10"/>
  <c r="P710" i="10"/>
  <c r="R709" i="10"/>
  <c r="P709" i="10"/>
  <c r="R708" i="10"/>
  <c r="P708" i="10"/>
  <c r="R707" i="10"/>
  <c r="P707" i="10"/>
  <c r="R706" i="10"/>
  <c r="P706" i="10"/>
  <c r="R705" i="10"/>
  <c r="P705" i="10"/>
  <c r="R704" i="10"/>
  <c r="P704" i="10"/>
  <c r="R703" i="10"/>
  <c r="P703" i="10"/>
  <c r="R702" i="10"/>
  <c r="P702" i="10"/>
  <c r="R701" i="10"/>
  <c r="P701" i="10"/>
  <c r="R700" i="10"/>
  <c r="P700" i="10"/>
  <c r="R699" i="10"/>
  <c r="P699" i="10"/>
  <c r="R698" i="10"/>
  <c r="P698" i="10"/>
  <c r="R697" i="10"/>
  <c r="P697" i="10"/>
  <c r="R696" i="10"/>
  <c r="P696" i="10"/>
  <c r="R695" i="10"/>
  <c r="P695" i="10"/>
  <c r="R694" i="10"/>
  <c r="P694" i="10"/>
  <c r="R693" i="10"/>
  <c r="P693" i="10"/>
  <c r="R692" i="10"/>
  <c r="P692" i="10"/>
  <c r="R691" i="10"/>
  <c r="P691" i="10"/>
  <c r="R690" i="10"/>
  <c r="P690" i="10"/>
  <c r="R689" i="10"/>
  <c r="P689" i="10"/>
  <c r="R688" i="10"/>
  <c r="P688" i="10"/>
  <c r="R687" i="10"/>
  <c r="P687" i="10"/>
  <c r="R686" i="10"/>
  <c r="P686" i="10"/>
  <c r="R685" i="10"/>
  <c r="P685" i="10"/>
  <c r="R684" i="10"/>
  <c r="P684" i="10"/>
  <c r="R683" i="10"/>
  <c r="P683" i="10"/>
  <c r="R682" i="10"/>
  <c r="P682" i="10"/>
  <c r="R681" i="10"/>
  <c r="P681" i="10"/>
  <c r="R680" i="10"/>
  <c r="P680" i="10"/>
  <c r="R679" i="10"/>
  <c r="P679" i="10"/>
  <c r="R678" i="10"/>
  <c r="P678" i="10"/>
  <c r="R677" i="10"/>
  <c r="P677" i="10"/>
  <c r="R676" i="10"/>
  <c r="P676" i="10"/>
  <c r="R675" i="10"/>
  <c r="P675" i="10"/>
  <c r="R674" i="10"/>
  <c r="P674" i="10"/>
  <c r="R673" i="10"/>
  <c r="P673" i="10"/>
  <c r="R672" i="10"/>
  <c r="P672" i="10"/>
  <c r="R671" i="10"/>
  <c r="P671" i="10"/>
  <c r="R670" i="10"/>
  <c r="P670" i="10"/>
  <c r="R669" i="10"/>
  <c r="P669" i="10"/>
  <c r="R668" i="10"/>
  <c r="P668" i="10"/>
  <c r="R667" i="10"/>
  <c r="P667" i="10"/>
  <c r="R666" i="10"/>
  <c r="P666" i="10"/>
  <c r="R665" i="10"/>
  <c r="P665" i="10"/>
  <c r="R664" i="10"/>
  <c r="P664" i="10"/>
  <c r="R663" i="10"/>
  <c r="P663" i="10"/>
  <c r="R662" i="10"/>
  <c r="P662" i="10"/>
  <c r="R661" i="10"/>
  <c r="P661" i="10"/>
  <c r="R660" i="10"/>
  <c r="P660" i="10"/>
  <c r="R659" i="10"/>
  <c r="P659" i="10"/>
  <c r="R658" i="10"/>
  <c r="P658" i="10"/>
  <c r="R657" i="10"/>
  <c r="P657" i="10"/>
  <c r="R656" i="10"/>
  <c r="P656" i="10"/>
  <c r="R655" i="10"/>
  <c r="P655" i="10"/>
  <c r="R654" i="10"/>
  <c r="P654" i="10"/>
  <c r="R653" i="10"/>
  <c r="P653" i="10"/>
  <c r="R652" i="10"/>
  <c r="P652" i="10"/>
  <c r="R651" i="10"/>
  <c r="P651" i="10"/>
  <c r="R650" i="10"/>
  <c r="P650" i="10"/>
  <c r="R649" i="10"/>
  <c r="P649" i="10"/>
  <c r="R648" i="10"/>
  <c r="P648" i="10"/>
  <c r="R647" i="10"/>
  <c r="P647" i="10"/>
  <c r="R646" i="10"/>
  <c r="P646" i="10"/>
  <c r="R645" i="10"/>
  <c r="P645" i="10"/>
  <c r="R644" i="10"/>
  <c r="P644" i="10"/>
  <c r="R643" i="10"/>
  <c r="P643" i="10"/>
  <c r="R642" i="10"/>
  <c r="P642" i="10"/>
  <c r="R641" i="10"/>
  <c r="P641" i="10"/>
  <c r="R640" i="10"/>
  <c r="P640" i="10"/>
  <c r="R639" i="10"/>
  <c r="P639" i="10"/>
  <c r="R638" i="10"/>
  <c r="P638" i="10"/>
  <c r="R637" i="10"/>
  <c r="P637" i="10"/>
  <c r="R636" i="10"/>
  <c r="P636" i="10"/>
  <c r="R635" i="10"/>
  <c r="P635" i="10"/>
  <c r="R634" i="10"/>
  <c r="P634" i="10"/>
  <c r="R633" i="10"/>
  <c r="P633" i="10"/>
  <c r="R632" i="10"/>
  <c r="P632" i="10"/>
  <c r="R631" i="10"/>
  <c r="P631" i="10"/>
  <c r="R630" i="10"/>
  <c r="P630" i="10"/>
  <c r="R629" i="10"/>
  <c r="P629" i="10"/>
  <c r="R628" i="10"/>
  <c r="P628" i="10"/>
  <c r="R627" i="10"/>
  <c r="P627" i="10"/>
  <c r="R626" i="10"/>
  <c r="P626" i="10"/>
  <c r="R625" i="10"/>
  <c r="P625" i="10"/>
  <c r="R624" i="10"/>
  <c r="P624" i="10"/>
  <c r="R623" i="10"/>
  <c r="P623" i="10"/>
  <c r="R622" i="10"/>
  <c r="P622" i="10"/>
  <c r="R621" i="10"/>
  <c r="P621" i="10"/>
  <c r="R620" i="10"/>
  <c r="P620" i="10"/>
  <c r="R619" i="10"/>
  <c r="P619" i="10"/>
  <c r="R618" i="10"/>
  <c r="P618" i="10"/>
  <c r="R617" i="10"/>
  <c r="P617" i="10"/>
  <c r="R616" i="10"/>
  <c r="P616" i="10"/>
  <c r="R615" i="10"/>
  <c r="P615" i="10"/>
  <c r="R614" i="10"/>
  <c r="P614" i="10"/>
  <c r="R613" i="10"/>
  <c r="P613" i="10"/>
  <c r="R612" i="10"/>
  <c r="P612" i="10"/>
  <c r="R611" i="10"/>
  <c r="P611" i="10"/>
  <c r="R610" i="10"/>
  <c r="P610" i="10"/>
  <c r="R609" i="10"/>
  <c r="P609" i="10"/>
  <c r="R608" i="10"/>
  <c r="P608" i="10"/>
  <c r="R607" i="10"/>
  <c r="P607" i="10"/>
  <c r="R606" i="10"/>
  <c r="P606" i="10"/>
  <c r="R605" i="10"/>
  <c r="P605" i="10"/>
  <c r="R604" i="10"/>
  <c r="P604" i="10"/>
  <c r="R603" i="10"/>
  <c r="P603" i="10"/>
  <c r="R602" i="10"/>
  <c r="P602" i="10"/>
  <c r="R601" i="10"/>
  <c r="P601" i="10"/>
  <c r="R600" i="10"/>
  <c r="P600" i="10"/>
  <c r="R599" i="10"/>
  <c r="P599" i="10"/>
  <c r="R598" i="10"/>
  <c r="P598" i="10"/>
  <c r="R597" i="10"/>
  <c r="P597" i="10"/>
  <c r="R596" i="10"/>
  <c r="P596" i="10"/>
  <c r="R595" i="10"/>
  <c r="P595" i="10"/>
  <c r="R594" i="10"/>
  <c r="P594" i="10"/>
  <c r="R593" i="10"/>
  <c r="P593" i="10"/>
  <c r="R592" i="10"/>
  <c r="P592" i="10"/>
  <c r="R591" i="10"/>
  <c r="P591" i="10"/>
  <c r="R590" i="10"/>
  <c r="P590" i="10"/>
  <c r="R589" i="10"/>
  <c r="P589" i="10"/>
  <c r="R588" i="10"/>
  <c r="P588" i="10"/>
  <c r="R587" i="10"/>
  <c r="P587" i="10"/>
  <c r="R586" i="10"/>
  <c r="P586" i="10"/>
  <c r="R585" i="10"/>
  <c r="P585" i="10"/>
  <c r="R584" i="10"/>
  <c r="P584" i="10"/>
  <c r="R583" i="10"/>
  <c r="P583" i="10"/>
  <c r="R582" i="10"/>
  <c r="P582" i="10"/>
  <c r="R581" i="10"/>
  <c r="P581" i="10"/>
  <c r="R580" i="10"/>
  <c r="P580" i="10"/>
  <c r="R579" i="10"/>
  <c r="P579" i="10"/>
  <c r="R578" i="10"/>
  <c r="P578" i="10"/>
  <c r="R577" i="10"/>
  <c r="P577" i="10"/>
  <c r="R576" i="10"/>
  <c r="P576" i="10"/>
  <c r="R575" i="10"/>
  <c r="P575" i="10"/>
  <c r="R574" i="10"/>
  <c r="P574" i="10"/>
  <c r="R573" i="10"/>
  <c r="P573" i="10"/>
  <c r="R572" i="10"/>
  <c r="P572" i="10"/>
  <c r="R571" i="10"/>
  <c r="P571" i="10"/>
  <c r="R570" i="10"/>
  <c r="P570" i="10"/>
  <c r="R569" i="10"/>
  <c r="P569" i="10"/>
  <c r="R568" i="10"/>
  <c r="P568" i="10"/>
  <c r="R567" i="10"/>
  <c r="P567" i="10"/>
  <c r="R566" i="10"/>
  <c r="P566" i="10"/>
  <c r="R565" i="10"/>
  <c r="P565" i="10"/>
  <c r="R564" i="10"/>
  <c r="P564" i="10"/>
  <c r="R563" i="10"/>
  <c r="P563" i="10"/>
  <c r="R562" i="10"/>
  <c r="P562" i="10"/>
  <c r="R561" i="10"/>
  <c r="P561" i="10"/>
  <c r="R560" i="10"/>
  <c r="P560" i="10"/>
  <c r="R559" i="10"/>
  <c r="P559" i="10"/>
  <c r="R558" i="10"/>
  <c r="P558" i="10"/>
  <c r="R557" i="10"/>
  <c r="P557" i="10"/>
  <c r="R556" i="10"/>
  <c r="P556" i="10"/>
  <c r="R555" i="10"/>
  <c r="P555" i="10"/>
  <c r="R554" i="10"/>
  <c r="P554" i="10"/>
  <c r="R553" i="10"/>
  <c r="P553" i="10"/>
  <c r="R552" i="10"/>
  <c r="P552" i="10"/>
  <c r="R551" i="10"/>
  <c r="P551" i="10"/>
  <c r="R550" i="10"/>
  <c r="P550" i="10"/>
  <c r="R549" i="10"/>
  <c r="P549" i="10"/>
  <c r="R548" i="10"/>
  <c r="P548" i="10"/>
  <c r="R547" i="10"/>
  <c r="P547" i="10"/>
  <c r="R546" i="10"/>
  <c r="P546" i="10"/>
  <c r="R545" i="10"/>
  <c r="P545" i="10"/>
  <c r="R544" i="10"/>
  <c r="P544" i="10"/>
  <c r="R543" i="10"/>
  <c r="P543" i="10"/>
  <c r="R542" i="10"/>
  <c r="P542" i="10"/>
  <c r="R541" i="10"/>
  <c r="P541" i="10"/>
  <c r="R540" i="10"/>
  <c r="P540" i="10"/>
  <c r="R539" i="10"/>
  <c r="P539" i="10"/>
  <c r="R538" i="10"/>
  <c r="P538" i="10"/>
  <c r="R537" i="10"/>
  <c r="P537" i="10"/>
  <c r="R536" i="10"/>
  <c r="P536" i="10"/>
  <c r="R535" i="10"/>
  <c r="P535" i="10"/>
  <c r="R534" i="10"/>
  <c r="P534" i="10"/>
  <c r="R533" i="10"/>
  <c r="P533" i="10"/>
  <c r="R532" i="10"/>
  <c r="P532" i="10"/>
  <c r="R531" i="10"/>
  <c r="P531" i="10"/>
  <c r="R530" i="10"/>
  <c r="P530" i="10"/>
  <c r="R529" i="10"/>
  <c r="P529" i="10"/>
  <c r="R528" i="10"/>
  <c r="P528" i="10"/>
  <c r="R527" i="10"/>
  <c r="P527" i="10"/>
  <c r="R526" i="10"/>
  <c r="P526" i="10"/>
  <c r="R525" i="10"/>
  <c r="P525" i="10"/>
  <c r="R524" i="10"/>
  <c r="P524" i="10"/>
  <c r="R523" i="10"/>
  <c r="P523" i="10"/>
  <c r="R522" i="10"/>
  <c r="P522" i="10"/>
  <c r="R521" i="10"/>
  <c r="P521" i="10"/>
  <c r="R520" i="10"/>
  <c r="P520" i="10"/>
  <c r="R519" i="10"/>
  <c r="P519" i="10"/>
  <c r="R518" i="10"/>
  <c r="P518" i="10"/>
  <c r="R517" i="10"/>
  <c r="P517" i="10"/>
  <c r="R516" i="10"/>
  <c r="P516" i="10"/>
  <c r="R515" i="10"/>
  <c r="P515" i="10"/>
  <c r="R514" i="10"/>
  <c r="P514" i="10"/>
  <c r="R513" i="10"/>
  <c r="P513" i="10"/>
  <c r="R512" i="10"/>
  <c r="P512" i="10"/>
  <c r="R511" i="10"/>
  <c r="P511" i="10"/>
  <c r="R510" i="10"/>
  <c r="P510" i="10"/>
  <c r="R509" i="10"/>
  <c r="P509" i="10"/>
  <c r="R508" i="10"/>
  <c r="P508" i="10"/>
  <c r="R507" i="10"/>
  <c r="P507" i="10"/>
  <c r="R506" i="10"/>
  <c r="P506" i="10"/>
  <c r="R505" i="10"/>
  <c r="P505" i="10"/>
  <c r="R504" i="10"/>
  <c r="P504" i="10"/>
  <c r="R503" i="10"/>
  <c r="P503" i="10"/>
  <c r="R502" i="10"/>
  <c r="P502" i="10"/>
  <c r="R501" i="10"/>
  <c r="P501" i="10"/>
  <c r="R500" i="10"/>
  <c r="P500" i="10"/>
  <c r="R499" i="10"/>
  <c r="P499" i="10"/>
  <c r="R498" i="10"/>
  <c r="P498" i="10"/>
  <c r="R497" i="10"/>
  <c r="P497" i="10"/>
  <c r="R496" i="10"/>
  <c r="P496" i="10"/>
  <c r="R495" i="10"/>
  <c r="P495" i="10"/>
  <c r="R494" i="10"/>
  <c r="P494" i="10"/>
  <c r="R493" i="10"/>
  <c r="P493" i="10"/>
  <c r="R492" i="10"/>
  <c r="P492" i="10"/>
  <c r="R491" i="10"/>
  <c r="P491" i="10"/>
  <c r="R490" i="10"/>
  <c r="P490" i="10"/>
  <c r="R489" i="10"/>
  <c r="P489" i="10"/>
  <c r="R488" i="10"/>
  <c r="P488" i="10"/>
  <c r="R487" i="10"/>
  <c r="P487" i="10"/>
  <c r="R486" i="10"/>
  <c r="P486" i="10"/>
  <c r="R485" i="10"/>
  <c r="P485" i="10"/>
  <c r="R484" i="10"/>
  <c r="P484" i="10"/>
  <c r="R483" i="10"/>
  <c r="P483" i="10"/>
  <c r="R482" i="10"/>
  <c r="P482" i="10"/>
  <c r="R481" i="10"/>
  <c r="P481" i="10"/>
  <c r="R480" i="10"/>
  <c r="P480" i="10"/>
  <c r="R479" i="10"/>
  <c r="P479" i="10"/>
  <c r="R478" i="10"/>
  <c r="P478" i="10"/>
  <c r="R477" i="10"/>
  <c r="P477" i="10"/>
  <c r="R476" i="10"/>
  <c r="P476" i="10"/>
  <c r="R475" i="10"/>
  <c r="P475" i="10"/>
  <c r="R474" i="10"/>
  <c r="P474" i="10"/>
  <c r="R473" i="10"/>
  <c r="P473" i="10"/>
  <c r="R472" i="10"/>
  <c r="P472" i="10"/>
  <c r="R471" i="10"/>
  <c r="P471" i="10"/>
  <c r="R470" i="10"/>
  <c r="P470" i="10"/>
  <c r="R469" i="10"/>
  <c r="P469" i="10"/>
  <c r="R468" i="10"/>
  <c r="P468" i="10"/>
  <c r="R467" i="10"/>
  <c r="P467" i="10"/>
  <c r="R466" i="10"/>
  <c r="P466" i="10"/>
  <c r="R465" i="10"/>
  <c r="P465" i="10"/>
  <c r="R464" i="10"/>
  <c r="P464" i="10"/>
  <c r="R463" i="10"/>
  <c r="P463" i="10"/>
  <c r="R462" i="10"/>
  <c r="P462" i="10"/>
  <c r="R461" i="10"/>
  <c r="P461" i="10"/>
  <c r="R460" i="10"/>
  <c r="P460" i="10"/>
  <c r="R459" i="10"/>
  <c r="P459" i="10"/>
  <c r="R458" i="10"/>
  <c r="P458" i="10"/>
  <c r="R457" i="10"/>
  <c r="P457" i="10"/>
  <c r="R456" i="10"/>
  <c r="P456" i="10"/>
  <c r="R455" i="10"/>
  <c r="P455" i="10"/>
  <c r="R454" i="10"/>
  <c r="P454" i="10"/>
  <c r="R453" i="10"/>
  <c r="P453" i="10"/>
  <c r="R452" i="10"/>
  <c r="P452" i="10"/>
  <c r="R451" i="10"/>
  <c r="P451" i="10"/>
  <c r="R450" i="10"/>
  <c r="P450" i="10"/>
  <c r="R449" i="10"/>
  <c r="P449" i="10"/>
  <c r="R448" i="10"/>
  <c r="P448" i="10"/>
  <c r="R447" i="10"/>
  <c r="P447" i="10"/>
  <c r="R446" i="10"/>
  <c r="P446" i="10"/>
  <c r="R445" i="10"/>
  <c r="P445" i="10"/>
  <c r="R444" i="10"/>
  <c r="P444" i="10"/>
  <c r="R443" i="10"/>
  <c r="P443" i="10"/>
  <c r="R442" i="10"/>
  <c r="P442" i="10"/>
  <c r="R441" i="10"/>
  <c r="P441" i="10"/>
  <c r="R440" i="10"/>
  <c r="P440" i="10"/>
  <c r="R439" i="10"/>
  <c r="P439" i="10"/>
  <c r="R438" i="10"/>
  <c r="P438" i="10"/>
  <c r="R437" i="10"/>
  <c r="P437" i="10"/>
  <c r="R436" i="10"/>
  <c r="P436" i="10"/>
  <c r="R435" i="10"/>
  <c r="P435" i="10"/>
  <c r="R434" i="10"/>
  <c r="P434" i="10"/>
  <c r="R433" i="10"/>
  <c r="P433" i="10"/>
  <c r="R432" i="10"/>
  <c r="P432" i="10"/>
  <c r="R431" i="10"/>
  <c r="P431" i="10"/>
  <c r="R430" i="10"/>
  <c r="P430" i="10"/>
  <c r="R429" i="10"/>
  <c r="P429" i="10"/>
  <c r="R428" i="10"/>
  <c r="P428" i="10"/>
  <c r="R427" i="10"/>
  <c r="P427" i="10"/>
  <c r="R426" i="10"/>
  <c r="P426" i="10"/>
  <c r="R425" i="10"/>
  <c r="P425" i="10"/>
  <c r="R424" i="10"/>
  <c r="P424" i="10"/>
  <c r="R423" i="10"/>
  <c r="P423" i="10"/>
  <c r="R422" i="10"/>
  <c r="P422" i="10"/>
  <c r="R421" i="10"/>
  <c r="P421" i="10"/>
  <c r="R420" i="10"/>
  <c r="P420" i="10"/>
  <c r="R419" i="10"/>
  <c r="P419" i="10"/>
  <c r="R418" i="10"/>
  <c r="P418" i="10"/>
  <c r="R417" i="10"/>
  <c r="P417" i="10"/>
  <c r="R416" i="10"/>
  <c r="P416" i="10"/>
  <c r="R415" i="10"/>
  <c r="P415" i="10"/>
  <c r="R414" i="10"/>
  <c r="P414" i="10"/>
  <c r="R413" i="10"/>
  <c r="P413" i="10"/>
  <c r="R412" i="10"/>
  <c r="P412" i="10"/>
  <c r="R411" i="10"/>
  <c r="P411" i="10"/>
  <c r="R410" i="10"/>
  <c r="P410" i="10"/>
  <c r="R409" i="10"/>
  <c r="P409" i="10"/>
  <c r="R408" i="10"/>
  <c r="P408" i="10"/>
  <c r="R407" i="10"/>
  <c r="P407" i="10"/>
  <c r="R406" i="10"/>
  <c r="P406" i="10"/>
  <c r="R405" i="10"/>
  <c r="P405" i="10"/>
  <c r="R404" i="10"/>
  <c r="P404" i="10"/>
  <c r="R403" i="10"/>
  <c r="P403" i="10"/>
  <c r="R402" i="10"/>
  <c r="P402" i="10"/>
  <c r="R401" i="10"/>
  <c r="P401" i="10"/>
  <c r="R400" i="10"/>
  <c r="P400" i="10"/>
  <c r="R399" i="10"/>
  <c r="P399" i="10"/>
  <c r="R398" i="10"/>
  <c r="P398" i="10"/>
  <c r="R397" i="10"/>
  <c r="P397" i="10"/>
  <c r="R396" i="10"/>
  <c r="P396" i="10"/>
  <c r="R395" i="10"/>
  <c r="P395" i="10"/>
  <c r="R394" i="10"/>
  <c r="P394" i="10"/>
  <c r="G378" i="10"/>
  <c r="R393" i="10"/>
  <c r="P393" i="10"/>
  <c r="G377" i="10"/>
  <c r="R392" i="10"/>
  <c r="P392" i="10"/>
  <c r="G376" i="10"/>
  <c r="R391" i="10"/>
  <c r="P391" i="10"/>
  <c r="G375" i="10"/>
  <c r="R390" i="10"/>
  <c r="P390" i="10"/>
  <c r="G374" i="10"/>
  <c r="R389" i="10"/>
  <c r="P389" i="10"/>
  <c r="G373" i="10"/>
  <c r="R388" i="10"/>
  <c r="P388" i="10"/>
  <c r="G372" i="10"/>
  <c r="R387" i="10"/>
  <c r="P387" i="10"/>
  <c r="G371" i="10"/>
  <c r="R386" i="10"/>
  <c r="P386" i="10"/>
  <c r="G370" i="10"/>
  <c r="R385" i="10"/>
  <c r="P385" i="10"/>
  <c r="G369" i="10"/>
  <c r="R384" i="10"/>
  <c r="P384" i="10"/>
  <c r="G368" i="10"/>
  <c r="R383" i="10"/>
  <c r="P383" i="10"/>
  <c r="G367" i="10"/>
  <c r="R382" i="10"/>
  <c r="P382" i="10"/>
  <c r="G366" i="10"/>
  <c r="R381" i="10"/>
  <c r="P381" i="10"/>
  <c r="G365" i="10"/>
  <c r="R380" i="10"/>
  <c r="P380" i="10"/>
  <c r="G364" i="10"/>
  <c r="R379" i="10"/>
  <c r="P379" i="10"/>
  <c r="G363" i="10"/>
  <c r="R378" i="10"/>
  <c r="P378" i="10"/>
  <c r="G362" i="10"/>
  <c r="R377" i="10"/>
  <c r="P377" i="10"/>
  <c r="G361" i="10"/>
  <c r="R376" i="10"/>
  <c r="P376" i="10"/>
  <c r="G360" i="10"/>
  <c r="R375" i="10"/>
  <c r="P375" i="10"/>
  <c r="G359" i="10"/>
  <c r="R374" i="10"/>
  <c r="P374" i="10"/>
  <c r="G358" i="10"/>
  <c r="R373" i="10"/>
  <c r="P373" i="10"/>
  <c r="G357" i="10"/>
  <c r="R372" i="10"/>
  <c r="P372" i="10"/>
  <c r="G356" i="10"/>
  <c r="R371" i="10"/>
  <c r="P371" i="10"/>
  <c r="G355" i="10"/>
  <c r="R370" i="10"/>
  <c r="P370" i="10"/>
  <c r="G354" i="10"/>
  <c r="R369" i="10"/>
  <c r="P369" i="10"/>
  <c r="G353" i="10"/>
  <c r="R368" i="10"/>
  <c r="P368" i="10"/>
  <c r="G352" i="10"/>
  <c r="R367" i="10"/>
  <c r="P367" i="10"/>
  <c r="G351" i="10"/>
  <c r="R366" i="10"/>
  <c r="P366" i="10"/>
  <c r="G350" i="10"/>
  <c r="R365" i="10"/>
  <c r="P365" i="10"/>
  <c r="G349" i="10"/>
  <c r="R364" i="10"/>
  <c r="P364" i="10"/>
  <c r="G348" i="10"/>
  <c r="R363" i="10"/>
  <c r="P363" i="10"/>
  <c r="R362" i="10"/>
  <c r="P362" i="10"/>
  <c r="G346" i="10"/>
  <c r="R361" i="10"/>
  <c r="P361" i="10"/>
  <c r="G345" i="10"/>
  <c r="R360" i="10"/>
  <c r="P360" i="10"/>
  <c r="G344" i="10"/>
  <c r="R359" i="10"/>
  <c r="P359" i="10"/>
  <c r="G343" i="10"/>
  <c r="R358" i="10"/>
  <c r="P358" i="10"/>
  <c r="G342" i="10"/>
  <c r="R357" i="10"/>
  <c r="P357" i="10"/>
  <c r="G341" i="10"/>
  <c r="R356" i="10"/>
  <c r="P356" i="10"/>
  <c r="G340" i="10"/>
  <c r="R355" i="10"/>
  <c r="P355" i="10"/>
  <c r="G339" i="10"/>
  <c r="R354" i="10"/>
  <c r="P354" i="10"/>
  <c r="G338" i="10"/>
  <c r="R353" i="10"/>
  <c r="P353" i="10"/>
  <c r="G337" i="10"/>
  <c r="R352" i="10"/>
  <c r="P352" i="10"/>
  <c r="G336" i="10"/>
  <c r="R351" i="10"/>
  <c r="P351" i="10"/>
  <c r="G335" i="10"/>
  <c r="R350" i="10"/>
  <c r="P350" i="10"/>
  <c r="G334" i="10"/>
  <c r="R349" i="10"/>
  <c r="P349" i="10"/>
  <c r="G333" i="10"/>
  <c r="R348" i="10"/>
  <c r="P348" i="10"/>
  <c r="G332" i="10"/>
  <c r="R347" i="10"/>
  <c r="P347" i="10"/>
  <c r="G331" i="10"/>
  <c r="R346" i="10"/>
  <c r="P346" i="10"/>
  <c r="G330" i="10"/>
  <c r="R345" i="10"/>
  <c r="P345" i="10"/>
  <c r="G329" i="10"/>
  <c r="R344" i="10"/>
  <c r="P344" i="10"/>
  <c r="G328" i="10"/>
  <c r="R343" i="10"/>
  <c r="P343" i="10"/>
  <c r="G327" i="10"/>
  <c r="R342" i="10"/>
  <c r="P342" i="10"/>
  <c r="G326" i="10"/>
  <c r="R341" i="10"/>
  <c r="P341" i="10"/>
  <c r="G325" i="10"/>
  <c r="R340" i="10"/>
  <c r="P340" i="10"/>
  <c r="G324" i="10"/>
  <c r="R339" i="10"/>
  <c r="P339" i="10"/>
  <c r="G323" i="10"/>
  <c r="R338" i="10"/>
  <c r="P338" i="10"/>
  <c r="G322" i="10"/>
  <c r="R337" i="10"/>
  <c r="P337" i="10"/>
  <c r="G321" i="10"/>
  <c r="R336" i="10"/>
  <c r="P336" i="10"/>
  <c r="G320" i="10"/>
  <c r="R335" i="10"/>
  <c r="P335" i="10"/>
  <c r="G319" i="10"/>
  <c r="R334" i="10"/>
  <c r="P334" i="10"/>
  <c r="G318" i="10"/>
  <c r="R333" i="10"/>
  <c r="P333" i="10"/>
  <c r="G317" i="10"/>
  <c r="R332" i="10"/>
  <c r="P332" i="10"/>
  <c r="G316" i="10"/>
  <c r="R331" i="10"/>
  <c r="P331" i="10"/>
  <c r="R330" i="10"/>
  <c r="P330" i="10"/>
  <c r="G314" i="10"/>
  <c r="R329" i="10"/>
  <c r="P329" i="10"/>
  <c r="G313" i="10"/>
  <c r="R328" i="10"/>
  <c r="P328" i="10"/>
  <c r="G312" i="10"/>
  <c r="R327" i="10"/>
  <c r="P327" i="10"/>
  <c r="G311" i="10"/>
  <c r="R326" i="10"/>
  <c r="P326" i="10"/>
  <c r="G310" i="10"/>
  <c r="R325" i="10"/>
  <c r="P325" i="10"/>
  <c r="G309" i="10"/>
  <c r="R324" i="10"/>
  <c r="P324" i="10"/>
  <c r="G308" i="10"/>
  <c r="R323" i="10"/>
  <c r="P323" i="10"/>
  <c r="G307" i="10"/>
  <c r="R322" i="10"/>
  <c r="P322" i="10"/>
  <c r="G306" i="10"/>
  <c r="R321" i="10"/>
  <c r="P321" i="10"/>
  <c r="G305" i="10"/>
  <c r="R320" i="10"/>
  <c r="P320" i="10"/>
  <c r="G304" i="10"/>
  <c r="R319" i="10"/>
  <c r="P319" i="10"/>
  <c r="G303" i="10"/>
  <c r="R318" i="10"/>
  <c r="P318" i="10"/>
  <c r="G302" i="10"/>
  <c r="R317" i="10"/>
  <c r="P317" i="10"/>
  <c r="G301" i="10"/>
  <c r="R316" i="10"/>
  <c r="P316" i="10"/>
  <c r="G300" i="10"/>
  <c r="R315" i="10"/>
  <c r="P315" i="10"/>
  <c r="G299" i="10"/>
  <c r="R314" i="10"/>
  <c r="P314" i="10"/>
  <c r="G298" i="10"/>
  <c r="R313" i="10"/>
  <c r="P313" i="10"/>
  <c r="G297" i="10"/>
  <c r="R312" i="10"/>
  <c r="P312" i="10"/>
  <c r="G296" i="10"/>
  <c r="R311" i="10"/>
  <c r="P311" i="10"/>
  <c r="G295" i="10"/>
  <c r="R310" i="10"/>
  <c r="P310" i="10"/>
  <c r="G294" i="10"/>
  <c r="R309" i="10"/>
  <c r="P309" i="10"/>
  <c r="G293" i="10"/>
  <c r="R308" i="10"/>
  <c r="P308" i="10"/>
  <c r="G292" i="10"/>
  <c r="R307" i="10"/>
  <c r="P307" i="10"/>
  <c r="G291" i="10"/>
  <c r="R306" i="10"/>
  <c r="P306" i="10"/>
  <c r="G290" i="10"/>
  <c r="R305" i="10"/>
  <c r="P305" i="10"/>
  <c r="G289" i="10"/>
  <c r="R304" i="10"/>
  <c r="P304" i="10"/>
  <c r="G288" i="10"/>
  <c r="R303" i="10"/>
  <c r="P303" i="10"/>
  <c r="G287" i="10"/>
  <c r="R302" i="10"/>
  <c r="P302" i="10"/>
  <c r="G286" i="10"/>
  <c r="R301" i="10"/>
  <c r="P301" i="10"/>
  <c r="G285" i="10"/>
  <c r="R300" i="10"/>
  <c r="P300" i="10"/>
  <c r="G284" i="10"/>
  <c r="R299" i="10"/>
  <c r="P299" i="10"/>
  <c r="R298" i="10"/>
  <c r="P298" i="10"/>
  <c r="G282" i="10"/>
  <c r="R297" i="10"/>
  <c r="P297" i="10"/>
  <c r="G281" i="10"/>
  <c r="R296" i="10"/>
  <c r="P296" i="10"/>
  <c r="G280" i="10"/>
  <c r="R295" i="10"/>
  <c r="P295" i="10"/>
  <c r="G279" i="10"/>
  <c r="R294" i="10"/>
  <c r="P294" i="10"/>
  <c r="G278" i="10"/>
  <c r="R293" i="10"/>
  <c r="P293" i="10"/>
  <c r="G277" i="10"/>
  <c r="R292" i="10"/>
  <c r="P292" i="10"/>
  <c r="G276" i="10"/>
  <c r="R291" i="10"/>
  <c r="P291" i="10"/>
  <c r="G275" i="10"/>
  <c r="R290" i="10"/>
  <c r="P290" i="10"/>
  <c r="G274" i="10"/>
  <c r="R289" i="10"/>
  <c r="P289" i="10"/>
  <c r="G273" i="10"/>
  <c r="R288" i="10"/>
  <c r="P288" i="10"/>
  <c r="G272" i="10"/>
  <c r="R287" i="10"/>
  <c r="P287" i="10"/>
  <c r="G271" i="10"/>
  <c r="R286" i="10"/>
  <c r="P286" i="10"/>
  <c r="G270" i="10"/>
  <c r="R285" i="10"/>
  <c r="P285" i="10"/>
  <c r="G269" i="10"/>
  <c r="R284" i="10"/>
  <c r="P284" i="10"/>
  <c r="G268" i="10"/>
  <c r="R283" i="10"/>
  <c r="P283" i="10"/>
  <c r="G267" i="10"/>
  <c r="R282" i="10"/>
  <c r="P282" i="10"/>
  <c r="G266" i="10"/>
  <c r="R281" i="10"/>
  <c r="P281" i="10"/>
  <c r="G265" i="10"/>
  <c r="R280" i="10"/>
  <c r="P280" i="10"/>
  <c r="G264" i="10"/>
  <c r="R279" i="10"/>
  <c r="P279" i="10"/>
  <c r="G263" i="10"/>
  <c r="R278" i="10"/>
  <c r="P278" i="10"/>
  <c r="G262" i="10"/>
  <c r="R277" i="10"/>
  <c r="P277" i="10"/>
  <c r="G261" i="10"/>
  <c r="R276" i="10"/>
  <c r="P276" i="10"/>
  <c r="G260" i="10"/>
  <c r="R275" i="10"/>
  <c r="P275" i="10"/>
  <c r="G259" i="10"/>
  <c r="R274" i="10"/>
  <c r="P274" i="10"/>
  <c r="G258" i="10"/>
  <c r="R273" i="10"/>
  <c r="P273" i="10"/>
  <c r="G257" i="10"/>
  <c r="R272" i="10"/>
  <c r="P272" i="10"/>
  <c r="G256" i="10"/>
  <c r="R271" i="10"/>
  <c r="P271" i="10"/>
  <c r="G255" i="10"/>
  <c r="R270" i="10"/>
  <c r="P270" i="10"/>
  <c r="G254" i="10"/>
  <c r="R269" i="10"/>
  <c r="P269" i="10"/>
  <c r="G253" i="10"/>
  <c r="R268" i="10"/>
  <c r="P268" i="10"/>
  <c r="G252" i="10"/>
  <c r="R267" i="10"/>
  <c r="P267" i="10"/>
  <c r="R266" i="10"/>
  <c r="P266" i="10"/>
  <c r="R265" i="10"/>
  <c r="P265" i="10"/>
  <c r="R264" i="10"/>
  <c r="P264" i="10"/>
  <c r="R263" i="10"/>
  <c r="P263" i="10"/>
  <c r="R262" i="10"/>
  <c r="P262" i="10"/>
  <c r="R261" i="10"/>
  <c r="P261" i="10"/>
  <c r="R260" i="10"/>
  <c r="P260" i="10"/>
  <c r="R259" i="10"/>
  <c r="P259" i="10"/>
  <c r="R258" i="10"/>
  <c r="P258" i="10"/>
  <c r="R257" i="10"/>
  <c r="P257" i="10"/>
  <c r="R256" i="10"/>
  <c r="P256" i="10"/>
  <c r="R255" i="10"/>
  <c r="P255" i="10"/>
  <c r="R254" i="10"/>
  <c r="P254" i="10"/>
  <c r="R253" i="10"/>
  <c r="P253" i="10"/>
  <c r="R252" i="10"/>
  <c r="P252" i="10"/>
  <c r="R251" i="10"/>
  <c r="P251" i="10"/>
  <c r="R250" i="10"/>
  <c r="P250" i="10"/>
  <c r="R249" i="10"/>
  <c r="P249" i="10"/>
  <c r="R248" i="10"/>
  <c r="P248" i="10"/>
  <c r="R247" i="10"/>
  <c r="P247" i="10"/>
  <c r="R246" i="10"/>
  <c r="P246" i="10"/>
  <c r="R245" i="10"/>
  <c r="P245" i="10"/>
  <c r="R244" i="10"/>
  <c r="P244" i="10"/>
  <c r="R243" i="10"/>
  <c r="P243" i="10"/>
  <c r="R242" i="10"/>
  <c r="P242" i="10"/>
  <c r="R241" i="10"/>
  <c r="P241" i="10"/>
  <c r="R240" i="10"/>
  <c r="P240" i="10"/>
  <c r="R239" i="10"/>
  <c r="P239" i="10"/>
  <c r="R238" i="10"/>
  <c r="P238" i="10"/>
  <c r="R237" i="10"/>
  <c r="P237" i="10"/>
  <c r="R236" i="10"/>
  <c r="P236" i="10"/>
  <c r="R235" i="10"/>
  <c r="P235" i="10"/>
  <c r="R234" i="10"/>
  <c r="P234" i="10"/>
  <c r="R233" i="10"/>
  <c r="P233" i="10"/>
  <c r="R232" i="10"/>
  <c r="P232" i="10"/>
  <c r="R231" i="10"/>
  <c r="P231" i="10"/>
  <c r="R230" i="10"/>
  <c r="P230" i="10"/>
  <c r="R229" i="10"/>
  <c r="P229" i="10"/>
  <c r="R228" i="10"/>
  <c r="P228" i="10"/>
  <c r="R227" i="10"/>
  <c r="P227" i="10"/>
  <c r="R226" i="10"/>
  <c r="P226" i="10"/>
  <c r="R225" i="10"/>
  <c r="P225" i="10"/>
  <c r="R224" i="10"/>
  <c r="P224" i="10"/>
  <c r="R223" i="10"/>
  <c r="P223" i="10"/>
  <c r="R222" i="10"/>
  <c r="P222" i="10"/>
  <c r="R221" i="10"/>
  <c r="P221" i="10"/>
  <c r="R220" i="10"/>
  <c r="P220" i="10"/>
  <c r="R219" i="10"/>
  <c r="P219" i="10"/>
  <c r="R218" i="10"/>
  <c r="P218" i="10"/>
  <c r="R217" i="10"/>
  <c r="P217" i="10"/>
  <c r="R216" i="10"/>
  <c r="P216" i="10"/>
  <c r="R215" i="10"/>
  <c r="P215" i="10"/>
  <c r="R214" i="10"/>
  <c r="P214" i="10"/>
  <c r="R213" i="10"/>
  <c r="P213" i="10"/>
  <c r="R212" i="10"/>
  <c r="P212" i="10"/>
  <c r="R211" i="10"/>
  <c r="P211" i="10"/>
  <c r="R210" i="10"/>
  <c r="P210" i="10"/>
  <c r="R209" i="10"/>
  <c r="P209" i="10"/>
  <c r="R208" i="10"/>
  <c r="P208" i="10"/>
  <c r="R207" i="10"/>
  <c r="P207" i="10"/>
  <c r="R206" i="10"/>
  <c r="P206" i="10"/>
  <c r="R205" i="10"/>
  <c r="P205" i="10"/>
  <c r="R204" i="10"/>
  <c r="P204" i="10"/>
  <c r="R203" i="10"/>
  <c r="P203" i="10"/>
  <c r="R202" i="10"/>
  <c r="P202" i="10"/>
  <c r="R201" i="10"/>
  <c r="P201" i="10"/>
  <c r="R200" i="10"/>
  <c r="P200" i="10"/>
  <c r="R199" i="10"/>
  <c r="P199" i="10"/>
  <c r="R198" i="10"/>
  <c r="P198" i="10"/>
  <c r="R197" i="10"/>
  <c r="P197" i="10"/>
  <c r="R196" i="10"/>
  <c r="P196" i="10"/>
  <c r="R195" i="10"/>
  <c r="P195" i="10"/>
  <c r="R194" i="10"/>
  <c r="P194" i="10"/>
  <c r="R193" i="10"/>
  <c r="P193" i="10"/>
  <c r="R192" i="10"/>
  <c r="P192" i="10"/>
  <c r="R191" i="10"/>
  <c r="P191" i="10"/>
  <c r="R190" i="10"/>
  <c r="P190" i="10"/>
  <c r="R189" i="10"/>
  <c r="P189" i="10"/>
  <c r="R188" i="10"/>
  <c r="P188" i="10"/>
  <c r="R187" i="10"/>
  <c r="P187" i="10"/>
  <c r="R186" i="10"/>
  <c r="P186" i="10"/>
  <c r="R185" i="10"/>
  <c r="P185" i="10"/>
  <c r="R184" i="10"/>
  <c r="P184" i="10"/>
  <c r="R183" i="10"/>
  <c r="P183" i="10"/>
  <c r="R182" i="10"/>
  <c r="P182" i="10"/>
  <c r="R181" i="10"/>
  <c r="P181" i="10"/>
  <c r="R180" i="10"/>
  <c r="P180" i="10"/>
  <c r="R179" i="10"/>
  <c r="P179" i="10"/>
  <c r="R178" i="10"/>
  <c r="P178" i="10"/>
  <c r="R177" i="10"/>
  <c r="P177" i="10"/>
  <c r="R176" i="10"/>
  <c r="P176" i="10"/>
  <c r="R175" i="10"/>
  <c r="P175" i="10"/>
  <c r="R174" i="10"/>
  <c r="P174" i="10"/>
  <c r="R173" i="10"/>
  <c r="P173" i="10"/>
  <c r="R172" i="10"/>
  <c r="P172" i="10"/>
  <c r="R171" i="10"/>
  <c r="P171" i="10"/>
  <c r="R170" i="10"/>
  <c r="P170" i="10"/>
  <c r="R169" i="10"/>
  <c r="P169" i="10"/>
  <c r="R168" i="10"/>
  <c r="P168" i="10"/>
  <c r="R167" i="10"/>
  <c r="P167" i="10"/>
  <c r="R166" i="10"/>
  <c r="P166" i="10"/>
  <c r="R165" i="10"/>
  <c r="P165" i="10"/>
  <c r="R164" i="10"/>
  <c r="P164" i="10"/>
  <c r="R163" i="10"/>
  <c r="P163" i="10"/>
  <c r="R162" i="10"/>
  <c r="P162" i="10"/>
  <c r="R161" i="10"/>
  <c r="P161" i="10"/>
  <c r="R160" i="10"/>
  <c r="P160" i="10"/>
  <c r="R159" i="10"/>
  <c r="P159" i="10"/>
  <c r="R158" i="10"/>
  <c r="P158" i="10"/>
  <c r="R157" i="10"/>
  <c r="P157" i="10"/>
  <c r="R156" i="10"/>
  <c r="P156" i="10"/>
  <c r="R155" i="10"/>
  <c r="P155" i="10"/>
  <c r="R154" i="10"/>
  <c r="P154" i="10"/>
  <c r="R153" i="10"/>
  <c r="P153" i="10"/>
  <c r="R152" i="10"/>
  <c r="P152" i="10"/>
  <c r="R151" i="10"/>
  <c r="P151" i="10"/>
  <c r="R150" i="10"/>
  <c r="P150" i="10"/>
  <c r="R149" i="10"/>
  <c r="P149" i="10"/>
  <c r="R148" i="10"/>
  <c r="P148" i="10"/>
  <c r="R147" i="10"/>
  <c r="P147" i="10"/>
  <c r="R146" i="10"/>
  <c r="P146" i="10"/>
  <c r="R145" i="10"/>
  <c r="P145" i="10"/>
  <c r="R144" i="10"/>
  <c r="P144" i="10"/>
  <c r="R143" i="10"/>
  <c r="P143" i="10"/>
  <c r="R142" i="10"/>
  <c r="P142" i="10"/>
  <c r="R141" i="10"/>
  <c r="P141" i="10"/>
  <c r="R140" i="10"/>
  <c r="P140" i="10"/>
  <c r="R139" i="10"/>
  <c r="P139" i="10"/>
  <c r="R138" i="10"/>
  <c r="P138" i="10"/>
  <c r="R137" i="10"/>
  <c r="P137" i="10"/>
  <c r="R136" i="10"/>
  <c r="P136" i="10"/>
  <c r="R135" i="10"/>
  <c r="P135" i="10"/>
  <c r="R134" i="10"/>
  <c r="P134" i="10"/>
  <c r="R133" i="10"/>
  <c r="P133" i="10"/>
  <c r="R132" i="10"/>
  <c r="P132" i="10"/>
  <c r="R131" i="10"/>
  <c r="P131" i="10"/>
  <c r="R130" i="10"/>
  <c r="P130" i="10"/>
  <c r="R129" i="10"/>
  <c r="P129" i="10"/>
  <c r="R128" i="10"/>
  <c r="P128" i="10"/>
  <c r="R127" i="10"/>
  <c r="P127" i="10"/>
  <c r="R126" i="10"/>
  <c r="P126" i="10"/>
  <c r="R125" i="10"/>
  <c r="P125" i="10"/>
  <c r="R124" i="10"/>
  <c r="P124" i="10"/>
  <c r="R123" i="10"/>
  <c r="P123" i="10"/>
  <c r="R122" i="10"/>
  <c r="P122" i="10"/>
  <c r="R121" i="10"/>
  <c r="P121" i="10"/>
  <c r="R120" i="10"/>
  <c r="P120" i="10"/>
  <c r="R119" i="10"/>
  <c r="P119" i="10"/>
  <c r="R118" i="10"/>
  <c r="P118" i="10"/>
  <c r="R117" i="10"/>
  <c r="P117" i="10"/>
  <c r="R116" i="10"/>
  <c r="P116" i="10"/>
  <c r="R115" i="10"/>
  <c r="P115" i="10"/>
  <c r="R114" i="10"/>
  <c r="P114" i="10"/>
  <c r="R113" i="10"/>
  <c r="P113" i="10"/>
  <c r="R112" i="10"/>
  <c r="P112" i="10"/>
  <c r="R111" i="10"/>
  <c r="P111" i="10"/>
  <c r="R110" i="10"/>
  <c r="P110" i="10"/>
  <c r="R109" i="10"/>
  <c r="P109" i="10"/>
  <c r="R108" i="10"/>
  <c r="P108" i="10"/>
  <c r="R107" i="10"/>
  <c r="P107" i="10"/>
  <c r="R106" i="10"/>
  <c r="P106" i="10"/>
  <c r="R105" i="10"/>
  <c r="P105" i="10"/>
  <c r="R104" i="10"/>
  <c r="P104" i="10"/>
  <c r="R103" i="10"/>
  <c r="P103" i="10"/>
  <c r="R102" i="10"/>
  <c r="P102" i="10"/>
  <c r="R101" i="10"/>
  <c r="P101" i="10"/>
  <c r="R100" i="10"/>
  <c r="P100" i="10"/>
  <c r="R99" i="10"/>
  <c r="P99" i="10"/>
  <c r="R98" i="10"/>
  <c r="P98" i="10"/>
  <c r="R97" i="10"/>
  <c r="P97" i="10"/>
  <c r="R96" i="10"/>
  <c r="P96" i="10"/>
  <c r="R95" i="10"/>
  <c r="P95" i="10"/>
  <c r="R94" i="10"/>
  <c r="P94" i="10"/>
  <c r="R93" i="10"/>
  <c r="P93" i="10"/>
  <c r="R92" i="10"/>
  <c r="P92" i="10"/>
  <c r="R91" i="10"/>
  <c r="P91" i="10"/>
  <c r="R90" i="10"/>
  <c r="P90" i="10"/>
  <c r="R89" i="10"/>
  <c r="P89" i="10"/>
  <c r="R88" i="10"/>
  <c r="P88" i="10"/>
  <c r="R87" i="10"/>
  <c r="P87" i="10"/>
  <c r="R86" i="10"/>
  <c r="P86" i="10"/>
  <c r="R85" i="10"/>
  <c r="P85" i="10"/>
  <c r="R84" i="10"/>
  <c r="P84" i="10"/>
  <c r="R83" i="10"/>
  <c r="P83" i="10"/>
  <c r="R82" i="10"/>
  <c r="P82" i="10"/>
  <c r="R81" i="10"/>
  <c r="P81" i="10"/>
  <c r="R80" i="10"/>
  <c r="P80" i="10"/>
  <c r="R79" i="10"/>
  <c r="P79" i="10"/>
  <c r="R78" i="10"/>
  <c r="P78" i="10"/>
  <c r="R77" i="10"/>
  <c r="P77" i="10"/>
  <c r="R76" i="10"/>
  <c r="P76" i="10"/>
  <c r="R75" i="10"/>
  <c r="P75" i="10"/>
  <c r="R74" i="10"/>
  <c r="P74" i="10"/>
  <c r="R73" i="10"/>
  <c r="P73" i="10"/>
  <c r="R72" i="10"/>
  <c r="P72" i="10"/>
  <c r="R71" i="10"/>
  <c r="P71" i="10"/>
  <c r="R70" i="10"/>
  <c r="P70" i="10"/>
  <c r="R69" i="10"/>
  <c r="P69" i="10"/>
  <c r="R68" i="10"/>
  <c r="P68" i="10"/>
  <c r="R67" i="10"/>
  <c r="P67" i="10"/>
  <c r="R66" i="10"/>
  <c r="P66" i="10"/>
  <c r="R65" i="10"/>
  <c r="P65" i="10"/>
  <c r="R64" i="10"/>
  <c r="P64" i="10"/>
  <c r="R63" i="10"/>
  <c r="P63" i="10"/>
  <c r="R62" i="10"/>
  <c r="P62" i="10"/>
  <c r="R61" i="10"/>
  <c r="P61" i="10"/>
  <c r="R60" i="10"/>
  <c r="P60" i="10"/>
  <c r="R59" i="10"/>
  <c r="P59" i="10"/>
  <c r="R58" i="10"/>
  <c r="P58" i="10"/>
  <c r="R57" i="10"/>
  <c r="P57" i="10"/>
  <c r="R56" i="10"/>
  <c r="P56" i="10"/>
  <c r="R55" i="10"/>
  <c r="P55" i="10"/>
  <c r="R54" i="10"/>
  <c r="P54" i="10"/>
  <c r="R53" i="10"/>
  <c r="P53" i="10"/>
  <c r="R52" i="10"/>
  <c r="P52" i="10"/>
  <c r="R51" i="10"/>
  <c r="P51" i="10"/>
  <c r="R50" i="10"/>
  <c r="P50" i="10"/>
  <c r="R49" i="10"/>
  <c r="P49" i="10"/>
  <c r="R48" i="10"/>
  <c r="P48" i="10"/>
  <c r="R47" i="10"/>
  <c r="P47" i="10"/>
  <c r="R46" i="10"/>
  <c r="P46" i="10"/>
  <c r="R45" i="10"/>
  <c r="P45" i="10"/>
  <c r="R44" i="10"/>
  <c r="P44" i="10"/>
  <c r="R43" i="10"/>
  <c r="P43" i="10"/>
  <c r="R42" i="10"/>
  <c r="P42" i="10"/>
  <c r="R41" i="10"/>
  <c r="P41" i="10"/>
  <c r="R40" i="10"/>
  <c r="P40" i="10"/>
  <c r="R39" i="10"/>
  <c r="P39" i="10"/>
  <c r="R38" i="10"/>
  <c r="P38" i="10"/>
  <c r="R37" i="10"/>
  <c r="P37" i="10"/>
  <c r="R36" i="10"/>
  <c r="P36" i="10"/>
  <c r="R35" i="10"/>
  <c r="P35" i="10"/>
  <c r="R34" i="10"/>
  <c r="P34" i="10"/>
  <c r="R33" i="10"/>
  <c r="P33" i="10"/>
  <c r="R32" i="10"/>
  <c r="P32" i="10"/>
  <c r="R31" i="10"/>
  <c r="P31" i="10"/>
  <c r="R30" i="10"/>
  <c r="P30" i="10"/>
  <c r="R29" i="10"/>
  <c r="P29" i="10"/>
  <c r="R28" i="10"/>
  <c r="P28" i="10"/>
  <c r="R27" i="10"/>
  <c r="P27" i="10"/>
  <c r="R26" i="10"/>
  <c r="P26" i="10"/>
  <c r="R25" i="10"/>
  <c r="P25" i="10"/>
  <c r="R24" i="10"/>
  <c r="P24" i="10"/>
  <c r="R23" i="10"/>
  <c r="P23" i="10"/>
  <c r="R22" i="10"/>
  <c r="P22" i="10"/>
  <c r="R21" i="10"/>
  <c r="P21" i="10"/>
  <c r="R20" i="10"/>
  <c r="P20" i="10"/>
  <c r="R19" i="10"/>
  <c r="P19" i="10"/>
  <c r="R18" i="10"/>
  <c r="P18" i="10"/>
  <c r="R17" i="10"/>
  <c r="P17" i="10"/>
  <c r="R16" i="10"/>
  <c r="P16" i="10"/>
  <c r="R15" i="10"/>
  <c r="P15" i="10"/>
  <c r="R14" i="10"/>
  <c r="P14" i="10"/>
  <c r="R13" i="10"/>
  <c r="P13" i="10"/>
  <c r="R12" i="10"/>
  <c r="P12" i="10"/>
  <c r="R11" i="10"/>
  <c r="P11" i="10"/>
  <c r="B6" i="10"/>
  <c r="B5" i="10"/>
  <c r="W4" i="10"/>
  <c r="V4" i="10"/>
  <c r="U4" i="10"/>
  <c r="T4" i="10"/>
  <c r="R4" i="10"/>
  <c r="Q4" i="10"/>
  <c r="P4" i="10"/>
  <c r="O4" i="10"/>
  <c r="M4" i="10"/>
  <c r="L4" i="10"/>
  <c r="J4" i="10"/>
  <c r="I4" i="10"/>
  <c r="G4" i="10"/>
  <c r="F4" i="10"/>
  <c r="E4" i="10"/>
  <c r="D4" i="10"/>
  <c r="C4" i="10"/>
  <c r="D11" i="1" l="1"/>
</calcChain>
</file>

<file path=xl/sharedStrings.xml><?xml version="1.0" encoding="utf-8"?>
<sst xmlns="http://schemas.openxmlformats.org/spreadsheetml/2006/main" count="28260" uniqueCount="755">
  <si>
    <t>value type</t>
    <phoneticPr fontId="1" type="noConversion"/>
  </si>
  <si>
    <t>열1</t>
    <phoneticPr fontId="1" type="noConversion"/>
  </si>
  <si>
    <t>index</t>
    <phoneticPr fontId="1" type="noConversion"/>
  </si>
  <si>
    <t>Column1</t>
  </si>
  <si>
    <t>Column2</t>
  </si>
  <si>
    <t>stopbit</t>
    <phoneticPr fontId="1" type="noConversion"/>
  </si>
  <si>
    <t>evCode</t>
    <phoneticPr fontId="1" type="noConversion"/>
  </si>
  <si>
    <t>timeStamp</t>
    <phoneticPr fontId="1" type="noConversion"/>
  </si>
  <si>
    <t>code</t>
    <phoneticPr fontId="1" type="noConversion"/>
  </si>
  <si>
    <t>Name</t>
    <phoneticPr fontId="1" type="noConversion"/>
  </si>
  <si>
    <t>value</t>
    <phoneticPr fontId="1" type="noConversion"/>
  </si>
  <si>
    <t>dec val</t>
    <phoneticPr fontId="1" type="noConversion"/>
  </si>
  <si>
    <t>MXC_00</t>
  </si>
  <si>
    <t>MXC_01</t>
  </si>
  <si>
    <t>MXC_02</t>
  </si>
  <si>
    <t>MXC_03</t>
  </si>
  <si>
    <t>MXC_04</t>
  </si>
  <si>
    <t>MXC_05</t>
  </si>
  <si>
    <t>MXC_06</t>
  </si>
  <si>
    <t>EXT_IN_SL_00</t>
  </si>
  <si>
    <t>ev source</t>
    <phoneticPr fontId="1" type="noConversion"/>
  </si>
  <si>
    <t>ev source number</t>
    <phoneticPr fontId="1" type="noConversion"/>
  </si>
  <si>
    <t>seq Mask combination</t>
    <phoneticPr fontId="1" type="noConversion"/>
  </si>
  <si>
    <t>-</t>
    <phoneticPr fontId="1" type="noConversion"/>
  </si>
  <si>
    <t>"" or 1</t>
    <phoneticPr fontId="1" type="noConversion"/>
  </si>
  <si>
    <t>(seq repeat)</t>
    <phoneticPr fontId="1" type="noConversion"/>
  </si>
  <si>
    <t>0~4294967294</t>
    <phoneticPr fontId="1" type="noConversion"/>
  </si>
  <si>
    <t>end</t>
    <phoneticPr fontId="1" type="noConversion"/>
  </si>
  <si>
    <t>0~2031</t>
    <phoneticPr fontId="1" type="noConversion"/>
  </si>
  <si>
    <t>## evg.mxc, txDBUS, evCodeA, seq ##</t>
    <phoneticPr fontId="1" type="noConversion"/>
  </si>
  <si>
    <t>## evr.xps ##</t>
    <phoneticPr fontId="1" type="noConversion"/>
  </si>
  <si>
    <t>DEV NAME</t>
    <phoneticPr fontId="1" type="noConversion"/>
  </si>
  <si>
    <t>SCL3</t>
    <phoneticPr fontId="1" type="noConversion"/>
  </si>
  <si>
    <t>TS</t>
    <phoneticPr fontId="1" type="noConversion"/>
  </si>
  <si>
    <t>----------------</t>
    <phoneticPr fontId="1" type="noConversion"/>
  </si>
  <si>
    <t>EVG</t>
    <phoneticPr fontId="1" type="noConversion"/>
  </si>
  <si>
    <t>EVR</t>
    <phoneticPr fontId="1" type="noConversion"/>
  </si>
  <si>
    <t>EVS</t>
    <phoneticPr fontId="1" type="noConversion"/>
  </si>
  <si>
    <t>EVRUP</t>
    <phoneticPr fontId="1" type="noConversion"/>
  </si>
  <si>
    <t>EVF</t>
    <phoneticPr fontId="1" type="noConversion"/>
  </si>
  <si>
    <t>device</t>
    <phoneticPr fontId="1" type="noConversion"/>
  </si>
  <si>
    <t>001</t>
    <phoneticPr fontId="1" type="noConversion"/>
  </si>
  <si>
    <t>User Trigger</t>
  </si>
  <si>
    <t>User Trigger</t>
    <phoneticPr fontId="1" type="noConversion"/>
  </si>
  <si>
    <t>none</t>
    <phoneticPr fontId="1" type="noConversion"/>
  </si>
  <si>
    <t>MASK A1</t>
    <phoneticPr fontId="1" type="noConversion"/>
  </si>
  <si>
    <t>MASK A0</t>
    <phoneticPr fontId="1" type="noConversion"/>
  </si>
  <si>
    <t>MASK B0</t>
    <phoneticPr fontId="1" type="noConversion"/>
  </si>
  <si>
    <t>MASK B1</t>
    <phoneticPr fontId="1" type="noConversion"/>
  </si>
  <si>
    <t>-1 : infinite</t>
    <phoneticPr fontId="1" type="noConversion"/>
  </si>
  <si>
    <t>MSB:SH15</t>
  </si>
  <si>
    <t>LSB:SL0</t>
  </si>
  <si>
    <t>-1:infinite</t>
  </si>
  <si>
    <t>tick</t>
  </si>
  <si>
    <t>UserTrigger</t>
  </si>
  <si>
    <t>mxc00</t>
  </si>
  <si>
    <t>mxc01</t>
  </si>
  <si>
    <t>mxc02</t>
  </si>
  <si>
    <t>mxc03</t>
  </si>
  <si>
    <t>mxc04</t>
  </si>
  <si>
    <t>mxc05</t>
  </si>
  <si>
    <t>mxc06</t>
  </si>
  <si>
    <t>mxc07</t>
  </si>
  <si>
    <t>mxc08</t>
  </si>
  <si>
    <t>mxc09</t>
  </si>
  <si>
    <t>mxc10</t>
  </si>
  <si>
    <t>mxc11</t>
  </si>
  <si>
    <t>mxc12</t>
  </si>
  <si>
    <t>mxc13</t>
  </si>
  <si>
    <t>extIn00</t>
  </si>
  <si>
    <t>extIn01</t>
  </si>
  <si>
    <t>extIn02</t>
  </si>
  <si>
    <t>extIn03</t>
  </si>
  <si>
    <t>extIn04</t>
  </si>
  <si>
    <t>extIn05</t>
  </si>
  <si>
    <t>extIn06</t>
  </si>
  <si>
    <t>extIn07</t>
  </si>
  <si>
    <t>extIn08</t>
  </si>
  <si>
    <t>extIn09</t>
  </si>
  <si>
    <t>extIn10</t>
  </si>
  <si>
    <t>extIn11</t>
  </si>
  <si>
    <t>extIn12</t>
  </si>
  <si>
    <t>extIn13</t>
  </si>
  <si>
    <t>extIn14</t>
  </si>
  <si>
    <t>extIn15</t>
  </si>
  <si>
    <t>min : 2</t>
  </si>
  <si>
    <t>0~2031</t>
  </si>
  <si>
    <t>0~4294967294</t>
  </si>
  <si>
    <t>end</t>
    <phoneticPr fontId="1" type="noConversion"/>
  </si>
  <si>
    <t>## evg.seqA [evCodeB, timeStamp]##</t>
    <phoneticPr fontId="1" type="noConversion"/>
  </si>
  <si>
    <t>## evg.seqB [evCodeB, timeStamp]##</t>
    <phoneticPr fontId="1" type="noConversion"/>
  </si>
  <si>
    <r>
      <t>Hz(</t>
    </r>
    <r>
      <rPr>
        <sz val="9"/>
        <color rgb="FF0070C0"/>
        <rFont val="Bitstream Vera Sans Mono"/>
        <family val="3"/>
        <charset val="129"/>
      </rPr>
      <t>우선</t>
    </r>
    <r>
      <rPr>
        <sz val="9"/>
        <color rgb="FF0070C0"/>
        <rFont val="Consolas"/>
        <family val="3"/>
      </rPr>
      <t>)</t>
    </r>
  </si>
  <si>
    <t>## 1:DBUS, 0:PDP ##</t>
    <phoneticPr fontId="1" type="noConversion"/>
  </si>
  <si>
    <t>## 1:evCodeA, 0:B ##</t>
    <phoneticPr fontId="1" type="noConversion"/>
  </si>
  <si>
    <t>none</t>
  </si>
  <si>
    <t>MASK A0 and A1</t>
    <phoneticPr fontId="1" type="noConversion"/>
  </si>
  <si>
    <t>MASK B0 and B1</t>
    <phoneticPr fontId="1" type="noConversion"/>
  </si>
  <si>
    <t>0x00000000</t>
    <phoneticPr fontId="1" type="noConversion"/>
  </si>
  <si>
    <t>h1</t>
    <phoneticPr fontId="1" type="noConversion"/>
  </si>
  <si>
    <t>d1</t>
    <phoneticPr fontId="1" type="noConversion"/>
  </si>
  <si>
    <t>h2</t>
    <phoneticPr fontId="1" type="noConversion"/>
  </si>
  <si>
    <t>d2</t>
    <phoneticPr fontId="1" type="noConversion"/>
  </si>
  <si>
    <t>MASK A0</t>
  </si>
  <si>
    <t>MXC_07</t>
    <phoneticPr fontId="1" type="noConversion"/>
  </si>
  <si>
    <t>ZQ9R</t>
    <phoneticPr fontId="1" type="noConversion"/>
  </si>
  <si>
    <t>init val</t>
    <phoneticPr fontId="1" type="noConversion"/>
  </si>
  <si>
    <t>[HEX]</t>
    <phoneticPr fontId="1" type="noConversion"/>
  </si>
  <si>
    <t>config</t>
    <phoneticPr fontId="1" type="noConversion"/>
  </si>
  <si>
    <t>ZQ_FRONT_IOT_0</t>
    <phoneticPr fontId="1" type="noConversion"/>
  </si>
  <si>
    <t>ZQ_FRONT_IOT_1</t>
  </si>
  <si>
    <t>ZQ_FRONT_IOT_2</t>
  </si>
  <si>
    <t>ZQ_FRONT_IOT_3</t>
  </si>
  <si>
    <t>EVF</t>
  </si>
  <si>
    <t>EV_CPS_CTL_GT0</t>
  </si>
  <si>
    <t>EV_CPS_CTL_GT1</t>
  </si>
  <si>
    <t>EV_CPS_CTL_FMC1</t>
  </si>
  <si>
    <t>EV_CPS_CTL_FMC2</t>
  </si>
  <si>
    <t>EV_CPS_CTL_SL</t>
  </si>
  <si>
    <t>EV_CPS_CTL_SH</t>
  </si>
  <si>
    <t>EV_CPS_CTL_CTL</t>
  </si>
  <si>
    <t>EV_CPS_SL_CTRL</t>
  </si>
  <si>
    <t>EV_CPS_SL_SH</t>
  </si>
  <si>
    <t>EV_CPS_SL_RSL</t>
  </si>
  <si>
    <t>EV_CPS_SL_RSH</t>
  </si>
  <si>
    <t>EV_CPS_SL_00</t>
  </si>
  <si>
    <t>EV_CPS_SL_01</t>
  </si>
  <si>
    <t>EV_CPS_SL_02</t>
  </si>
  <si>
    <t>EV_CPS_SL_03</t>
  </si>
  <si>
    <t>EV_CPS_SL_04</t>
  </si>
  <si>
    <t>EV_CPS_SL_05</t>
  </si>
  <si>
    <t>EV_CPS_SL_06</t>
  </si>
  <si>
    <t>EV_CPS_SL_07</t>
  </si>
  <si>
    <t>EV_CPS_SL_08</t>
  </si>
  <si>
    <t>EV_CPS_SL_09</t>
  </si>
  <si>
    <t>EV_CPS_SL_10</t>
  </si>
  <si>
    <t>EV_CPS_SL_11</t>
  </si>
  <si>
    <t>EV_CPS_SH_CTRL</t>
  </si>
  <si>
    <t>EV_CPS_SH_SL</t>
  </si>
  <si>
    <t>EV_CPS_SH_RSH</t>
  </si>
  <si>
    <t>EV_CPS_SH_RSL</t>
  </si>
  <si>
    <t>EV_CPS_SH_00</t>
  </si>
  <si>
    <t>EV_CPS_SH_01</t>
  </si>
  <si>
    <t>EV_CPS_SH_02</t>
  </si>
  <si>
    <t>EV_CPS_SH_03</t>
  </si>
  <si>
    <t>EV_CPS_SH_04</t>
  </si>
  <si>
    <t>EV_CPS_SH_05</t>
  </si>
  <si>
    <t>EV_CPS_SH_06</t>
  </si>
  <si>
    <t>EV_CPS_SH_07</t>
  </si>
  <si>
    <t>EV_CPS_SH_08</t>
  </si>
  <si>
    <t>EV_CPS_SH_09</t>
  </si>
  <si>
    <t>EV_CPS_SH_10</t>
  </si>
  <si>
    <t>EV_CPS_SH_11</t>
  </si>
  <si>
    <t>CTRL</t>
  </si>
  <si>
    <t>EV_CPS_SET</t>
  </si>
  <si>
    <t>GT0</t>
    <phoneticPr fontId="1" type="noConversion"/>
  </si>
  <si>
    <t>GT1</t>
    <phoneticPr fontId="1" type="noConversion"/>
  </si>
  <si>
    <t>FMC1</t>
    <phoneticPr fontId="1" type="noConversion"/>
  </si>
  <si>
    <t>EVS</t>
  </si>
  <si>
    <t>EVR1_MAP_RAM, EVR1_MAP_RAM_N</t>
  </si>
  <si>
    <t>EVR1_MAP_RAM</t>
  </si>
  <si>
    <t>EVR1_MAP_RAM_N</t>
  </si>
  <si>
    <t>EVR1_TIMEDELAY</t>
  </si>
  <si>
    <t>EVR1_RX_DBUSSEL_0</t>
  </si>
  <si>
    <t>EVR1_RX_DBUSSEL_1</t>
  </si>
  <si>
    <t>EVR1_RX_DBUSSEL_2</t>
  </si>
  <si>
    <t>EVR1_RX_DBUSSEL_3</t>
  </si>
  <si>
    <t>EVR1_RX_DBUSSEL_4</t>
  </si>
  <si>
    <t>EVR1_RX_DBUSSEL_5</t>
  </si>
  <si>
    <t>EVR1_RX_DBUSSEL_6</t>
  </si>
  <si>
    <t>EVR1_RX_DBUSSEL_7</t>
  </si>
  <si>
    <t>EVR1_PDPTRGSRCSEL_16</t>
  </si>
  <si>
    <t>EVR1_PDPTRGSRCSEL_17</t>
  </si>
  <si>
    <t>EVR1_PDPTRGSRCSEL_18</t>
  </si>
  <si>
    <t>EVR1_PDPTRGSRCSEL_19</t>
  </si>
  <si>
    <t>EVR1_PDPTRGSRCSEL_20</t>
  </si>
  <si>
    <t>EVR1_PDPTRGSRCSEL_21</t>
  </si>
  <si>
    <t>EVR1_PDPTRGSRCSEL_22</t>
  </si>
  <si>
    <t>EVR1_PDPTRGSRCSEL_23</t>
  </si>
  <si>
    <t>EVR1_PDPTRGSRCSEL_24</t>
  </si>
  <si>
    <t>EVR1_PDPTRGSRCSEL_25</t>
  </si>
  <si>
    <t>EVR1_PDPTRGSRCSEL_26</t>
  </si>
  <si>
    <t>EVR1_PDPTRGSRCSEL_27</t>
  </si>
  <si>
    <t>EVR1_PDPTRGSRCSEL_28</t>
  </si>
  <si>
    <t>EVR1_PDPTRGSRCSEL_29</t>
  </si>
  <si>
    <t>EVR1_PDPTRGSRCSEL_30</t>
  </si>
  <si>
    <t>EVR1_EXOUTINVERT_0</t>
  </si>
  <si>
    <t>EVR1_EXOUTINVERT_1</t>
  </si>
  <si>
    <t>EVR1_EXOUTINVERT_2</t>
  </si>
  <si>
    <t>EVR1_EXOUTINVERT_3</t>
  </si>
  <si>
    <t>EVR1_EXOUTINVERT_4</t>
  </si>
  <si>
    <t>EVR1_EXOUTINVERT_5</t>
  </si>
  <si>
    <t>EVR1_EXOUTINVERT_6</t>
  </si>
  <si>
    <t>EVR1_EXOUTINVERT_7</t>
  </si>
  <si>
    <t>EVR1_EXOUTINVERT_8</t>
  </si>
  <si>
    <t>EVR1_EXOUTINVERT_9</t>
  </si>
  <si>
    <t>EVR1_EXOUTINVERT_10</t>
  </si>
  <si>
    <t>EVR1_EXOUTINVERT_11</t>
  </si>
  <si>
    <t>EVR1_EXOUTINVERT_12</t>
  </si>
  <si>
    <t>EVR1_EXOUTINVERT_13</t>
  </si>
  <si>
    <t>EVR1_EXOUTINVERT_14</t>
  </si>
  <si>
    <t>EVR1_EXOUTINVERT_15</t>
  </si>
  <si>
    <t>EVR1_EXOUTINVERT_16</t>
  </si>
  <si>
    <t>EVR1_EXOUTINVERT_17</t>
  </si>
  <si>
    <t>EVR1_EXOUTINVERT_18</t>
  </si>
  <si>
    <t>EVR1_EXOUTINVERT_19</t>
  </si>
  <si>
    <t>EVR1_EXOUTINVERT_20</t>
  </si>
  <si>
    <t>EVR1_EXOUTINVERT_21</t>
  </si>
  <si>
    <t>EVR1_EXOUTINVERT_22</t>
  </si>
  <si>
    <t>EVR1_EXOUTINVERT_23</t>
  </si>
  <si>
    <t>EVR1_EXOUTINVERT_24</t>
  </si>
  <si>
    <t>EVR1_EXOUTINVERT_25</t>
  </si>
  <si>
    <t>EVR1_EXOUTINVERT_26</t>
  </si>
  <si>
    <t>EVR1_EXOUTINVERT_27</t>
  </si>
  <si>
    <t>EVR1_EXOUTINVERT_28</t>
  </si>
  <si>
    <t>EVR1_EXOUTINVERT_29</t>
  </si>
  <si>
    <t>EVR1_EXOUTINVERT_30</t>
  </si>
  <si>
    <t>EVR1_EXOUTINVERT_31</t>
  </si>
  <si>
    <t>EVR1_PDPDELAY_0</t>
  </si>
  <si>
    <t>EVR1_PDPDELAY_1</t>
  </si>
  <si>
    <t>EVR1_PDPDELAY_2</t>
  </si>
  <si>
    <t>EVR1_PDPDELAY_3</t>
  </si>
  <si>
    <t>EVR1_PDPDELAY_4</t>
  </si>
  <si>
    <t>EVR1_PDPDELAY_5</t>
  </si>
  <si>
    <t>EVR1_PDPDELAY_6</t>
  </si>
  <si>
    <t>EVR1_PDPDELAY_7</t>
  </si>
  <si>
    <t>EVR1_PDPDELAY_8</t>
  </si>
  <si>
    <t>EVR1_PDPDELAY_9</t>
  </si>
  <si>
    <t>EVR1_PDPDELAY_10</t>
  </si>
  <si>
    <t>EVR1_PDPDELAY_11</t>
  </si>
  <si>
    <t>EVR1_PDPDELAY_12</t>
  </si>
  <si>
    <t>EVR1_PDPDELAY_13</t>
  </si>
  <si>
    <t>EVR1_PDPDELAY_14</t>
  </si>
  <si>
    <t>EVR1_PDPDELAY_15</t>
  </si>
  <si>
    <t>EVR1_PDPDELAY_16</t>
  </si>
  <si>
    <t>EVR1_PDPDELAY_17</t>
  </si>
  <si>
    <t>EVR1_PDPDELAY_18</t>
  </si>
  <si>
    <t>EVR1_PDPDELAY_19</t>
  </si>
  <si>
    <t>EVR1_PDPDELAY_20</t>
  </si>
  <si>
    <t>EVR1_PDPDELAY_21</t>
  </si>
  <si>
    <t>EVR1_PDPDELAY_22</t>
  </si>
  <si>
    <t>EVR1_PDPDELAY_23</t>
  </si>
  <si>
    <t>EVR1_PDPDELAY_24</t>
  </si>
  <si>
    <t>EVR1_PDPDELAY_25</t>
  </si>
  <si>
    <t>EVR1_PDPDELAY_26</t>
  </si>
  <si>
    <t>EVR1_PDPDELAY_27</t>
  </si>
  <si>
    <t>EVR1_PDPDELAY_28</t>
  </si>
  <si>
    <t>EVR1_PDPDELAY_29</t>
  </si>
  <si>
    <t>EVR1_PDPDELAY_30</t>
  </si>
  <si>
    <t>EVR1_PDPDELAY_31</t>
  </si>
  <si>
    <t>EVR1_PDPWIDTH_0</t>
  </si>
  <si>
    <t>EVR1_PDPWIDTH_1</t>
  </si>
  <si>
    <t>EVR1_PDPWIDTH_2</t>
  </si>
  <si>
    <t>EVR1_PDPWIDTH_3</t>
  </si>
  <si>
    <t>EVR1_PDPWIDTH_4</t>
  </si>
  <si>
    <t>EVR1_PDPWIDTH_5</t>
  </si>
  <si>
    <t>EVR1_PDPWIDTH_6</t>
  </si>
  <si>
    <t>EVR1_PDPWIDTH_7</t>
  </si>
  <si>
    <t>EVR1_PDPWIDTH_8</t>
  </si>
  <si>
    <t>EVR1_PDPWIDTH_9</t>
  </si>
  <si>
    <t>EVR1_PDPWIDTH_10</t>
  </si>
  <si>
    <t>EVR1_PDPWIDTH_11</t>
  </si>
  <si>
    <t>EVR1_PDPWIDTH_12</t>
  </si>
  <si>
    <t>EVR1_PDPWIDTH_13</t>
  </si>
  <si>
    <t>EVR1_PDPWIDTH_14</t>
  </si>
  <si>
    <t>EVR1_PDPWIDTH_15</t>
  </si>
  <si>
    <t>EVR1_PDPWIDTH_16</t>
  </si>
  <si>
    <t>EVR1_PDPWIDTH_17</t>
  </si>
  <si>
    <t>EVR1_PDPWIDTH_18</t>
  </si>
  <si>
    <t>EVR1_PDPWIDTH_19</t>
  </si>
  <si>
    <t>EVR1_PDPWIDTH_20</t>
  </si>
  <si>
    <t>EVR1_PDPWIDTH_21</t>
  </si>
  <si>
    <t>EVR1_PDPWIDTH_22</t>
  </si>
  <si>
    <t>EVR1_PDPWIDTH_23</t>
  </si>
  <si>
    <t>EVR1_PDPWIDTH_24</t>
  </si>
  <si>
    <t>EVR1_PDPWIDTH_25</t>
  </si>
  <si>
    <t>EVR1_PDPWIDTH_26</t>
  </si>
  <si>
    <t>EVR1_PDPWIDTH_27</t>
  </si>
  <si>
    <t>EVR1_PDPWIDTH_28</t>
  </si>
  <si>
    <t>EVR1_PDPWIDTH_29</t>
  </si>
  <si>
    <t>EVR1_PDPWIDTH_30</t>
  </si>
  <si>
    <t>EVR1_PDPWIDTH_31</t>
  </si>
  <si>
    <t>EVR1_SETCTRLREG</t>
  </si>
  <si>
    <t>EVR1_EXTOUTSWAP</t>
  </si>
  <si>
    <t>EVR1_EXTOUTSEL_1PPS</t>
  </si>
  <si>
    <t>EVR1_EXTOUTSEL_XPS</t>
  </si>
  <si>
    <t>EVR1_LOGFIFO_ENABLE</t>
  </si>
  <si>
    <t>EVR1_EXOUTENABLE</t>
  </si>
  <si>
    <t>EVR1_RXENABLE</t>
  </si>
  <si>
    <t>EVG1_SEQA_CFG</t>
  </si>
  <si>
    <t>EVG1_SEQA_TSTAMP</t>
  </si>
  <si>
    <t>EVG1_SEQB_CFG</t>
  </si>
  <si>
    <t>EVG1_SEQB_TSTAMP</t>
  </si>
  <si>
    <t>EVG1_MXC14_PRESCALERREG_0</t>
  </si>
  <si>
    <t>EVG1_MXC14_PRESCALERREG_1</t>
  </si>
  <si>
    <t>EVG1_MXC14_PRESCALERREG_2</t>
  </si>
  <si>
    <t>EVG1_MXC14_PRESCALERREG_3</t>
  </si>
  <si>
    <t>EVG1_MXC14_PRESCALERREG_4</t>
  </si>
  <si>
    <t>EVG1_MXC14_PRESCALERREG_5</t>
  </si>
  <si>
    <t>EVG1_MXC14_PRESCALERREG_6</t>
  </si>
  <si>
    <t>EVG1_MXC14_PRESCALERREG_7</t>
  </si>
  <si>
    <t>EVG1_MXC14_PRESCALERREG_8</t>
  </si>
  <si>
    <t>EVG1_MXC14_PRESCALERREG_9</t>
  </si>
  <si>
    <t>EVG1_MXC14_PRESCALERREG_10</t>
  </si>
  <si>
    <t>EVG1_MXC14_PRESCALERREG_11</t>
  </si>
  <si>
    <t>EVG1_MXC14_PRESCALERREG_12</t>
  </si>
  <si>
    <t>EVG1_MXC14_PRESCALERREG_13</t>
  </si>
  <si>
    <t>EVG1_TX_DBUS_SEL_0</t>
  </si>
  <si>
    <t>EVG1_TX_DBUS_SEL_1</t>
  </si>
  <si>
    <t>EVG1_TX_DBUS_SEL_2</t>
  </si>
  <si>
    <t>EVG1_TX_DBUS_SEL_3</t>
  </si>
  <si>
    <t>EVG1_TX_DBUS_SEL_4</t>
  </si>
  <si>
    <t>EVG1_TX_DBUS_SEL_5</t>
  </si>
  <si>
    <t>EVG1_TX_DBUS_SEL_6</t>
  </si>
  <si>
    <t>EVG1_TX_DBUS_SEL_7</t>
  </si>
  <si>
    <t>EVG1_TRIG_SEL_1</t>
  </si>
  <si>
    <t>EVG1_TRIG_SEL_2</t>
  </si>
  <si>
    <t>EVG1_TRIG_SEL_3</t>
  </si>
  <si>
    <t>EVG1_TRIG_SEL_4</t>
  </si>
  <si>
    <t>EVG1_TRIG_SEL_5</t>
  </si>
  <si>
    <t>EVG1_TRIG_SEL_6</t>
  </si>
  <si>
    <t>EVG1_TRIG_SEL_7</t>
  </si>
  <si>
    <t>EVG1_TRIG_SEL_8</t>
  </si>
  <si>
    <t>EVG1_TRIG_SEL_9</t>
  </si>
  <si>
    <t>EVG1_TRIG_SEL_10</t>
  </si>
  <si>
    <t>EVG1_TRIG_SEL_11</t>
  </si>
  <si>
    <t>EVG1_TRIG_SEL_12</t>
  </si>
  <si>
    <t>EVG1_TRIG_SEL_13</t>
  </si>
  <si>
    <t>EVG1_TRIG_SEL_14</t>
  </si>
  <si>
    <t>EVG1_TRIG_SEL_15</t>
  </si>
  <si>
    <t>EVG1_TRIG_SEL_16</t>
  </si>
  <si>
    <t>EVG1_TRIG_SEL_17</t>
  </si>
  <si>
    <t>EVG1_TRIG_SEL_18</t>
  </si>
  <si>
    <t>EVG1_TRIG_SEL_19</t>
  </si>
  <si>
    <t>EVG1_TRIG_SEL_20</t>
  </si>
  <si>
    <t>EVG1_TRIG_SEL_21</t>
  </si>
  <si>
    <t>EVG1_TRIG_SEL_22</t>
  </si>
  <si>
    <t>EVG1_TRIG_SEL_23</t>
  </si>
  <si>
    <t>EVG1_TRIG_SEL_24</t>
  </si>
  <si>
    <t>EVG1_TRIG_SEL_25</t>
  </si>
  <si>
    <t>EVG1_TRIG_SEL_26</t>
  </si>
  <si>
    <t>EVG1_TRIG_SEL_27</t>
  </si>
  <si>
    <t>EVG1_TRIG_SEL_28</t>
  </si>
  <si>
    <t>EVG1_TRIG_SEL_29</t>
  </si>
  <si>
    <t>EVG1_TRIG_SEL_30</t>
  </si>
  <si>
    <t>EVG1_TRIG_SEL_31</t>
  </si>
  <si>
    <t>EVG1_MEVCODEA_1</t>
  </si>
  <si>
    <t>EVG1_MEVCODEA_2</t>
  </si>
  <si>
    <t>EVG1_MEVCODEA_3</t>
  </si>
  <si>
    <t>EVG1_MEVCODEA_4</t>
  </si>
  <si>
    <t>EVG1_MEVCODEA_5</t>
  </si>
  <si>
    <t>EVG1_MEVCODEA_6</t>
  </si>
  <si>
    <t>EVG1_MEVCODEA_7</t>
  </si>
  <si>
    <t>EVG1_MEVCODEA_8</t>
  </si>
  <si>
    <t>EVG1_MEVCODEA_9</t>
  </si>
  <si>
    <t>EVG1_MEVCODEA_10</t>
  </si>
  <si>
    <t>EVG1_MEVCODEA_11</t>
  </si>
  <si>
    <t>EVG1_MEVCODEA_12</t>
  </si>
  <si>
    <t>EVG1_MEVCODEA_13</t>
  </si>
  <si>
    <t>EVG1_MEVCODEA_14</t>
  </si>
  <si>
    <t>EVG1_MEVCODEA_15</t>
  </si>
  <si>
    <t>EVG1_MEVCODEA_16</t>
  </si>
  <si>
    <t>EVG1_MEVCODEA_17</t>
  </si>
  <si>
    <t>EVG1_MEVCODEA_18</t>
  </si>
  <si>
    <t>EVG1_MEVCODEA_19</t>
  </si>
  <si>
    <t>EVG1_MEVCODEA_20</t>
  </si>
  <si>
    <t>EVG1_MEVCODEA_21</t>
  </si>
  <si>
    <t>EVG1_MEVCODEA_22</t>
  </si>
  <si>
    <t>EVG1_MEVCODEA_23</t>
  </si>
  <si>
    <t>EVG1_MEVCODEA_24</t>
  </si>
  <si>
    <t>EVG1_MEVCODEA_25</t>
  </si>
  <si>
    <t>EVG1_MEVCODEA_26</t>
  </si>
  <si>
    <t>EVG1_MEVCODEA_27</t>
  </si>
  <si>
    <t>EVG1_MEVCODEA_28</t>
  </si>
  <si>
    <t>EVG1_MEVCODEA_29</t>
  </si>
  <si>
    <t>EVG1_MEVCODEA_30</t>
  </si>
  <si>
    <t>EVG1_MEVCODEA_31</t>
  </si>
  <si>
    <t>EVG1_SEQ_REPEATREG_0</t>
  </si>
  <si>
    <t>EVG1_SEQ_REPEATREG_1</t>
  </si>
  <si>
    <t>EVG1_SEQTRGSEL_0</t>
  </si>
  <si>
    <t>EVG1_SEQTRGSEL_1</t>
  </si>
  <si>
    <t>EVG1_SEQTRGMSKA0_0</t>
  </si>
  <si>
    <t>EVG1_SEQTRGMSKA0_1</t>
  </si>
  <si>
    <t>EVG1_SEQTRGMSKA0_2</t>
  </si>
  <si>
    <t>EVG1_SEQTRGMSKA0_3</t>
  </si>
  <si>
    <t>EVG1_SEQTRGMSKA0_4</t>
  </si>
  <si>
    <t>EVG1_SEQTRGMSKA0_5</t>
  </si>
  <si>
    <t>EVG1_SEQTRGMSKA0_6</t>
  </si>
  <si>
    <t>EVG1_SEQTRGMSKA0_7</t>
  </si>
  <si>
    <t>EVG1_SEQTRGMSKA0_8</t>
  </si>
  <si>
    <t>EVG1_SEQTRGMSKA0_9</t>
  </si>
  <si>
    <t>EVG1_SEQTRGMSKA0_10</t>
  </si>
  <si>
    <t>EVG1_SEQTRGMSKA0_11</t>
  </si>
  <si>
    <t>EVG1_SEQTRGMSKA0_12</t>
  </si>
  <si>
    <t>EVG1_SEQTRGMSKA0_13</t>
  </si>
  <si>
    <t>EVG1_SEQTRGMSKA0_14</t>
  </si>
  <si>
    <t>EVG1_SEQTRGMSKA0_15</t>
  </si>
  <si>
    <t>EVG1_SEQTRGMSKA0_16</t>
  </si>
  <si>
    <t>EVG1_SEQTRGMSKA0_17</t>
  </si>
  <si>
    <t>EVG1_SEQTRGMSKA0_18</t>
  </si>
  <si>
    <t>EVG1_SEQTRGMSKA0_19</t>
  </si>
  <si>
    <t>EVG1_SEQTRGMSKA0_20</t>
  </si>
  <si>
    <t>EVG1_SEQTRGMSKA0_21</t>
  </si>
  <si>
    <t>EVG1_SEQTRGMSKA0_22</t>
  </si>
  <si>
    <t>EVG1_SEQTRGMSKA0_23</t>
  </si>
  <si>
    <t>EVG1_SEQTRGMSKA0_24</t>
  </si>
  <si>
    <t>EVG1_SEQTRGMSKA0_25</t>
  </si>
  <si>
    <t>EVG1_SEQTRGMSKA0_26</t>
  </si>
  <si>
    <t>EVG1_SEQTRGMSKA0_27</t>
  </si>
  <si>
    <t>EVG1_SEQTRGMSKA0_28</t>
  </si>
  <si>
    <t>EVG1_SEQTRGMSKA0_29</t>
  </si>
  <si>
    <t>EVG1_SEQTRGMSKA0_30</t>
  </si>
  <si>
    <t>EVG1_SEQTRGMSKA1_0</t>
  </si>
  <si>
    <t>EVG1_SEQTRGMSKA1_1</t>
  </si>
  <si>
    <t>EVG1_SEQTRGMSKA1_2</t>
  </si>
  <si>
    <t>EVG1_SEQTRGMSKA1_3</t>
  </si>
  <si>
    <t>EVG1_SEQTRGMSKA1_4</t>
  </si>
  <si>
    <t>EVG1_SEQTRGMSKA1_5</t>
  </si>
  <si>
    <t>EVG1_SEQTRGMSKA1_6</t>
  </si>
  <si>
    <t>EVG1_SEQTRGMSKA1_7</t>
  </si>
  <si>
    <t>EVG1_SEQTRGMSKA1_8</t>
  </si>
  <si>
    <t>EVG1_SEQTRGMSKA1_9</t>
  </si>
  <si>
    <t>EVG1_SEQTRGMSKA1_10</t>
  </si>
  <si>
    <t>EVG1_SEQTRGMSKA1_11</t>
  </si>
  <si>
    <t>EVG1_SEQTRGMSKA1_12</t>
  </si>
  <si>
    <t>EVG1_SEQTRGMSKA1_13</t>
  </si>
  <si>
    <t>EVG1_SEQTRGMSKA1_14</t>
  </si>
  <si>
    <t>EVG1_SEQTRGMSKA1_15</t>
  </si>
  <si>
    <t>EVG1_SEQTRGMSKA1_16</t>
  </si>
  <si>
    <t>EVG1_SEQTRGMSKA1_17</t>
  </si>
  <si>
    <t>EVG1_SEQTRGMSKA1_18</t>
  </si>
  <si>
    <t>EVG1_SEQTRGMSKA1_19</t>
  </si>
  <si>
    <t>EVG1_SEQTRGMSKA1_20</t>
  </si>
  <si>
    <t>EVG1_SEQTRGMSKA1_21</t>
  </si>
  <si>
    <t>EVG1_SEQTRGMSKA1_22</t>
  </si>
  <si>
    <t>EVG1_SEQTRGMSKA1_23</t>
  </si>
  <si>
    <t>EVG1_SEQTRGMSKA1_24</t>
  </si>
  <si>
    <t>EVG1_SEQTRGMSKA1_25</t>
  </si>
  <si>
    <t>EVG1_SEQTRGMSKA1_26</t>
  </si>
  <si>
    <t>EVG1_SEQTRGMSKA1_27</t>
  </si>
  <si>
    <t>EVG1_SEQTRGMSKA1_28</t>
  </si>
  <si>
    <t>EVG1_SEQTRGMSKA1_29</t>
  </si>
  <si>
    <t>EVG1_SEQTRGMSKA1_30</t>
  </si>
  <si>
    <t>EVG1_SEQTRGMSKB0_0</t>
  </si>
  <si>
    <t>EVG1_SEQTRGMSKB0_1</t>
  </si>
  <si>
    <t>EVG1_SEQTRGMSKB0_2</t>
  </si>
  <si>
    <t>EVG1_SEQTRGMSKB0_3</t>
  </si>
  <si>
    <t>EVG1_SEQTRGMSKB0_4</t>
  </si>
  <si>
    <t>EVG1_SEQTRGMSKB0_5</t>
  </si>
  <si>
    <t>EVG1_SEQTRGMSKB0_6</t>
  </si>
  <si>
    <t>EVG1_SEQTRGMSKB0_7</t>
  </si>
  <si>
    <t>EVG1_SEQTRGMSKB0_8</t>
  </si>
  <si>
    <t>EVG1_SEQTRGMSKB0_9</t>
  </si>
  <si>
    <t>EVG1_SEQTRGMSKB0_10</t>
  </si>
  <si>
    <t>EVG1_SEQTRGMSKB0_11</t>
  </si>
  <si>
    <t>EVG1_SEQTRGMSKB0_12</t>
  </si>
  <si>
    <t>EVG1_SEQTRGMSKB0_13</t>
  </si>
  <si>
    <t>EVG1_SEQTRGMSKB0_14</t>
  </si>
  <si>
    <t>EVG1_SEQTRGMSKB0_15</t>
  </si>
  <si>
    <t>EVG1_SEQTRGMSKB0_16</t>
  </si>
  <si>
    <t>EVG1_SEQTRGMSKB0_17</t>
  </si>
  <si>
    <t>EVG1_SEQTRGMSKB0_18</t>
  </si>
  <si>
    <t>EVG1_SEQTRGMSKB0_19</t>
  </si>
  <si>
    <t>EVG1_SEQTRGMSKB0_20</t>
  </si>
  <si>
    <t>EVG1_SEQTRGMSKB0_21</t>
  </si>
  <si>
    <t>EVG1_SEQTRGMSKB0_22</t>
  </si>
  <si>
    <t>EVG1_SEQTRGMSKB0_23</t>
  </si>
  <si>
    <t>EVG1_SEQTRGMSKB0_24</t>
  </si>
  <si>
    <t>EVG1_SEQTRGMSKB0_25</t>
  </si>
  <si>
    <t>EVG1_SEQTRGMSKB0_26</t>
  </si>
  <si>
    <t>EVG1_SEQTRGMSKB0_27</t>
  </si>
  <si>
    <t>EVG1_SEQTRGMSKB0_28</t>
  </si>
  <si>
    <t>EVG1_SEQTRGMSKB0_29</t>
  </si>
  <si>
    <t>EVG1_SEQTRGMSKB0_30</t>
  </si>
  <si>
    <t>EVG1_SEQTRGMSKB1_0</t>
  </si>
  <si>
    <t>EVG1_SEQTRGMSKB1_1</t>
  </si>
  <si>
    <t>EVG1_SEQTRGMSKB1_2</t>
  </si>
  <si>
    <t>EVG1_SEQTRGMSKB1_3</t>
  </si>
  <si>
    <t>EVG1_SEQTRGMSKB1_4</t>
  </si>
  <si>
    <t>EVG1_SEQTRGMSKB1_5</t>
  </si>
  <si>
    <t>EVG1_SEQTRGMSKB1_6</t>
  </si>
  <si>
    <t>EVG1_SEQTRGMSKB1_7</t>
  </si>
  <si>
    <t>EVG1_SEQTRGMSKB1_8</t>
  </si>
  <si>
    <t>EVG1_SEQTRGMSKB1_9</t>
  </si>
  <si>
    <t>EVG1_SEQTRGMSKB1_10</t>
  </si>
  <si>
    <t>EVG1_SEQTRGMSKB1_11</t>
  </si>
  <si>
    <t>EVG1_SEQTRGMSKB1_12</t>
  </si>
  <si>
    <t>EVG1_SEQTRGMSKB1_13</t>
  </si>
  <si>
    <t>EVG1_SEQTRGMSKB1_14</t>
  </si>
  <si>
    <t>EVG1_SEQTRGMSKB1_15</t>
  </si>
  <si>
    <t>EVG1_SEQTRGMSKB1_16</t>
  </si>
  <si>
    <t>EVG1_SEQTRGMSKB1_17</t>
  </si>
  <si>
    <t>EVG1_SEQTRGMSKB1_18</t>
  </si>
  <si>
    <t>EVG1_SEQTRGMSKB1_19</t>
  </si>
  <si>
    <t>EVG1_SEQTRGMSKB1_20</t>
  </si>
  <si>
    <t>EVG1_SEQTRGMSKB1_21</t>
  </si>
  <si>
    <t>EVG1_SEQTRGMSKB1_22</t>
  </si>
  <si>
    <t>EVG1_SEQTRGMSKB1_23</t>
  </si>
  <si>
    <t>EVG1_SEQTRGMSKB1_24</t>
  </si>
  <si>
    <t>EVG1_SEQTRGMSKB1_25</t>
  </si>
  <si>
    <t>EVG1_SEQTRGMSKB1_26</t>
  </si>
  <si>
    <t>EVG1_SEQTRGMSKB1_27</t>
  </si>
  <si>
    <t>EVG1_SEQTRGMSKB1_28</t>
  </si>
  <si>
    <t>EVG1_SEQTRGMSKB1_29</t>
  </si>
  <si>
    <t>EVG1_SEQTRGMSKB1_30</t>
  </si>
  <si>
    <t>EVG1_TXENABLE_DBUS</t>
  </si>
  <si>
    <t>EVG1_TXENABLE_EVCODEA</t>
  </si>
  <si>
    <t>EVG1_TXENABLE_EVCODEB</t>
  </si>
  <si>
    <t>EVG1_TXENABLE_MEVCODEA</t>
  </si>
  <si>
    <t>EVG1_SEQTRG_EN_0</t>
  </si>
  <si>
    <t>EVG1_SEQTRG_EN_1</t>
  </si>
  <si>
    <t>EVG1_MXC14ENABLE</t>
  </si>
  <si>
    <t>EVR</t>
  </si>
  <si>
    <t>EVG</t>
  </si>
  <si>
    <t>0xFFFFFFFF</t>
    <phoneticPr fontId="1" type="noConversion"/>
  </si>
  <si>
    <t>ZQ9R</t>
  </si>
  <si>
    <t>EVR0_MAP_RAM, EVR0_MAP_RAM_N</t>
  </si>
  <si>
    <t>EVR0_MAP_RAM</t>
  </si>
  <si>
    <t>EVR0_MAP_RAM_N</t>
  </si>
  <si>
    <t>EVR0_TIMEDELAY</t>
  </si>
  <si>
    <t>EVR0_RX_DBUSSEL_0</t>
  </si>
  <si>
    <t>EVR0_RX_DBUSSEL_1</t>
  </si>
  <si>
    <t>EVR0_RX_DBUSSEL_2</t>
  </si>
  <si>
    <t>EVR0_RX_DBUSSEL_3</t>
  </si>
  <si>
    <t>EVR0_RX_DBUSSEL_4</t>
  </si>
  <si>
    <t>EVR0_RX_DBUSSEL_5</t>
  </si>
  <si>
    <t>EVR0_RX_DBUSSEL_6</t>
  </si>
  <si>
    <t>EVR0_RX_DBUSSEL_7</t>
  </si>
  <si>
    <t>EVR0_PDPTRGSRCSEL_16</t>
  </si>
  <si>
    <t>EVR0_PDPTRGSRCSEL_17</t>
  </si>
  <si>
    <t>EVR0_PDPTRGSRCSEL_18</t>
  </si>
  <si>
    <t>EVR0_PDPTRGSRCSEL_19</t>
  </si>
  <si>
    <t>EVR0_PDPTRGSRCSEL_20</t>
  </si>
  <si>
    <t>EVR0_PDPTRGSRCSEL_21</t>
  </si>
  <si>
    <t>EVR0_PDPTRGSRCSEL_22</t>
  </si>
  <si>
    <t>EVR0_PDPTRGSRCSEL_23</t>
  </si>
  <si>
    <t>EVR0_PDPTRGSRCSEL_24</t>
  </si>
  <si>
    <t>EVR0_PDPTRGSRCSEL_25</t>
  </si>
  <si>
    <t>EVR0_PDPTRGSRCSEL_26</t>
  </si>
  <si>
    <t>EVR0_PDPTRGSRCSEL_27</t>
  </si>
  <si>
    <t>EVR0_PDPTRGSRCSEL_28</t>
  </si>
  <si>
    <t>EVR0_PDPTRGSRCSEL_29</t>
  </si>
  <si>
    <t>EVR0_PDPTRGSRCSEL_30</t>
  </si>
  <si>
    <t>EVR0_EXOUTINVERT_0</t>
  </si>
  <si>
    <t>EVR0_EXOUTINVERT_1</t>
  </si>
  <si>
    <t>EVR0_EXOUTINVERT_2</t>
  </si>
  <si>
    <t>EVR0_EXOUTINVERT_3</t>
  </si>
  <si>
    <t>EVR0_EXOUTINVERT_4</t>
  </si>
  <si>
    <t>EVR0_EXOUTINVERT_5</t>
  </si>
  <si>
    <t>EVR0_EXOUTINVERT_6</t>
  </si>
  <si>
    <t>EVR0_EXOUTINVERT_7</t>
  </si>
  <si>
    <t>EVR0_EXOUTINVERT_8</t>
  </si>
  <si>
    <t>EVR0_EXOUTINVERT_9</t>
  </si>
  <si>
    <t>EVR0_EXOUTINVERT_10</t>
  </si>
  <si>
    <t>EVR0_EXOUTINVERT_11</t>
  </si>
  <si>
    <t>EVR0_EXOUTINVERT_12</t>
  </si>
  <si>
    <t>EVR0_EXOUTINVERT_13</t>
  </si>
  <si>
    <t>EVR0_EXOUTINVERT_14</t>
  </si>
  <si>
    <t>EVR0_EXOUTINVERT_15</t>
  </si>
  <si>
    <t>EVR0_EXOUTINVERT_16</t>
  </si>
  <si>
    <t>EVR0_EXOUTINVERT_17</t>
  </si>
  <si>
    <t>EVR0_EXOUTINVERT_18</t>
  </si>
  <si>
    <t>EVR0_EXOUTINVERT_19</t>
  </si>
  <si>
    <t>EVR0_EXOUTINVERT_20</t>
  </si>
  <si>
    <t>EVR0_EXOUTINVERT_21</t>
  </si>
  <si>
    <t>EVR0_EXOUTINVERT_22</t>
  </si>
  <si>
    <t>EVR0_EXOUTINVERT_23</t>
  </si>
  <si>
    <t>EVR0_EXOUTINVERT_24</t>
  </si>
  <si>
    <t>EVR0_EXOUTINVERT_25</t>
  </si>
  <si>
    <t>EVR0_EXOUTINVERT_26</t>
  </si>
  <si>
    <t>EVR0_EXOUTINVERT_27</t>
  </si>
  <si>
    <t>EVR0_EXOUTINVERT_28</t>
  </si>
  <si>
    <t>EVR0_EXOUTINVERT_29</t>
  </si>
  <si>
    <t>EVR0_EXOUTINVERT_30</t>
  </si>
  <si>
    <t>EVR0_EXOUTINVERT_31</t>
  </si>
  <si>
    <t>EVR0_PDPDELAY_0</t>
  </si>
  <si>
    <t>EVR0_PDPDELAY_1</t>
  </si>
  <si>
    <t>EVR0_PDPDELAY_2</t>
  </si>
  <si>
    <t>EVR0_PDPDELAY_3</t>
  </si>
  <si>
    <t>EVR0_PDPDELAY_4</t>
  </si>
  <si>
    <t>EVR0_PDPDELAY_5</t>
  </si>
  <si>
    <t>EVR0_PDPDELAY_6</t>
  </si>
  <si>
    <t>EVR0_PDPDELAY_7</t>
  </si>
  <si>
    <t>EVR0_PDPDELAY_8</t>
  </si>
  <si>
    <t>EVR0_PDPDELAY_9</t>
  </si>
  <si>
    <t>EVR0_PDPDELAY_10</t>
  </si>
  <si>
    <t>EVR0_PDPDELAY_11</t>
  </si>
  <si>
    <t>EVR0_PDPDELAY_12</t>
  </si>
  <si>
    <t>EVR0_PDPDELAY_13</t>
  </si>
  <si>
    <t>EVR0_PDPDELAY_14</t>
  </si>
  <si>
    <t>EVR0_PDPDELAY_15</t>
  </si>
  <si>
    <t>EVR0_PDPDELAY_16</t>
  </si>
  <si>
    <t>EVR0_PDPDELAY_17</t>
  </si>
  <si>
    <t>EVR0_PDPDELAY_18</t>
  </si>
  <si>
    <t>EVR0_PDPDELAY_19</t>
  </si>
  <si>
    <t>EVR0_PDPDELAY_20</t>
  </si>
  <si>
    <t>EVR0_PDPDELAY_21</t>
  </si>
  <si>
    <t>EVR0_PDPDELAY_22</t>
  </si>
  <si>
    <t>EVR0_PDPDELAY_23</t>
  </si>
  <si>
    <t>EVR0_PDPDELAY_24</t>
  </si>
  <si>
    <t>EVR0_PDPDELAY_25</t>
  </si>
  <si>
    <t>EVR0_PDPDELAY_26</t>
  </si>
  <si>
    <t>EVR0_PDPDELAY_27</t>
  </si>
  <si>
    <t>EVR0_PDPDELAY_28</t>
  </si>
  <si>
    <t>EVR0_PDPDELAY_29</t>
  </si>
  <si>
    <t>EVR0_PDPDELAY_30</t>
  </si>
  <si>
    <t>EVR0_PDPDELAY_31</t>
  </si>
  <si>
    <t>EVR0_PDPWIDTH_0</t>
  </si>
  <si>
    <t>EVR0_PDPWIDTH_1</t>
  </si>
  <si>
    <t>EVR0_PDPWIDTH_2</t>
  </si>
  <si>
    <t>EVR0_PDPWIDTH_3</t>
  </si>
  <si>
    <t>EVR0_PDPWIDTH_4</t>
  </si>
  <si>
    <t>EVR0_PDPWIDTH_5</t>
  </si>
  <si>
    <t>EVR0_PDPWIDTH_6</t>
  </si>
  <si>
    <t>EVR0_PDPWIDTH_7</t>
  </si>
  <si>
    <t>EVR0_PDPWIDTH_8</t>
  </si>
  <si>
    <t>EVR0_PDPWIDTH_9</t>
  </si>
  <si>
    <t>EVR0_PDPWIDTH_10</t>
  </si>
  <si>
    <t>EVR0_PDPWIDTH_11</t>
  </si>
  <si>
    <t>EVR0_PDPWIDTH_12</t>
  </si>
  <si>
    <t>EVR0_PDPWIDTH_13</t>
  </si>
  <si>
    <t>EVR0_PDPWIDTH_14</t>
  </si>
  <si>
    <t>EVR0_PDPWIDTH_15</t>
  </si>
  <si>
    <t>EVR0_PDPWIDTH_16</t>
  </si>
  <si>
    <t>EVR0_PDPWIDTH_17</t>
  </si>
  <si>
    <t>EVR0_PDPWIDTH_18</t>
  </si>
  <si>
    <t>EVR0_PDPWIDTH_19</t>
  </si>
  <si>
    <t>EVR0_PDPWIDTH_20</t>
  </si>
  <si>
    <t>EVR0_PDPWIDTH_21</t>
  </si>
  <si>
    <t>EVR0_PDPWIDTH_22</t>
  </si>
  <si>
    <t>EVR0_PDPWIDTH_23</t>
  </si>
  <si>
    <t>EVR0_PDPWIDTH_24</t>
  </si>
  <si>
    <t>EVR0_PDPWIDTH_25</t>
  </si>
  <si>
    <t>EVR0_PDPWIDTH_26</t>
  </si>
  <si>
    <t>EVR0_PDPWIDTH_27</t>
  </si>
  <si>
    <t>EVR0_PDPWIDTH_28</t>
  </si>
  <si>
    <t>EVR0_PDPWIDTH_29</t>
  </si>
  <si>
    <t>EVR0_PDPWIDTH_30</t>
  </si>
  <si>
    <t>EVR0_PDPWIDTH_31</t>
  </si>
  <si>
    <t>EVR0_SETCTRLREG</t>
  </si>
  <si>
    <t>EVR0_EXTOUTSWAP</t>
  </si>
  <si>
    <t>EVR0_EXTOUTSEL_1PPS</t>
  </si>
  <si>
    <t>EVR0_EXTOUTSEL_XPS</t>
  </si>
  <si>
    <t>EVR0_LOGFIFO_ENABLE</t>
  </si>
  <si>
    <t>EVR0_EXOUTENABLE</t>
  </si>
  <si>
    <t>EVR0_RXENABLE</t>
  </si>
  <si>
    <t>end</t>
    <phoneticPr fontId="1" type="noConversion"/>
  </si>
  <si>
    <t>EVR0_RXENABLE</t>
    <phoneticPr fontId="1" type="noConversion"/>
  </si>
  <si>
    <t>EVR0_RXENABLE</t>
    <phoneticPr fontId="1" type="noConversion"/>
  </si>
  <si>
    <t>EVR0_RXENABLE</t>
    <phoneticPr fontId="1" type="noConversion"/>
  </si>
  <si>
    <t>0x00010001</t>
    <phoneticPr fontId="1" type="noConversion"/>
  </si>
  <si>
    <t>0x00020002</t>
    <phoneticPr fontId="1" type="noConversion"/>
  </si>
  <si>
    <t>0x00040004</t>
    <phoneticPr fontId="1" type="noConversion"/>
  </si>
  <si>
    <t>0x00080008</t>
    <phoneticPr fontId="1" type="noConversion"/>
  </si>
  <si>
    <t>0x00100010</t>
    <phoneticPr fontId="1" type="noConversion"/>
  </si>
  <si>
    <t>0x00200020</t>
    <phoneticPr fontId="1" type="noConversion"/>
  </si>
  <si>
    <t>0x00400040</t>
    <phoneticPr fontId="1" type="noConversion"/>
  </si>
  <si>
    <t>0x00800080</t>
    <phoneticPr fontId="1" type="noConversion"/>
  </si>
  <si>
    <t>0x01000100</t>
    <phoneticPr fontId="1" type="noConversion"/>
  </si>
  <si>
    <t>0x02000200</t>
    <phoneticPr fontId="1" type="noConversion"/>
  </si>
  <si>
    <t>0x04000400</t>
    <phoneticPr fontId="1" type="noConversion"/>
  </si>
  <si>
    <t>0x08000800</t>
    <phoneticPr fontId="1" type="noConversion"/>
  </si>
  <si>
    <t>0x10001000</t>
    <phoneticPr fontId="1" type="noConversion"/>
  </si>
  <si>
    <t>0x20002000</t>
    <phoneticPr fontId="1" type="noConversion"/>
  </si>
  <si>
    <t>0x40004000</t>
    <phoneticPr fontId="1" type="noConversion"/>
  </si>
  <si>
    <t>0x80008000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</si>
  <si>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</si>
  <si>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</si>
  <si>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</si>
  <si>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</si>
  <si>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0xFFFF0000</t>
    <phoneticPr fontId="1" type="noConversion"/>
  </si>
  <si>
    <t>0x00000000</t>
    <phoneticPr fontId="1" type="noConversion"/>
  </si>
  <si>
    <t>EVRUP</t>
  </si>
  <si>
    <t>FMC1</t>
    <phoneticPr fontId="1" type="noConversion"/>
  </si>
  <si>
    <t>SH</t>
    <phoneticPr fontId="1" type="noConversion"/>
  </si>
  <si>
    <t>00</t>
    <phoneticPr fontId="1" type="noConversion"/>
  </si>
  <si>
    <t>SYNC</t>
  </si>
  <si>
    <t>EV12</t>
  </si>
  <si>
    <t>EV13</t>
  </si>
  <si>
    <t>EV14</t>
  </si>
  <si>
    <t>EV15</t>
  </si>
  <si>
    <t>EXT_IN_SL_00</t>
    <phoneticPr fontId="1" type="noConversion"/>
  </si>
  <si>
    <t>0x000003FE</t>
    <phoneticPr fontId="1" type="noConversion"/>
  </si>
  <si>
    <t>0x000FFC00</t>
    <phoneticPr fontId="1" type="noConversion"/>
  </si>
  <si>
    <t>0xFFF00000</t>
    <phoneticPr fontId="1" type="noConversion"/>
  </si>
  <si>
    <t>EVG1_SEQTRGMSKA0_31</t>
    <phoneticPr fontId="1" type="noConversion"/>
  </si>
  <si>
    <t>sync</t>
    <phoneticPr fontId="1" type="noConversion"/>
  </si>
  <si>
    <t>EVG1_SEQTRGMSKA1_31</t>
    <phoneticPr fontId="1" type="noConversion"/>
  </si>
  <si>
    <t>sync</t>
    <phoneticPr fontId="1" type="noConversion"/>
  </si>
  <si>
    <t>EVG1_SEQTRGMSKB0_31</t>
    <phoneticPr fontId="1" type="noConversion"/>
  </si>
  <si>
    <t>EVG1_SEQTRGMSKB1_31</t>
    <phoneticPr fontId="1" type="noConversion"/>
  </si>
  <si>
    <t>EVG1_SEQMODE_0</t>
    <phoneticPr fontId="1" type="noConversion"/>
  </si>
  <si>
    <t>EVG1_SEQMODE_1</t>
    <phoneticPr fontId="1" type="noConversion"/>
  </si>
  <si>
    <t>EVR1_PDPTRGSEL_0</t>
    <phoneticPr fontId="1" type="noConversion"/>
  </si>
  <si>
    <t>EVR1_PDPTRGSEL_1</t>
  </si>
  <si>
    <t>EVR1_PDPTRGSEL_2</t>
  </si>
  <si>
    <t>EVR1_PDPTRGSEL_3</t>
  </si>
  <si>
    <t>EVR1_PDPTRGSEL_4</t>
  </si>
  <si>
    <t>EVR1_PDPTRGSEL_5</t>
  </si>
  <si>
    <t>EVR1_PDPTRGSEL_6</t>
  </si>
  <si>
    <t>EVR1_PDPTRGSEL_7</t>
  </si>
  <si>
    <t>EVR1_PDPTRGSEL_8</t>
  </si>
  <si>
    <t>EVR1_PDPTRGSEL_9</t>
  </si>
  <si>
    <t>EVR1_PDPTRGSEL_10</t>
  </si>
  <si>
    <t>EVR1_PDPTRGSEL_11</t>
  </si>
  <si>
    <t>EVR1_PDPTRGSEL_12</t>
  </si>
  <si>
    <t>EVR1_PDPTRGSEL_13</t>
  </si>
  <si>
    <t>EVR1_PDPTRGSEL_14</t>
  </si>
  <si>
    <t>EVR1_PDPTRGSEL_15</t>
  </si>
  <si>
    <t>EVR1_PDPTRGSEL_16</t>
  </si>
  <si>
    <t>EVR1_PDPTRGSEL_17</t>
  </si>
  <si>
    <t>EVR1_PDPTRGSEL_18</t>
  </si>
  <si>
    <t>EVR1_PDPTRGSEL_19</t>
  </si>
  <si>
    <t>EVR1_PDPTRGSEL_20</t>
  </si>
  <si>
    <t>EVR1_PDPTRGSEL_21</t>
  </si>
  <si>
    <t>EVR1_PDPTRGSEL_22</t>
  </si>
  <si>
    <t>EVR1_PDPTRGSEL_23</t>
  </si>
  <si>
    <t>EVR1_PDPTRGSEL_24</t>
  </si>
  <si>
    <t>EVR1_PDPTRGSEL_25</t>
  </si>
  <si>
    <t>EVR1_PDPTRGSEL_26</t>
  </si>
  <si>
    <t>EVR1_PDPTRGSEL_27</t>
  </si>
  <si>
    <t>EVR1_PDPTRGSEL_28</t>
  </si>
  <si>
    <t>EVR1_PDPTRGSEL_29</t>
  </si>
  <si>
    <t>EVR1_PDPTRGSEL_30</t>
  </si>
  <si>
    <t>EVR1_PDPTRGSEL_31</t>
  </si>
  <si>
    <t>evCode</t>
  </si>
  <si>
    <t>evCode</t>
    <phoneticPr fontId="1" type="noConversion"/>
  </si>
  <si>
    <t>dBus0</t>
  </si>
  <si>
    <t>dBus0</t>
    <phoneticPr fontId="1" type="noConversion"/>
  </si>
  <si>
    <t>dBus1</t>
  </si>
  <si>
    <t>dBus2</t>
  </si>
  <si>
    <t>dBus3</t>
  </si>
  <si>
    <t>dBus4</t>
  </si>
  <si>
    <t>dBus5</t>
  </si>
  <si>
    <t>dBus6</t>
  </si>
  <si>
    <t>dBus7</t>
  </si>
  <si>
    <t>EXT_IN_SL_01</t>
  </si>
  <si>
    <t>0</t>
    <phoneticPr fontId="1" type="noConversion"/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</si>
  <si>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</si>
  <si>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</si>
  <si>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</si>
  <si>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</si>
  <si>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</si>
  <si>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</si>
  <si>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</si>
  <si>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</si>
  <si>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</si>
  <si>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</si>
  <si>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31</t>
    <phoneticPr fontId="1" type="noConversion"/>
  </si>
  <si>
    <t>Sync_MXC_0</t>
    <phoneticPr fontId="1" type="noConversion"/>
  </si>
  <si>
    <t>0x00010000</t>
    <phoneticPr fontId="1" type="noConversion"/>
  </si>
  <si>
    <t>0x00030000</t>
    <phoneticPr fontId="1" type="noConversion"/>
  </si>
  <si>
    <t>0x00070000</t>
    <phoneticPr fontId="1" type="noConversion"/>
  </si>
  <si>
    <t>0x000F0000</t>
    <phoneticPr fontId="1" type="noConversion"/>
  </si>
  <si>
    <t>0x001f0000</t>
    <phoneticPr fontId="1" type="noConversion"/>
  </si>
  <si>
    <t>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</si>
</sst>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sz val="11"/>
      <color theme="1"/>
      <name val="맑은 고딕"/>
      <family val="2"/>
      <charset val="129"/>
      <scheme val="minor"/>
    </font>
    <font>
      <sz val="9"/>
      <color theme="1"/>
      <name val="Consolas"/>
      <family val="3"/>
    </font>
    <font>
      <sz val="9"/>
      <color rgb="FF7030A0"/>
      <name val="Consolas"/>
      <family val="3"/>
    </font>
    <font>
      <sz val="9"/>
      <color rgb="FF0070C0"/>
      <name val="Consolas"/>
      <family val="3"/>
    </font>
    <font>
      <sz val="9"/>
      <color rgb="FFFF0000"/>
      <name val="Consolas"/>
      <family val="3"/>
    </font>
    <font>
      <sz val="9"/>
      <color rgb="FFC00000"/>
      <name val="Consolas"/>
      <family val="3"/>
    </font>
    <font>
      <sz val="2"/>
      <color theme="1"/>
      <name val="Consolas"/>
      <family val="3"/>
    </font>
    <font>
      <sz val="9"/>
      <color theme="0"/>
      <name val="Consolas"/>
      <family val="3"/>
    </font>
    <font>
      <sz val="11"/>
      <color rgb="FFCE9178"/>
      <name val="Consolas"/>
      <family val="3"/>
    </font>
    <font>
      <sz val="11"/>
      <color theme="1"/>
      <name val="맑은 고딕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6" fillId="0" borderId="0" applyFont="0" applyFill="0" applyBorder="0" applyAlignment="0" applyProtection="0">
      <alignment vertical="center"/>
    </xf>
    <xf numFmtId="0" fontId="15" fillId="0" borderId="0"/>
  </cellStyleXfs>
  <cellXfs count="63">
    <xf numFmtId="0" fontId="0" fillId="0" borderId="0" xfId="0">
      <alignment vertical="center"/>
    </xf>
    <xf numFmtId="0" fontId="3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center" vertical="center"/>
    </xf>
    <xf numFmtId="0" fontId="7" fillId="0" borderId="0" xfId="0" quotePrefix="1" applyFont="1" applyAlignment="1">
      <alignment horizontal="center" vertical="center"/>
    </xf>
    <xf numFmtId="0" fontId="7" fillId="0" borderId="0" xfId="0" applyFont="1" applyAlignment="1">
      <alignment vertical="center"/>
    </xf>
    <xf numFmtId="49" fontId="8" fillId="2" borderId="1" xfId="0" applyNumberFormat="1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1" fontId="10" fillId="0" borderId="0" xfId="1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41" fontId="7" fillId="0" borderId="0" xfId="1" applyFont="1" applyAlignment="1">
      <alignment horizontal="left" vertical="center"/>
    </xf>
    <xf numFmtId="0" fontId="10" fillId="0" borderId="0" xfId="0" applyFont="1" applyAlignment="1">
      <alignment horizontal="right" vertical="center"/>
    </xf>
    <xf numFmtId="0" fontId="10" fillId="0" borderId="0" xfId="0" quotePrefix="1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41" fontId="11" fillId="0" borderId="0" xfId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8" fillId="0" borderId="0" xfId="0" applyFont="1" applyAlignment="1">
      <alignment horizontal="left" vertical="center"/>
    </xf>
    <xf numFmtId="0" fontId="7" fillId="0" borderId="0" xfId="0" quotePrefix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9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8" fillId="0" borderId="0" xfId="1" applyNumberFormat="1" applyFont="1" applyAlignment="1">
      <alignment horizontal="left" vertical="center"/>
    </xf>
    <xf numFmtId="0" fontId="7" fillId="0" borderId="0" xfId="1" applyNumberFormat="1" applyFont="1" applyAlignment="1">
      <alignment horizontal="left" vertical="center"/>
    </xf>
    <xf numFmtId="16" fontId="7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0" fillId="0" borderId="0" xfId="1" applyNumberFormat="1" applyFont="1" applyAlignment="1">
      <alignment horizontal="left" vertical="center"/>
    </xf>
    <xf numFmtId="0" fontId="10" fillId="0" borderId="0" xfId="0" quotePrefix="1" applyFont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41" fontId="11" fillId="0" borderId="0" xfId="1" applyFont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3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4" borderId="0" xfId="0" applyFont="1" applyFill="1" applyAlignment="1">
      <alignment horizontal="left" vertical="center"/>
    </xf>
    <xf numFmtId="41" fontId="13" fillId="4" borderId="0" xfId="1" applyFont="1" applyFill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6" fontId="8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left" vertical="center"/>
    </xf>
    <xf numFmtId="176" fontId="11" fillId="0" borderId="0" xfId="1" applyNumberFormat="1" applyFont="1" applyAlignment="1">
      <alignment horizontal="right" vertical="center"/>
    </xf>
    <xf numFmtId="49" fontId="7" fillId="0" borderId="0" xfId="1" applyNumberFormat="1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4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3">
    <cellStyle name="Comma [0]" xfId="1" builtinId="6"/>
    <cellStyle name="Normal" xfId="0" builtinId="0"/>
    <cellStyle name="Normal 2" xfId="2"/>
  </cellStyles>
  <dxfs count="17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onsolas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onsolas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66677</xdr:colOff>
      <xdr:row>2</xdr:row>
      <xdr:rowOff>57151</xdr:rowOff>
    </xdr:from>
    <xdr:to>
      <xdr:col>1</xdr:col>
      <xdr:colOff>1143001</xdr:colOff>
      <xdr:row>3</xdr:row>
      <xdr:rowOff>114300</xdr:rowOff>
    </xdr:to>
    <xdr:sp macro="[0]!fileWrite" textlink="">
      <xdr:nvSpPr>
        <xdr:cNvPr id="2" name="Rectangle 1"/>
        <xdr:cNvSpPr/>
      </xdr:nvSpPr>
      <xdr:spPr>
        <a:xfrm>
          <a:off x="714377" y="361951"/>
          <a:ext cx="1076324" cy="209549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24:E31" totalsRowShown="0" headerRowDxfId="178">
  <autoFilter ref="B24:E31"/>
  <tableColumns count="4">
    <tableColumn id="1" name="seq Mask combination" dataDxfId="177"/>
    <tableColumn id="2" name="value type" dataDxfId="176"/>
    <tableColumn id="3" name="열1" dataDxfId="175"/>
    <tableColumn id="4" name="index" dataDxfId="17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10:E22" totalsRowShown="0" headerRowDxfId="173" dataDxfId="172">
  <autoFilter ref="B10:E22"/>
  <tableColumns count="4">
    <tableColumn id="1" name="ev source" dataDxfId="171"/>
    <tableColumn id="2" name="ev source number" dataDxfId="170"/>
    <tableColumn id="3" name="Column1" dataDxfId="169"/>
    <tableColumn id="4" name="Column2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23" name="Table23" displayName="Table23" ref="B36:B43" totalsRowShown="0" headerRowDxfId="167" dataDxfId="166">
  <autoFilter ref="B36:B43"/>
  <tableColumns count="1">
    <tableColumn id="1" name="Column1" dataDxfId="16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6" name="Table237" displayName="Table237" ref="B47:B56" totalsRowShown="0" headerRowDxfId="164" dataDxfId="163">
  <autoFilter ref="B47:B56"/>
  <tableColumns count="1">
    <tableColumn id="1" name="Column1" dataDxfId="16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24" name="Table131925" displayName="Table131925" ref="C3:G2113" totalsRowShown="0" headerRowDxfId="161" dataDxfId="160">
  <autoFilter ref="C3:G2113">
    <filterColumn colId="0" hiddenButton="1"/>
    <filterColumn colId="4" hiddenButton="1"/>
  </autoFilter>
  <tableColumns count="5">
    <tableColumn id="1" name="-" dataDxfId="159"/>
    <tableColumn id="3" name="Name" dataDxfId="158"/>
    <tableColumn id="4" name="value" dataDxfId="157"/>
    <tableColumn id="7" name="dec val" dataDxfId="156"/>
    <tableColumn id="15" name="init val" dataDxfId="155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5" name="Table1322026" displayName="Table1322026" ref="L3:M2064" totalsRowShown="0" headerRowDxfId="154" dataDxfId="153">
  <autoFilter ref="L3:M2064"/>
  <tableColumns count="2">
    <tableColumn id="14" name="evCode" dataDxfId="152"/>
    <tableColumn id="7" name="timeStamp" dataDxfId="151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26" name="Table13232127" displayName="Table13232127" ref="O3:R2064" totalsRowShown="0" headerRowDxfId="150" dataDxfId="149">
  <autoFilter ref="O3:R2064"/>
  <tableColumns count="4">
    <tableColumn id="1" name="h1" dataDxfId="148"/>
    <tableColumn id="3" name="d1" dataDxfId="147"/>
    <tableColumn id="2" name="h2" dataDxfId="146"/>
    <tableColumn id="4" name="d2" dataDxfId="145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27" name="Table132342228" displayName="Table132342228" ref="T3:W2064" totalsRowShown="0" headerRowDxfId="144" dataDxfId="143">
  <autoFilter ref="T3:W2064"/>
  <tableColumns count="4">
    <tableColumn id="3" name="stopbit" dataDxfId="142"/>
    <tableColumn id="4" name="evCode" dataDxfId="141"/>
    <tableColumn id="14" name="code" dataDxfId="140"/>
    <tableColumn id="15" name="timeStamp" dataDxfId="139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28" name="Table13262329" displayName="Table13262329" ref="I3:J2064" totalsRowShown="0" headerRowDxfId="138" dataDxfId="137">
  <autoFilter ref="I3:J2064"/>
  <tableColumns count="2">
    <tableColumn id="14" name="evCode" dataDxfId="136"/>
    <tableColumn id="7" name="timeStamp" dataDxfId="135"/>
  </tableColumns>
  <tableStyleInfo name="TableStyleMedium6" showFirstColumn="0" showLastColumn="0" showRowStripes="1" showColumnStripes="0"/>
</table>
</file>

<file path=xl/tables/table10.xml><?xml version="1.0" encoding="utf-8"?>
<table xmlns="http://schemas.openxmlformats.org/spreadsheetml/2006/main" id="34" name="Table13192535" displayName="Table13192535" ref="C3:G2092" totalsRowShown="0" headerRowDxfId="134" dataDxfId="133">
  <autoFilter ref="C3:G2092">
    <filterColumn colId="0" hiddenButton="1"/>
    <filterColumn colId="4" hiddenButton="1"/>
  </autoFilter>
  <tableColumns count="5">
    <tableColumn id="1" name="-" dataDxfId="132"/>
    <tableColumn id="3" name="Name" dataDxfId="131"/>
    <tableColumn id="4" name="value" dataDxfId="130"/>
    <tableColumn id="7" name="dec val" dataDxfId="129"/>
    <tableColumn id="15" name="init val" dataDxfId="128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id="35" name="Table132202636" displayName="Table132202636" ref="L3:M2064" totalsRowShown="0" headerRowDxfId="127" dataDxfId="126">
  <autoFilter ref="L3:M2064"/>
  <tableColumns count="2">
    <tableColumn id="14" name="evCode" dataDxfId="125"/>
    <tableColumn id="7" name="timeStamp" dataDxfId="124"/>
  </tableColumns>
  <tableStyleInfo name="TableStyleMedium6" showFirstColumn="0" showLastColumn="0" showRowStripes="1" showColumnStripes="0"/>
</table>
</file>

<file path=xl/tables/table12.xml><?xml version="1.0" encoding="utf-8"?>
<table xmlns="http://schemas.openxmlformats.org/spreadsheetml/2006/main" id="36" name="Table1323212737" displayName="Table1323212737" ref="O3:R2064" totalsRowShown="0" headerRowDxfId="123" dataDxfId="122">
  <autoFilter ref="O3:R2064"/>
  <tableColumns count="4">
    <tableColumn id="1" name="h1" dataDxfId="121"/>
    <tableColumn id="3" name="d1" dataDxfId="120"/>
    <tableColumn id="2" name="h2" dataDxfId="119"/>
    <tableColumn id="4" name="d2" dataDxfId="118"/>
  </tableColumns>
  <tableStyleInfo name="TableStyleMedium6" showFirstColumn="0" showLastColumn="0" showRowStripes="1" showColumnStripes="0"/>
</table>
</file>

<file path=xl/tables/table13.xml><?xml version="1.0" encoding="utf-8"?>
<table xmlns="http://schemas.openxmlformats.org/spreadsheetml/2006/main" id="37" name="Table13234222838" displayName="Table13234222838" ref="T3:W2064" totalsRowShown="0" headerRowDxfId="117" dataDxfId="116">
  <autoFilter ref="T3:W2064"/>
  <tableColumns count="4">
    <tableColumn id="3" name="stopbit" dataDxfId="115"/>
    <tableColumn id="4" name="evCode" dataDxfId="114"/>
    <tableColumn id="14" name="code" dataDxfId="113"/>
    <tableColumn id="15" name="timeStamp" dataDxfId="112"/>
  </tableColumns>
  <tableStyleInfo name="TableStyleMedium6" showFirstColumn="0" showLastColumn="0" showRowStripes="1" showColumnStripes="0"/>
</table>
</file>

<file path=xl/tables/table14.xml><?xml version="1.0" encoding="utf-8"?>
<table xmlns="http://schemas.openxmlformats.org/spreadsheetml/2006/main" id="38" name="Table1326232939" displayName="Table1326232939" ref="I3:J2064" totalsRowShown="0" headerRowDxfId="111" dataDxfId="110">
  <autoFilter ref="I3:J2064"/>
  <tableColumns count="2">
    <tableColumn id="14" name="evCode" dataDxfId="109"/>
    <tableColumn id="7" name="timeStamp" dataDxfId="108"/>
  </tableColumns>
  <tableStyleInfo name="TableStyleMedium6" showFirstColumn="0" showLastColumn="0" showRowStripes="1" showColumnStripes="0"/>
</table>
</file>

<file path=xl/tables/table15.xml><?xml version="1.0" encoding="utf-8"?>
<table xmlns="http://schemas.openxmlformats.org/spreadsheetml/2006/main" id="1" name="Table13192" displayName="Table13192" ref="C3:G2092" totalsRowShown="0" headerRowDxfId="107" dataDxfId="106">
  <autoFilter ref="C3:G2092">
    <filterColumn colId="0" hiddenButton="1"/>
    <filterColumn colId="4" hiddenButton="1"/>
  </autoFilter>
  <tableColumns count="5">
    <tableColumn id="1" name="-" dataDxfId="105"/>
    <tableColumn id="3" name="Name" dataDxfId="104"/>
    <tableColumn id="4" name="value" dataDxfId="103"/>
    <tableColumn id="7" name="dec val" dataDxfId="102"/>
    <tableColumn id="15" name="init val" dataDxfId="101"/>
  </tableColumns>
  <tableStyleInfo name="TableStyleMedium6" showFirstColumn="0" showLastColumn="0" showRowStripes="1" showColumnStripes="0"/>
</table>
</file>

<file path=xl/tables/table16.xml><?xml version="1.0" encoding="utf-8"?>
<table xmlns="http://schemas.openxmlformats.org/spreadsheetml/2006/main" id="2" name="Table132203" displayName="Table132203" ref="L3:M2064" totalsRowShown="0" headerRowDxfId="100" dataDxfId="99">
  <autoFilter ref="L3:M2064"/>
  <tableColumns count="2">
    <tableColumn id="14" name="evCode" dataDxfId="98"/>
    <tableColumn id="7" name="timeStamp" dataDxfId="97"/>
  </tableColumns>
  <tableStyleInfo name="TableStyleMedium6" showFirstColumn="0" showLastColumn="0" showRowStripes="1" showColumnStripes="0"/>
</table>
</file>

<file path=xl/tables/table17.xml><?xml version="1.0" encoding="utf-8"?>
<table xmlns="http://schemas.openxmlformats.org/spreadsheetml/2006/main" id="3" name="Table1323214" displayName="Table1323214" ref="O3:R2064" totalsRowShown="0" headerRowDxfId="96" dataDxfId="95">
  <autoFilter ref="O3:R2064"/>
  <tableColumns count="4">
    <tableColumn id="1" name="h1" dataDxfId="94"/>
    <tableColumn id="3" name="d1" dataDxfId="93"/>
    <tableColumn id="2" name="h2" dataDxfId="92"/>
    <tableColumn id="4" name="d2" dataDxfId="91"/>
  </tableColumns>
  <tableStyleInfo name="TableStyleMedium6" showFirstColumn="0" showLastColumn="0" showRowStripes="1" showColumnStripes="0"/>
</table>
</file>

<file path=xl/tables/table18.xml><?xml version="1.0" encoding="utf-8"?>
<table xmlns="http://schemas.openxmlformats.org/spreadsheetml/2006/main" id="4" name="Table13234225" displayName="Table13234225" ref="T3:W2064" totalsRowShown="0" headerRowDxfId="90" dataDxfId="89">
  <autoFilter ref="T3:W2064"/>
  <tableColumns count="4">
    <tableColumn id="3" name="stopbit" dataDxfId="88"/>
    <tableColumn id="4" name="evCode" dataDxfId="87"/>
    <tableColumn id="14" name="code" dataDxfId="86"/>
    <tableColumn id="15" name="timeStamp" dataDxfId="85"/>
  </tableColumns>
  <tableStyleInfo name="TableStyleMedium6" showFirstColumn="0" showLastColumn="0" showRowStripes="1" showColumnStripes="0"/>
</table>
</file>

<file path=xl/tables/table19.xml><?xml version="1.0" encoding="utf-8"?>
<table xmlns="http://schemas.openxmlformats.org/spreadsheetml/2006/main" id="5" name="Table1326236" displayName="Table1326236" ref="I3:J2064" totalsRowShown="0" headerRowDxfId="84" dataDxfId="83">
  <autoFilter ref="I3:J2064"/>
  <tableColumns count="2">
    <tableColumn id="14" name="evCode" dataDxfId="82"/>
    <tableColumn id="7" name="timeStamp" dataDxfId="81"/>
  </tableColumns>
  <tableStyleInfo name="TableStyleMedium6" showFirstColumn="0" showLastColumn="0" showRowStripes="1" showColumnStripes="0"/>
</table>
</file>

<file path=xl/tables/table20.xml><?xml version="1.0" encoding="utf-8"?>
<table xmlns="http://schemas.openxmlformats.org/spreadsheetml/2006/main" id="29" name="Table1319230" displayName="Table1319230" ref="C3:G2092" totalsRowShown="0" headerRowDxfId="80" dataDxfId="79">
  <autoFilter ref="C3:G2092">
    <filterColumn colId="0" hiddenButton="1"/>
    <filterColumn colId="4" hiddenButton="1"/>
  </autoFilter>
  <tableColumns count="5">
    <tableColumn id="1" name="-" dataDxfId="78"/>
    <tableColumn id="3" name="Name" dataDxfId="77"/>
    <tableColumn id="4" name="value" dataDxfId="76"/>
    <tableColumn id="7" name="dec val" dataDxfId="75"/>
    <tableColumn id="15" name="init val" dataDxfId="74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30" name="Table13220331" displayName="Table13220331" ref="L3:M2064" totalsRowShown="0" headerRowDxfId="73" dataDxfId="72">
  <autoFilter ref="L3:M2064"/>
  <tableColumns count="2">
    <tableColumn id="14" name="evCode" dataDxfId="71"/>
    <tableColumn id="7" name="timeStamp" dataDxfId="70"/>
  </tableColumns>
  <tableStyleInfo name="TableStyleMedium6" showFirstColumn="0" showLastColumn="0" showRowStripes="1" showColumnStripes="0"/>
</table>
</file>

<file path=xl/tables/table22.xml><?xml version="1.0" encoding="utf-8"?>
<table xmlns="http://schemas.openxmlformats.org/spreadsheetml/2006/main" id="31" name="Table132321432" displayName="Table132321432" ref="O3:R2064" totalsRowShown="0" headerRowDxfId="69" dataDxfId="68">
  <autoFilter ref="O3:R2064"/>
  <tableColumns count="4">
    <tableColumn id="1" name="h1" dataDxfId="67"/>
    <tableColumn id="3" name="d1" dataDxfId="66"/>
    <tableColumn id="2" name="h2" dataDxfId="65"/>
    <tableColumn id="4" name="d2" dataDxfId="64"/>
  </tableColumns>
  <tableStyleInfo name="TableStyleMedium6" showFirstColumn="0" showLastColumn="0" showRowStripes="1" showColumnStripes="0"/>
</table>
</file>

<file path=xl/tables/table23.xml><?xml version="1.0" encoding="utf-8"?>
<table xmlns="http://schemas.openxmlformats.org/spreadsheetml/2006/main" id="32" name="Table1323422533" displayName="Table1323422533" ref="T3:W2064" totalsRowShown="0" headerRowDxfId="63" dataDxfId="62">
  <autoFilter ref="T3:W2064"/>
  <tableColumns count="4">
    <tableColumn id="3" name="stopbit" dataDxfId="61"/>
    <tableColumn id="4" name="evCode" dataDxfId="60"/>
    <tableColumn id="14" name="code" dataDxfId="59"/>
    <tableColumn id="15" name="timeStamp" dataDxfId="58"/>
  </tableColumns>
  <tableStyleInfo name="TableStyleMedium6" showFirstColumn="0" showLastColumn="0" showRowStripes="1" showColumnStripes="0"/>
</table>
</file>

<file path=xl/tables/table24.xml><?xml version="1.0" encoding="utf-8"?>
<table xmlns="http://schemas.openxmlformats.org/spreadsheetml/2006/main" id="33" name="Table132623634" displayName="Table132623634" ref="I3:J2064" totalsRowShown="0" headerRowDxfId="57" dataDxfId="56">
  <autoFilter ref="I3:J2064"/>
  <tableColumns count="2">
    <tableColumn id="14" name="evCode" dataDxfId="55"/>
    <tableColumn id="7" name="timeStamp" dataDxfId="54"/>
  </tableColumns>
  <tableStyleInfo name="TableStyleMedium6" showFirstColumn="0" showLastColumn="0" showRowStripes="1" showColumnStripes="0"/>
</table>
</file>

<file path=xl/tables/table25.xml><?xml version="1.0" encoding="utf-8"?>
<table xmlns="http://schemas.openxmlformats.org/spreadsheetml/2006/main" id="18" name="Table1319" displayName="Table1319" ref="C3:G2092" totalsRowShown="0" headerRowDxfId="53" dataDxfId="52">
  <autoFilter ref="C3:G2092">
    <filterColumn colId="0" hiddenButton="1"/>
    <filterColumn colId="4" hiddenButton="1"/>
  </autoFilter>
  <tableColumns count="5">
    <tableColumn id="1" name="-" dataDxfId="51"/>
    <tableColumn id="3" name="Name" dataDxfId="50"/>
    <tableColumn id="4" name="value" dataDxfId="49"/>
    <tableColumn id="7" name="dec val" dataDxfId="48"/>
    <tableColumn id="15" name="init val" dataDxfId="47"/>
  </tableColumns>
  <tableStyleInfo name="TableStyleMedium6" showFirstColumn="0" showLastColumn="0" showRowStripes="1" showColumnStripes="0"/>
</table>
</file>

<file path=xl/tables/table26.xml><?xml version="1.0" encoding="utf-8"?>
<table xmlns="http://schemas.openxmlformats.org/spreadsheetml/2006/main" id="19" name="Table13220" displayName="Table13220" ref="L3:M2064" totalsRowShown="0" headerRowDxfId="46" dataDxfId="45">
  <autoFilter ref="L3:M2064"/>
  <tableColumns count="2">
    <tableColumn id="14" name="evCode" dataDxfId="44"/>
    <tableColumn id="7" name="timeStamp" dataDxfId="43"/>
  </tableColumns>
  <tableStyleInfo name="TableStyleMedium6" showFirstColumn="0" showLastColumn="0" showRowStripes="1" showColumnStripes="0"/>
</table>
</file>

<file path=xl/tables/table27.xml><?xml version="1.0" encoding="utf-8"?>
<table xmlns="http://schemas.openxmlformats.org/spreadsheetml/2006/main" id="20" name="Table132321" displayName="Table132321" ref="O3:R2064" totalsRowShown="0" headerRowDxfId="42" dataDxfId="41">
  <autoFilter ref="O3:R2064"/>
  <tableColumns count="4">
    <tableColumn id="1" name="h1" dataDxfId="40"/>
    <tableColumn id="3" name="d1" dataDxfId="39"/>
    <tableColumn id="2" name="h2" dataDxfId="38"/>
    <tableColumn id="4" name="d2" dataDxfId="37"/>
  </tableColumns>
  <tableStyleInfo name="TableStyleMedium6" showFirstColumn="0" showLastColumn="0" showRowStripes="1" showColumnStripes="0"/>
</table>
</file>

<file path=xl/tables/table28.xml><?xml version="1.0" encoding="utf-8"?>
<table xmlns="http://schemas.openxmlformats.org/spreadsheetml/2006/main" id="21" name="Table1323422" displayName="Table1323422" ref="T3:W2064" totalsRowShown="0" headerRowDxfId="36" dataDxfId="35">
  <autoFilter ref="T3:W2064"/>
  <tableColumns count="4">
    <tableColumn id="3" name="stopbit" dataDxfId="34"/>
    <tableColumn id="4" name="evCode" dataDxfId="33"/>
    <tableColumn id="14" name="code" dataDxfId="32"/>
    <tableColumn id="15" name="timeStamp" dataDxfId="31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22" name="Table132623" displayName="Table132623" ref="I3:J2064" totalsRowShown="0" headerRowDxfId="30" dataDxfId="29">
  <autoFilter ref="I3:J2064"/>
  <tableColumns count="2">
    <tableColumn id="14" name="evCode" dataDxfId="28"/>
    <tableColumn id="7" name="timeStamp" dataDxfId="27"/>
  </tableColumns>
  <tableStyleInfo name="TableStyleMedium6" showFirstColumn="0" showLastColumn="0" showRowStripes="1" showColumnStripes="0"/>
</table>
</file>

<file path=xl/tables/table30.xml><?xml version="1.0" encoding="utf-8"?>
<table xmlns="http://schemas.openxmlformats.org/spreadsheetml/2006/main" id="11" name="Table13192512" displayName="Table13192512" ref="C3:G2092" totalsRowShown="0" headerRowDxfId="26" dataDxfId="25">
  <autoFilter ref="C3:G2092">
    <filterColumn colId="0" hiddenButton="1"/>
    <filterColumn colId="4" hiddenButton="1"/>
  </autoFilter>
  <tableColumns count="5">
    <tableColumn id="1" name="-" dataDxfId="24"/>
    <tableColumn id="3" name="Name" dataDxfId="23"/>
    <tableColumn id="4" name="value" dataDxfId="22"/>
    <tableColumn id="7" name="dec val" dataDxfId="21"/>
    <tableColumn id="15" name="init val" dataDxfId="20"/>
  </tableColumns>
  <tableStyleInfo name="TableStyleMedium6" showFirstColumn="0" showLastColumn="0" showRowStripes="1" showColumnStripes="0"/>
</table>
</file>

<file path=xl/tables/table31.xml><?xml version="1.0" encoding="utf-8"?>
<table xmlns="http://schemas.openxmlformats.org/spreadsheetml/2006/main" id="12" name="Table132202613" displayName="Table132202613" ref="L3:M2064" totalsRowShown="0" headerRowDxfId="19" dataDxfId="18">
  <autoFilter ref="L3:M2064"/>
  <tableColumns count="2">
    <tableColumn id="14" name="evCode" dataDxfId="17"/>
    <tableColumn id="7" name="timeStamp" dataDxfId="16"/>
  </tableColumns>
  <tableStyleInfo name="TableStyleMedium6" showFirstColumn="0" showLastColumn="0" showRowStripes="1" showColumnStripes="0"/>
</table>
</file>

<file path=xl/tables/table32.xml><?xml version="1.0" encoding="utf-8"?>
<table xmlns="http://schemas.openxmlformats.org/spreadsheetml/2006/main" id="13" name="Table1323212714" displayName="Table1323212714" ref="O3:R2064" totalsRowShown="0" headerRowDxfId="15" dataDxfId="14">
  <autoFilter ref="O3:R2064"/>
  <tableColumns count="4">
    <tableColumn id="1" name="h1" dataDxfId="13"/>
    <tableColumn id="3" name="d1" dataDxfId="12"/>
    <tableColumn id="2" name="h2" dataDxfId="11"/>
    <tableColumn id="4" name="d2" dataDxfId="10"/>
  </tableColumns>
  <tableStyleInfo name="TableStyleMedium6" showFirstColumn="0" showLastColumn="0" showRowStripes="1" showColumnStripes="0"/>
</table>
</file>

<file path=xl/tables/table33.xml><?xml version="1.0" encoding="utf-8"?>
<table xmlns="http://schemas.openxmlformats.org/spreadsheetml/2006/main" id="15" name="Table13234222816" displayName="Table13234222816" ref="T3:W2064" totalsRowShown="0" headerRowDxfId="9" dataDxfId="8">
  <autoFilter ref="T3:W2064"/>
  <tableColumns count="4">
    <tableColumn id="3" name="stopbit" dataDxfId="7"/>
    <tableColumn id="4" name="evCode" dataDxfId="6"/>
    <tableColumn id="14" name="code" dataDxfId="5"/>
    <tableColumn id="15" name="timeStamp" dataDxfId="4"/>
  </tableColumns>
  <tableStyleInfo name="TableStyleMedium6" showFirstColumn="0" showLastColumn="0" showRowStripes="1" showColumnStripes="0"/>
</table>
</file>

<file path=xl/tables/table34.xml><?xml version="1.0" encoding="utf-8"?>
<table xmlns="http://schemas.openxmlformats.org/spreadsheetml/2006/main" id="17" name="Table1326232918" displayName="Table1326232918" ref="I3:J2064" totalsRowShown="0" headerRowDxfId="3" dataDxfId="2">
  <autoFilter ref="I3:J2064"/>
  <tableColumns count="2">
    <tableColumn id="14" name="evCode" dataDxfId="1"/>
    <tableColumn id="7" name="timeStamp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7" Type="http://schemas.openxmlformats.org/officeDocument/2006/relationships/table" Target="../tables/table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7" Type="http://schemas.openxmlformats.org/officeDocument/2006/relationships/table" Target="../tables/table2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3.xml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28.xml"/><Relationship Id="rId5" Type="http://schemas.openxmlformats.org/officeDocument/2006/relationships/table" Target="../tables/table27.xml"/><Relationship Id="rId4" Type="http://schemas.openxmlformats.org/officeDocument/2006/relationships/table" Target="../tables/table2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7" Type="http://schemas.openxmlformats.org/officeDocument/2006/relationships/table" Target="../tables/table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15"/>
  <sheetViews>
    <sheetView zoomScaleNormal="100" workbookViewId="0">
      <selection activeCell="I21" sqref="I21"/>
    </sheetView>
  </sheetViews>
  <sheetFormatPr defaultColWidth="10.125" defaultRowHeight="12" x14ac:dyDescent="0.3"/>
  <cols>
    <col min="1" max="1" width="10.125" style="3"/>
    <col min="2" max="2" width="24.75" style="3" bestFit="1" customWidth="1"/>
    <col min="3" max="3" width="21.875" style="2" bestFit="1" customWidth="1"/>
    <col min="4" max="4" width="21" style="3" bestFit="1" customWidth="1"/>
    <col min="5" max="5" width="8.5" style="3" bestFit="1" customWidth="1"/>
    <col min="6" max="6" width="10.25" style="3" bestFit="1" customWidth="1"/>
    <col min="7" max="8" width="6.75" style="3" bestFit="1" customWidth="1"/>
    <col min="9" max="9" width="7.625" style="3" bestFit="1" customWidth="1"/>
    <col min="10" max="10" width="8.5" style="3" bestFit="1" customWidth="1"/>
    <col min="11" max="51" width="5.5" style="3" bestFit="1" customWidth="1"/>
    <col min="52" max="16384" width="10.125" style="3"/>
  </cols>
  <sheetData>
    <row r="2" spans="2:51" x14ac:dyDescent="0.3">
      <c r="C2" s="8"/>
      <c r="G2" s="5"/>
      <c r="H2" s="5"/>
      <c r="I2" s="5"/>
      <c r="J2" s="5"/>
      <c r="Z2" s="7"/>
    </row>
    <row r="3" spans="2:51" x14ac:dyDescent="0.3">
      <c r="C3" s="8"/>
      <c r="H3" s="5"/>
      <c r="I3" s="5"/>
      <c r="J3" s="5"/>
      <c r="Z3" s="7"/>
    </row>
    <row r="4" spans="2:51" x14ac:dyDescent="0.3"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2:51" x14ac:dyDescent="0.3">
      <c r="C5" s="8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2:51" x14ac:dyDescent="0.3">
      <c r="C6" s="8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2:51" x14ac:dyDescent="0.3"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</row>
    <row r="8" spans="2:51" x14ac:dyDescent="0.3"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</row>
    <row r="9" spans="2:51" x14ac:dyDescent="0.3"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</row>
    <row r="10" spans="2:51" x14ac:dyDescent="0.3">
      <c r="B10" s="3" t="s">
        <v>20</v>
      </c>
      <c r="C10" s="2" t="s">
        <v>21</v>
      </c>
      <c r="D10" s="5" t="s">
        <v>3</v>
      </c>
      <c r="E10" s="5" t="s">
        <v>4</v>
      </c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</row>
    <row r="11" spans="2:51" x14ac:dyDescent="0.3">
      <c r="B11" s="5" t="s">
        <v>43</v>
      </c>
      <c r="C11" s="2" t="s">
        <v>736</v>
      </c>
      <c r="D11" s="5">
        <f>HEX2DEC(Table51117[[#This Row],[ev source number]])</f>
        <v>0</v>
      </c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</row>
    <row r="12" spans="2:51" x14ac:dyDescent="0.3">
      <c r="B12" s="5" t="s">
        <v>12</v>
      </c>
      <c r="C12" s="2" t="s">
        <v>737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6"/>
      <c r="AQ12" s="6"/>
      <c r="AR12" s="6"/>
      <c r="AS12" s="6"/>
      <c r="AT12" s="6"/>
      <c r="AU12" s="6"/>
      <c r="AV12" s="6"/>
      <c r="AW12" s="6"/>
      <c r="AX12" s="6"/>
      <c r="AY12" s="6"/>
    </row>
    <row r="13" spans="2:51" x14ac:dyDescent="0.3">
      <c r="B13" s="5" t="s">
        <v>13</v>
      </c>
      <c r="C13" s="2" t="s">
        <v>738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6"/>
      <c r="AQ13" s="6"/>
      <c r="AR13" s="6"/>
      <c r="AS13" s="6"/>
      <c r="AT13" s="6"/>
      <c r="AU13" s="6"/>
      <c r="AV13" s="6"/>
      <c r="AW13" s="6"/>
      <c r="AX13" s="6"/>
      <c r="AY13" s="6"/>
    </row>
    <row r="14" spans="2:51" x14ac:dyDescent="0.3">
      <c r="B14" s="5" t="s">
        <v>14</v>
      </c>
      <c r="C14" s="2" t="s">
        <v>739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6"/>
      <c r="AQ14" s="6"/>
      <c r="AR14" s="6"/>
      <c r="AS14" s="6"/>
      <c r="AT14" s="6"/>
      <c r="AU14" s="6"/>
      <c r="AV14" s="6"/>
      <c r="AW14" s="6"/>
      <c r="AX14" s="6"/>
      <c r="AY14" s="6"/>
    </row>
    <row r="15" spans="2:51" x14ac:dyDescent="0.3">
      <c r="B15" s="5" t="s">
        <v>15</v>
      </c>
      <c r="C15" s="2" t="s">
        <v>740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6"/>
      <c r="AQ15" s="6"/>
      <c r="AR15" s="6"/>
      <c r="AS15" s="6"/>
      <c r="AT15" s="6"/>
      <c r="AU15" s="6"/>
      <c r="AV15" s="6"/>
      <c r="AW15" s="6"/>
      <c r="AX15" s="6"/>
      <c r="AY15" s="6"/>
    </row>
    <row r="16" spans="2:51" x14ac:dyDescent="0.3">
      <c r="B16" s="5" t="s">
        <v>16</v>
      </c>
      <c r="C16" s="2" t="s">
        <v>741</v>
      </c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6"/>
      <c r="AQ16" s="6"/>
      <c r="AR16" s="6"/>
      <c r="AS16" s="6"/>
      <c r="AT16" s="6"/>
      <c r="AU16" s="6"/>
      <c r="AV16" s="6"/>
      <c r="AW16" s="6"/>
      <c r="AX16" s="6"/>
      <c r="AY16" s="6"/>
    </row>
    <row r="17" spans="2:51" ht="15" x14ac:dyDescent="0.3">
      <c r="B17" s="5" t="s">
        <v>17</v>
      </c>
      <c r="C17" s="2" t="s">
        <v>742</v>
      </c>
      <c r="D17" s="5"/>
      <c r="E17" s="5"/>
      <c r="F17" s="5"/>
      <c r="G17" s="5"/>
      <c r="H17" s="5"/>
      <c r="I17" s="5"/>
      <c r="J17" s="5"/>
      <c r="K17" s="58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6"/>
      <c r="AQ17" s="6"/>
      <c r="AR17" s="6"/>
      <c r="AS17" s="6"/>
      <c r="AT17" s="6"/>
      <c r="AU17" s="6"/>
      <c r="AV17" s="6"/>
      <c r="AW17" s="6"/>
      <c r="AX17" s="6"/>
      <c r="AY17" s="6"/>
    </row>
    <row r="18" spans="2:51" x14ac:dyDescent="0.3">
      <c r="B18" s="5" t="s">
        <v>18</v>
      </c>
      <c r="C18" s="2" t="s">
        <v>743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6"/>
      <c r="AQ18" s="6"/>
      <c r="AR18" s="6"/>
      <c r="AS18" s="6"/>
      <c r="AT18" s="6"/>
      <c r="AU18" s="6"/>
      <c r="AV18" s="6"/>
      <c r="AW18" s="6"/>
      <c r="AX18" s="6"/>
      <c r="AY18" s="6"/>
    </row>
    <row r="19" spans="2:51" x14ac:dyDescent="0.3">
      <c r="B19" s="5" t="s">
        <v>103</v>
      </c>
      <c r="C19" s="2" t="s">
        <v>744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6"/>
      <c r="AQ19" s="6"/>
      <c r="AR19" s="6"/>
      <c r="AS19" s="6"/>
      <c r="AT19" s="6"/>
      <c r="AU19" s="6"/>
      <c r="AV19" s="6"/>
      <c r="AW19" s="6"/>
      <c r="AX19" s="6"/>
      <c r="AY19" s="6"/>
    </row>
    <row r="20" spans="2:51" x14ac:dyDescent="0.3">
      <c r="B20" s="5" t="s">
        <v>680</v>
      </c>
      <c r="C20" s="2" t="s">
        <v>745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6"/>
      <c r="AQ20" s="6"/>
      <c r="AR20" s="6"/>
      <c r="AS20" s="6"/>
      <c r="AT20" s="6"/>
      <c r="AU20" s="6"/>
      <c r="AV20" s="6"/>
      <c r="AW20" s="6"/>
      <c r="AX20" s="6"/>
      <c r="AY20" s="6"/>
    </row>
    <row r="21" spans="2:51" x14ac:dyDescent="0.3">
      <c r="B21" s="5" t="s">
        <v>735</v>
      </c>
      <c r="C21" s="2" t="s">
        <v>746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6"/>
      <c r="AQ21" s="6"/>
      <c r="AR21" s="6"/>
      <c r="AS21" s="6"/>
      <c r="AT21" s="6"/>
      <c r="AU21" s="6"/>
      <c r="AV21" s="6"/>
      <c r="AW21" s="6"/>
      <c r="AX21" s="6"/>
      <c r="AY21" s="6"/>
    </row>
    <row r="22" spans="2:51" x14ac:dyDescent="0.3">
      <c r="B22" s="5" t="s">
        <v>748</v>
      </c>
      <c r="C22" s="2" t="s">
        <v>747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6"/>
      <c r="AQ22" s="6"/>
      <c r="AR22" s="6"/>
      <c r="AS22" s="6"/>
      <c r="AT22" s="6"/>
      <c r="AU22" s="6"/>
      <c r="AV22" s="6"/>
      <c r="AW22" s="6"/>
      <c r="AX22" s="6"/>
      <c r="AY22" s="6"/>
    </row>
    <row r="23" spans="2:51" x14ac:dyDescent="0.3">
      <c r="B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</row>
    <row r="24" spans="2:51" x14ac:dyDescent="0.3">
      <c r="B24" s="3" t="s">
        <v>22</v>
      </c>
      <c r="C24" s="2" t="s">
        <v>0</v>
      </c>
      <c r="D24" s="3" t="s">
        <v>1</v>
      </c>
      <c r="E24" s="5" t="s">
        <v>2</v>
      </c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</row>
    <row r="25" spans="2:51" x14ac:dyDescent="0.3">
      <c r="B25" s="3" t="s">
        <v>44</v>
      </c>
      <c r="C25" s="2">
        <v>0</v>
      </c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2:51" x14ac:dyDescent="0.3">
      <c r="B26" s="3" t="s">
        <v>46</v>
      </c>
      <c r="C26" s="2">
        <v>1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2:51" x14ac:dyDescent="0.3">
      <c r="B27" s="3" t="s">
        <v>45</v>
      </c>
      <c r="C27" s="2">
        <v>2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2:51" x14ac:dyDescent="0.3">
      <c r="B28" s="3" t="s">
        <v>95</v>
      </c>
      <c r="C28" s="2">
        <v>3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2:51" x14ac:dyDescent="0.3">
      <c r="B29" s="5" t="s">
        <v>47</v>
      </c>
      <c r="C29" s="2">
        <v>5</v>
      </c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2:51" x14ac:dyDescent="0.3">
      <c r="B30" s="5" t="s">
        <v>48</v>
      </c>
      <c r="C30" s="2">
        <v>6</v>
      </c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2:51" x14ac:dyDescent="0.3">
      <c r="B31" s="5" t="s">
        <v>96</v>
      </c>
      <c r="C31" s="2">
        <v>7</v>
      </c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2:51" x14ac:dyDescent="0.3">
      <c r="B32" s="5"/>
      <c r="D32" s="5"/>
      <c r="E32" s="5"/>
      <c r="F32" s="5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2:51" x14ac:dyDescent="0.3">
      <c r="B33" s="5"/>
      <c r="D33" s="5"/>
      <c r="E33" s="5"/>
      <c r="F33" s="5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2:51" x14ac:dyDescent="0.3">
      <c r="B34" s="5"/>
      <c r="D34" s="5"/>
      <c r="E34" s="5"/>
      <c r="F34" s="5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2:51" x14ac:dyDescent="0.3">
      <c r="B35" s="5"/>
      <c r="D35" s="5"/>
      <c r="E35" s="5"/>
      <c r="F35" s="5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2:51" x14ac:dyDescent="0.3">
      <c r="B36" s="5" t="s">
        <v>3</v>
      </c>
      <c r="D36" s="5"/>
      <c r="E36" s="5"/>
      <c r="F36" s="5"/>
    </row>
    <row r="37" spans="2:51" x14ac:dyDescent="0.3">
      <c r="B37" s="5" t="s">
        <v>40</v>
      </c>
      <c r="D37" s="5"/>
      <c r="E37" s="5"/>
      <c r="F37" s="5"/>
    </row>
    <row r="38" spans="2:51" x14ac:dyDescent="0.3">
      <c r="B38" s="5" t="s">
        <v>35</v>
      </c>
    </row>
    <row r="39" spans="2:51" x14ac:dyDescent="0.3">
      <c r="B39" s="3" t="s">
        <v>36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2:51" x14ac:dyDescent="0.3">
      <c r="B40" s="3" t="s">
        <v>39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2:51" x14ac:dyDescent="0.3">
      <c r="B41" s="4" t="s">
        <v>37</v>
      </c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2:51" x14ac:dyDescent="0.3">
      <c r="B42" s="4" t="s">
        <v>38</v>
      </c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2:51" x14ac:dyDescent="0.3">
      <c r="B43" s="4" t="s">
        <v>104</v>
      </c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7" spans="2:51" x14ac:dyDescent="0.3">
      <c r="B47" s="5" t="s">
        <v>3</v>
      </c>
    </row>
    <row r="48" spans="2:51" x14ac:dyDescent="0.3">
      <c r="B48" s="5" t="s">
        <v>725</v>
      </c>
    </row>
    <row r="49" spans="2:3" x14ac:dyDescent="0.3">
      <c r="B49" s="5" t="s">
        <v>727</v>
      </c>
    </row>
    <row r="50" spans="2:3" s="5" customFormat="1" x14ac:dyDescent="0.3">
      <c r="B50" s="5" t="s">
        <v>728</v>
      </c>
      <c r="C50" s="2"/>
    </row>
    <row r="51" spans="2:3" s="5" customFormat="1" x14ac:dyDescent="0.3">
      <c r="B51" s="5" t="s">
        <v>729</v>
      </c>
      <c r="C51" s="2"/>
    </row>
    <row r="52" spans="2:3" s="5" customFormat="1" x14ac:dyDescent="0.3">
      <c r="B52" s="5" t="s">
        <v>730</v>
      </c>
      <c r="C52" s="2"/>
    </row>
    <row r="53" spans="2:3" s="5" customFormat="1" x14ac:dyDescent="0.3">
      <c r="B53" s="5" t="s">
        <v>731</v>
      </c>
      <c r="C53" s="2"/>
    </row>
    <row r="54" spans="2:3" s="5" customFormat="1" x14ac:dyDescent="0.3">
      <c r="B54" s="5" t="s">
        <v>732</v>
      </c>
      <c r="C54" s="2"/>
    </row>
    <row r="55" spans="2:3" s="5" customFormat="1" x14ac:dyDescent="0.3">
      <c r="B55" s="5" t="s">
        <v>733</v>
      </c>
      <c r="C55" s="2"/>
    </row>
    <row r="56" spans="2:3" s="5" customFormat="1" x14ac:dyDescent="0.3">
      <c r="B56" s="5" t="s">
        <v>734</v>
      </c>
      <c r="C56" s="2"/>
    </row>
    <row r="57" spans="2:3" s="5" customFormat="1" x14ac:dyDescent="0.3">
      <c r="C57" s="2"/>
    </row>
    <row r="58" spans="2:3" s="5" customFormat="1" x14ac:dyDescent="0.3">
      <c r="C58" s="2"/>
    </row>
    <row r="59" spans="2:3" s="5" customFormat="1" x14ac:dyDescent="0.3">
      <c r="C59" s="2"/>
    </row>
    <row r="60" spans="2:3" s="5" customFormat="1" x14ac:dyDescent="0.3">
      <c r="C60" s="2"/>
    </row>
    <row r="61" spans="2:3" s="5" customFormat="1" x14ac:dyDescent="0.3">
      <c r="C61" s="2"/>
    </row>
    <row r="62" spans="2:3" s="5" customFormat="1" x14ac:dyDescent="0.3">
      <c r="C62" s="2"/>
    </row>
    <row r="63" spans="2:3" s="5" customFormat="1" x14ac:dyDescent="0.3">
      <c r="C63" s="2"/>
    </row>
    <row r="64" spans="2:3" s="5" customFormat="1" x14ac:dyDescent="0.3">
      <c r="C64" s="2"/>
    </row>
    <row r="65" spans="3:23" s="5" customFormat="1" x14ac:dyDescent="0.3">
      <c r="C65" s="2"/>
    </row>
    <row r="66" spans="3:23" s="5" customFormat="1" x14ac:dyDescent="0.3">
      <c r="C66" s="2"/>
    </row>
    <row r="67" spans="3:23" s="5" customFormat="1" x14ac:dyDescent="0.3">
      <c r="C67" s="2"/>
    </row>
    <row r="68" spans="3:23" s="5" customFormat="1" x14ac:dyDescent="0.3">
      <c r="C68" s="2"/>
    </row>
    <row r="69" spans="3:23" s="5" customFormat="1" x14ac:dyDescent="0.3">
      <c r="C69" s="2"/>
    </row>
    <row r="70" spans="3:23" s="5" customFormat="1" x14ac:dyDescent="0.3">
      <c r="C70" s="2"/>
    </row>
    <row r="71" spans="3:23" s="5" customFormat="1" x14ac:dyDescent="0.3">
      <c r="C71" s="2"/>
    </row>
    <row r="72" spans="3:23" s="5" customFormat="1" x14ac:dyDescent="0.3">
      <c r="C72" s="2"/>
    </row>
    <row r="73" spans="3:23" s="5" customFormat="1" x14ac:dyDescent="0.3">
      <c r="C73" s="2"/>
    </row>
    <row r="74" spans="3:23" s="5" customFormat="1" x14ac:dyDescent="0.3">
      <c r="C74" s="2"/>
    </row>
    <row r="75" spans="3:23" s="5" customFormat="1" x14ac:dyDescent="0.3">
      <c r="C75" s="2"/>
    </row>
    <row r="76" spans="3:23" s="5" customFormat="1" x14ac:dyDescent="0.3">
      <c r="C76" s="2"/>
    </row>
    <row r="77" spans="3:23" s="5" customFormat="1" x14ac:dyDescent="0.3">
      <c r="C77" s="2"/>
    </row>
    <row r="78" spans="3:23" ht="11.25" customHeight="1" x14ac:dyDescent="0.3"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</row>
    <row r="79" spans="3:23" s="5" customFormat="1" x14ac:dyDescent="0.3">
      <c r="C79" s="2"/>
    </row>
    <row r="80" spans="3:23" x14ac:dyDescent="0.3"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</row>
    <row r="81" spans="3:23" x14ac:dyDescent="0.3"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</row>
    <row r="82" spans="3:23" x14ac:dyDescent="0.3"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</row>
    <row r="83" spans="3:23" x14ac:dyDescent="0.3"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</row>
    <row r="84" spans="3:23" x14ac:dyDescent="0.3"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</row>
    <row r="85" spans="3:23" x14ac:dyDescent="0.3"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</row>
    <row r="86" spans="3:23" x14ac:dyDescent="0.3"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</row>
    <row r="87" spans="3:23" x14ac:dyDescent="0.3"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</row>
    <row r="88" spans="3:23" x14ac:dyDescent="0.3"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</row>
    <row r="89" spans="3:23" x14ac:dyDescent="0.3"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</row>
    <row r="90" spans="3:23" x14ac:dyDescent="0.3"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</row>
    <row r="91" spans="3:23" s="4" customFormat="1" x14ac:dyDescent="0.3">
      <c r="C91" s="2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</row>
    <row r="92" spans="3:23" s="5" customFormat="1" x14ac:dyDescent="0.3">
      <c r="C92" s="2"/>
    </row>
    <row r="93" spans="3:23" s="5" customFormat="1" x14ac:dyDescent="0.3">
      <c r="C93" s="2"/>
    </row>
    <row r="94" spans="3:23" s="5" customFormat="1" x14ac:dyDescent="0.3">
      <c r="C94" s="2"/>
    </row>
    <row r="95" spans="3:23" s="5" customFormat="1" x14ac:dyDescent="0.3">
      <c r="C95" s="2"/>
    </row>
    <row r="96" spans="3:23" s="5" customFormat="1" x14ac:dyDescent="0.3">
      <c r="C96" s="2"/>
    </row>
    <row r="97" spans="3:3" s="5" customFormat="1" x14ac:dyDescent="0.3">
      <c r="C97" s="2"/>
    </row>
    <row r="98" spans="3:3" s="5" customFormat="1" x14ac:dyDescent="0.3">
      <c r="C98" s="2"/>
    </row>
    <row r="99" spans="3:3" s="5" customFormat="1" x14ac:dyDescent="0.3">
      <c r="C99" s="2"/>
    </row>
    <row r="100" spans="3:3" s="5" customFormat="1" x14ac:dyDescent="0.3">
      <c r="C100" s="2"/>
    </row>
    <row r="101" spans="3:3" s="5" customFormat="1" x14ac:dyDescent="0.3">
      <c r="C101" s="2"/>
    </row>
    <row r="102" spans="3:3" s="5" customFormat="1" x14ac:dyDescent="0.3">
      <c r="C102" s="2"/>
    </row>
    <row r="103" spans="3:3" s="5" customFormat="1" x14ac:dyDescent="0.3">
      <c r="C103" s="2"/>
    </row>
    <row r="104" spans="3:3" s="5" customFormat="1" x14ac:dyDescent="0.3">
      <c r="C104" s="2"/>
    </row>
    <row r="105" spans="3:3" s="5" customFormat="1" ht="11.25" customHeight="1" x14ac:dyDescent="0.3">
      <c r="C105" s="2"/>
    </row>
    <row r="106" spans="3:3" s="5" customFormat="1" x14ac:dyDescent="0.3">
      <c r="C106" s="2"/>
    </row>
    <row r="107" spans="3:3" s="5" customFormat="1" x14ac:dyDescent="0.3">
      <c r="C107" s="2"/>
    </row>
    <row r="108" spans="3:3" s="5" customFormat="1" x14ac:dyDescent="0.3">
      <c r="C108" s="2"/>
    </row>
    <row r="109" spans="3:3" s="5" customFormat="1" x14ac:dyDescent="0.3">
      <c r="C109" s="2"/>
    </row>
    <row r="110" spans="3:3" s="5" customFormat="1" x14ac:dyDescent="0.3">
      <c r="C110" s="2"/>
    </row>
    <row r="111" spans="3:3" s="5" customFormat="1" x14ac:dyDescent="0.3">
      <c r="C111" s="2"/>
    </row>
    <row r="112" spans="3:3" s="5" customFormat="1" x14ac:dyDescent="0.3">
      <c r="C112" s="2"/>
    </row>
    <row r="113" spans="3:3" s="5" customFormat="1" x14ac:dyDescent="0.3">
      <c r="C113" s="2"/>
    </row>
    <row r="114" spans="3:3" s="5" customFormat="1" x14ac:dyDescent="0.3">
      <c r="C114" s="2"/>
    </row>
    <row r="115" spans="3:3" s="5" customFormat="1" x14ac:dyDescent="0.3">
      <c r="C115" s="2"/>
    </row>
  </sheetData>
  <phoneticPr fontId="1" type="noConversion"/>
  <pageMargins left="0.7" right="0.7" top="0.75" bottom="0.75" header="0.3" footer="0.3"/>
  <pageSetup paperSize="9" orientation="portrait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15"/>
  <sheetViews>
    <sheetView tabSelected="1" zoomScaleNormal="100" workbookViewId="0">
      <pane xSplit="3" ySplit="6" topLeftCell="D73" activePane="bottomRight" state="frozen"/>
      <selection pane="topRight" activeCell="C1" sqref="C1"/>
      <selection pane="bottomLeft" activeCell="A7" sqref="A7"/>
      <selection pane="bottomRight" activeCell="C122" sqref="C122:G122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24.875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3.25" style="60" customWidth="1"/>
    <col min="15" max="15" width="12.25" style="46" bestFit="1" customWidth="1"/>
    <col min="16" max="16" width="12.25" style="46" customWidth="1"/>
    <col min="17" max="17" width="14.125" style="46" bestFit="1" customWidth="1"/>
    <col min="18" max="18" width="14.125" style="46" customWidth="1"/>
    <col min="19" max="19" width="1.75" style="4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N2" s="60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6" customFormat="1" x14ac:dyDescent="0.3">
      <c r="A3" s="12" t="s">
        <v>32</v>
      </c>
      <c r="C3" s="46" t="s">
        <v>23</v>
      </c>
      <c r="D3" s="46" t="s">
        <v>9</v>
      </c>
      <c r="E3" s="46" t="s">
        <v>10</v>
      </c>
      <c r="F3" s="46" t="s">
        <v>11</v>
      </c>
      <c r="G3" s="46" t="s">
        <v>105</v>
      </c>
      <c r="I3" s="46" t="s">
        <v>6</v>
      </c>
      <c r="J3" s="46" t="s">
        <v>7</v>
      </c>
      <c r="L3" s="46" t="s">
        <v>6</v>
      </c>
      <c r="M3" s="46" t="s">
        <v>7</v>
      </c>
      <c r="N3" s="60"/>
      <c r="O3" s="46" t="s">
        <v>98</v>
      </c>
      <c r="P3" s="34" t="s">
        <v>99</v>
      </c>
      <c r="Q3" s="46" t="s">
        <v>100</v>
      </c>
      <c r="R3" s="46" t="s">
        <v>101</v>
      </c>
      <c r="T3" s="46" t="s">
        <v>5</v>
      </c>
      <c r="U3" s="46" t="s">
        <v>6</v>
      </c>
      <c r="V3" s="46" t="s">
        <v>8</v>
      </c>
      <c r="W3" s="46" t="s">
        <v>7</v>
      </c>
    </row>
    <row r="4" spans="1:23" s="4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N4" s="60"/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6" customFormat="1" x14ac:dyDescent="0.3">
      <c r="A5" s="12" t="s">
        <v>157</v>
      </c>
      <c r="B5" s="46" t="str">
        <f>A3&amp;"."&amp;A4&amp;"."&amp;A5&amp;A6&amp;"."</f>
        <v>SCL3.TS.EVS001.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N5" s="60"/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6" customFormat="1" x14ac:dyDescent="0.3">
      <c r="A6" s="12" t="s">
        <v>41</v>
      </c>
      <c r="B6" s="46" t="str">
        <f>A3&amp;":"&amp;A4&amp;":"&amp;A5&amp;A6&amp;":"</f>
        <v>SCL3:TS:EVS001: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N6" s="60"/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6"/>
      <c r="I8" s="20">
        <v>32768</v>
      </c>
      <c r="J8" s="21">
        <v>10</v>
      </c>
      <c r="K8" s="4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6"/>
      <c r="I9" s="20">
        <v>0</v>
      </c>
      <c r="J9" s="21">
        <v>10</v>
      </c>
      <c r="K9" s="4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6"/>
      <c r="I10" s="20">
        <v>0</v>
      </c>
      <c r="J10" s="20">
        <v>10</v>
      </c>
      <c r="K10" s="46"/>
      <c r="L10" s="20">
        <v>0</v>
      </c>
      <c r="M10" s="20">
        <v>10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6"/>
      <c r="I11" s="24">
        <v>5</v>
      </c>
      <c r="J11" s="24">
        <v>249999</v>
      </c>
      <c r="K11" s="46"/>
      <c r="L11" s="24">
        <v>31</v>
      </c>
      <c r="M11" s="24">
        <v>249999</v>
      </c>
      <c r="N11" s="60">
        <v>1</v>
      </c>
      <c r="O11" s="51" t="s">
        <v>749</v>
      </c>
      <c r="P11" s="51">
        <f>HEX2DEC(RIGHT(Table13232127[[#This Row],[h1]],8))</f>
        <v>65536</v>
      </c>
      <c r="Q11" s="51" t="s">
        <v>97</v>
      </c>
      <c r="R11" s="46">
        <f>HEX2DEC(RIGHT(Table13232127[[#This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6"/>
      <c r="I12" s="24">
        <v>1</v>
      </c>
      <c r="J12" s="24">
        <v>249999</v>
      </c>
      <c r="K12" s="46"/>
      <c r="L12" s="24">
        <v>32</v>
      </c>
      <c r="M12" s="24">
        <v>249999</v>
      </c>
      <c r="N12" s="60">
        <v>2</v>
      </c>
      <c r="O12" s="61" t="s">
        <v>750</v>
      </c>
      <c r="P12" s="56">
        <f>HEX2DEC(RIGHT(Table13232127[[#This Row],[h1]],8))</f>
        <v>196608</v>
      </c>
      <c r="Q12" s="51" t="s">
        <v>97</v>
      </c>
      <c r="R12" s="46">
        <f>HEX2DEC(RIGHT(Table13232127[[#This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6"/>
      <c r="I13" s="24">
        <v>2</v>
      </c>
      <c r="J13" s="24">
        <v>249999</v>
      </c>
      <c r="K13" s="46"/>
      <c r="L13" s="20">
        <v>33</v>
      </c>
      <c r="M13" s="24">
        <v>249999</v>
      </c>
      <c r="N13" s="60">
        <v>3</v>
      </c>
      <c r="O13" s="61" t="s">
        <v>751</v>
      </c>
      <c r="P13" s="56">
        <f>HEX2DEC(RIGHT(Table13232127[[#This Row],[h1]],8))</f>
        <v>458752</v>
      </c>
      <c r="Q13" s="51" t="s">
        <v>97</v>
      </c>
      <c r="R13" s="46">
        <f>HEX2DEC(RIGHT(Table13232127[[#This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6"/>
      <c r="I14" s="20">
        <v>1</v>
      </c>
      <c r="J14" s="24">
        <v>249999</v>
      </c>
      <c r="K14" s="46"/>
      <c r="L14" s="20">
        <v>34</v>
      </c>
      <c r="M14" s="24">
        <v>249999</v>
      </c>
      <c r="N14" s="60">
        <v>4</v>
      </c>
      <c r="O14" s="61" t="s">
        <v>752</v>
      </c>
      <c r="P14" s="56">
        <f>HEX2DEC(RIGHT(Table13232127[[#This Row],[h1]],8))</f>
        <v>983040</v>
      </c>
      <c r="Q14" s="51" t="s">
        <v>97</v>
      </c>
      <c r="R14" s="46">
        <f>HEX2DEC(RIGHT(Table13232127[[#This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6"/>
      <c r="I15" s="20">
        <v>3</v>
      </c>
      <c r="J15" s="24">
        <v>249999</v>
      </c>
      <c r="K15" s="46"/>
      <c r="L15" s="24" t="s">
        <v>88</v>
      </c>
      <c r="M15" s="24">
        <v>249999</v>
      </c>
      <c r="N15" s="60">
        <v>5</v>
      </c>
      <c r="O15" s="61" t="s">
        <v>753</v>
      </c>
      <c r="P15" s="56">
        <f>HEX2DEC(RIGHT(Table13232127[[#This Row],[h1]],8))</f>
        <v>2031616</v>
      </c>
      <c r="Q15" s="51" t="s">
        <v>97</v>
      </c>
      <c r="R15" s="46">
        <f>HEX2DEC(RIGHT(Table13232127[[#This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6"/>
      <c r="I16" s="24">
        <v>1</v>
      </c>
      <c r="J16" s="24">
        <v>50000</v>
      </c>
      <c r="K16" s="46"/>
      <c r="L16" s="24">
        <v>16</v>
      </c>
      <c r="M16" s="24">
        <v>50000</v>
      </c>
      <c r="N16" s="60">
        <v>6</v>
      </c>
      <c r="O16" s="60" t="s">
        <v>670</v>
      </c>
      <c r="P16" s="56">
        <f>HEX2DEC(RIGHT(Table13232127[[#This Row],[h1]],8))</f>
        <v>0</v>
      </c>
      <c r="Q16" s="51" t="s">
        <v>97</v>
      </c>
      <c r="R16" s="46">
        <f>HEX2DEC(RIGHT(Table13232127[[#This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6"/>
      <c r="I17" s="24">
        <v>2</v>
      </c>
      <c r="J17" s="24">
        <v>50000</v>
      </c>
      <c r="K17" s="46"/>
      <c r="L17" s="24">
        <v>17</v>
      </c>
      <c r="M17" s="24">
        <v>50000</v>
      </c>
      <c r="N17" s="60">
        <v>7</v>
      </c>
      <c r="O17" s="60" t="s">
        <v>670</v>
      </c>
      <c r="P17" s="56">
        <f>HEX2DEC(RIGHT(Table13232127[[#This Row],[h1]],8))</f>
        <v>0</v>
      </c>
      <c r="Q17" s="51" t="s">
        <v>97</v>
      </c>
      <c r="R17" s="46">
        <f>HEX2DEC(RIGHT(Table13232127[[#This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6"/>
      <c r="I18" s="24">
        <v>1</v>
      </c>
      <c r="J18" s="24">
        <v>50000</v>
      </c>
      <c r="K18" s="46"/>
      <c r="L18" s="24">
        <v>18</v>
      </c>
      <c r="M18" s="24">
        <v>50000</v>
      </c>
      <c r="N18" s="60">
        <v>8</v>
      </c>
      <c r="O18" s="60" t="s">
        <v>670</v>
      </c>
      <c r="P18" s="56">
        <f>HEX2DEC(RIGHT(Table13232127[[#This Row],[h1]],8))</f>
        <v>0</v>
      </c>
      <c r="Q18" s="51" t="s">
        <v>97</v>
      </c>
      <c r="R18" s="46">
        <f>HEX2DEC(RIGHT(Table13232127[[#This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6"/>
      <c r="I19" s="24">
        <v>3</v>
      </c>
      <c r="J19" s="24">
        <v>50000</v>
      </c>
      <c r="K19" s="46"/>
      <c r="L19" s="24">
        <v>19</v>
      </c>
      <c r="M19" s="24">
        <v>50000</v>
      </c>
      <c r="N19" s="60">
        <v>9</v>
      </c>
      <c r="O19" s="60" t="s">
        <v>670</v>
      </c>
      <c r="P19" s="56">
        <f>HEX2DEC(RIGHT(Table13232127[[#This Row],[h1]],8))</f>
        <v>0</v>
      </c>
      <c r="Q19" s="51" t="s">
        <v>97</v>
      </c>
      <c r="R19" s="46">
        <f>HEX2DEC(RIGHT(Table13232127[[#This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6"/>
      <c r="I20" s="24">
        <v>1</v>
      </c>
      <c r="J20" s="24">
        <v>50000</v>
      </c>
      <c r="K20" s="46"/>
      <c r="L20" s="24">
        <v>20</v>
      </c>
      <c r="M20" s="24">
        <v>50000</v>
      </c>
      <c r="N20" s="60">
        <v>10</v>
      </c>
      <c r="O20" s="60" t="s">
        <v>670</v>
      </c>
      <c r="P20" s="56">
        <f>HEX2DEC(RIGHT(Table13232127[[#This Row],[h1]],8))</f>
        <v>0</v>
      </c>
      <c r="Q20" s="51" t="s">
        <v>97</v>
      </c>
      <c r="R20" s="46">
        <f>HEX2DEC(RIGHT(Table13232127[[#This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6"/>
      <c r="I21" s="24">
        <v>2</v>
      </c>
      <c r="J21" s="24">
        <v>50000</v>
      </c>
      <c r="K21" s="46"/>
      <c r="L21" s="24">
        <v>21</v>
      </c>
      <c r="M21" s="24">
        <v>50000</v>
      </c>
      <c r="N21" s="60">
        <v>11</v>
      </c>
      <c r="O21" s="60" t="s">
        <v>670</v>
      </c>
      <c r="P21" s="56">
        <f>HEX2DEC(RIGHT(Table13232127[[#This Row],[h1]],8))</f>
        <v>0</v>
      </c>
      <c r="Q21" s="51" t="s">
        <v>97</v>
      </c>
      <c r="R21" s="46">
        <f>HEX2DEC(RIGHT(Table13232127[[#This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6"/>
      <c r="I22" s="24">
        <v>1</v>
      </c>
      <c r="J22" s="24">
        <v>50000</v>
      </c>
      <c r="K22" s="46"/>
      <c r="L22" s="24">
        <v>22</v>
      </c>
      <c r="M22" s="24">
        <v>50000</v>
      </c>
      <c r="N22" s="60">
        <v>12</v>
      </c>
      <c r="O22" s="60" t="s">
        <v>670</v>
      </c>
      <c r="P22" s="56">
        <f>HEX2DEC(RIGHT(Table13232127[[#This Row],[h1]],8))</f>
        <v>0</v>
      </c>
      <c r="Q22" s="51" t="s">
        <v>97</v>
      </c>
      <c r="R22" s="46">
        <f>HEX2DEC(RIGHT(Table13232127[[#This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D23" s="15" t="s">
        <v>185</v>
      </c>
      <c r="G23" s="33">
        <v>0</v>
      </c>
      <c r="H23" s="46"/>
      <c r="I23" s="24">
        <v>4</v>
      </c>
      <c r="J23" s="24">
        <v>50000</v>
      </c>
      <c r="K23" s="46"/>
      <c r="L23" s="24">
        <v>23</v>
      </c>
      <c r="M23" s="24">
        <v>50000</v>
      </c>
      <c r="N23" s="60">
        <v>13</v>
      </c>
      <c r="O23" s="60" t="s">
        <v>670</v>
      </c>
      <c r="P23" s="56">
        <f>HEX2DEC(RIGHT(Table13232127[[#This Row],[h1]],8))</f>
        <v>0</v>
      </c>
      <c r="Q23" s="51" t="s">
        <v>97</v>
      </c>
      <c r="R23" s="46">
        <f>HEX2DEC(RIGHT(Table13232127[[#This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D24" s="15" t="s">
        <v>186</v>
      </c>
      <c r="G24" s="33">
        <v>0</v>
      </c>
      <c r="H24" s="46"/>
      <c r="I24" s="24">
        <v>1</v>
      </c>
      <c r="J24" s="24">
        <v>50000</v>
      </c>
      <c r="K24" s="46"/>
      <c r="L24" s="24">
        <v>24</v>
      </c>
      <c r="M24" s="24">
        <v>50000</v>
      </c>
      <c r="N24" s="60">
        <v>14</v>
      </c>
      <c r="O24" s="60" t="s">
        <v>670</v>
      </c>
      <c r="P24" s="56">
        <f>HEX2DEC(RIGHT(Table13232127[[#This Row],[h1]],8))</f>
        <v>0</v>
      </c>
      <c r="Q24" s="51" t="s">
        <v>97</v>
      </c>
      <c r="R24" s="46">
        <f>HEX2DEC(RIGHT(Table13232127[[#This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187</v>
      </c>
      <c r="G25" s="33">
        <v>0</v>
      </c>
      <c r="H25" s="46"/>
      <c r="I25" s="24">
        <v>2</v>
      </c>
      <c r="J25" s="24">
        <v>50000</v>
      </c>
      <c r="K25" s="46"/>
      <c r="L25" s="24">
        <v>25</v>
      </c>
      <c r="M25" s="24">
        <v>50000</v>
      </c>
      <c r="N25" s="60">
        <v>15</v>
      </c>
      <c r="O25" s="60" t="s">
        <v>670</v>
      </c>
      <c r="P25" s="56">
        <f>HEX2DEC(RIGHT(Table13232127[[#This Row],[h1]],8))</f>
        <v>0</v>
      </c>
      <c r="Q25" s="51" t="s">
        <v>97</v>
      </c>
      <c r="R25" s="46">
        <f>HEX2DEC(RIGHT(Table13232127[[#This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188</v>
      </c>
      <c r="G26" s="33">
        <v>0</v>
      </c>
      <c r="H26" s="46"/>
      <c r="I26" s="24">
        <v>1</v>
      </c>
      <c r="J26" s="24">
        <v>50000</v>
      </c>
      <c r="K26" s="46"/>
      <c r="L26" s="24">
        <v>26</v>
      </c>
      <c r="M26" s="24">
        <v>50000</v>
      </c>
      <c r="N26" s="60">
        <v>16</v>
      </c>
      <c r="O26" s="60" t="s">
        <v>670</v>
      </c>
      <c r="P26" s="56">
        <f>HEX2DEC(RIGHT(Table13232127[[#This Row],[h1]],8))</f>
        <v>0</v>
      </c>
      <c r="Q26" s="51" t="s">
        <v>97</v>
      </c>
      <c r="R26" s="46">
        <f>HEX2DEC(RIGHT(Table13232127[[#This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189</v>
      </c>
      <c r="G27" s="33">
        <v>0</v>
      </c>
      <c r="H27" s="46"/>
      <c r="I27" s="24">
        <v>3</v>
      </c>
      <c r="J27" s="24">
        <v>50000</v>
      </c>
      <c r="K27" s="46"/>
      <c r="L27" s="24">
        <v>27</v>
      </c>
      <c r="M27" s="24">
        <v>50000</v>
      </c>
      <c r="N27" s="60">
        <v>17</v>
      </c>
      <c r="O27" s="60" t="s">
        <v>670</v>
      </c>
      <c r="P27" s="56">
        <f>HEX2DEC(RIGHT(Table13232127[[#This Row],[h1]],8))</f>
        <v>0</v>
      </c>
      <c r="Q27" s="51" t="s">
        <v>97</v>
      </c>
      <c r="R27" s="46">
        <f>HEX2DEC(RIGHT(Table13232127[[#This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190</v>
      </c>
      <c r="G28" s="33">
        <v>0</v>
      </c>
      <c r="H28" s="46"/>
      <c r="I28" s="24">
        <v>1</v>
      </c>
      <c r="J28" s="24">
        <v>50000</v>
      </c>
      <c r="K28" s="46"/>
      <c r="L28" s="24">
        <v>28</v>
      </c>
      <c r="M28" s="24">
        <v>50000</v>
      </c>
      <c r="N28" s="60">
        <v>18</v>
      </c>
      <c r="O28" s="60" t="s">
        <v>670</v>
      </c>
      <c r="P28" s="56">
        <f>HEX2DEC(RIGHT(Table13232127[[#This Row],[h1]],8))</f>
        <v>0</v>
      </c>
      <c r="Q28" s="51" t="s">
        <v>97</v>
      </c>
      <c r="R28" s="46">
        <f>HEX2DEC(RIGHT(Table13232127[[#This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191</v>
      </c>
      <c r="G29" s="33">
        <v>0</v>
      </c>
      <c r="H29" s="46"/>
      <c r="I29" s="24">
        <v>2</v>
      </c>
      <c r="J29" s="24">
        <v>50000</v>
      </c>
      <c r="K29" s="46"/>
      <c r="L29" s="24">
        <v>29</v>
      </c>
      <c r="M29" s="24">
        <v>50000</v>
      </c>
      <c r="N29" s="60">
        <v>19</v>
      </c>
      <c r="O29" s="60" t="s">
        <v>670</v>
      </c>
      <c r="P29" s="56">
        <f>HEX2DEC(RIGHT(Table13232127[[#This Row],[h1]],8))</f>
        <v>0</v>
      </c>
      <c r="Q29" s="51" t="s">
        <v>97</v>
      </c>
      <c r="R29" s="46">
        <f>HEX2DEC(RIGHT(Table13232127[[#This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192</v>
      </c>
      <c r="G30" s="33">
        <v>0</v>
      </c>
      <c r="H30" s="46"/>
      <c r="I30" s="24">
        <v>1</v>
      </c>
      <c r="J30" s="24">
        <v>50000</v>
      </c>
      <c r="K30" s="46"/>
      <c r="L30" s="24">
        <v>30</v>
      </c>
      <c r="M30" s="24">
        <v>50000</v>
      </c>
      <c r="N30" s="60">
        <v>20</v>
      </c>
      <c r="O30" s="60" t="s">
        <v>670</v>
      </c>
      <c r="P30" s="56">
        <f>HEX2DEC(RIGHT(Table13232127[[#This Row],[h1]],8))</f>
        <v>0</v>
      </c>
      <c r="Q30" s="51" t="s">
        <v>97</v>
      </c>
      <c r="R30" s="46">
        <f>HEX2DEC(RIGHT(Table13232127[[#This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193</v>
      </c>
      <c r="G31" s="33">
        <v>0</v>
      </c>
      <c r="H31" s="46"/>
      <c r="I31" s="24">
        <v>3</v>
      </c>
      <c r="J31" s="24">
        <v>50000</v>
      </c>
      <c r="K31" s="46"/>
      <c r="L31" s="20"/>
      <c r="M31" s="24">
        <v>50000</v>
      </c>
      <c r="N31" s="60">
        <v>21</v>
      </c>
      <c r="O31" s="60" t="s">
        <v>670</v>
      </c>
      <c r="P31" s="56">
        <f>HEX2DEC(RIGHT(Table13232127[[#This Row],[h1]],8))</f>
        <v>0</v>
      </c>
      <c r="Q31" s="51" t="s">
        <v>97</v>
      </c>
      <c r="R31" s="46">
        <f>HEX2DEC(RIGHT(Table13232127[[#This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194</v>
      </c>
      <c r="G32" s="33">
        <v>0</v>
      </c>
      <c r="H32" s="46"/>
      <c r="I32" s="24">
        <v>1</v>
      </c>
      <c r="J32" s="24">
        <v>50000</v>
      </c>
      <c r="K32" s="46"/>
      <c r="M32" s="24">
        <v>50000</v>
      </c>
      <c r="N32" s="60">
        <v>22</v>
      </c>
      <c r="O32" s="60" t="s">
        <v>670</v>
      </c>
      <c r="P32" s="56">
        <f>HEX2DEC(RIGHT(Table13232127[[#This Row],[h1]],8))</f>
        <v>0</v>
      </c>
      <c r="Q32" s="51" t="s">
        <v>97</v>
      </c>
      <c r="R32" s="46">
        <f>HEX2DEC(RIGHT(Table13232127[[#This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195</v>
      </c>
      <c r="G33" s="33">
        <v>0</v>
      </c>
      <c r="H33" s="46"/>
      <c r="I33" s="24">
        <v>2</v>
      </c>
      <c r="J33" s="24">
        <v>50000</v>
      </c>
      <c r="K33" s="46"/>
      <c r="M33" s="24">
        <v>50000</v>
      </c>
      <c r="N33" s="60">
        <v>23</v>
      </c>
      <c r="O33" s="60" t="s">
        <v>670</v>
      </c>
      <c r="P33" s="56">
        <f>HEX2DEC(RIGHT(Table13232127[[#This Row],[h1]],8))</f>
        <v>0</v>
      </c>
      <c r="Q33" s="51" t="s">
        <v>97</v>
      </c>
      <c r="R33" s="46">
        <f>HEX2DEC(RIGHT(Table13232127[[#This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196</v>
      </c>
      <c r="G34" s="33">
        <v>0</v>
      </c>
      <c r="H34" s="46"/>
      <c r="I34" s="24">
        <v>1</v>
      </c>
      <c r="J34" s="24">
        <v>50000</v>
      </c>
      <c r="K34" s="46"/>
      <c r="M34" s="24">
        <v>50000</v>
      </c>
      <c r="N34" s="60">
        <v>24</v>
      </c>
      <c r="O34" s="60" t="s">
        <v>670</v>
      </c>
      <c r="P34" s="56">
        <f>HEX2DEC(RIGHT(Table13232127[[#This Row],[h1]],8))</f>
        <v>0</v>
      </c>
      <c r="Q34" s="51" t="s">
        <v>97</v>
      </c>
      <c r="R34" s="46">
        <f>HEX2DEC(RIGHT(Table13232127[[#This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197</v>
      </c>
      <c r="G35" s="33">
        <v>0</v>
      </c>
      <c r="H35" s="46"/>
      <c r="I35" s="24">
        <v>4</v>
      </c>
      <c r="J35" s="24">
        <v>50000</v>
      </c>
      <c r="K35" s="46"/>
      <c r="M35" s="24">
        <v>50000</v>
      </c>
      <c r="N35" s="60">
        <v>25</v>
      </c>
      <c r="O35" s="60" t="s">
        <v>670</v>
      </c>
      <c r="P35" s="56">
        <f>HEX2DEC(RIGHT(Table13232127[[#This Row],[h1]],8))</f>
        <v>0</v>
      </c>
      <c r="Q35" s="51" t="s">
        <v>97</v>
      </c>
      <c r="R35" s="46">
        <f>HEX2DEC(RIGHT(Table13232127[[#This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198</v>
      </c>
      <c r="G36" s="33">
        <v>0</v>
      </c>
      <c r="H36" s="46"/>
      <c r="I36" s="24">
        <v>1</v>
      </c>
      <c r="J36" s="24">
        <v>50000</v>
      </c>
      <c r="K36" s="46"/>
      <c r="M36" s="24">
        <v>50000</v>
      </c>
      <c r="N36" s="60">
        <v>26</v>
      </c>
      <c r="O36" s="60" t="s">
        <v>670</v>
      </c>
      <c r="P36" s="56">
        <f>HEX2DEC(RIGHT(Table13232127[[#This Row],[h1]],8))</f>
        <v>0</v>
      </c>
      <c r="Q36" s="51" t="s">
        <v>97</v>
      </c>
      <c r="R36" s="46">
        <f>HEX2DEC(RIGHT(Table13232127[[#This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199</v>
      </c>
      <c r="G37" s="33">
        <v>0</v>
      </c>
      <c r="H37" s="46"/>
      <c r="I37" s="24">
        <v>2</v>
      </c>
      <c r="J37" s="24">
        <v>50000</v>
      </c>
      <c r="K37" s="46"/>
      <c r="M37" s="24">
        <v>50000</v>
      </c>
      <c r="N37" s="60">
        <v>27</v>
      </c>
      <c r="O37" s="56" t="s">
        <v>670</v>
      </c>
      <c r="P37" s="56">
        <f>HEX2DEC(RIGHT(Table13232127[[#This Row],[h1]],8))</f>
        <v>0</v>
      </c>
      <c r="Q37" s="51" t="s">
        <v>97</v>
      </c>
      <c r="R37" s="46">
        <f>HEX2DEC(RIGHT(Table13232127[[#This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200</v>
      </c>
      <c r="G38" s="33">
        <v>0</v>
      </c>
      <c r="H38" s="46"/>
      <c r="I38" s="24">
        <v>1</v>
      </c>
      <c r="J38" s="24">
        <v>50000</v>
      </c>
      <c r="K38" s="46"/>
      <c r="L38" s="20" t="s">
        <v>88</v>
      </c>
      <c r="M38" s="24">
        <v>50000</v>
      </c>
      <c r="N38" s="60">
        <v>28</v>
      </c>
      <c r="O38" s="56" t="s">
        <v>670</v>
      </c>
      <c r="P38" s="56">
        <f>HEX2DEC(RIGHT(Table13232127[[#This Row],[h1]],8))</f>
        <v>0</v>
      </c>
      <c r="Q38" s="51" t="s">
        <v>97</v>
      </c>
      <c r="R38" s="46">
        <f>HEX2DEC(RIGHT(Table13232127[[#This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201</v>
      </c>
      <c r="G39" s="33">
        <v>0</v>
      </c>
      <c r="H39" s="46"/>
      <c r="I39" s="24">
        <v>3</v>
      </c>
      <c r="J39" s="24">
        <v>50000</v>
      </c>
      <c r="K39" s="46"/>
      <c r="M39" s="24">
        <v>50000</v>
      </c>
      <c r="N39" s="60">
        <v>29</v>
      </c>
      <c r="O39" s="56" t="s">
        <v>670</v>
      </c>
      <c r="P39" s="56">
        <f>HEX2DEC(RIGHT(Table13232127[[#This Row],[h1]],8))</f>
        <v>0</v>
      </c>
      <c r="Q39" s="51" t="s">
        <v>97</v>
      </c>
      <c r="R39" s="46">
        <f>HEX2DEC(RIGHT(Table13232127[[#This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D40" s="15" t="s">
        <v>202</v>
      </c>
      <c r="G40" s="33">
        <v>0</v>
      </c>
      <c r="H40" s="46"/>
      <c r="I40" s="24">
        <v>1</v>
      </c>
      <c r="J40" s="24">
        <v>50000</v>
      </c>
      <c r="K40" s="46"/>
      <c r="M40" s="24">
        <v>50000</v>
      </c>
      <c r="N40" s="60">
        <v>30</v>
      </c>
      <c r="O40" s="56" t="s">
        <v>670</v>
      </c>
      <c r="P40" s="56">
        <f>HEX2DEC(RIGHT(Table13232127[[#This Row],[h1]],8))</f>
        <v>0</v>
      </c>
      <c r="Q40" s="51" t="s">
        <v>97</v>
      </c>
      <c r="R40" s="46">
        <f>HEX2DEC(RIGHT(Table13232127[[#This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203</v>
      </c>
      <c r="G41" s="33">
        <v>0</v>
      </c>
      <c r="H41" s="46"/>
      <c r="I41" s="24">
        <v>2</v>
      </c>
      <c r="J41" s="24">
        <v>50000</v>
      </c>
      <c r="K41" s="46"/>
      <c r="M41" s="24">
        <v>50000</v>
      </c>
      <c r="N41" s="60">
        <v>31</v>
      </c>
      <c r="O41" s="56" t="s">
        <v>670</v>
      </c>
      <c r="P41" s="56">
        <f>HEX2DEC(RIGHT(Table13232127[[#This Row],[h1]],8))</f>
        <v>0</v>
      </c>
      <c r="Q41" s="51" t="s">
        <v>97</v>
      </c>
      <c r="R41" s="46">
        <f>HEX2DEC(RIGHT(Table13232127[[#This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204</v>
      </c>
      <c r="G42" s="33">
        <v>0</v>
      </c>
      <c r="H42" s="46"/>
      <c r="I42" s="24">
        <v>1</v>
      </c>
      <c r="J42" s="24">
        <v>50000</v>
      </c>
      <c r="K42" s="46"/>
      <c r="M42" s="24">
        <v>50000</v>
      </c>
      <c r="N42" s="60">
        <v>32</v>
      </c>
      <c r="O42" s="56" t="s">
        <v>670</v>
      </c>
      <c r="P42" s="56">
        <f>HEX2DEC(RIGHT(Table13232127[[#This Row],[h1]],8))</f>
        <v>0</v>
      </c>
      <c r="Q42" s="51" t="s">
        <v>97</v>
      </c>
      <c r="R42" s="46">
        <f>HEX2DEC(RIGHT(Table13232127[[#This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205</v>
      </c>
      <c r="G43" s="33">
        <v>0</v>
      </c>
      <c r="H43" s="46"/>
      <c r="I43" s="24">
        <v>3</v>
      </c>
      <c r="J43" s="24">
        <v>50000</v>
      </c>
      <c r="K43" s="46"/>
      <c r="M43" s="24">
        <v>50000</v>
      </c>
      <c r="N43" s="60">
        <v>33</v>
      </c>
      <c r="O43" s="56" t="s">
        <v>670</v>
      </c>
      <c r="P43" s="56">
        <f>HEX2DEC(RIGHT(Table13232127[[#This Row],[h1]],8))</f>
        <v>0</v>
      </c>
      <c r="Q43" s="51" t="s">
        <v>97</v>
      </c>
      <c r="R43" s="46">
        <f>HEX2DEC(RIGHT(Table13232127[[#This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206</v>
      </c>
      <c r="G44" s="33">
        <v>0</v>
      </c>
      <c r="H44" s="46"/>
      <c r="I44" s="24">
        <v>1</v>
      </c>
      <c r="J44" s="24">
        <v>50000</v>
      </c>
      <c r="K44" s="46"/>
      <c r="M44" s="24">
        <v>50000</v>
      </c>
      <c r="N44" s="60">
        <v>34</v>
      </c>
      <c r="O44" s="56" t="s">
        <v>670</v>
      </c>
      <c r="P44" s="56">
        <f>HEX2DEC(RIGHT(Table13232127[[#This Row],[h1]],8))</f>
        <v>0</v>
      </c>
      <c r="Q44" s="51" t="s">
        <v>97</v>
      </c>
      <c r="R44" s="46">
        <f>HEX2DEC(RIGHT(Table13232127[[#This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207</v>
      </c>
      <c r="G45" s="33">
        <v>0</v>
      </c>
      <c r="H45" s="46"/>
      <c r="I45" s="24">
        <v>2</v>
      </c>
      <c r="J45" s="24">
        <v>50000</v>
      </c>
      <c r="K45" s="46"/>
      <c r="M45" s="24">
        <v>50000</v>
      </c>
      <c r="N45" s="60">
        <v>35</v>
      </c>
      <c r="O45" s="56" t="s">
        <v>670</v>
      </c>
      <c r="P45" s="56">
        <f>HEX2DEC(RIGHT(Table13232127[[#This Row],[h1]],8))</f>
        <v>0</v>
      </c>
      <c r="Q45" s="46" t="s">
        <v>97</v>
      </c>
      <c r="R45" s="46">
        <f>HEX2DEC(RIGHT(Table13232127[[#This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208</v>
      </c>
      <c r="G46" s="33">
        <v>0</v>
      </c>
      <c r="H46" s="46"/>
      <c r="I46" s="20">
        <v>1</v>
      </c>
      <c r="J46" s="24">
        <v>50000</v>
      </c>
      <c r="K46" s="46"/>
      <c r="M46" s="24">
        <v>50000</v>
      </c>
      <c r="N46" s="60">
        <v>36</v>
      </c>
      <c r="O46" s="56" t="s">
        <v>670</v>
      </c>
      <c r="P46" s="56">
        <f>HEX2DEC(RIGHT(Table13232127[[#This Row],[h1]],8))</f>
        <v>0</v>
      </c>
      <c r="Q46" s="46" t="s">
        <v>97</v>
      </c>
      <c r="R46" s="46">
        <f>HEX2DEC(RIGHT(Table13232127[[#This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209</v>
      </c>
      <c r="G47" s="33">
        <v>0</v>
      </c>
      <c r="H47" s="46"/>
      <c r="I47" s="24">
        <v>4</v>
      </c>
      <c r="J47" s="24">
        <v>50000</v>
      </c>
      <c r="K47" s="46"/>
      <c r="M47" s="24">
        <v>50000</v>
      </c>
      <c r="N47" s="60">
        <v>37</v>
      </c>
      <c r="O47" s="56" t="s">
        <v>670</v>
      </c>
      <c r="P47" s="56">
        <f>HEX2DEC(RIGHT(Table13232127[[#This Row],[h1]],8))</f>
        <v>0</v>
      </c>
      <c r="Q47" s="46" t="s">
        <v>97</v>
      </c>
      <c r="R47" s="46">
        <f>HEX2DEC(RIGHT(Table13232127[[#This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210</v>
      </c>
      <c r="G48" s="33">
        <v>0</v>
      </c>
      <c r="H48" s="46"/>
      <c r="I48" s="24">
        <v>1</v>
      </c>
      <c r="J48" s="24">
        <v>50000</v>
      </c>
      <c r="K48" s="46"/>
      <c r="M48" s="24">
        <v>50000</v>
      </c>
      <c r="N48" s="60">
        <v>38</v>
      </c>
      <c r="O48" s="46" t="s">
        <v>97</v>
      </c>
      <c r="P48" s="56">
        <f>HEX2DEC(RIGHT(Table13232127[[#This Row],[h1]],8))</f>
        <v>0</v>
      </c>
      <c r="Q48" s="46" t="s">
        <v>97</v>
      </c>
      <c r="R48" s="46">
        <f>HEX2DEC(RIGHT(Table13232127[[#This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211</v>
      </c>
      <c r="G49" s="33">
        <v>0</v>
      </c>
      <c r="H49" s="46"/>
      <c r="I49" s="24">
        <v>2</v>
      </c>
      <c r="J49" s="24">
        <v>50000</v>
      </c>
      <c r="K49" s="46"/>
      <c r="M49" s="24">
        <v>50000</v>
      </c>
      <c r="N49" s="60">
        <v>39</v>
      </c>
      <c r="O49" s="46" t="s">
        <v>97</v>
      </c>
      <c r="P49" s="56">
        <f>HEX2DEC(RIGHT(Table13232127[[#This Row],[h1]],8))</f>
        <v>0</v>
      </c>
      <c r="Q49" s="46" t="s">
        <v>97</v>
      </c>
      <c r="R49" s="46">
        <f>HEX2DEC(RIGHT(Table13232127[[#This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212</v>
      </c>
      <c r="G50" s="33">
        <v>0</v>
      </c>
      <c r="H50" s="46"/>
      <c r="I50" s="24">
        <v>1</v>
      </c>
      <c r="J50" s="24">
        <v>50000</v>
      </c>
      <c r="K50" s="46"/>
      <c r="M50" s="24">
        <v>50000</v>
      </c>
      <c r="N50" s="60">
        <v>40</v>
      </c>
      <c r="O50" s="46" t="s">
        <v>97</v>
      </c>
      <c r="P50" s="56">
        <f>HEX2DEC(RIGHT(Table13232127[[#This Row],[h1]],8))</f>
        <v>0</v>
      </c>
      <c r="Q50" s="46" t="s">
        <v>97</v>
      </c>
      <c r="R50" s="46">
        <f>HEX2DEC(RIGHT(Table13232127[[#This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213</v>
      </c>
      <c r="G51" s="33">
        <v>0</v>
      </c>
      <c r="H51" s="46"/>
      <c r="I51" s="24">
        <v>3</v>
      </c>
      <c r="J51" s="24">
        <v>50000</v>
      </c>
      <c r="K51" s="46"/>
      <c r="M51" s="24">
        <v>50000</v>
      </c>
      <c r="N51" s="60">
        <v>41</v>
      </c>
      <c r="O51" s="46" t="s">
        <v>97</v>
      </c>
      <c r="P51" s="56">
        <f>HEX2DEC(RIGHT(Table13232127[[#This Row],[h1]],8))</f>
        <v>0</v>
      </c>
      <c r="Q51" s="46" t="s">
        <v>97</v>
      </c>
      <c r="R51" s="46">
        <f>HEX2DEC(RIGHT(Table13232127[[#This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214</v>
      </c>
      <c r="G52" s="33">
        <v>0</v>
      </c>
      <c r="H52" s="46"/>
      <c r="I52" s="24">
        <v>1</v>
      </c>
      <c r="J52" s="24">
        <v>50000</v>
      </c>
      <c r="K52" s="46"/>
      <c r="M52" s="24">
        <v>50000</v>
      </c>
      <c r="N52" s="60">
        <v>42</v>
      </c>
      <c r="O52" s="46" t="s">
        <v>97</v>
      </c>
      <c r="P52" s="46">
        <f>HEX2DEC(RIGHT(Table13232127[[#This Row],[h1]],8))</f>
        <v>0</v>
      </c>
      <c r="Q52" s="46" t="s">
        <v>97</v>
      </c>
      <c r="R52" s="46">
        <f>HEX2DEC(RIGHT(Table13232127[[#This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215</v>
      </c>
      <c r="G53" s="33">
        <v>0</v>
      </c>
      <c r="H53" s="46"/>
      <c r="I53" s="24">
        <v>2</v>
      </c>
      <c r="J53" s="24">
        <v>50000</v>
      </c>
      <c r="K53" s="46"/>
      <c r="M53" s="24">
        <v>50000</v>
      </c>
      <c r="N53" s="60">
        <v>43</v>
      </c>
      <c r="O53" s="46" t="s">
        <v>97</v>
      </c>
      <c r="P53" s="46">
        <f>HEX2DEC(RIGHT(Table13232127[[#This Row],[h1]],8))</f>
        <v>0</v>
      </c>
      <c r="Q53" s="46" t="s">
        <v>97</v>
      </c>
      <c r="R53" s="46">
        <f>HEX2DEC(RIGHT(Table13232127[[#This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216</v>
      </c>
      <c r="G54" s="33">
        <v>0</v>
      </c>
      <c r="H54" s="46"/>
      <c r="I54" s="24">
        <v>1</v>
      </c>
      <c r="J54" s="24">
        <v>50000</v>
      </c>
      <c r="K54" s="46"/>
      <c r="M54" s="24">
        <v>50000</v>
      </c>
      <c r="N54" s="60">
        <v>44</v>
      </c>
      <c r="O54" s="46" t="s">
        <v>97</v>
      </c>
      <c r="P54" s="46">
        <f>HEX2DEC(RIGHT(Table13232127[[#This Row],[h1]],8))</f>
        <v>0</v>
      </c>
      <c r="Q54" s="46" t="s">
        <v>97</v>
      </c>
      <c r="R54" s="46">
        <f>HEX2DEC(RIGHT(Table13232127[[#This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G55" s="33"/>
      <c r="H55" s="46"/>
      <c r="I55" s="24">
        <v>3</v>
      </c>
      <c r="J55" s="24">
        <v>50000</v>
      </c>
      <c r="K55" s="46"/>
      <c r="M55" s="24">
        <v>50000</v>
      </c>
      <c r="N55" s="60">
        <v>45</v>
      </c>
      <c r="O55" s="46" t="s">
        <v>97</v>
      </c>
      <c r="P55" s="46">
        <f>HEX2DEC(RIGHT(Table13232127[[#This Row],[h1]],8))</f>
        <v>0</v>
      </c>
      <c r="Q55" s="46" t="s">
        <v>97</v>
      </c>
      <c r="R55" s="46">
        <f>HEX2DEC(RIGHT(Table13232127[[#This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217</v>
      </c>
      <c r="G56" s="33">
        <v>0</v>
      </c>
      <c r="H56" s="46"/>
      <c r="I56" s="24">
        <v>1</v>
      </c>
      <c r="J56" s="24">
        <v>50000</v>
      </c>
      <c r="K56" s="46"/>
      <c r="M56" s="24">
        <v>50000</v>
      </c>
      <c r="N56" s="60">
        <v>46</v>
      </c>
      <c r="O56" s="46" t="s">
        <v>97</v>
      </c>
      <c r="P56" s="46">
        <f>HEX2DEC(RIGHT(Table13232127[[#This Row],[h1]],8))</f>
        <v>0</v>
      </c>
      <c r="Q56" s="46" t="s">
        <v>97</v>
      </c>
      <c r="R56" s="46">
        <f>HEX2DEC(RIGHT(Table13232127[[#This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218</v>
      </c>
      <c r="G57" s="33">
        <v>0</v>
      </c>
      <c r="H57" s="46"/>
      <c r="I57" s="24">
        <v>2</v>
      </c>
      <c r="J57" s="24">
        <v>50000</v>
      </c>
      <c r="K57" s="46"/>
      <c r="M57" s="24">
        <v>50000</v>
      </c>
      <c r="N57" s="60">
        <v>47</v>
      </c>
      <c r="O57" s="46" t="s">
        <v>97</v>
      </c>
      <c r="P57" s="46">
        <f>HEX2DEC(RIGHT(Table13232127[[#This Row],[h1]],8))</f>
        <v>0</v>
      </c>
      <c r="Q57" s="46" t="s">
        <v>97</v>
      </c>
      <c r="R57" s="46">
        <f>HEX2DEC(RIGHT(Table13232127[[#This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219</v>
      </c>
      <c r="G58" s="33">
        <v>0</v>
      </c>
      <c r="H58" s="46"/>
      <c r="I58" s="24">
        <v>1</v>
      </c>
      <c r="J58" s="24">
        <v>50000</v>
      </c>
      <c r="K58" s="46"/>
      <c r="M58" s="24">
        <v>50000</v>
      </c>
      <c r="N58" s="60">
        <v>48</v>
      </c>
      <c r="O58" s="46" t="s">
        <v>97</v>
      </c>
      <c r="P58" s="46">
        <f>HEX2DEC(RIGHT(Table13232127[[#This Row],[h1]],8))</f>
        <v>0</v>
      </c>
      <c r="Q58" s="46" t="s">
        <v>97</v>
      </c>
      <c r="R58" s="46">
        <f>HEX2DEC(RIGHT(Table13232127[[#This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220</v>
      </c>
      <c r="G59" s="33">
        <v>0</v>
      </c>
      <c r="H59" s="46"/>
      <c r="I59" s="24">
        <v>4</v>
      </c>
      <c r="J59" s="24">
        <v>50000</v>
      </c>
      <c r="K59" s="46"/>
      <c r="M59" s="24">
        <v>50000</v>
      </c>
      <c r="N59" s="60">
        <v>49</v>
      </c>
      <c r="O59" s="46" t="s">
        <v>97</v>
      </c>
      <c r="P59" s="46">
        <f>HEX2DEC(RIGHT(Table13232127[[#This Row],[h1]],8))</f>
        <v>0</v>
      </c>
      <c r="Q59" s="46" t="s">
        <v>97</v>
      </c>
      <c r="R59" s="46">
        <f>HEX2DEC(RIGHT(Table13232127[[#This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221</v>
      </c>
      <c r="G60" s="33">
        <v>0</v>
      </c>
      <c r="H60" s="46"/>
      <c r="I60" s="24">
        <v>1</v>
      </c>
      <c r="J60" s="24">
        <v>50000</v>
      </c>
      <c r="K60" s="46"/>
      <c r="M60" s="24">
        <v>50000</v>
      </c>
      <c r="N60" s="60">
        <v>50</v>
      </c>
      <c r="O60" s="46" t="s">
        <v>97</v>
      </c>
      <c r="P60" s="46">
        <f>HEX2DEC(RIGHT(Table13232127[[#This Row],[h1]],8))</f>
        <v>0</v>
      </c>
      <c r="Q60" s="46" t="s">
        <v>97</v>
      </c>
      <c r="R60" s="46">
        <f>HEX2DEC(RIGHT(Table13232127[[#This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222</v>
      </c>
      <c r="G61" s="33">
        <v>0</v>
      </c>
      <c r="H61" s="46"/>
      <c r="I61" s="24">
        <v>2</v>
      </c>
      <c r="J61" s="24">
        <v>50000</v>
      </c>
      <c r="K61" s="46"/>
      <c r="M61" s="24">
        <v>50000</v>
      </c>
      <c r="O61" s="46" t="s">
        <v>97</v>
      </c>
      <c r="P61" s="46">
        <f>HEX2DEC(RIGHT(Table13232127[[#This Row],[h1]],8))</f>
        <v>0</v>
      </c>
      <c r="Q61" s="46" t="s">
        <v>97</v>
      </c>
      <c r="R61" s="46">
        <f>HEX2DEC(RIGHT(Table13232127[[#This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223</v>
      </c>
      <c r="G62" s="33">
        <v>0</v>
      </c>
      <c r="I62" s="24">
        <v>1</v>
      </c>
      <c r="J62" s="24">
        <v>50000</v>
      </c>
      <c r="M62" s="24">
        <v>50000</v>
      </c>
      <c r="O62" s="46" t="s">
        <v>97</v>
      </c>
      <c r="P62" s="46">
        <f>HEX2DEC(RIGHT(Table13232127[[#This Row],[h1]],8))</f>
        <v>0</v>
      </c>
      <c r="Q62" s="46" t="s">
        <v>97</v>
      </c>
      <c r="R62" s="46">
        <f>HEX2DEC(RIGHT(Table13232127[[#This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224</v>
      </c>
      <c r="G63" s="33">
        <v>0</v>
      </c>
      <c r="I63" s="24">
        <v>3</v>
      </c>
      <c r="J63" s="24">
        <v>50000</v>
      </c>
      <c r="M63" s="24">
        <v>50000</v>
      </c>
      <c r="O63" s="46" t="s">
        <v>97</v>
      </c>
      <c r="P63" s="46">
        <f>HEX2DEC(RIGHT(Table13232127[[#This Row],[h1]],8))</f>
        <v>0</v>
      </c>
      <c r="Q63" s="46" t="s">
        <v>97</v>
      </c>
      <c r="R63" s="46">
        <f>HEX2DEC(RIGHT(Table13232127[[#This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225</v>
      </c>
      <c r="G64" s="33">
        <v>0</v>
      </c>
      <c r="I64" s="24">
        <v>1</v>
      </c>
      <c r="J64" s="24">
        <v>50000</v>
      </c>
      <c r="M64" s="24">
        <v>50000</v>
      </c>
      <c r="O64" s="46" t="s">
        <v>97</v>
      </c>
      <c r="P64" s="46">
        <f>HEX2DEC(RIGHT(Table13232127[[#This Row],[h1]],8))</f>
        <v>0</v>
      </c>
      <c r="Q64" s="46" t="s">
        <v>97</v>
      </c>
      <c r="R64" s="46">
        <f>HEX2DEC(RIGHT(Table13232127[[#This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226</v>
      </c>
      <c r="G65" s="33">
        <v>0</v>
      </c>
      <c r="I65" s="24">
        <v>2</v>
      </c>
      <c r="J65" s="24">
        <v>50000</v>
      </c>
      <c r="M65" s="24">
        <v>50000</v>
      </c>
      <c r="O65" s="46" t="s">
        <v>97</v>
      </c>
      <c r="P65" s="46">
        <f>HEX2DEC(RIGHT(Table13232127[[#This Row],[h1]],8))</f>
        <v>0</v>
      </c>
      <c r="Q65" s="46" t="s">
        <v>97</v>
      </c>
      <c r="R65" s="46">
        <f>HEX2DEC(RIGHT(Table13232127[[#This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227</v>
      </c>
      <c r="G66" s="33">
        <v>0</v>
      </c>
      <c r="I66" s="24">
        <v>1</v>
      </c>
      <c r="J66" s="24">
        <v>50000</v>
      </c>
      <c r="M66" s="24">
        <v>50000</v>
      </c>
      <c r="O66" s="46" t="s">
        <v>97</v>
      </c>
      <c r="P66" s="46">
        <f>HEX2DEC(RIGHT(Table13232127[[#This Row],[h1]],8))</f>
        <v>0</v>
      </c>
      <c r="Q66" s="46" t="s">
        <v>97</v>
      </c>
      <c r="R66" s="46">
        <f>HEX2DEC(RIGHT(Table13232127[[#This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228</v>
      </c>
      <c r="G67" s="33">
        <v>0</v>
      </c>
      <c r="I67" s="24">
        <v>3</v>
      </c>
      <c r="J67" s="24">
        <v>50000</v>
      </c>
      <c r="M67" s="24">
        <v>50000</v>
      </c>
      <c r="O67" s="46" t="s">
        <v>97</v>
      </c>
      <c r="P67" s="46">
        <f>HEX2DEC(RIGHT(Table13232127[[#This Row],[h1]],8))</f>
        <v>0</v>
      </c>
      <c r="Q67" s="46" t="s">
        <v>97</v>
      </c>
      <c r="R67" s="46">
        <f>HEX2DEC(RIGHT(Table13232127[[#This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229</v>
      </c>
      <c r="G68" s="33">
        <v>0</v>
      </c>
      <c r="I68" s="24">
        <v>1</v>
      </c>
      <c r="J68" s="24">
        <v>50000</v>
      </c>
      <c r="M68" s="24">
        <v>50000</v>
      </c>
      <c r="O68" s="46" t="s">
        <v>97</v>
      </c>
      <c r="P68" s="46">
        <f>HEX2DEC(RIGHT(Table13232127[[#This Row],[h1]],8))</f>
        <v>0</v>
      </c>
      <c r="Q68" s="46" t="s">
        <v>97</v>
      </c>
      <c r="R68" s="46">
        <f>HEX2DEC(RIGHT(Table13232127[[#This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230</v>
      </c>
      <c r="G69" s="33">
        <v>0</v>
      </c>
      <c r="I69" s="24">
        <v>2</v>
      </c>
      <c r="J69" s="24">
        <v>50000</v>
      </c>
      <c r="M69" s="24">
        <v>50000</v>
      </c>
      <c r="O69" s="46" t="s">
        <v>97</v>
      </c>
      <c r="P69" s="46">
        <f>HEX2DEC(RIGHT(Table13232127[[#This Row],[h1]],8))</f>
        <v>0</v>
      </c>
      <c r="Q69" s="46" t="s">
        <v>97</v>
      </c>
      <c r="R69" s="46">
        <f>HEX2DEC(RIGHT(Table13232127[[#This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231</v>
      </c>
      <c r="G70" s="33">
        <v>0</v>
      </c>
      <c r="I70" s="24">
        <v>1</v>
      </c>
      <c r="J70" s="24">
        <v>50000</v>
      </c>
      <c r="M70" s="24">
        <v>50000</v>
      </c>
      <c r="O70" s="46" t="s">
        <v>97</v>
      </c>
      <c r="P70" s="46">
        <f>HEX2DEC(RIGHT(Table13232127[[#This Row],[h1]],8))</f>
        <v>0</v>
      </c>
      <c r="Q70" s="46" t="s">
        <v>97</v>
      </c>
      <c r="R70" s="46">
        <f>HEX2DEC(RIGHT(Table13232127[[#This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232</v>
      </c>
      <c r="G71" s="33">
        <v>0</v>
      </c>
      <c r="I71" s="24">
        <v>4</v>
      </c>
      <c r="J71" s="24">
        <v>50000</v>
      </c>
      <c r="M71" s="24">
        <v>50000</v>
      </c>
      <c r="O71" s="46" t="s">
        <v>97</v>
      </c>
      <c r="P71" s="46">
        <f>HEX2DEC(RIGHT(Table13232127[[#This Row],[h1]],8))</f>
        <v>0</v>
      </c>
      <c r="Q71" s="46" t="s">
        <v>97</v>
      </c>
      <c r="R71" s="46">
        <f>HEX2DEC(RIGHT(Table13232127[[#This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233</v>
      </c>
      <c r="G72" s="33">
        <v>0</v>
      </c>
      <c r="I72" s="24">
        <v>1</v>
      </c>
      <c r="J72" s="24">
        <v>50000</v>
      </c>
      <c r="M72" s="24">
        <v>50000</v>
      </c>
      <c r="O72" s="46" t="s">
        <v>97</v>
      </c>
      <c r="P72" s="46">
        <f>HEX2DEC(RIGHT(Table13232127[[#This Row],[h1]],8))</f>
        <v>0</v>
      </c>
      <c r="Q72" s="46" t="s">
        <v>97</v>
      </c>
      <c r="R72" s="46">
        <f>HEX2DEC(RIGHT(Table13232127[[#This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D73" s="15" t="s">
        <v>234</v>
      </c>
      <c r="G73" s="33">
        <v>0</v>
      </c>
      <c r="I73" s="24">
        <v>2</v>
      </c>
      <c r="J73" s="24">
        <v>50000</v>
      </c>
      <c r="M73" s="24">
        <v>50000</v>
      </c>
      <c r="O73" s="46" t="s">
        <v>97</v>
      </c>
      <c r="P73" s="46">
        <f>HEX2DEC(RIGHT(Table13232127[[#This Row],[h1]],8))</f>
        <v>0</v>
      </c>
      <c r="Q73" s="46" t="s">
        <v>97</v>
      </c>
      <c r="R73" s="46">
        <f>HEX2DEC(RIGHT(Table13232127[[#This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235</v>
      </c>
      <c r="G74" s="33">
        <v>0</v>
      </c>
      <c r="I74" s="24">
        <v>1</v>
      </c>
      <c r="J74" s="24">
        <v>50000</v>
      </c>
      <c r="M74" s="24">
        <v>50000</v>
      </c>
      <c r="O74" s="46" t="s">
        <v>97</v>
      </c>
      <c r="P74" s="46">
        <f>HEX2DEC(RIGHT(Table13232127[[#This Row],[h1]],8))</f>
        <v>0</v>
      </c>
      <c r="Q74" s="46" t="s">
        <v>97</v>
      </c>
      <c r="R74" s="46">
        <f>HEX2DEC(RIGHT(Table13232127[[#This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236</v>
      </c>
      <c r="G75" s="33">
        <v>0</v>
      </c>
      <c r="I75" s="24">
        <v>3</v>
      </c>
      <c r="J75" s="24">
        <v>50000</v>
      </c>
      <c r="M75" s="24">
        <v>50000</v>
      </c>
      <c r="O75" s="46" t="s">
        <v>97</v>
      </c>
      <c r="P75" s="46">
        <f>HEX2DEC(RIGHT(Table13232127[[#This Row],[h1]],8))</f>
        <v>0</v>
      </c>
      <c r="Q75" s="46" t="s">
        <v>97</v>
      </c>
      <c r="R75" s="46">
        <f>HEX2DEC(RIGHT(Table13232127[[#This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237</v>
      </c>
      <c r="G76" s="33">
        <v>0</v>
      </c>
      <c r="I76" s="24">
        <v>1</v>
      </c>
      <c r="J76" s="24">
        <v>50000</v>
      </c>
      <c r="M76" s="24">
        <v>50000</v>
      </c>
      <c r="O76" s="46" t="s">
        <v>97</v>
      </c>
      <c r="P76" s="46">
        <f>HEX2DEC(RIGHT(Table13232127[[#This Row],[h1]],8))</f>
        <v>0</v>
      </c>
      <c r="Q76" s="46" t="s">
        <v>97</v>
      </c>
      <c r="R76" s="46">
        <f>HEX2DEC(RIGHT(Table13232127[[#This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238</v>
      </c>
      <c r="G77" s="33">
        <v>0</v>
      </c>
      <c r="I77" s="24">
        <v>2</v>
      </c>
      <c r="J77" s="24">
        <v>50000</v>
      </c>
      <c r="M77" s="24">
        <v>50000</v>
      </c>
      <c r="O77" s="46" t="s">
        <v>97</v>
      </c>
      <c r="P77" s="46">
        <f>HEX2DEC(RIGHT(Table13232127[[#This Row],[h1]],8))</f>
        <v>0</v>
      </c>
      <c r="Q77" s="46" t="s">
        <v>97</v>
      </c>
      <c r="R77" s="46">
        <f>HEX2DEC(RIGHT(Table13232127[[#This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239</v>
      </c>
      <c r="G78" s="33">
        <v>0</v>
      </c>
      <c r="I78" s="24">
        <v>1</v>
      </c>
      <c r="J78" s="24">
        <v>50000</v>
      </c>
      <c r="M78" s="24">
        <v>50000</v>
      </c>
      <c r="O78" s="46" t="s">
        <v>97</v>
      </c>
      <c r="P78" s="46">
        <f>HEX2DEC(RIGHT(Table13232127[[#This Row],[h1]],8))</f>
        <v>0</v>
      </c>
      <c r="Q78" s="46" t="s">
        <v>97</v>
      </c>
      <c r="R78" s="46">
        <f>HEX2DEC(RIGHT(Table13232127[[#This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240</v>
      </c>
      <c r="G79" s="33">
        <v>0</v>
      </c>
      <c r="I79" s="24">
        <v>3</v>
      </c>
      <c r="J79" s="24">
        <v>50000</v>
      </c>
      <c r="M79" s="24">
        <v>50000</v>
      </c>
      <c r="O79" s="46" t="s">
        <v>97</v>
      </c>
      <c r="P79" s="46">
        <f>HEX2DEC(RIGHT(Table13232127[[#This Row],[h1]],8))</f>
        <v>0</v>
      </c>
      <c r="Q79" s="46" t="s">
        <v>97</v>
      </c>
      <c r="R79" s="46">
        <f>HEX2DEC(RIGHT(Table13232127[[#This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241</v>
      </c>
      <c r="G80" s="33">
        <v>0</v>
      </c>
      <c r="I80" s="24">
        <v>1</v>
      </c>
      <c r="J80" s="24">
        <v>50000</v>
      </c>
      <c r="M80" s="24">
        <v>50000</v>
      </c>
      <c r="O80" s="46" t="s">
        <v>97</v>
      </c>
      <c r="P80" s="46">
        <f>HEX2DEC(RIGHT(Table13232127[[#This Row],[h1]],8))</f>
        <v>0</v>
      </c>
      <c r="Q80" s="46" t="s">
        <v>97</v>
      </c>
      <c r="R80" s="46">
        <f>HEX2DEC(RIGHT(Table13232127[[#This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242</v>
      </c>
      <c r="G81" s="33">
        <v>0</v>
      </c>
      <c r="I81" s="24">
        <v>2</v>
      </c>
      <c r="J81" s="24">
        <v>50000</v>
      </c>
      <c r="M81" s="24">
        <v>50000</v>
      </c>
      <c r="O81" s="46" t="s">
        <v>97</v>
      </c>
      <c r="P81" s="46">
        <f>HEX2DEC(RIGHT(Table13232127[[#This Row],[h1]],8))</f>
        <v>0</v>
      </c>
      <c r="Q81" s="46" t="s">
        <v>97</v>
      </c>
      <c r="R81" s="46">
        <f>HEX2DEC(RIGHT(Table13232127[[#This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243</v>
      </c>
      <c r="G82" s="33">
        <v>0</v>
      </c>
      <c r="I82" s="24">
        <v>1</v>
      </c>
      <c r="J82" s="24">
        <v>50000</v>
      </c>
      <c r="M82" s="24">
        <v>50000</v>
      </c>
      <c r="O82" s="46" t="s">
        <v>97</v>
      </c>
      <c r="P82" s="46">
        <f>HEX2DEC(RIGHT(Table13232127[[#This Row],[h1]],8))</f>
        <v>0</v>
      </c>
      <c r="Q82" s="46" t="s">
        <v>97</v>
      </c>
      <c r="R82" s="46">
        <f>HEX2DEC(RIGHT(Table13232127[[#This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244</v>
      </c>
      <c r="G83" s="33">
        <v>0</v>
      </c>
      <c r="I83" s="24">
        <v>4</v>
      </c>
      <c r="J83" s="24">
        <v>50000</v>
      </c>
      <c r="M83" s="24">
        <v>50000</v>
      </c>
      <c r="O83" s="46" t="s">
        <v>97</v>
      </c>
      <c r="P83" s="46">
        <f>HEX2DEC(RIGHT(Table13232127[[#This Row],[h1]],8))</f>
        <v>0</v>
      </c>
      <c r="Q83" s="46" t="s">
        <v>97</v>
      </c>
      <c r="R83" s="46">
        <f>HEX2DEC(RIGHT(Table13232127[[#This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245</v>
      </c>
      <c r="G84" s="33">
        <v>0</v>
      </c>
      <c r="I84" s="24">
        <v>1</v>
      </c>
      <c r="J84" s="24">
        <v>50000</v>
      </c>
      <c r="M84" s="24">
        <v>50000</v>
      </c>
      <c r="O84" s="46" t="s">
        <v>97</v>
      </c>
      <c r="P84" s="46">
        <f>HEX2DEC(RIGHT(Table13232127[[#This Row],[h1]],8))</f>
        <v>0</v>
      </c>
      <c r="Q84" s="46" t="s">
        <v>97</v>
      </c>
      <c r="R84" s="46">
        <f>HEX2DEC(RIGHT(Table13232127[[#This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246</v>
      </c>
      <c r="G85" s="33">
        <v>0</v>
      </c>
      <c r="I85" s="24">
        <v>2</v>
      </c>
      <c r="J85" s="24">
        <v>50000</v>
      </c>
      <c r="M85" s="24">
        <v>50000</v>
      </c>
      <c r="O85" s="46" t="s">
        <v>97</v>
      </c>
      <c r="P85" s="46">
        <f>HEX2DEC(RIGHT(Table13232127[[#This Row],[h1]],8))</f>
        <v>0</v>
      </c>
      <c r="Q85" s="46" t="s">
        <v>97</v>
      </c>
      <c r="R85" s="46">
        <f>HEX2DEC(RIGHT(Table13232127[[#This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247</v>
      </c>
      <c r="G86" s="33">
        <v>0</v>
      </c>
      <c r="I86" s="24">
        <v>1</v>
      </c>
      <c r="J86" s="24">
        <v>50000</v>
      </c>
      <c r="M86" s="24">
        <v>50000</v>
      </c>
      <c r="O86" s="46" t="s">
        <v>97</v>
      </c>
      <c r="P86" s="46">
        <f>HEX2DEC(RIGHT(Table13232127[[#This Row],[h1]],8))</f>
        <v>0</v>
      </c>
      <c r="Q86" s="46" t="s">
        <v>97</v>
      </c>
      <c r="R86" s="46">
        <f>HEX2DEC(RIGHT(Table13232127[[#This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248</v>
      </c>
      <c r="G87" s="33">
        <v>0</v>
      </c>
      <c r="I87" s="24">
        <v>3</v>
      </c>
      <c r="J87" s="24">
        <v>50000</v>
      </c>
      <c r="M87" s="24">
        <v>50000</v>
      </c>
      <c r="O87" s="46" t="s">
        <v>97</v>
      </c>
      <c r="P87" s="46">
        <f>HEX2DEC(RIGHT(Table13232127[[#This Row],[h1]],8))</f>
        <v>0</v>
      </c>
      <c r="Q87" s="46" t="s">
        <v>97</v>
      </c>
      <c r="R87" s="46">
        <f>HEX2DEC(RIGHT(Table13232127[[#This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G88" s="33"/>
      <c r="I88" s="24">
        <v>1</v>
      </c>
      <c r="J88" s="24">
        <v>50000</v>
      </c>
      <c r="M88" s="24">
        <v>50000</v>
      </c>
      <c r="O88" s="46" t="s">
        <v>97</v>
      </c>
      <c r="P88" s="46">
        <f>HEX2DEC(RIGHT(Table13232127[[#This Row],[h1]],8))</f>
        <v>0</v>
      </c>
      <c r="Q88" s="46" t="s">
        <v>97</v>
      </c>
      <c r="R88" s="46">
        <f>HEX2DEC(RIGHT(Table13232127[[#This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249</v>
      </c>
      <c r="G89" s="33">
        <v>5000</v>
      </c>
      <c r="I89" s="24">
        <v>2</v>
      </c>
      <c r="J89" s="24">
        <v>50000</v>
      </c>
      <c r="M89" s="24">
        <v>50000</v>
      </c>
      <c r="O89" s="46" t="s">
        <v>97</v>
      </c>
      <c r="P89" s="46">
        <f>HEX2DEC(RIGHT(Table13232127[[#This Row],[h1]],8))</f>
        <v>0</v>
      </c>
      <c r="Q89" s="46" t="s">
        <v>97</v>
      </c>
      <c r="R89" s="46">
        <f>HEX2DEC(RIGHT(Table13232127[[#This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250</v>
      </c>
      <c r="G90" s="33">
        <v>5000</v>
      </c>
      <c r="I90" s="24">
        <v>1</v>
      </c>
      <c r="J90" s="24">
        <v>50000</v>
      </c>
      <c r="M90" s="24">
        <v>50000</v>
      </c>
      <c r="O90" s="46" t="s">
        <v>97</v>
      </c>
      <c r="P90" s="46">
        <f>HEX2DEC(RIGHT(Table13232127[[#This Row],[h1]],8))</f>
        <v>0</v>
      </c>
      <c r="Q90" s="46" t="s">
        <v>97</v>
      </c>
      <c r="R90" s="46">
        <f>HEX2DEC(RIGHT(Table13232127[[#This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251</v>
      </c>
      <c r="G91" s="33">
        <v>5000</v>
      </c>
      <c r="I91" s="24">
        <v>3</v>
      </c>
      <c r="J91" s="24">
        <v>50000</v>
      </c>
      <c r="M91" s="24">
        <v>50000</v>
      </c>
      <c r="O91" s="46" t="s">
        <v>97</v>
      </c>
      <c r="P91" s="46">
        <f>HEX2DEC(RIGHT(Table13232127[[#This Row],[h1]],8))</f>
        <v>0</v>
      </c>
      <c r="Q91" s="46" t="s">
        <v>97</v>
      </c>
      <c r="R91" s="46">
        <f>HEX2DEC(RIGHT(Table13232127[[#This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252</v>
      </c>
      <c r="G92" s="33">
        <v>5000</v>
      </c>
      <c r="I92" s="24">
        <v>1</v>
      </c>
      <c r="J92" s="24">
        <v>50000</v>
      </c>
      <c r="M92" s="24">
        <v>50000</v>
      </c>
      <c r="O92" s="46" t="s">
        <v>97</v>
      </c>
      <c r="P92" s="46">
        <f>HEX2DEC(RIGHT(Table13232127[[#This Row],[h1]],8))</f>
        <v>0</v>
      </c>
      <c r="Q92" s="46" t="s">
        <v>97</v>
      </c>
      <c r="R92" s="46">
        <f>HEX2DEC(RIGHT(Table13232127[[#This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253</v>
      </c>
      <c r="G93" s="33">
        <v>5000</v>
      </c>
      <c r="I93" s="24">
        <v>2</v>
      </c>
      <c r="J93" s="24">
        <v>50000</v>
      </c>
      <c r="M93" s="24">
        <v>50000</v>
      </c>
      <c r="O93" s="46" t="s">
        <v>97</v>
      </c>
      <c r="P93" s="46">
        <f>HEX2DEC(RIGHT(Table13232127[[#This Row],[h1]],8))</f>
        <v>0</v>
      </c>
      <c r="Q93" s="46" t="s">
        <v>97</v>
      </c>
      <c r="R93" s="46">
        <f>HEX2DEC(RIGHT(Table13232127[[#This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254</v>
      </c>
      <c r="G94" s="33">
        <v>5000</v>
      </c>
      <c r="I94" s="24">
        <v>1</v>
      </c>
      <c r="J94" s="24">
        <v>50000</v>
      </c>
      <c r="M94" s="24">
        <v>50000</v>
      </c>
      <c r="O94" s="46" t="s">
        <v>97</v>
      </c>
      <c r="P94" s="46">
        <f>HEX2DEC(RIGHT(Table13232127[[#This Row],[h1]],8))</f>
        <v>0</v>
      </c>
      <c r="Q94" s="46" t="s">
        <v>97</v>
      </c>
      <c r="R94" s="46">
        <f>HEX2DEC(RIGHT(Table13232127[[#This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255</v>
      </c>
      <c r="G95" s="33">
        <v>5000</v>
      </c>
      <c r="I95" s="24">
        <v>4</v>
      </c>
      <c r="J95" s="24">
        <v>50000</v>
      </c>
      <c r="M95" s="24">
        <v>50000</v>
      </c>
      <c r="O95" s="46" t="s">
        <v>97</v>
      </c>
      <c r="P95" s="46">
        <f>HEX2DEC(RIGHT(Table13232127[[#This Row],[h1]],8))</f>
        <v>0</v>
      </c>
      <c r="Q95" s="46" t="s">
        <v>97</v>
      </c>
      <c r="R95" s="46">
        <f>HEX2DEC(RIGHT(Table13232127[[#This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256</v>
      </c>
      <c r="G96" s="33">
        <v>5000</v>
      </c>
      <c r="I96" s="24">
        <v>1</v>
      </c>
      <c r="J96" s="24">
        <v>50000</v>
      </c>
      <c r="M96" s="24">
        <v>50000</v>
      </c>
      <c r="O96" s="46" t="s">
        <v>97</v>
      </c>
      <c r="P96" s="46">
        <f>HEX2DEC(RIGHT(Table13232127[[#This Row],[h1]],8))</f>
        <v>0</v>
      </c>
      <c r="Q96" s="46" t="s">
        <v>97</v>
      </c>
      <c r="R96" s="46">
        <f>HEX2DEC(RIGHT(Table13232127[[#This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257</v>
      </c>
      <c r="G97" s="33">
        <v>5000</v>
      </c>
      <c r="I97" s="24">
        <v>2</v>
      </c>
      <c r="J97" s="24">
        <v>50000</v>
      </c>
      <c r="M97" s="24">
        <v>50000</v>
      </c>
      <c r="O97" s="46" t="s">
        <v>97</v>
      </c>
      <c r="P97" s="46">
        <f>HEX2DEC(RIGHT(Table13232127[[#This Row],[h1]],8))</f>
        <v>0</v>
      </c>
      <c r="Q97" s="46" t="s">
        <v>97</v>
      </c>
      <c r="R97" s="46">
        <f>HEX2DEC(RIGHT(Table13232127[[#This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258</v>
      </c>
      <c r="G98" s="33">
        <v>5000</v>
      </c>
      <c r="I98" s="24">
        <v>1</v>
      </c>
      <c r="J98" s="24">
        <v>50000</v>
      </c>
      <c r="M98" s="24">
        <v>50000</v>
      </c>
      <c r="O98" s="46" t="s">
        <v>97</v>
      </c>
      <c r="P98" s="46">
        <f>HEX2DEC(RIGHT(Table13232127[[#This Row],[h1]],8))</f>
        <v>0</v>
      </c>
      <c r="Q98" s="46" t="s">
        <v>97</v>
      </c>
      <c r="R98" s="46">
        <f>HEX2DEC(RIGHT(Table13232127[[#This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259</v>
      </c>
      <c r="G99" s="33">
        <v>5000</v>
      </c>
      <c r="I99" s="24">
        <v>3</v>
      </c>
      <c r="J99" s="24">
        <v>50000</v>
      </c>
      <c r="M99" s="24">
        <v>50000</v>
      </c>
      <c r="O99" s="46" t="s">
        <v>97</v>
      </c>
      <c r="P99" s="46">
        <f>HEX2DEC(RIGHT(Table13232127[[#This Row],[h1]],8))</f>
        <v>0</v>
      </c>
      <c r="Q99" s="46" t="s">
        <v>97</v>
      </c>
      <c r="R99" s="46">
        <f>HEX2DEC(RIGHT(Table13232127[[#This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260</v>
      </c>
      <c r="G100" s="33">
        <v>5000</v>
      </c>
      <c r="I100" s="24">
        <v>1</v>
      </c>
      <c r="J100" s="24">
        <v>50000</v>
      </c>
      <c r="M100" s="24">
        <v>50000</v>
      </c>
      <c r="O100" s="46" t="s">
        <v>97</v>
      </c>
      <c r="P100" s="46">
        <f>HEX2DEC(RIGHT(Table13232127[[#This Row],[h1]],8))</f>
        <v>0</v>
      </c>
      <c r="Q100" s="46" t="s">
        <v>97</v>
      </c>
      <c r="R100" s="46">
        <f>HEX2DEC(RIGHT(Table13232127[[#This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261</v>
      </c>
      <c r="G101" s="33">
        <v>5000</v>
      </c>
      <c r="I101" s="24">
        <v>2</v>
      </c>
      <c r="J101" s="24">
        <v>50000</v>
      </c>
      <c r="M101" s="24">
        <v>50000</v>
      </c>
      <c r="O101" s="46" t="s">
        <v>97</v>
      </c>
      <c r="P101" s="46">
        <f>HEX2DEC(RIGHT(Table13232127[[#This Row],[h1]],8))</f>
        <v>0</v>
      </c>
      <c r="Q101" s="46" t="s">
        <v>97</v>
      </c>
      <c r="R101" s="46">
        <f>HEX2DEC(RIGHT(Table13232127[[#This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262</v>
      </c>
      <c r="G102" s="33">
        <v>5000</v>
      </c>
      <c r="I102" s="24">
        <v>1</v>
      </c>
      <c r="J102" s="24">
        <v>50000</v>
      </c>
      <c r="M102" s="24">
        <v>50000</v>
      </c>
      <c r="O102" s="46" t="s">
        <v>97</v>
      </c>
      <c r="P102" s="46">
        <f>HEX2DEC(RIGHT(Table13232127[[#This Row],[h1]],8))</f>
        <v>0</v>
      </c>
      <c r="Q102" s="46" t="s">
        <v>97</v>
      </c>
      <c r="R102" s="46">
        <f>HEX2DEC(RIGHT(Table13232127[[#This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263</v>
      </c>
      <c r="G103" s="33">
        <v>5000</v>
      </c>
      <c r="I103" s="24">
        <v>3</v>
      </c>
      <c r="J103" s="24">
        <v>50000</v>
      </c>
      <c r="M103" s="24">
        <v>50000</v>
      </c>
      <c r="O103" s="46" t="s">
        <v>97</v>
      </c>
      <c r="P103" s="46">
        <f>HEX2DEC(RIGHT(Table13232127[[#This Row],[h1]],8))</f>
        <v>0</v>
      </c>
      <c r="Q103" s="46" t="s">
        <v>97</v>
      </c>
      <c r="R103" s="46">
        <f>HEX2DEC(RIGHT(Table13232127[[#This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264</v>
      </c>
      <c r="G104" s="33">
        <v>5000</v>
      </c>
      <c r="I104" s="24">
        <v>1</v>
      </c>
      <c r="J104" s="24">
        <v>50000</v>
      </c>
      <c r="M104" s="24">
        <v>50000</v>
      </c>
      <c r="O104" s="46" t="s">
        <v>97</v>
      </c>
      <c r="P104" s="46">
        <f>HEX2DEC(RIGHT(Table13232127[[#This Row],[h1]],8))</f>
        <v>0</v>
      </c>
      <c r="Q104" s="46" t="s">
        <v>97</v>
      </c>
      <c r="R104" s="46">
        <f>HEX2DEC(RIGHT(Table13232127[[#This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265</v>
      </c>
      <c r="G105" s="33">
        <v>5000</v>
      </c>
      <c r="I105" s="24">
        <v>2</v>
      </c>
      <c r="J105" s="24">
        <v>50000</v>
      </c>
      <c r="M105" s="24">
        <v>50000</v>
      </c>
      <c r="O105" s="46" t="s">
        <v>97</v>
      </c>
      <c r="P105" s="46">
        <f>HEX2DEC(RIGHT(Table13232127[[#This Row],[h1]],8))</f>
        <v>0</v>
      </c>
      <c r="Q105" s="46" t="s">
        <v>97</v>
      </c>
      <c r="R105" s="46">
        <f>HEX2DEC(RIGHT(Table13232127[[#This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D106" s="15" t="s">
        <v>266</v>
      </c>
      <c r="G106" s="33">
        <v>5000</v>
      </c>
      <c r="I106" s="24">
        <v>1</v>
      </c>
      <c r="J106" s="24">
        <v>50000</v>
      </c>
      <c r="M106" s="24">
        <v>50000</v>
      </c>
      <c r="O106" s="46" t="s">
        <v>97</v>
      </c>
      <c r="P106" s="46">
        <f>HEX2DEC(RIGHT(Table13232127[[#This Row],[h1]],8))</f>
        <v>0</v>
      </c>
      <c r="Q106" s="46" t="s">
        <v>97</v>
      </c>
      <c r="R106" s="46">
        <f>HEX2DEC(RIGHT(Table13232127[[#This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267</v>
      </c>
      <c r="G107" s="33">
        <v>5000</v>
      </c>
      <c r="I107" s="24">
        <v>4</v>
      </c>
      <c r="J107" s="24">
        <v>50000</v>
      </c>
      <c r="M107" s="24">
        <v>50000</v>
      </c>
      <c r="O107" s="46" t="s">
        <v>97</v>
      </c>
      <c r="P107" s="46">
        <f>HEX2DEC(RIGHT(Table13232127[[#This Row],[h1]],8))</f>
        <v>0</v>
      </c>
      <c r="Q107" s="46" t="s">
        <v>97</v>
      </c>
      <c r="R107" s="46">
        <f>HEX2DEC(RIGHT(Table13232127[[#This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268</v>
      </c>
      <c r="G108" s="33">
        <v>5000</v>
      </c>
      <c r="I108" s="24">
        <v>1</v>
      </c>
      <c r="J108" s="24">
        <v>50000</v>
      </c>
      <c r="M108" s="24">
        <v>50000</v>
      </c>
      <c r="O108" s="46" t="s">
        <v>97</v>
      </c>
      <c r="P108" s="46">
        <f>HEX2DEC(RIGHT(Table13232127[[#This Row],[h1]],8))</f>
        <v>0</v>
      </c>
      <c r="Q108" s="46" t="s">
        <v>97</v>
      </c>
      <c r="R108" s="46">
        <f>HEX2DEC(RIGHT(Table13232127[[#This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269</v>
      </c>
      <c r="G109" s="33">
        <v>5000</v>
      </c>
      <c r="I109" s="24">
        <v>2</v>
      </c>
      <c r="J109" s="24">
        <v>50000</v>
      </c>
      <c r="M109" s="24">
        <v>50000</v>
      </c>
      <c r="O109" s="46" t="s">
        <v>97</v>
      </c>
      <c r="P109" s="46">
        <f>HEX2DEC(RIGHT(Table13232127[[#This Row],[h1]],8))</f>
        <v>0</v>
      </c>
      <c r="Q109" s="46" t="s">
        <v>97</v>
      </c>
      <c r="R109" s="46">
        <f>HEX2DEC(RIGHT(Table13232127[[#This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270</v>
      </c>
      <c r="G110" s="33">
        <v>5000</v>
      </c>
      <c r="I110" s="24">
        <v>1</v>
      </c>
      <c r="J110" s="24">
        <v>50000</v>
      </c>
      <c r="M110" s="24">
        <v>50000</v>
      </c>
      <c r="O110" s="46" t="s">
        <v>97</v>
      </c>
      <c r="P110" s="46">
        <f>HEX2DEC(RIGHT(Table13232127[[#This Row],[h1]],8))</f>
        <v>0</v>
      </c>
      <c r="Q110" s="46" t="s">
        <v>97</v>
      </c>
      <c r="R110" s="46">
        <f>HEX2DEC(RIGHT(Table13232127[[#This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271</v>
      </c>
      <c r="G111" s="33">
        <v>5000</v>
      </c>
      <c r="I111" s="24">
        <v>3</v>
      </c>
      <c r="J111" s="24">
        <v>50000</v>
      </c>
      <c r="M111" s="24">
        <v>50000</v>
      </c>
      <c r="O111" s="46" t="s">
        <v>97</v>
      </c>
      <c r="P111" s="46">
        <f>HEX2DEC(RIGHT(Table13232127[[#This Row],[h1]],8))</f>
        <v>0</v>
      </c>
      <c r="Q111" s="46" t="s">
        <v>97</v>
      </c>
      <c r="R111" s="46">
        <f>HEX2DEC(RIGHT(Table13232127[[#This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272</v>
      </c>
      <c r="G112" s="33">
        <v>5000</v>
      </c>
      <c r="I112" s="24">
        <v>1</v>
      </c>
      <c r="J112" s="24">
        <v>50000</v>
      </c>
      <c r="M112" s="24">
        <v>50000</v>
      </c>
      <c r="O112" s="46" t="s">
        <v>97</v>
      </c>
      <c r="P112" s="46">
        <f>HEX2DEC(RIGHT(Table13232127[[#This Row],[h1]],8))</f>
        <v>0</v>
      </c>
      <c r="Q112" s="46" t="s">
        <v>97</v>
      </c>
      <c r="R112" s="46">
        <f>HEX2DEC(RIGHT(Table13232127[[#This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273</v>
      </c>
      <c r="G113" s="33">
        <v>5000</v>
      </c>
      <c r="I113" s="24">
        <v>2</v>
      </c>
      <c r="J113" s="24">
        <v>50000</v>
      </c>
      <c r="M113" s="24">
        <v>50000</v>
      </c>
      <c r="O113" s="46" t="s">
        <v>97</v>
      </c>
      <c r="P113" s="46">
        <f>HEX2DEC(RIGHT(Table13232127[[#This Row],[h1]],8))</f>
        <v>0</v>
      </c>
      <c r="Q113" s="46" t="s">
        <v>97</v>
      </c>
      <c r="R113" s="46">
        <f>HEX2DEC(RIGHT(Table13232127[[#This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274</v>
      </c>
      <c r="G114" s="33">
        <v>5000</v>
      </c>
      <c r="I114" s="24">
        <v>1</v>
      </c>
      <c r="J114" s="24">
        <v>50000</v>
      </c>
      <c r="M114" s="24">
        <v>50000</v>
      </c>
      <c r="O114" s="46" t="s">
        <v>97</v>
      </c>
      <c r="P114" s="46">
        <f>HEX2DEC(RIGHT(Table13232127[[#This Row],[h1]],8))</f>
        <v>0</v>
      </c>
      <c r="Q114" s="46" t="s">
        <v>97</v>
      </c>
      <c r="R114" s="46">
        <f>HEX2DEC(RIGHT(Table13232127[[#This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275</v>
      </c>
      <c r="G115" s="33">
        <v>5000</v>
      </c>
      <c r="I115" s="24">
        <v>3</v>
      </c>
      <c r="J115" s="24">
        <v>50000</v>
      </c>
      <c r="M115" s="24">
        <v>50000</v>
      </c>
      <c r="O115" s="46" t="s">
        <v>97</v>
      </c>
      <c r="P115" s="46">
        <f>HEX2DEC(RIGHT(Table13232127[[#This Row],[h1]],8))</f>
        <v>0</v>
      </c>
      <c r="Q115" s="46" t="s">
        <v>97</v>
      </c>
      <c r="R115" s="46">
        <f>HEX2DEC(RIGHT(Table13232127[[#This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276</v>
      </c>
      <c r="F116" s="22"/>
      <c r="G116" s="33">
        <v>5000</v>
      </c>
      <c r="I116" s="24">
        <v>1</v>
      </c>
      <c r="J116" s="24">
        <v>50000</v>
      </c>
      <c r="M116" s="24">
        <v>50000</v>
      </c>
      <c r="O116" s="46" t="s">
        <v>97</v>
      </c>
      <c r="P116" s="46">
        <f>HEX2DEC(RIGHT(Table13232127[[#This Row],[h1]],8))</f>
        <v>0</v>
      </c>
      <c r="Q116" s="46" t="s">
        <v>97</v>
      </c>
      <c r="R116" s="46">
        <f>HEX2DEC(RIGHT(Table13232127[[#This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277</v>
      </c>
      <c r="F117" s="22"/>
      <c r="G117" s="33">
        <v>5000</v>
      </c>
      <c r="I117" s="24">
        <v>2</v>
      </c>
      <c r="J117" s="24">
        <v>50000</v>
      </c>
      <c r="M117" s="24">
        <v>50000</v>
      </c>
      <c r="O117" s="46" t="s">
        <v>97</v>
      </c>
      <c r="P117" s="46">
        <f>HEX2DEC(RIGHT(Table13232127[[#This Row],[h1]],8))</f>
        <v>0</v>
      </c>
      <c r="Q117" s="46" t="s">
        <v>97</v>
      </c>
      <c r="R117" s="46">
        <f>HEX2DEC(RIGHT(Table13232127[[#This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278</v>
      </c>
      <c r="F118" s="22"/>
      <c r="G118" s="33">
        <v>5000</v>
      </c>
      <c r="I118" s="24">
        <v>1</v>
      </c>
      <c r="J118" s="24">
        <v>50000</v>
      </c>
      <c r="M118" s="24">
        <v>50000</v>
      </c>
      <c r="O118" s="46" t="s">
        <v>97</v>
      </c>
      <c r="P118" s="46">
        <f>HEX2DEC(RIGHT(Table13232127[[#This Row],[h1]],8))</f>
        <v>0</v>
      </c>
      <c r="Q118" s="46" t="s">
        <v>97</v>
      </c>
      <c r="R118" s="46">
        <f>HEX2DEC(RIGHT(Table13232127[[#This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279</v>
      </c>
      <c r="F119" s="22"/>
      <c r="G119" s="33">
        <v>5000</v>
      </c>
      <c r="I119" s="24">
        <v>4</v>
      </c>
      <c r="J119" s="24">
        <v>50000</v>
      </c>
      <c r="M119" s="24">
        <v>50000</v>
      </c>
      <c r="O119" s="46" t="s">
        <v>97</v>
      </c>
      <c r="P119" s="46">
        <f>HEX2DEC(RIGHT(Table13232127[[#This Row],[h1]],8))</f>
        <v>0</v>
      </c>
      <c r="Q119" s="46" t="s">
        <v>97</v>
      </c>
      <c r="R119" s="46">
        <f>HEX2DEC(RIGHT(Table13232127[[#This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280</v>
      </c>
      <c r="F120" s="22"/>
      <c r="G120" s="33">
        <v>5000</v>
      </c>
      <c r="I120" s="24">
        <v>1</v>
      </c>
      <c r="J120" s="24">
        <v>50000</v>
      </c>
      <c r="M120" s="24">
        <v>50000</v>
      </c>
      <c r="O120" s="46" t="s">
        <v>97</v>
      </c>
      <c r="P120" s="46">
        <f>HEX2DEC(RIGHT(Table13232127[[#This Row],[h1]],8))</f>
        <v>0</v>
      </c>
      <c r="Q120" s="46" t="s">
        <v>97</v>
      </c>
      <c r="R120" s="46">
        <f>HEX2DEC(RIGHT(Table13232127[[#This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F121" s="22"/>
      <c r="G121" s="33"/>
      <c r="I121" s="24">
        <v>2</v>
      </c>
      <c r="J121" s="24">
        <v>50000</v>
      </c>
      <c r="M121" s="24">
        <v>50000</v>
      </c>
      <c r="O121" s="46" t="s">
        <v>97</v>
      </c>
      <c r="P121" s="46">
        <f>HEX2DEC(RIGHT(Table13232127[[#This Row],[h1]],8))</f>
        <v>0</v>
      </c>
      <c r="Q121" s="46" t="s">
        <v>97</v>
      </c>
      <c r="R121" s="46">
        <f>HEX2DEC(RIGHT(Table13232127[[#This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692</v>
      </c>
      <c r="G122" s="59" t="s">
        <v>724</v>
      </c>
      <c r="I122" s="24">
        <v>1</v>
      </c>
      <c r="J122" s="24">
        <v>50000</v>
      </c>
      <c r="M122" s="24">
        <v>50000</v>
      </c>
      <c r="O122" s="46" t="s">
        <v>97</v>
      </c>
      <c r="P122" s="46">
        <f>HEX2DEC(RIGHT(Table13232127[[#This Row],[h1]],8))</f>
        <v>0</v>
      </c>
      <c r="Q122" s="46" t="s">
        <v>97</v>
      </c>
      <c r="R122" s="46">
        <f>HEX2DEC(RIGHT(Table13232127[[#This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693</v>
      </c>
      <c r="G123" s="59" t="s">
        <v>724</v>
      </c>
      <c r="I123" s="24">
        <v>3</v>
      </c>
      <c r="J123" s="24">
        <v>50000</v>
      </c>
      <c r="M123" s="24">
        <v>50000</v>
      </c>
      <c r="O123" s="46" t="s">
        <v>97</v>
      </c>
      <c r="P123" s="46">
        <f>HEX2DEC(RIGHT(Table13232127[[#This Row],[h1]],8))</f>
        <v>0</v>
      </c>
      <c r="Q123" s="46" t="s">
        <v>97</v>
      </c>
      <c r="R123" s="46">
        <f>HEX2DEC(RIGHT(Table13232127[[#This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694</v>
      </c>
      <c r="G124" s="59" t="s">
        <v>726</v>
      </c>
      <c r="I124" s="24">
        <v>1</v>
      </c>
      <c r="J124" s="24">
        <v>50000</v>
      </c>
      <c r="M124" s="24">
        <v>50000</v>
      </c>
      <c r="O124" s="46" t="s">
        <v>97</v>
      </c>
      <c r="P124" s="46">
        <f>HEX2DEC(RIGHT(Table13232127[[#This Row],[h1]],8))</f>
        <v>0</v>
      </c>
      <c r="Q124" s="46" t="s">
        <v>97</v>
      </c>
      <c r="R124" s="46">
        <f>HEX2DEC(RIGHT(Table13232127[[#This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695</v>
      </c>
      <c r="G125" s="59" t="s">
        <v>728</v>
      </c>
      <c r="I125" s="24">
        <v>2</v>
      </c>
      <c r="J125" s="24">
        <v>50000</v>
      </c>
      <c r="M125" s="24">
        <v>50000</v>
      </c>
      <c r="O125" s="46" t="s">
        <v>97</v>
      </c>
      <c r="P125" s="46">
        <f>HEX2DEC(RIGHT(Table13232127[[#This Row],[h1]],8))</f>
        <v>0</v>
      </c>
      <c r="Q125" s="46" t="s">
        <v>97</v>
      </c>
      <c r="R125" s="46">
        <f>HEX2DEC(RIGHT(Table13232127[[#This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696</v>
      </c>
      <c r="G126" s="59" t="s">
        <v>729</v>
      </c>
      <c r="I126" s="24">
        <v>1</v>
      </c>
      <c r="J126" s="24">
        <v>50000</v>
      </c>
      <c r="M126" s="24">
        <v>50000</v>
      </c>
      <c r="O126" s="46" t="s">
        <v>97</v>
      </c>
      <c r="P126" s="46">
        <f>HEX2DEC(RIGHT(Table13232127[[#This Row],[h1]],8))</f>
        <v>0</v>
      </c>
      <c r="Q126" s="46" t="s">
        <v>97</v>
      </c>
      <c r="R126" s="46">
        <f>HEX2DEC(RIGHT(Table13232127[[#This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697</v>
      </c>
      <c r="G127" s="59" t="s">
        <v>730</v>
      </c>
      <c r="I127" s="24">
        <v>3</v>
      </c>
      <c r="J127" s="24">
        <v>50000</v>
      </c>
      <c r="M127" s="24">
        <v>50000</v>
      </c>
      <c r="O127" s="46" t="s">
        <v>97</v>
      </c>
      <c r="P127" s="46">
        <f>HEX2DEC(RIGHT(Table13232127[[#This Row],[h1]],8))</f>
        <v>0</v>
      </c>
      <c r="Q127" s="46" t="s">
        <v>97</v>
      </c>
      <c r="R127" s="46">
        <f>HEX2DEC(RIGHT(Table13232127[[#This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698</v>
      </c>
      <c r="G128" s="59" t="s">
        <v>731</v>
      </c>
      <c r="I128" s="24">
        <v>1</v>
      </c>
      <c r="J128" s="24">
        <v>50000</v>
      </c>
      <c r="M128" s="24">
        <v>50000</v>
      </c>
      <c r="O128" s="46" t="s">
        <v>97</v>
      </c>
      <c r="P128" s="46">
        <f>HEX2DEC(RIGHT(Table13232127[[#This Row],[h1]],8))</f>
        <v>0</v>
      </c>
      <c r="Q128" s="46" t="s">
        <v>97</v>
      </c>
      <c r="R128" s="46">
        <f>HEX2DEC(RIGHT(Table13232127[[#This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699</v>
      </c>
      <c r="G129" s="59" t="s">
        <v>724</v>
      </c>
      <c r="I129" s="24">
        <v>2</v>
      </c>
      <c r="J129" s="24">
        <v>50000</v>
      </c>
      <c r="M129" s="24">
        <v>50000</v>
      </c>
      <c r="O129" s="46" t="s">
        <v>97</v>
      </c>
      <c r="P129" s="46">
        <f>HEX2DEC(RIGHT(Table13232127[[#This Row],[h1]],8))</f>
        <v>0</v>
      </c>
      <c r="Q129" s="46" t="s">
        <v>97</v>
      </c>
      <c r="R129" s="46">
        <f>HEX2DEC(RIGHT(Table13232127[[#This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700</v>
      </c>
      <c r="G130" s="59" t="s">
        <v>724</v>
      </c>
      <c r="I130" s="24">
        <v>1</v>
      </c>
      <c r="J130" s="24">
        <v>50000</v>
      </c>
      <c r="M130" s="24">
        <v>50000</v>
      </c>
      <c r="O130" s="46" t="s">
        <v>97</v>
      </c>
      <c r="P130" s="46">
        <f>HEX2DEC(RIGHT(Table13232127[[#This Row],[h1]],8))</f>
        <v>0</v>
      </c>
      <c r="Q130" s="46" t="s">
        <v>97</v>
      </c>
      <c r="R130" s="46">
        <f>HEX2DEC(RIGHT(Table13232127[[#This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701</v>
      </c>
      <c r="G131" s="59" t="s">
        <v>724</v>
      </c>
      <c r="I131" s="24">
        <v>4</v>
      </c>
      <c r="J131" s="24">
        <v>50000</v>
      </c>
      <c r="M131" s="24">
        <v>50000</v>
      </c>
      <c r="O131" s="46" t="s">
        <v>97</v>
      </c>
      <c r="P131" s="46">
        <f>HEX2DEC(RIGHT(Table13232127[[#This Row],[h1]],8))</f>
        <v>0</v>
      </c>
      <c r="Q131" s="46" t="s">
        <v>97</v>
      </c>
      <c r="R131" s="46">
        <f>HEX2DEC(RIGHT(Table13232127[[#This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702</v>
      </c>
      <c r="G132" s="59" t="s">
        <v>724</v>
      </c>
      <c r="I132" s="24">
        <v>1</v>
      </c>
      <c r="J132" s="24">
        <v>50000</v>
      </c>
      <c r="M132" s="24">
        <v>50000</v>
      </c>
      <c r="O132" s="46" t="s">
        <v>97</v>
      </c>
      <c r="P132" s="46">
        <f>HEX2DEC(RIGHT(Table13232127[[#This Row],[h1]],8))</f>
        <v>0</v>
      </c>
      <c r="Q132" s="46" t="s">
        <v>97</v>
      </c>
      <c r="R132" s="46">
        <f>HEX2DEC(RIGHT(Table13232127[[#This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703</v>
      </c>
      <c r="G133" s="59" t="s">
        <v>724</v>
      </c>
      <c r="I133" s="24">
        <v>2</v>
      </c>
      <c r="J133" s="24">
        <v>50000</v>
      </c>
      <c r="M133" s="24">
        <v>50000</v>
      </c>
      <c r="O133" s="46" t="s">
        <v>97</v>
      </c>
      <c r="P133" s="46">
        <f>HEX2DEC(RIGHT(Table13232127[[#This Row],[h1]],8))</f>
        <v>0</v>
      </c>
      <c r="Q133" s="46" t="s">
        <v>97</v>
      </c>
      <c r="R133" s="46">
        <f>HEX2DEC(RIGHT(Table13232127[[#This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704</v>
      </c>
      <c r="G134" s="59" t="s">
        <v>724</v>
      </c>
      <c r="I134" s="24">
        <v>1</v>
      </c>
      <c r="J134" s="24">
        <v>50000</v>
      </c>
      <c r="M134" s="24">
        <v>50000</v>
      </c>
      <c r="O134" s="46" t="s">
        <v>97</v>
      </c>
      <c r="P134" s="46">
        <f>HEX2DEC(RIGHT(Table13232127[[#This Row],[h1]],8))</f>
        <v>0</v>
      </c>
      <c r="Q134" s="46" t="s">
        <v>97</v>
      </c>
      <c r="R134" s="46">
        <f>HEX2DEC(RIGHT(Table13232127[[#This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705</v>
      </c>
      <c r="G135" s="59" t="s">
        <v>724</v>
      </c>
      <c r="I135" s="24">
        <v>3</v>
      </c>
      <c r="J135" s="24">
        <v>50000</v>
      </c>
      <c r="M135" s="24">
        <v>50000</v>
      </c>
      <c r="O135" s="46" t="s">
        <v>97</v>
      </c>
      <c r="P135" s="46">
        <f>HEX2DEC(RIGHT(Table13232127[[#This Row],[h1]],8))</f>
        <v>0</v>
      </c>
      <c r="Q135" s="46" t="s">
        <v>97</v>
      </c>
      <c r="R135" s="46">
        <f>HEX2DEC(RIGHT(Table13232127[[#This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706</v>
      </c>
      <c r="G136" s="59" t="s">
        <v>724</v>
      </c>
      <c r="I136" s="24">
        <v>1</v>
      </c>
      <c r="J136" s="24">
        <v>50000</v>
      </c>
      <c r="M136" s="24">
        <v>50000</v>
      </c>
      <c r="O136" s="46" t="s">
        <v>97</v>
      </c>
      <c r="P136" s="46">
        <f>HEX2DEC(RIGHT(Table13232127[[#This Row],[h1]],8))</f>
        <v>0</v>
      </c>
      <c r="Q136" s="46" t="s">
        <v>97</v>
      </c>
      <c r="R136" s="46">
        <f>HEX2DEC(RIGHT(Table13232127[[#This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707</v>
      </c>
      <c r="G137" s="59" t="s">
        <v>724</v>
      </c>
      <c r="I137" s="24">
        <v>2</v>
      </c>
      <c r="J137" s="24">
        <v>50000</v>
      </c>
      <c r="M137" s="24">
        <v>50000</v>
      </c>
      <c r="O137" s="46" t="s">
        <v>97</v>
      </c>
      <c r="P137" s="46">
        <f>HEX2DEC(RIGHT(Table13232127[[#This Row],[h1]],8))</f>
        <v>0</v>
      </c>
      <c r="Q137" s="46" t="s">
        <v>97</v>
      </c>
      <c r="R137" s="46">
        <f>HEX2DEC(RIGHT(Table13232127[[#This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708</v>
      </c>
      <c r="G138" s="59" t="s">
        <v>724</v>
      </c>
      <c r="I138" s="24">
        <v>1</v>
      </c>
      <c r="J138" s="24">
        <v>50000</v>
      </c>
      <c r="M138" s="24">
        <v>50000</v>
      </c>
      <c r="O138" s="46" t="s">
        <v>97</v>
      </c>
      <c r="P138" s="46">
        <f>HEX2DEC(RIGHT(Table13232127[[#This Row],[h1]],8))</f>
        <v>0</v>
      </c>
      <c r="Q138" s="46" t="s">
        <v>97</v>
      </c>
      <c r="R138" s="46">
        <f>HEX2DEC(RIGHT(Table13232127[[#This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D139" s="15" t="s">
        <v>709</v>
      </c>
      <c r="G139" s="59" t="s">
        <v>724</v>
      </c>
      <c r="I139" s="24">
        <v>3</v>
      </c>
      <c r="J139" s="24">
        <v>50000</v>
      </c>
      <c r="M139" s="24">
        <v>50000</v>
      </c>
      <c r="O139" s="46" t="s">
        <v>97</v>
      </c>
      <c r="P139" s="46">
        <f>HEX2DEC(RIGHT(Table13232127[[#This Row],[h1]],8))</f>
        <v>0</v>
      </c>
      <c r="Q139" s="46" t="s">
        <v>97</v>
      </c>
      <c r="R139" s="46">
        <f>HEX2DEC(RIGHT(Table13232127[[#This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15" t="s">
        <v>710</v>
      </c>
      <c r="G140" s="59" t="s">
        <v>724</v>
      </c>
      <c r="I140" s="24">
        <v>1</v>
      </c>
      <c r="J140" s="24">
        <v>50000</v>
      </c>
      <c r="M140" s="24">
        <v>50000</v>
      </c>
      <c r="O140" s="46" t="s">
        <v>97</v>
      </c>
      <c r="P140" s="46">
        <f>HEX2DEC(RIGHT(Table13232127[[#This Row],[h1]],8))</f>
        <v>0</v>
      </c>
      <c r="Q140" s="46" t="s">
        <v>97</v>
      </c>
      <c r="R140" s="46">
        <f>HEX2DEC(RIGHT(Table13232127[[#This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15" t="s">
        <v>711</v>
      </c>
      <c r="G141" s="59" t="s">
        <v>724</v>
      </c>
      <c r="I141" s="24">
        <v>2</v>
      </c>
      <c r="J141" s="24">
        <v>50000</v>
      </c>
      <c r="M141" s="24">
        <v>50000</v>
      </c>
      <c r="O141" s="46" t="s">
        <v>97</v>
      </c>
      <c r="P141" s="46">
        <f>HEX2DEC(RIGHT(Table13232127[[#This Row],[h1]],8))</f>
        <v>0</v>
      </c>
      <c r="Q141" s="46" t="s">
        <v>97</v>
      </c>
      <c r="R141" s="46">
        <f>HEX2DEC(RIGHT(Table13232127[[#This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D142" s="15" t="s">
        <v>712</v>
      </c>
      <c r="G142" s="59" t="s">
        <v>724</v>
      </c>
      <c r="I142" s="24">
        <v>1</v>
      </c>
      <c r="J142" s="24">
        <v>50000</v>
      </c>
      <c r="M142" s="24">
        <v>50000</v>
      </c>
      <c r="O142" s="46" t="s">
        <v>97</v>
      </c>
      <c r="P142" s="46">
        <f>HEX2DEC(RIGHT(Table13232127[[#This Row],[h1]],8))</f>
        <v>0</v>
      </c>
      <c r="Q142" s="46" t="s">
        <v>97</v>
      </c>
      <c r="R142" s="46">
        <f>HEX2DEC(RIGHT(Table13232127[[#This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713</v>
      </c>
      <c r="G143" s="59" t="s">
        <v>724</v>
      </c>
      <c r="I143" s="24">
        <v>4</v>
      </c>
      <c r="J143" s="24">
        <v>50000</v>
      </c>
      <c r="M143" s="24">
        <v>50000</v>
      </c>
      <c r="O143" s="46" t="s">
        <v>97</v>
      </c>
      <c r="P143" s="46">
        <f>HEX2DEC(RIGHT(Table13232127[[#This Row],[h1]],8))</f>
        <v>0</v>
      </c>
      <c r="Q143" s="46" t="s">
        <v>97</v>
      </c>
      <c r="R143" s="46">
        <f>HEX2DEC(RIGHT(Table13232127[[#This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714</v>
      </c>
      <c r="G144" s="59" t="s">
        <v>724</v>
      </c>
      <c r="I144" s="24">
        <v>1</v>
      </c>
      <c r="J144" s="24">
        <v>50000</v>
      </c>
      <c r="M144" s="24">
        <v>50000</v>
      </c>
      <c r="O144" s="46" t="s">
        <v>97</v>
      </c>
      <c r="P144" s="46">
        <f>HEX2DEC(RIGHT(Table13232127[[#This Row],[h1]],8))</f>
        <v>0</v>
      </c>
      <c r="Q144" s="46" t="s">
        <v>97</v>
      </c>
      <c r="R144" s="46">
        <f>HEX2DEC(RIGHT(Table13232127[[#This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715</v>
      </c>
      <c r="G145" s="59" t="s">
        <v>724</v>
      </c>
      <c r="I145" s="24">
        <v>2</v>
      </c>
      <c r="J145" s="24">
        <v>50000</v>
      </c>
      <c r="M145" s="24">
        <v>50000</v>
      </c>
      <c r="O145" s="46" t="s">
        <v>97</v>
      </c>
      <c r="P145" s="46">
        <f>HEX2DEC(RIGHT(Table13232127[[#This Row],[h1]],8))</f>
        <v>0</v>
      </c>
      <c r="Q145" s="46" t="s">
        <v>97</v>
      </c>
      <c r="R145" s="46">
        <f>HEX2DEC(RIGHT(Table13232127[[#This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D146" s="15" t="s">
        <v>716</v>
      </c>
      <c r="G146" s="59" t="s">
        <v>724</v>
      </c>
      <c r="I146" s="24">
        <v>1</v>
      </c>
      <c r="J146" s="24">
        <v>50000</v>
      </c>
      <c r="M146" s="24">
        <v>50000</v>
      </c>
      <c r="O146" s="46" t="s">
        <v>97</v>
      </c>
      <c r="P146" s="46">
        <f>HEX2DEC(RIGHT(Table13232127[[#This Row],[h1]],8))</f>
        <v>0</v>
      </c>
      <c r="Q146" s="46" t="s">
        <v>97</v>
      </c>
      <c r="R146" s="46">
        <f>HEX2DEC(RIGHT(Table13232127[[#This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717</v>
      </c>
      <c r="G147" s="59" t="s">
        <v>724</v>
      </c>
      <c r="I147" s="24">
        <v>3</v>
      </c>
      <c r="J147" s="24">
        <v>50000</v>
      </c>
      <c r="M147" s="24">
        <v>50000</v>
      </c>
      <c r="O147" s="46" t="s">
        <v>97</v>
      </c>
      <c r="P147" s="46">
        <f>HEX2DEC(RIGHT(Table13232127[[#This Row],[h1]],8))</f>
        <v>0</v>
      </c>
      <c r="Q147" s="46" t="s">
        <v>97</v>
      </c>
      <c r="R147" s="46">
        <f>HEX2DEC(RIGHT(Table13232127[[#This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718</v>
      </c>
      <c r="G148" s="59" t="s">
        <v>724</v>
      </c>
      <c r="I148" s="24">
        <v>1</v>
      </c>
      <c r="J148" s="24">
        <v>50000</v>
      </c>
      <c r="M148" s="24">
        <v>50000</v>
      </c>
      <c r="O148" s="46" t="s">
        <v>97</v>
      </c>
      <c r="P148" s="46">
        <f>HEX2DEC(RIGHT(Table13232127[[#This Row],[h1]],8))</f>
        <v>0</v>
      </c>
      <c r="Q148" s="46" t="s">
        <v>97</v>
      </c>
      <c r="R148" s="46">
        <f>HEX2DEC(RIGHT(Table13232127[[#This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719</v>
      </c>
      <c r="F149" s="22"/>
      <c r="G149" s="59" t="s">
        <v>724</v>
      </c>
      <c r="I149" s="24">
        <v>2</v>
      </c>
      <c r="J149" s="24">
        <v>50000</v>
      </c>
      <c r="M149" s="24">
        <v>50000</v>
      </c>
      <c r="O149" s="46" t="s">
        <v>97</v>
      </c>
      <c r="P149" s="46">
        <f>HEX2DEC(RIGHT(Table13232127[[#This Row],[h1]],8))</f>
        <v>0</v>
      </c>
      <c r="Q149" s="46" t="s">
        <v>97</v>
      </c>
      <c r="R149" s="46">
        <f>HEX2DEC(RIGHT(Table13232127[[#This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720</v>
      </c>
      <c r="F150" s="22"/>
      <c r="G150" s="59" t="s">
        <v>724</v>
      </c>
      <c r="I150" s="24">
        <v>1</v>
      </c>
      <c r="J150" s="24">
        <v>50000</v>
      </c>
      <c r="M150" s="24">
        <v>50000</v>
      </c>
      <c r="O150" s="46" t="s">
        <v>97</v>
      </c>
      <c r="P150" s="46">
        <f>HEX2DEC(RIGHT(Table13232127[[#This Row],[h1]],8))</f>
        <v>0</v>
      </c>
      <c r="Q150" s="46" t="s">
        <v>97</v>
      </c>
      <c r="R150" s="46">
        <f>HEX2DEC(RIGHT(Table13232127[[#This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D151" s="15" t="s">
        <v>721</v>
      </c>
      <c r="F151" s="22"/>
      <c r="G151" s="59" t="s">
        <v>724</v>
      </c>
      <c r="I151" s="24">
        <v>3</v>
      </c>
      <c r="J151" s="24">
        <v>50000</v>
      </c>
      <c r="M151" s="24">
        <v>50000</v>
      </c>
      <c r="O151" s="46" t="s">
        <v>97</v>
      </c>
      <c r="P151" s="46">
        <f>HEX2DEC(RIGHT(Table13232127[[#This Row],[h1]],8))</f>
        <v>0</v>
      </c>
      <c r="Q151" s="46" t="s">
        <v>97</v>
      </c>
      <c r="R151" s="46">
        <f>HEX2DEC(RIGHT(Table13232127[[#This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722</v>
      </c>
      <c r="F152" s="22"/>
      <c r="G152" s="59" t="s">
        <v>724</v>
      </c>
      <c r="I152" s="24">
        <v>1</v>
      </c>
      <c r="J152" s="24">
        <v>50000</v>
      </c>
      <c r="M152" s="24">
        <v>50000</v>
      </c>
      <c r="O152" s="46" t="s">
        <v>97</v>
      </c>
      <c r="P152" s="46">
        <f>HEX2DEC(RIGHT(Table13232127[[#This Row],[h1]],8))</f>
        <v>0</v>
      </c>
      <c r="Q152" s="46" t="s">
        <v>97</v>
      </c>
      <c r="R152" s="46">
        <f>HEX2DEC(RIGHT(Table13232127[[#This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723</v>
      </c>
      <c r="F153" s="22"/>
      <c r="G153" s="59" t="s">
        <v>724</v>
      </c>
      <c r="I153" s="24">
        <v>2</v>
      </c>
      <c r="J153" s="24">
        <v>50000</v>
      </c>
      <c r="M153" s="24">
        <v>50000</v>
      </c>
      <c r="O153" s="46" t="s">
        <v>97</v>
      </c>
      <c r="P153" s="46">
        <f>HEX2DEC(RIGHT(Table13232127[[#This Row],[h1]],8))</f>
        <v>0</v>
      </c>
      <c r="Q153" s="46" t="s">
        <v>97</v>
      </c>
      <c r="R153" s="46">
        <f>HEX2DEC(RIGHT(Table13232127[[#This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F154" s="22"/>
      <c r="G154" s="33"/>
      <c r="I154" s="24">
        <v>1</v>
      </c>
      <c r="J154" s="24">
        <v>50000</v>
      </c>
      <c r="M154" s="24">
        <v>50000</v>
      </c>
      <c r="O154" s="46" t="s">
        <v>97</v>
      </c>
      <c r="P154" s="46">
        <f>HEX2DEC(RIGHT(Table13232127[[#This Row],[h1]],8))</f>
        <v>0</v>
      </c>
      <c r="Q154" s="46" t="s">
        <v>97</v>
      </c>
      <c r="R154" s="46">
        <f>HEX2DEC(RIGHT(Table13232127[[#This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35" t="s">
        <v>281</v>
      </c>
      <c r="F155" s="22"/>
      <c r="G155" s="36">
        <v>1</v>
      </c>
      <c r="I155" s="24">
        <v>4</v>
      </c>
      <c r="J155" s="24">
        <v>50000</v>
      </c>
      <c r="M155" s="24">
        <v>50000</v>
      </c>
      <c r="O155" s="46" t="s">
        <v>97</v>
      </c>
      <c r="P155" s="46">
        <f>HEX2DEC(RIGHT(Table13232127[[#This Row],[h1]],8))</f>
        <v>0</v>
      </c>
      <c r="Q155" s="46" t="s">
        <v>97</v>
      </c>
      <c r="R155" s="46">
        <f>HEX2DEC(RIGHT(Table13232127[[#This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35" t="s">
        <v>281</v>
      </c>
      <c r="F156" s="22"/>
      <c r="G156" s="36">
        <v>0</v>
      </c>
      <c r="I156" s="24">
        <v>1</v>
      </c>
      <c r="J156" s="24">
        <v>50000</v>
      </c>
      <c r="M156" s="24">
        <v>50000</v>
      </c>
      <c r="O156" s="46" t="s">
        <v>97</v>
      </c>
      <c r="P156" s="46">
        <f>HEX2DEC(RIGHT(Table13232127[[#This Row],[h1]],8))</f>
        <v>0</v>
      </c>
      <c r="Q156" s="46" t="s">
        <v>97</v>
      </c>
      <c r="R156" s="46">
        <f>HEX2DEC(RIGHT(Table13232127[[#This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F157" s="22"/>
      <c r="G157" s="33"/>
      <c r="I157" s="24">
        <v>2</v>
      </c>
      <c r="J157" s="24">
        <v>50000</v>
      </c>
      <c r="M157" s="24">
        <v>50000</v>
      </c>
      <c r="O157" s="46" t="s">
        <v>97</v>
      </c>
      <c r="P157" s="46">
        <f>HEX2DEC(RIGHT(Table13232127[[#This Row],[h1]],8))</f>
        <v>0</v>
      </c>
      <c r="Q157" s="46" t="s">
        <v>97</v>
      </c>
      <c r="R157" s="46">
        <f>HEX2DEC(RIGHT(Table13232127[[#This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282</v>
      </c>
      <c r="F158" s="22"/>
      <c r="G158" s="32">
        <v>0</v>
      </c>
      <c r="I158" s="24">
        <v>1</v>
      </c>
      <c r="J158" s="24">
        <v>50000</v>
      </c>
      <c r="M158" s="24">
        <v>50000</v>
      </c>
      <c r="O158" s="46" t="s">
        <v>97</v>
      </c>
      <c r="P158" s="46">
        <f>HEX2DEC(RIGHT(Table13232127[[#This Row],[h1]],8))</f>
        <v>0</v>
      </c>
      <c r="Q158" s="46" t="s">
        <v>97</v>
      </c>
      <c r="R158" s="46">
        <f>HEX2DEC(RIGHT(Table13232127[[#This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283</v>
      </c>
      <c r="F159" s="22"/>
      <c r="G159" s="32">
        <v>0</v>
      </c>
      <c r="I159" s="24">
        <v>3</v>
      </c>
      <c r="J159" s="24">
        <v>50000</v>
      </c>
      <c r="M159" s="24">
        <v>50000</v>
      </c>
      <c r="O159" s="46" t="s">
        <v>97</v>
      </c>
      <c r="P159" s="46">
        <f>HEX2DEC(RIGHT(Table13232127[[#This Row],[h1]],8))</f>
        <v>0</v>
      </c>
      <c r="Q159" s="46" t="s">
        <v>97</v>
      </c>
      <c r="R159" s="46">
        <f>HEX2DEC(RIGHT(Table13232127[[#This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284</v>
      </c>
      <c r="F160" s="22"/>
      <c r="G160" s="32">
        <v>0</v>
      </c>
      <c r="I160" s="24">
        <v>1</v>
      </c>
      <c r="J160" s="24">
        <v>50000</v>
      </c>
      <c r="M160" s="24">
        <v>50000</v>
      </c>
      <c r="O160" s="46" t="s">
        <v>97</v>
      </c>
      <c r="P160" s="46">
        <f>HEX2DEC(RIGHT(Table13232127[[#This Row],[h1]],8))</f>
        <v>0</v>
      </c>
      <c r="Q160" s="46" t="s">
        <v>97</v>
      </c>
      <c r="R160" s="46">
        <f>HEX2DEC(RIGHT(Table13232127[[#This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F161" s="22"/>
      <c r="G161" s="32"/>
      <c r="I161" s="24">
        <v>2</v>
      </c>
      <c r="J161" s="24">
        <v>50000</v>
      </c>
      <c r="M161" s="24">
        <v>50000</v>
      </c>
      <c r="O161" s="46" t="s">
        <v>97</v>
      </c>
      <c r="P161" s="46">
        <f>HEX2DEC(RIGHT(Table13232127[[#This Row],[h1]],8))</f>
        <v>0</v>
      </c>
      <c r="Q161" s="46" t="s">
        <v>97</v>
      </c>
      <c r="R161" s="46">
        <f>HEX2DEC(RIGHT(Table13232127[[#This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285</v>
      </c>
      <c r="F162" s="22"/>
      <c r="G162" s="32">
        <v>1</v>
      </c>
      <c r="I162" s="24">
        <v>1</v>
      </c>
      <c r="J162" s="24">
        <v>50000</v>
      </c>
      <c r="M162" s="24">
        <v>50000</v>
      </c>
      <c r="O162" s="46" t="s">
        <v>97</v>
      </c>
      <c r="P162" s="46">
        <f>HEX2DEC(RIGHT(Table13232127[[#This Row],[h1]],8))</f>
        <v>0</v>
      </c>
      <c r="Q162" s="46" t="s">
        <v>97</v>
      </c>
      <c r="R162" s="46">
        <f>HEX2DEC(RIGHT(Table13232127[[#This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286</v>
      </c>
      <c r="F163" s="22"/>
      <c r="G163" s="32">
        <v>1</v>
      </c>
      <c r="I163" s="24">
        <v>3</v>
      </c>
      <c r="J163" s="24">
        <v>50000</v>
      </c>
      <c r="M163" s="24">
        <v>50000</v>
      </c>
      <c r="O163" s="46" t="s">
        <v>97</v>
      </c>
      <c r="P163" s="46">
        <f>HEX2DEC(RIGHT(Table13232127[[#This Row],[h1]],8))</f>
        <v>0</v>
      </c>
      <c r="Q163" s="46" t="s">
        <v>97</v>
      </c>
      <c r="R163" s="46">
        <f>HEX2DEC(RIGHT(Table13232127[[#This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287</v>
      </c>
      <c r="F164" s="22"/>
      <c r="G164" s="32">
        <v>1</v>
      </c>
      <c r="I164" s="24">
        <v>1</v>
      </c>
      <c r="J164" s="24">
        <v>50000</v>
      </c>
      <c r="M164" s="24">
        <v>50000</v>
      </c>
      <c r="O164" s="46" t="s">
        <v>97</v>
      </c>
      <c r="P164" s="46">
        <f>HEX2DEC(RIGHT(Table13232127[[#This Row],[h1]],8))</f>
        <v>0</v>
      </c>
      <c r="Q164" s="46" t="s">
        <v>97</v>
      </c>
      <c r="R164" s="46">
        <f>HEX2DEC(RIGHT(Table13232127[[#This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646</v>
      </c>
      <c r="F165" s="22"/>
      <c r="G165" s="32">
        <v>1</v>
      </c>
      <c r="I165" s="24">
        <v>2</v>
      </c>
      <c r="J165" s="24">
        <v>50000</v>
      </c>
      <c r="M165" s="24">
        <v>50000</v>
      </c>
      <c r="O165" s="46" t="s">
        <v>97</v>
      </c>
      <c r="P165" s="46">
        <f>HEX2DEC(RIGHT(Table13232127[[#This Row],[h1]],8))</f>
        <v>0</v>
      </c>
      <c r="Q165" s="46" t="s">
        <v>97</v>
      </c>
      <c r="R165" s="46">
        <f>HEX2DEC(RIGHT(Table13232127[[#This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15">
        <v>125000000</v>
      </c>
      <c r="G166" s="33"/>
      <c r="I166" s="24">
        <v>1</v>
      </c>
      <c r="J166" s="24">
        <v>50000</v>
      </c>
      <c r="M166" s="24">
        <v>50000</v>
      </c>
      <c r="O166" s="46" t="s">
        <v>97</v>
      </c>
      <c r="P166" s="46">
        <f>HEX2DEC(RIGHT(Table13232127[[#This Row],[h1]],8))</f>
        <v>0</v>
      </c>
      <c r="Q166" s="46" t="s">
        <v>97</v>
      </c>
      <c r="R166" s="46">
        <f>HEX2DEC(RIGHT(Table13232127[[#This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292</v>
      </c>
      <c r="E167" s="52"/>
      <c r="F167" s="53">
        <v>15</v>
      </c>
      <c r="G167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15</v>
      </c>
      <c r="I167" s="24">
        <v>4</v>
      </c>
      <c r="J167" s="24">
        <v>50000</v>
      </c>
      <c r="M167" s="24">
        <v>50000</v>
      </c>
      <c r="O167" s="46" t="s">
        <v>97</v>
      </c>
      <c r="P167" s="46">
        <f>HEX2DEC(RIGHT(Table13232127[[#This Row],[h1]],8))</f>
        <v>0</v>
      </c>
      <c r="Q167" s="46" t="s">
        <v>97</v>
      </c>
      <c r="R167" s="46">
        <f>HEX2DEC(RIGHT(Table13232127[[#This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293</v>
      </c>
      <c r="E168" s="52"/>
      <c r="F168" s="53">
        <v>555</v>
      </c>
      <c r="G168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555</v>
      </c>
      <c r="I168" s="24">
        <v>1</v>
      </c>
      <c r="J168" s="24">
        <v>50000</v>
      </c>
      <c r="M168" s="24">
        <v>50000</v>
      </c>
      <c r="O168" s="46" t="s">
        <v>97</v>
      </c>
      <c r="P168" s="46">
        <f>HEX2DEC(RIGHT(Table13232127[[#This Row],[h1]],8))</f>
        <v>0</v>
      </c>
      <c r="Q168" s="46" t="s">
        <v>97</v>
      </c>
      <c r="R168" s="46">
        <f>HEX2DEC(RIGHT(Table13232127[[#This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294</v>
      </c>
      <c r="E169" s="52"/>
      <c r="F169" s="53">
        <v>10545</v>
      </c>
      <c r="G169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10545</v>
      </c>
      <c r="I169" s="24">
        <v>2</v>
      </c>
      <c r="J169" s="24">
        <v>50000</v>
      </c>
      <c r="M169" s="24">
        <v>50000</v>
      </c>
      <c r="O169" s="46" t="s">
        <v>97</v>
      </c>
      <c r="P169" s="46">
        <f>HEX2DEC(RIGHT(Table13232127[[#This Row],[h1]],8))</f>
        <v>0</v>
      </c>
      <c r="Q169" s="46" t="s">
        <v>97</v>
      </c>
      <c r="R169" s="46">
        <f>HEX2DEC(RIGHT(Table13232127[[#This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295</v>
      </c>
      <c r="E170" s="52"/>
      <c r="F170" s="53">
        <v>9</v>
      </c>
      <c r="G170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9</v>
      </c>
      <c r="I170" s="24">
        <v>1</v>
      </c>
      <c r="J170" s="24">
        <v>50000</v>
      </c>
      <c r="M170" s="24">
        <v>50000</v>
      </c>
      <c r="O170" s="46" t="s">
        <v>97</v>
      </c>
      <c r="P170" s="46">
        <f>HEX2DEC(RIGHT(Table13232127[[#This Row],[h1]],8))</f>
        <v>0</v>
      </c>
      <c r="Q170" s="46" t="s">
        <v>97</v>
      </c>
      <c r="R170" s="46">
        <f>HEX2DEC(RIGHT(Table13232127[[#This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296</v>
      </c>
      <c r="E171" s="52"/>
      <c r="F171" s="53">
        <v>37</v>
      </c>
      <c r="G171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37</v>
      </c>
      <c r="I171" s="24">
        <v>3</v>
      </c>
      <c r="J171" s="24">
        <v>50000</v>
      </c>
      <c r="M171" s="24">
        <v>50000</v>
      </c>
      <c r="O171" s="46" t="s">
        <v>97</v>
      </c>
      <c r="P171" s="46">
        <f>HEX2DEC(RIGHT(Table13232127[[#This Row],[h1]],8))</f>
        <v>0</v>
      </c>
      <c r="Q171" s="46" t="s">
        <v>97</v>
      </c>
      <c r="R171" s="46">
        <f>HEX2DEC(RIGHT(Table13232127[[#This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297</v>
      </c>
      <c r="E172" s="52">
        <v>1</v>
      </c>
      <c r="F172" s="53">
        <v>5</v>
      </c>
      <c r="G172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2" s="24">
        <v>1</v>
      </c>
      <c r="J172" s="24">
        <v>50000</v>
      </c>
      <c r="M172" s="24">
        <v>50000</v>
      </c>
      <c r="O172" s="46" t="s">
        <v>97</v>
      </c>
      <c r="P172" s="46">
        <f>HEX2DEC(RIGHT(Table13232127[[#This Row],[h1]],8))</f>
        <v>0</v>
      </c>
      <c r="Q172" s="46" t="s">
        <v>97</v>
      </c>
      <c r="R172" s="46">
        <f>HEX2DEC(RIGHT(Table13232127[[#This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298</v>
      </c>
      <c r="E173" s="52">
        <v>1</v>
      </c>
      <c r="F173" s="53">
        <v>6</v>
      </c>
      <c r="G173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3" s="24">
        <v>2</v>
      </c>
      <c r="J173" s="24">
        <v>50000</v>
      </c>
      <c r="M173" s="24">
        <v>50000</v>
      </c>
      <c r="O173" s="46" t="s">
        <v>97</v>
      </c>
      <c r="P173" s="46">
        <f>HEX2DEC(RIGHT(Table13232127[[#This Row],[h1]],8))</f>
        <v>0</v>
      </c>
      <c r="Q173" s="46" t="s">
        <v>97</v>
      </c>
      <c r="R173" s="46">
        <f>HEX2DEC(RIGHT(Table13232127[[#This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299</v>
      </c>
      <c r="E174" s="52">
        <v>1</v>
      </c>
      <c r="F174" s="53">
        <v>7</v>
      </c>
      <c r="G174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4" s="24">
        <v>1</v>
      </c>
      <c r="J174" s="24">
        <v>50000</v>
      </c>
      <c r="M174" s="24">
        <v>50000</v>
      </c>
      <c r="O174" s="46" t="s">
        <v>97</v>
      </c>
      <c r="P174" s="46">
        <f>HEX2DEC(RIGHT(Table13232127[[#This Row],[h1]],8))</f>
        <v>0</v>
      </c>
      <c r="Q174" s="46" t="s">
        <v>97</v>
      </c>
      <c r="R174" s="46">
        <f>HEX2DEC(RIGHT(Table13232127[[#This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300</v>
      </c>
      <c r="E175" s="52">
        <v>1</v>
      </c>
      <c r="F175" s="53">
        <v>8</v>
      </c>
      <c r="G175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5" s="24">
        <v>3</v>
      </c>
      <c r="J175" s="24">
        <v>50000</v>
      </c>
      <c r="M175" s="24">
        <v>50000</v>
      </c>
      <c r="O175" s="46" t="s">
        <v>97</v>
      </c>
      <c r="P175" s="46">
        <f>HEX2DEC(RIGHT(Table13232127[[#This Row],[h1]],8))</f>
        <v>0</v>
      </c>
      <c r="Q175" s="46" t="s">
        <v>97</v>
      </c>
      <c r="R175" s="46">
        <f>HEX2DEC(RIGHT(Table13232127[[#This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301</v>
      </c>
      <c r="E176" s="52">
        <v>1</v>
      </c>
      <c r="F176" s="53">
        <v>9</v>
      </c>
      <c r="G176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6" s="24">
        <v>1</v>
      </c>
      <c r="J176" s="24">
        <v>50000</v>
      </c>
      <c r="M176" s="24">
        <v>50000</v>
      </c>
      <c r="O176" s="46" t="s">
        <v>97</v>
      </c>
      <c r="P176" s="46">
        <f>HEX2DEC(RIGHT(Table13232127[[#This Row],[h1]],8))</f>
        <v>0</v>
      </c>
      <c r="Q176" s="46" t="s">
        <v>97</v>
      </c>
      <c r="R176" s="46">
        <f>HEX2DEC(RIGHT(Table13232127[[#This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302</v>
      </c>
      <c r="E177" s="52">
        <v>1</v>
      </c>
      <c r="F177" s="53">
        <v>10</v>
      </c>
      <c r="G177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7" s="24">
        <v>2</v>
      </c>
      <c r="J177" s="24">
        <v>50000</v>
      </c>
      <c r="M177" s="24">
        <v>50000</v>
      </c>
      <c r="O177" s="46" t="s">
        <v>97</v>
      </c>
      <c r="P177" s="46">
        <f>HEX2DEC(RIGHT(Table13232127[[#This Row],[h1]],8))</f>
        <v>0</v>
      </c>
      <c r="Q177" s="46" t="s">
        <v>97</v>
      </c>
      <c r="R177" s="46">
        <f>HEX2DEC(RIGHT(Table13232127[[#This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303</v>
      </c>
      <c r="E178" s="52">
        <v>1</v>
      </c>
      <c r="F178" s="53">
        <v>11</v>
      </c>
      <c r="G178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8" s="24">
        <v>1</v>
      </c>
      <c r="J178" s="24">
        <v>50000</v>
      </c>
      <c r="M178" s="24">
        <v>50000</v>
      </c>
      <c r="O178" s="46" t="s">
        <v>97</v>
      </c>
      <c r="P178" s="46">
        <f>HEX2DEC(RIGHT(Table13232127[[#This Row],[h1]],8))</f>
        <v>0</v>
      </c>
      <c r="Q178" s="46" t="s">
        <v>97</v>
      </c>
      <c r="R178" s="46">
        <f>HEX2DEC(RIGHT(Table13232127[[#This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304</v>
      </c>
      <c r="E179" s="52">
        <v>1</v>
      </c>
      <c r="F179" s="53">
        <v>12</v>
      </c>
      <c r="G179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79" s="24">
        <v>4</v>
      </c>
      <c r="J179" s="24">
        <v>50000</v>
      </c>
      <c r="M179" s="24">
        <v>50000</v>
      </c>
      <c r="O179" s="46" t="s">
        <v>97</v>
      </c>
      <c r="P179" s="46">
        <f>HEX2DEC(RIGHT(Table13232127[[#This Row],[h1]],8))</f>
        <v>0</v>
      </c>
      <c r="Q179" s="46" t="s">
        <v>97</v>
      </c>
      <c r="R179" s="46">
        <f>HEX2DEC(RIGHT(Table13232127[[#This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305</v>
      </c>
      <c r="E180" s="52">
        <v>1</v>
      </c>
      <c r="F180" s="53">
        <v>13</v>
      </c>
      <c r="G180" s="54">
        <f>IF(IF(Table131925[[#This Row],[value]]="",Table131925[[#This Row],[dec val]],1/(2*Table131925[[#This Row],[value]])*$E$166-1)&lt;0,0,IF(Table131925[[#This Row],[value]]="",Table131925[[#This Row],[dec val]],1/(2*Table131925[[#This Row],[value]])*$E$166-1))</f>
        <v>62499999</v>
      </c>
      <c r="I180" s="24">
        <v>1</v>
      </c>
      <c r="J180" s="24">
        <v>50000</v>
      </c>
      <c r="M180" s="24">
        <v>50000</v>
      </c>
      <c r="O180" s="46" t="s">
        <v>97</v>
      </c>
      <c r="P180" s="46">
        <f>HEX2DEC(RIGHT(Table13232127[[#This Row],[h1]],8))</f>
        <v>0</v>
      </c>
      <c r="Q180" s="46" t="s">
        <v>97</v>
      </c>
      <c r="R180" s="46">
        <f>HEX2DEC(RIGHT(Table13232127[[#This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E181" s="25"/>
      <c r="F181" s="22"/>
      <c r="G181" s="23"/>
      <c r="I181" s="24">
        <v>2</v>
      </c>
      <c r="J181" s="24">
        <v>50000</v>
      </c>
      <c r="M181" s="24">
        <v>50000</v>
      </c>
      <c r="O181" s="46" t="s">
        <v>97</v>
      </c>
      <c r="P181" s="46">
        <f>HEX2DEC(RIGHT(Table13232127[[#This Row],[h1]],8))</f>
        <v>0</v>
      </c>
      <c r="Q181" s="46" t="s">
        <v>97</v>
      </c>
      <c r="R181" s="46">
        <f>HEX2DEC(RIGHT(Table13232127[[#This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306</v>
      </c>
      <c r="G182" s="46" t="s">
        <v>12</v>
      </c>
      <c r="I182" s="24">
        <v>1</v>
      </c>
      <c r="J182" s="24">
        <v>50000</v>
      </c>
      <c r="M182" s="24">
        <v>50000</v>
      </c>
      <c r="O182" s="46" t="s">
        <v>97</v>
      </c>
      <c r="P182" s="46">
        <f>HEX2DEC(RIGHT(Table13232127[[#This Row],[h1]],8))</f>
        <v>0</v>
      </c>
      <c r="Q182" s="46" t="s">
        <v>97</v>
      </c>
      <c r="R182" s="46">
        <f>HEX2DEC(RIGHT(Table13232127[[#This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307</v>
      </c>
      <c r="G183" s="57" t="s">
        <v>13</v>
      </c>
      <c r="I183" s="24">
        <v>3</v>
      </c>
      <c r="J183" s="24">
        <v>50000</v>
      </c>
      <c r="M183" s="24">
        <v>50000</v>
      </c>
      <c r="O183" s="46" t="s">
        <v>97</v>
      </c>
      <c r="P183" s="46">
        <f>HEX2DEC(RIGHT(Table13232127[[#This Row],[h1]],8))</f>
        <v>0</v>
      </c>
      <c r="Q183" s="46" t="s">
        <v>97</v>
      </c>
      <c r="R183" s="46">
        <f>HEX2DEC(RIGHT(Table13232127[[#This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308</v>
      </c>
      <c r="G184" s="57" t="s">
        <v>14</v>
      </c>
      <c r="I184" s="24">
        <v>1</v>
      </c>
      <c r="J184" s="24">
        <v>50000</v>
      </c>
      <c r="M184" s="24">
        <v>50000</v>
      </c>
      <c r="O184" s="46" t="s">
        <v>97</v>
      </c>
      <c r="P184" s="46">
        <f>HEX2DEC(RIGHT(Table13232127[[#This Row],[h1]],8))</f>
        <v>0</v>
      </c>
      <c r="Q184" s="46" t="s">
        <v>97</v>
      </c>
      <c r="R184" s="46">
        <f>HEX2DEC(RIGHT(Table13232127[[#This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309</v>
      </c>
      <c r="G185" s="57" t="s">
        <v>15</v>
      </c>
      <c r="I185" s="24">
        <v>2</v>
      </c>
      <c r="J185" s="24">
        <v>50000</v>
      </c>
      <c r="M185" s="24">
        <v>50000</v>
      </c>
      <c r="O185" s="46" t="s">
        <v>97</v>
      </c>
      <c r="P185" s="46">
        <f>HEX2DEC(RIGHT(Table13232127[[#This Row],[h1]],8))</f>
        <v>0</v>
      </c>
      <c r="Q185" s="46" t="s">
        <v>97</v>
      </c>
      <c r="R185" s="46">
        <f>HEX2DEC(RIGHT(Table13232127[[#This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310</v>
      </c>
      <c r="G186" s="57" t="s">
        <v>16</v>
      </c>
      <c r="I186" s="24">
        <v>1</v>
      </c>
      <c r="J186" s="24">
        <v>50000</v>
      </c>
      <c r="M186" s="24">
        <v>50000</v>
      </c>
      <c r="O186" s="46" t="s">
        <v>97</v>
      </c>
      <c r="P186" s="46">
        <f>HEX2DEC(RIGHT(Table13232127[[#This Row],[h1]],8))</f>
        <v>0</v>
      </c>
      <c r="Q186" s="46" t="s">
        <v>97</v>
      </c>
      <c r="R186" s="46">
        <f>HEX2DEC(RIGHT(Table13232127[[#This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311</v>
      </c>
      <c r="G187" s="57" t="s">
        <v>42</v>
      </c>
      <c r="I187" s="24">
        <v>3</v>
      </c>
      <c r="J187" s="24">
        <v>50000</v>
      </c>
      <c r="M187" s="24">
        <v>50000</v>
      </c>
      <c r="O187" s="46" t="s">
        <v>97</v>
      </c>
      <c r="P187" s="46">
        <f>HEX2DEC(RIGHT(Table13232127[[#This Row],[h1]],8))</f>
        <v>0</v>
      </c>
      <c r="Q187" s="46" t="s">
        <v>97</v>
      </c>
      <c r="R187" s="46">
        <f>HEX2DEC(RIGHT(Table13232127[[#This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312</v>
      </c>
      <c r="G188" s="57" t="s">
        <v>42</v>
      </c>
      <c r="I188" s="24">
        <v>1</v>
      </c>
      <c r="J188" s="24">
        <v>50000</v>
      </c>
      <c r="M188" s="24">
        <v>50000</v>
      </c>
      <c r="O188" s="46" t="s">
        <v>97</v>
      </c>
      <c r="P188" s="46">
        <f>HEX2DEC(RIGHT(Table13232127[[#This Row],[h1]],8))</f>
        <v>0</v>
      </c>
      <c r="Q188" s="46" t="s">
        <v>97</v>
      </c>
      <c r="R188" s="46">
        <f>HEX2DEC(RIGHT(Table13232127[[#This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313</v>
      </c>
      <c r="G189" s="57" t="s">
        <v>42</v>
      </c>
      <c r="I189" s="24">
        <v>2</v>
      </c>
      <c r="J189" s="24">
        <v>50000</v>
      </c>
      <c r="M189" s="24">
        <v>50000</v>
      </c>
      <c r="O189" s="46" t="s">
        <v>97</v>
      </c>
      <c r="P189" s="46">
        <f>HEX2DEC(RIGHT(Table13232127[[#This Row],[h1]],8))</f>
        <v>0</v>
      </c>
      <c r="Q189" s="46" t="s">
        <v>97</v>
      </c>
      <c r="R189" s="46">
        <f>HEX2DEC(RIGHT(Table13232127[[#This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G190" s="46"/>
      <c r="I190" s="24">
        <v>1</v>
      </c>
      <c r="J190" s="24">
        <v>50000</v>
      </c>
      <c r="M190" s="24">
        <v>50000</v>
      </c>
      <c r="O190" s="46" t="s">
        <v>97</v>
      </c>
      <c r="P190" s="46">
        <f>HEX2DEC(RIGHT(Table13232127[[#This Row],[h1]],8))</f>
        <v>0</v>
      </c>
      <c r="Q190" s="46" t="s">
        <v>97</v>
      </c>
      <c r="R190" s="46">
        <f>HEX2DEC(RIGHT(Table13232127[[#This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314</v>
      </c>
      <c r="G191" s="57" t="s">
        <v>42</v>
      </c>
      <c r="I191" s="24">
        <v>4</v>
      </c>
      <c r="J191" s="24">
        <v>50000</v>
      </c>
      <c r="M191" s="24">
        <v>50000</v>
      </c>
      <c r="O191" s="46" t="s">
        <v>97</v>
      </c>
      <c r="P191" s="46">
        <f>HEX2DEC(RIGHT(Table13232127[[#This Row],[h1]],8))</f>
        <v>0</v>
      </c>
      <c r="Q191" s="46" t="s">
        <v>97</v>
      </c>
      <c r="R191" s="46">
        <f>HEX2DEC(RIGHT(Table13232127[[#This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315</v>
      </c>
      <c r="G192" s="57" t="s">
        <v>42</v>
      </c>
      <c r="I192" s="24">
        <v>1</v>
      </c>
      <c r="J192" s="24">
        <v>50000</v>
      </c>
      <c r="M192" s="24">
        <v>50000</v>
      </c>
      <c r="O192" s="46" t="s">
        <v>97</v>
      </c>
      <c r="P192" s="46">
        <f>HEX2DEC(RIGHT(Table13232127[[#This Row],[h1]],8))</f>
        <v>0</v>
      </c>
      <c r="Q192" s="46" t="s">
        <v>97</v>
      </c>
      <c r="R192" s="46">
        <f>HEX2DEC(RIGHT(Table13232127[[#This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316</v>
      </c>
      <c r="G193" s="57" t="s">
        <v>42</v>
      </c>
      <c r="I193" s="24">
        <v>2</v>
      </c>
      <c r="J193" s="24">
        <v>50000</v>
      </c>
      <c r="M193" s="24">
        <v>50000</v>
      </c>
      <c r="O193" s="46" t="s">
        <v>97</v>
      </c>
      <c r="P193" s="46">
        <f>HEX2DEC(RIGHT(Table13232127[[#This Row],[h1]],8))</f>
        <v>0</v>
      </c>
      <c r="Q193" s="46" t="s">
        <v>97</v>
      </c>
      <c r="R193" s="46">
        <f>HEX2DEC(RIGHT(Table13232127[[#This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317</v>
      </c>
      <c r="G194" s="57" t="s">
        <v>42</v>
      </c>
      <c r="I194" s="24">
        <v>1</v>
      </c>
      <c r="J194" s="24">
        <v>50000</v>
      </c>
      <c r="M194" s="24">
        <v>50000</v>
      </c>
      <c r="O194" s="46" t="s">
        <v>97</v>
      </c>
      <c r="P194" s="46">
        <f>HEX2DEC(RIGHT(Table13232127[[#This Row],[h1]],8))</f>
        <v>0</v>
      </c>
      <c r="Q194" s="46" t="s">
        <v>97</v>
      </c>
      <c r="R194" s="46">
        <f>HEX2DEC(RIGHT(Table13232127[[#This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318</v>
      </c>
      <c r="G195" s="57" t="s">
        <v>42</v>
      </c>
      <c r="I195" s="24">
        <v>3</v>
      </c>
      <c r="J195" s="24">
        <v>50000</v>
      </c>
      <c r="M195" s="24">
        <v>50000</v>
      </c>
      <c r="O195" s="46" t="s">
        <v>97</v>
      </c>
      <c r="P195" s="46">
        <f>HEX2DEC(RIGHT(Table13232127[[#This Row],[h1]],8))</f>
        <v>0</v>
      </c>
      <c r="Q195" s="46" t="s">
        <v>97</v>
      </c>
      <c r="R195" s="46">
        <f>HEX2DEC(RIGHT(Table13232127[[#This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319</v>
      </c>
      <c r="G196" s="57" t="s">
        <v>42</v>
      </c>
      <c r="I196" s="24">
        <v>1</v>
      </c>
      <c r="J196" s="24">
        <v>50000</v>
      </c>
      <c r="M196" s="24">
        <v>50000</v>
      </c>
      <c r="O196" s="46" t="s">
        <v>97</v>
      </c>
      <c r="P196" s="46">
        <f>HEX2DEC(RIGHT(Table13232127[[#This Row],[h1]],8))</f>
        <v>0</v>
      </c>
      <c r="Q196" s="46" t="s">
        <v>97</v>
      </c>
      <c r="R196" s="46">
        <f>HEX2DEC(RIGHT(Table13232127[[#This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320</v>
      </c>
      <c r="G197" s="57" t="s">
        <v>42</v>
      </c>
      <c r="I197" s="24">
        <v>2</v>
      </c>
      <c r="J197" s="24">
        <v>50000</v>
      </c>
      <c r="M197" s="24">
        <v>50000</v>
      </c>
      <c r="O197" s="46" t="s">
        <v>97</v>
      </c>
      <c r="P197" s="46">
        <f>HEX2DEC(RIGHT(Table13232127[[#This Row],[h1]],8))</f>
        <v>0</v>
      </c>
      <c r="Q197" s="46" t="s">
        <v>97</v>
      </c>
      <c r="R197" s="46">
        <f>HEX2DEC(RIGHT(Table13232127[[#This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321</v>
      </c>
      <c r="G198" s="57" t="s">
        <v>42</v>
      </c>
      <c r="I198" s="24">
        <v>1</v>
      </c>
      <c r="J198" s="24">
        <v>50000</v>
      </c>
      <c r="M198" s="24">
        <v>50000</v>
      </c>
      <c r="O198" s="46" t="s">
        <v>97</v>
      </c>
      <c r="P198" s="46">
        <f>HEX2DEC(RIGHT(Table13232127[[#This Row],[h1]],8))</f>
        <v>0</v>
      </c>
      <c r="Q198" s="46" t="s">
        <v>97</v>
      </c>
      <c r="R198" s="46">
        <f>HEX2DEC(RIGHT(Table13232127[[#This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322</v>
      </c>
      <c r="G199" s="57" t="s">
        <v>42</v>
      </c>
      <c r="I199" s="24">
        <v>3</v>
      </c>
      <c r="J199" s="24">
        <v>50000</v>
      </c>
      <c r="M199" s="24">
        <v>50000</v>
      </c>
      <c r="O199" s="46" t="s">
        <v>97</v>
      </c>
      <c r="P199" s="46">
        <f>HEX2DEC(RIGHT(Table13232127[[#This Row],[h1]],8))</f>
        <v>0</v>
      </c>
      <c r="Q199" s="46" t="s">
        <v>97</v>
      </c>
      <c r="R199" s="46">
        <f>HEX2DEC(RIGHT(Table13232127[[#This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323</v>
      </c>
      <c r="G200" s="57" t="s">
        <v>42</v>
      </c>
      <c r="I200" s="24">
        <v>1</v>
      </c>
      <c r="J200" s="24">
        <v>50000</v>
      </c>
      <c r="M200" s="24">
        <v>50000</v>
      </c>
      <c r="O200" s="46" t="s">
        <v>97</v>
      </c>
      <c r="P200" s="46">
        <f>HEX2DEC(RIGHT(Table13232127[[#This Row],[h1]],8))</f>
        <v>0</v>
      </c>
      <c r="Q200" s="46" t="s">
        <v>97</v>
      </c>
      <c r="R200" s="46">
        <f>HEX2DEC(RIGHT(Table13232127[[#This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324</v>
      </c>
      <c r="G201" s="57" t="s">
        <v>42</v>
      </c>
      <c r="I201" s="24">
        <v>2</v>
      </c>
      <c r="J201" s="24">
        <v>50000</v>
      </c>
      <c r="M201" s="24">
        <v>50000</v>
      </c>
      <c r="O201" s="46" t="s">
        <v>97</v>
      </c>
      <c r="P201" s="46">
        <f>HEX2DEC(RIGHT(Table13232127[[#This Row],[h1]],8))</f>
        <v>0</v>
      </c>
      <c r="Q201" s="46" t="s">
        <v>97</v>
      </c>
      <c r="R201" s="46">
        <f>HEX2DEC(RIGHT(Table13232127[[#This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325</v>
      </c>
      <c r="G202" s="57" t="s">
        <v>42</v>
      </c>
      <c r="I202" s="24">
        <v>1</v>
      </c>
      <c r="J202" s="24">
        <v>50000</v>
      </c>
      <c r="M202" s="24">
        <v>50000</v>
      </c>
      <c r="O202" s="46" t="s">
        <v>97</v>
      </c>
      <c r="P202" s="46">
        <f>HEX2DEC(RIGHT(Table13232127[[#This Row],[h1]],8))</f>
        <v>0</v>
      </c>
      <c r="Q202" s="46" t="s">
        <v>97</v>
      </c>
      <c r="R202" s="46">
        <f>HEX2DEC(RIGHT(Table13232127[[#This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326</v>
      </c>
      <c r="G203" s="57" t="s">
        <v>42</v>
      </c>
      <c r="I203" s="24">
        <v>4</v>
      </c>
      <c r="J203" s="24">
        <v>50000</v>
      </c>
      <c r="M203" s="24">
        <v>50000</v>
      </c>
      <c r="O203" s="46" t="s">
        <v>97</v>
      </c>
      <c r="P203" s="46">
        <f>HEX2DEC(RIGHT(Table13232127[[#This Row],[h1]],8))</f>
        <v>0</v>
      </c>
      <c r="Q203" s="46" t="s">
        <v>97</v>
      </c>
      <c r="R203" s="46">
        <f>HEX2DEC(RIGHT(Table13232127[[#This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327</v>
      </c>
      <c r="G204" s="57" t="s">
        <v>42</v>
      </c>
      <c r="I204" s="24">
        <v>1</v>
      </c>
      <c r="J204" s="24">
        <v>50000</v>
      </c>
      <c r="M204" s="24">
        <v>50000</v>
      </c>
      <c r="O204" s="46" t="s">
        <v>97</v>
      </c>
      <c r="P204" s="46">
        <f>HEX2DEC(RIGHT(Table13232127[[#This Row],[h1]],8))</f>
        <v>0</v>
      </c>
      <c r="Q204" s="46" t="s">
        <v>97</v>
      </c>
      <c r="R204" s="46">
        <f>HEX2DEC(RIGHT(Table13232127[[#This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328</v>
      </c>
      <c r="G205" s="57" t="s">
        <v>42</v>
      </c>
      <c r="I205" s="24">
        <v>2</v>
      </c>
      <c r="J205" s="24">
        <v>50000</v>
      </c>
      <c r="M205" s="24">
        <v>50000</v>
      </c>
      <c r="O205" s="46" t="s">
        <v>97</v>
      </c>
      <c r="P205" s="46">
        <f>HEX2DEC(RIGHT(Table13232127[[#This Row],[h1]],8))</f>
        <v>0</v>
      </c>
      <c r="Q205" s="46" t="s">
        <v>97</v>
      </c>
      <c r="R205" s="46">
        <f>HEX2DEC(RIGHT(Table13232127[[#This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27" t="s">
        <v>329</v>
      </c>
      <c r="E206" s="27"/>
      <c r="F206" s="27"/>
      <c r="G206" s="56" t="s">
        <v>42</v>
      </c>
      <c r="I206" s="24">
        <v>1</v>
      </c>
      <c r="J206" s="24">
        <v>50000</v>
      </c>
      <c r="M206" s="24">
        <v>50000</v>
      </c>
      <c r="O206" s="46" t="s">
        <v>97</v>
      </c>
      <c r="P206" s="46">
        <f>HEX2DEC(RIGHT(Table13232127[[#This Row],[h1]],8))</f>
        <v>0</v>
      </c>
      <c r="Q206" s="46" t="s">
        <v>97</v>
      </c>
      <c r="R206" s="46">
        <f>HEX2DEC(RIGHT(Table13232127[[#This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330</v>
      </c>
      <c r="G207" s="56" t="s">
        <v>42</v>
      </c>
      <c r="I207" s="24">
        <v>3</v>
      </c>
      <c r="J207" s="24">
        <v>50000</v>
      </c>
      <c r="M207" s="24">
        <v>50000</v>
      </c>
      <c r="O207" s="46" t="s">
        <v>97</v>
      </c>
      <c r="P207" s="46">
        <f>HEX2DEC(RIGHT(Table13232127[[#This Row],[h1]],8))</f>
        <v>0</v>
      </c>
      <c r="Q207" s="46" t="s">
        <v>97</v>
      </c>
      <c r="R207" s="46">
        <f>HEX2DEC(RIGHT(Table13232127[[#This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331</v>
      </c>
      <c r="G208" s="46" t="s">
        <v>42</v>
      </c>
      <c r="I208" s="24">
        <v>1</v>
      </c>
      <c r="J208" s="24">
        <v>50000</v>
      </c>
      <c r="M208" s="24">
        <v>50000</v>
      </c>
      <c r="O208" s="46" t="s">
        <v>97</v>
      </c>
      <c r="P208" s="46">
        <f>HEX2DEC(RIGHT(Table13232127[[#This Row],[h1]],8))</f>
        <v>0</v>
      </c>
      <c r="Q208" s="46" t="s">
        <v>97</v>
      </c>
      <c r="R208" s="46">
        <f>HEX2DEC(RIGHT(Table13232127[[#This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332</v>
      </c>
      <c r="G209" s="46" t="s">
        <v>42</v>
      </c>
      <c r="I209" s="24">
        <v>2</v>
      </c>
      <c r="J209" s="24">
        <v>50000</v>
      </c>
      <c r="M209" s="24">
        <v>50000</v>
      </c>
      <c r="O209" s="46" t="s">
        <v>97</v>
      </c>
      <c r="P209" s="46">
        <f>HEX2DEC(RIGHT(Table13232127[[#This Row],[h1]],8))</f>
        <v>0</v>
      </c>
      <c r="Q209" s="46" t="s">
        <v>97</v>
      </c>
      <c r="R209" s="46">
        <f>HEX2DEC(RIGHT(Table13232127[[#This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333</v>
      </c>
      <c r="G210" s="46" t="s">
        <v>42</v>
      </c>
      <c r="I210" s="24">
        <v>1</v>
      </c>
      <c r="J210" s="24">
        <v>50000</v>
      </c>
      <c r="M210" s="24">
        <v>50000</v>
      </c>
      <c r="O210" s="46" t="s">
        <v>97</v>
      </c>
      <c r="P210" s="46">
        <f>HEX2DEC(RIGHT(Table13232127[[#This Row],[h1]],8))</f>
        <v>0</v>
      </c>
      <c r="Q210" s="46" t="s">
        <v>97</v>
      </c>
      <c r="R210" s="46">
        <f>HEX2DEC(RIGHT(Table13232127[[#This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334</v>
      </c>
      <c r="G211" s="46" t="s">
        <v>42</v>
      </c>
      <c r="I211" s="24">
        <v>3</v>
      </c>
      <c r="J211" s="24">
        <v>50000</v>
      </c>
      <c r="M211" s="24">
        <v>50000</v>
      </c>
      <c r="O211" s="46" t="s">
        <v>97</v>
      </c>
      <c r="P211" s="46">
        <f>HEX2DEC(RIGHT(Table13232127[[#This Row],[h1]],8))</f>
        <v>0</v>
      </c>
      <c r="Q211" s="46" t="s">
        <v>97</v>
      </c>
      <c r="R211" s="46">
        <f>HEX2DEC(RIGHT(Table13232127[[#This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335</v>
      </c>
      <c r="G212" s="46" t="s">
        <v>42</v>
      </c>
      <c r="I212" s="24">
        <v>1</v>
      </c>
      <c r="J212" s="24">
        <v>50000</v>
      </c>
      <c r="M212" s="24">
        <v>50000</v>
      </c>
      <c r="O212" s="46" t="s">
        <v>97</v>
      </c>
      <c r="P212" s="46">
        <f>HEX2DEC(RIGHT(Table13232127[[#This Row],[h1]],8))</f>
        <v>0</v>
      </c>
      <c r="Q212" s="46" t="s">
        <v>97</v>
      </c>
      <c r="R212" s="46">
        <f>HEX2DEC(RIGHT(Table13232127[[#This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336</v>
      </c>
      <c r="G213" s="46" t="s">
        <v>42</v>
      </c>
      <c r="I213" s="24">
        <v>2</v>
      </c>
      <c r="J213" s="24">
        <v>50000</v>
      </c>
      <c r="M213" s="24">
        <v>50000</v>
      </c>
      <c r="O213" s="46" t="s">
        <v>97</v>
      </c>
      <c r="P213" s="46">
        <f>HEX2DEC(RIGHT(Table13232127[[#This Row],[h1]],8))</f>
        <v>0</v>
      </c>
      <c r="Q213" s="46" t="s">
        <v>97</v>
      </c>
      <c r="R213" s="46">
        <f>HEX2DEC(RIGHT(Table13232127[[#This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337</v>
      </c>
      <c r="G214" s="46" t="s">
        <v>42</v>
      </c>
      <c r="I214" s="24">
        <v>1</v>
      </c>
      <c r="J214" s="24">
        <v>50000</v>
      </c>
      <c r="M214" s="24">
        <v>50000</v>
      </c>
      <c r="O214" s="46" t="s">
        <v>97</v>
      </c>
      <c r="P214" s="46">
        <f>HEX2DEC(RIGHT(Table13232127[[#This Row],[h1]],8))</f>
        <v>0</v>
      </c>
      <c r="Q214" s="46" t="s">
        <v>97</v>
      </c>
      <c r="R214" s="46">
        <f>HEX2DEC(RIGHT(Table13232127[[#This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338</v>
      </c>
      <c r="G215" s="46" t="s">
        <v>42</v>
      </c>
      <c r="I215" s="24">
        <v>4</v>
      </c>
      <c r="J215" s="24">
        <v>50000</v>
      </c>
      <c r="M215" s="24">
        <v>50000</v>
      </c>
      <c r="O215" s="46" t="s">
        <v>97</v>
      </c>
      <c r="P215" s="46">
        <f>HEX2DEC(RIGHT(Table13232127[[#This Row],[h1]],8))</f>
        <v>0</v>
      </c>
      <c r="Q215" s="46" t="s">
        <v>97</v>
      </c>
      <c r="R215" s="46">
        <f>HEX2DEC(RIGHT(Table13232127[[#This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339</v>
      </c>
      <c r="G216" s="46" t="s">
        <v>42</v>
      </c>
      <c r="I216" s="24">
        <v>1</v>
      </c>
      <c r="J216" s="24">
        <v>50000</v>
      </c>
      <c r="M216" s="24">
        <v>50000</v>
      </c>
      <c r="O216" s="46" t="s">
        <v>97</v>
      </c>
      <c r="P216" s="46">
        <f>HEX2DEC(RIGHT(Table13232127[[#This Row],[h1]],8))</f>
        <v>0</v>
      </c>
      <c r="Q216" s="46" t="s">
        <v>97</v>
      </c>
      <c r="R216" s="46">
        <f>HEX2DEC(RIGHT(Table13232127[[#This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340</v>
      </c>
      <c r="G217" s="46" t="s">
        <v>42</v>
      </c>
      <c r="I217" s="24">
        <v>2</v>
      </c>
      <c r="J217" s="24">
        <v>50000</v>
      </c>
      <c r="M217" s="24">
        <v>50000</v>
      </c>
      <c r="O217" s="46" t="s">
        <v>97</v>
      </c>
      <c r="P217" s="46">
        <f>HEX2DEC(RIGHT(Table13232127[[#This Row],[h1]],8))</f>
        <v>0</v>
      </c>
      <c r="Q217" s="46" t="s">
        <v>97</v>
      </c>
      <c r="R217" s="46">
        <f>HEX2DEC(RIGHT(Table13232127[[#This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341</v>
      </c>
      <c r="G218" s="46" t="s">
        <v>42</v>
      </c>
      <c r="I218" s="24">
        <v>1</v>
      </c>
      <c r="J218" s="24">
        <v>50000</v>
      </c>
      <c r="M218" s="24">
        <v>50000</v>
      </c>
      <c r="O218" s="46" t="s">
        <v>97</v>
      </c>
      <c r="P218" s="46">
        <f>HEX2DEC(RIGHT(Table13232127[[#This Row],[h1]],8))</f>
        <v>0</v>
      </c>
      <c r="Q218" s="46" t="s">
        <v>97</v>
      </c>
      <c r="R218" s="46">
        <f>HEX2DEC(RIGHT(Table13232127[[#This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342</v>
      </c>
      <c r="G219" s="46" t="s">
        <v>42</v>
      </c>
      <c r="I219" s="24">
        <v>3</v>
      </c>
      <c r="J219" s="24">
        <v>50000</v>
      </c>
      <c r="M219" s="24">
        <v>50000</v>
      </c>
      <c r="O219" s="46" t="s">
        <v>97</v>
      </c>
      <c r="P219" s="46">
        <f>HEX2DEC(RIGHT(Table13232127[[#This Row],[h1]],8))</f>
        <v>0</v>
      </c>
      <c r="Q219" s="46" t="s">
        <v>97</v>
      </c>
      <c r="R219" s="46">
        <f>HEX2DEC(RIGHT(Table13232127[[#This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343</v>
      </c>
      <c r="G220" s="46" t="s">
        <v>42</v>
      </c>
      <c r="I220" s="24">
        <v>1</v>
      </c>
      <c r="J220" s="24">
        <v>50000</v>
      </c>
      <c r="M220" s="24">
        <v>50000</v>
      </c>
      <c r="O220" s="46" t="s">
        <v>97</v>
      </c>
      <c r="P220" s="46">
        <f>HEX2DEC(RIGHT(Table13232127[[#This Row],[h1]],8))</f>
        <v>0</v>
      </c>
      <c r="Q220" s="46" t="s">
        <v>97</v>
      </c>
      <c r="R220" s="46">
        <f>HEX2DEC(RIGHT(Table13232127[[#This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344</v>
      </c>
      <c r="G221" s="46" t="s">
        <v>42</v>
      </c>
      <c r="I221" s="24">
        <v>2</v>
      </c>
      <c r="J221" s="24">
        <v>50000</v>
      </c>
      <c r="M221" s="24">
        <v>50000</v>
      </c>
      <c r="O221" s="46" t="s">
        <v>97</v>
      </c>
      <c r="P221" s="46">
        <f>HEX2DEC(RIGHT(Table13232127[[#This Row],[h1]],8))</f>
        <v>0</v>
      </c>
      <c r="Q221" s="46" t="s">
        <v>97</v>
      </c>
      <c r="R221" s="46">
        <f>HEX2DEC(RIGHT(Table13232127[[#This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I222" s="24">
        <v>1</v>
      </c>
      <c r="J222" s="24">
        <v>50000</v>
      </c>
      <c r="M222" s="24">
        <v>50000</v>
      </c>
      <c r="O222" s="46" t="s">
        <v>97</v>
      </c>
      <c r="P222" s="46">
        <f>HEX2DEC(RIGHT(Table13232127[[#This Row],[h1]],8))</f>
        <v>0</v>
      </c>
      <c r="Q222" s="46" t="s">
        <v>97</v>
      </c>
      <c r="R222" s="46">
        <f>HEX2DEC(RIGHT(Table13232127[[#This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G223" s="35" t="s">
        <v>25</v>
      </c>
      <c r="I223" s="24">
        <v>3</v>
      </c>
      <c r="J223" s="24">
        <v>50000</v>
      </c>
      <c r="M223" s="24">
        <v>50000</v>
      </c>
      <c r="O223" s="46" t="s">
        <v>97</v>
      </c>
      <c r="P223" s="46">
        <f>HEX2DEC(RIGHT(Table13232127[[#This Row],[h1]],8))</f>
        <v>0</v>
      </c>
      <c r="Q223" s="46" t="s">
        <v>97</v>
      </c>
      <c r="R223" s="46">
        <f>HEX2DEC(RIGHT(Table13232127[[#This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F224" s="26"/>
      <c r="G224" s="37" t="s">
        <v>49</v>
      </c>
      <c r="I224" s="24">
        <v>1</v>
      </c>
      <c r="J224" s="24">
        <v>50000</v>
      </c>
      <c r="M224" s="24">
        <v>50000</v>
      </c>
      <c r="O224" s="46" t="s">
        <v>97</v>
      </c>
      <c r="P224" s="46">
        <f>HEX2DEC(RIGHT(Table13232127[[#This Row],[h1]],8))</f>
        <v>0</v>
      </c>
      <c r="Q224" s="46" t="s">
        <v>97</v>
      </c>
      <c r="R224" s="46">
        <f>HEX2DEC(RIGHT(Table13232127[[#This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376</v>
      </c>
      <c r="F225" s="26"/>
      <c r="G225" s="15">
        <v>-1</v>
      </c>
      <c r="I225" s="24">
        <v>2</v>
      </c>
      <c r="J225" s="24">
        <v>50000</v>
      </c>
      <c r="M225" s="24">
        <v>50000</v>
      </c>
      <c r="O225" s="46" t="s">
        <v>97</v>
      </c>
      <c r="P225" s="46">
        <f>HEX2DEC(RIGHT(Table13232127[[#This Row],[h1]],8))</f>
        <v>0</v>
      </c>
      <c r="Q225" s="46" t="s">
        <v>97</v>
      </c>
      <c r="R225" s="46">
        <f>HEX2DEC(RIGHT(Table13232127[[#This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377</v>
      </c>
      <c r="G226" s="15">
        <v>1000</v>
      </c>
      <c r="I226" s="24">
        <v>1</v>
      </c>
      <c r="J226" s="24">
        <v>50000</v>
      </c>
      <c r="M226" s="24">
        <v>50000</v>
      </c>
      <c r="O226" s="46" t="s">
        <v>97</v>
      </c>
      <c r="P226" s="46">
        <f>HEX2DEC(RIGHT(Table13232127[[#This Row],[h1]],8))</f>
        <v>0</v>
      </c>
      <c r="Q226" s="46" t="s">
        <v>97</v>
      </c>
      <c r="R226" s="46">
        <f>HEX2DEC(RIGHT(Table13232127[[#This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I227" s="24">
        <v>4</v>
      </c>
      <c r="J227" s="24">
        <v>50000</v>
      </c>
      <c r="M227" s="24">
        <v>50000</v>
      </c>
      <c r="O227" s="46" t="s">
        <v>97</v>
      </c>
      <c r="P227" s="46">
        <f>HEX2DEC(RIGHT(Table13232127[[#This Row],[h1]],8))</f>
        <v>0</v>
      </c>
      <c r="Q227" s="46" t="s">
        <v>97</v>
      </c>
      <c r="R227" s="46">
        <f>HEX2DEC(RIGHT(Table13232127[[#This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I228" s="24">
        <v>1</v>
      </c>
      <c r="J228" s="24">
        <v>50000</v>
      </c>
      <c r="M228" s="24">
        <v>50000</v>
      </c>
      <c r="O228" s="46" t="s">
        <v>97</v>
      </c>
      <c r="P228" s="46">
        <f>HEX2DEC(RIGHT(Table13232127[[#This Row],[h1]],8))</f>
        <v>0</v>
      </c>
      <c r="Q228" s="46" t="s">
        <v>97</v>
      </c>
      <c r="R228" s="46">
        <f>HEX2DEC(RIGHT(Table13232127[[#This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378</v>
      </c>
      <c r="G229" s="15" t="s">
        <v>102</v>
      </c>
      <c r="I229" s="24">
        <v>2</v>
      </c>
      <c r="J229" s="24">
        <v>50000</v>
      </c>
      <c r="M229" s="24">
        <v>50000</v>
      </c>
      <c r="O229" s="46" t="s">
        <v>97</v>
      </c>
      <c r="P229" s="46">
        <f>HEX2DEC(RIGHT(Table13232127[[#This Row],[h1]],8))</f>
        <v>0</v>
      </c>
      <c r="Q229" s="46" t="s">
        <v>97</v>
      </c>
      <c r="R229" s="46">
        <f>HEX2DEC(RIGHT(Table13232127[[#This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379</v>
      </c>
      <c r="G230" s="15" t="s">
        <v>94</v>
      </c>
      <c r="I230" s="24">
        <v>1</v>
      </c>
      <c r="J230" s="24">
        <v>50000</v>
      </c>
      <c r="M230" s="24">
        <v>50000</v>
      </c>
      <c r="O230" s="46" t="s">
        <v>97</v>
      </c>
      <c r="P230" s="46">
        <f>HEX2DEC(RIGHT(Table13232127[[#This Row],[h1]],8))</f>
        <v>0</v>
      </c>
      <c r="Q230" s="46" t="s">
        <v>97</v>
      </c>
      <c r="R230" s="46">
        <f>HEX2DEC(RIGHT(Table13232127[[#This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I231" s="24">
        <v>3</v>
      </c>
      <c r="J231" s="24">
        <v>50000</v>
      </c>
      <c r="M231" s="24">
        <v>50000</v>
      </c>
      <c r="O231" s="46" t="s">
        <v>97</v>
      </c>
      <c r="P231" s="46">
        <f>HEX2DEC(RIGHT(Table13232127[[#This Row],[h1]],8))</f>
        <v>0</v>
      </c>
      <c r="Q231" s="46" t="s">
        <v>97</v>
      </c>
      <c r="R231" s="46">
        <f>HEX2DEC(RIGHT(Table13232127[[#This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I232" s="24">
        <v>1</v>
      </c>
      <c r="J232" s="24">
        <v>50000</v>
      </c>
      <c r="M232" s="24">
        <v>50000</v>
      </c>
      <c r="O232" s="46" t="s">
        <v>97</v>
      </c>
      <c r="P232" s="46">
        <f>HEX2DEC(RIGHT(Table13232127[[#This Row],[h1]],8))</f>
        <v>0</v>
      </c>
      <c r="Q232" s="46" t="s">
        <v>97</v>
      </c>
      <c r="R232" s="46">
        <f>HEX2DEC(RIGHT(Table13232127[[#This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F233" s="35" t="s">
        <v>24</v>
      </c>
      <c r="I233" s="24">
        <v>2</v>
      </c>
      <c r="J233" s="24">
        <v>50000</v>
      </c>
      <c r="M233" s="24">
        <v>50000</v>
      </c>
      <c r="O233" s="46" t="s">
        <v>97</v>
      </c>
      <c r="P233" s="46">
        <f>HEX2DEC(RIGHT(Table13232127[[#This Row],[h1]],8))</f>
        <v>0</v>
      </c>
      <c r="Q233" s="46" t="s">
        <v>97</v>
      </c>
      <c r="R233" s="46">
        <f>HEX2DEC(RIGHT(Table13232127[[#This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380</v>
      </c>
      <c r="E234" s="35" t="s">
        <v>54</v>
      </c>
      <c r="G234" s="15">
        <f>IF(Table131925[[#This Row],[dec val]]="",0,1)</f>
        <v>0</v>
      </c>
      <c r="I234" s="24">
        <v>1</v>
      </c>
      <c r="J234" s="24">
        <v>50000</v>
      </c>
      <c r="M234" s="24">
        <v>50000</v>
      </c>
      <c r="O234" s="46" t="s">
        <v>97</v>
      </c>
      <c r="P234" s="46">
        <f>HEX2DEC(RIGHT(Table13232127[[#This Row],[h1]],8))</f>
        <v>0</v>
      </c>
      <c r="Q234" s="46" t="s">
        <v>97</v>
      </c>
      <c r="R234" s="46">
        <f>HEX2DEC(RIGHT(Table13232127[[#This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381</v>
      </c>
      <c r="E235" s="35" t="s">
        <v>55</v>
      </c>
      <c r="G235" s="15">
        <f>IF(Table131925[[#This Row],[dec val]]="",0,1)</f>
        <v>0</v>
      </c>
      <c r="I235" s="24">
        <v>3</v>
      </c>
      <c r="J235" s="24">
        <v>50000</v>
      </c>
      <c r="M235" s="24">
        <v>50000</v>
      </c>
      <c r="O235" s="46" t="s">
        <v>97</v>
      </c>
      <c r="P235" s="46">
        <f>HEX2DEC(RIGHT(Table13232127[[#This Row],[h1]],8))</f>
        <v>0</v>
      </c>
      <c r="Q235" s="46" t="s">
        <v>97</v>
      </c>
      <c r="R235" s="46">
        <f>HEX2DEC(RIGHT(Table13232127[[#This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382</v>
      </c>
      <c r="E236" s="35" t="s">
        <v>56</v>
      </c>
      <c r="G236" s="15">
        <f>IF(Table131925[[#This Row],[dec val]]="",0,1)</f>
        <v>0</v>
      </c>
      <c r="I236" s="24">
        <v>1</v>
      </c>
      <c r="J236" s="24">
        <v>50000</v>
      </c>
      <c r="M236" s="24">
        <v>50000</v>
      </c>
      <c r="O236" s="46" t="s">
        <v>97</v>
      </c>
      <c r="P236" s="46">
        <f>HEX2DEC(RIGHT(Table13232127[[#This Row],[h1]],8))</f>
        <v>0</v>
      </c>
      <c r="Q236" s="46" t="s">
        <v>97</v>
      </c>
      <c r="R236" s="46">
        <f>HEX2DEC(RIGHT(Table13232127[[#This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383</v>
      </c>
      <c r="E237" s="35" t="s">
        <v>57</v>
      </c>
      <c r="G237" s="15">
        <f>IF(Table131925[[#This Row],[dec val]]="",0,1)</f>
        <v>0</v>
      </c>
      <c r="I237" s="24">
        <v>2</v>
      </c>
      <c r="J237" s="24">
        <v>50000</v>
      </c>
      <c r="M237" s="24">
        <v>50000</v>
      </c>
      <c r="O237" s="46" t="s">
        <v>97</v>
      </c>
      <c r="P237" s="46">
        <f>HEX2DEC(RIGHT(Table13232127[[#This Row],[h1]],8))</f>
        <v>0</v>
      </c>
      <c r="Q237" s="46" t="s">
        <v>97</v>
      </c>
      <c r="R237" s="46">
        <f>HEX2DEC(RIGHT(Table13232127[[#This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384</v>
      </c>
      <c r="E238" s="35" t="s">
        <v>58</v>
      </c>
      <c r="G238" s="15">
        <f>IF(Table131925[[#This Row],[dec val]]="",0,1)</f>
        <v>0</v>
      </c>
      <c r="I238" s="24">
        <v>1</v>
      </c>
      <c r="J238" s="24">
        <v>50000</v>
      </c>
      <c r="M238" s="24">
        <v>50000</v>
      </c>
      <c r="O238" s="46" t="s">
        <v>97</v>
      </c>
      <c r="P238" s="46">
        <f>HEX2DEC(RIGHT(Table13232127[[#This Row],[h1]],8))</f>
        <v>0</v>
      </c>
      <c r="Q238" s="46" t="s">
        <v>97</v>
      </c>
      <c r="R238" s="46">
        <f>HEX2DEC(RIGHT(Table13232127[[#This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385</v>
      </c>
      <c r="E239" s="35" t="s">
        <v>59</v>
      </c>
      <c r="G239" s="15">
        <f>IF(Table131925[[#This Row],[dec val]]="",0,1)</f>
        <v>0</v>
      </c>
      <c r="I239" s="24">
        <v>4</v>
      </c>
      <c r="J239" s="24">
        <v>50000</v>
      </c>
      <c r="M239" s="24">
        <v>50000</v>
      </c>
      <c r="O239" s="46" t="s">
        <v>97</v>
      </c>
      <c r="P239" s="46">
        <f>HEX2DEC(RIGHT(Table13232127[[#This Row],[h1]],8))</f>
        <v>0</v>
      </c>
      <c r="Q239" s="46" t="s">
        <v>97</v>
      </c>
      <c r="R239" s="46">
        <f>HEX2DEC(RIGHT(Table13232127[[#This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386</v>
      </c>
      <c r="E240" s="35" t="s">
        <v>60</v>
      </c>
      <c r="G240" s="15">
        <f>IF(Table131925[[#This Row],[dec val]]="",0,1)</f>
        <v>0</v>
      </c>
      <c r="I240" s="24">
        <v>1</v>
      </c>
      <c r="J240" s="24">
        <v>50000</v>
      </c>
      <c r="M240" s="24">
        <v>50000</v>
      </c>
      <c r="O240" s="46" t="s">
        <v>97</v>
      </c>
      <c r="P240" s="46">
        <f>HEX2DEC(RIGHT(Table13232127[[#This Row],[h1]],8))</f>
        <v>0</v>
      </c>
      <c r="Q240" s="46" t="s">
        <v>97</v>
      </c>
      <c r="R240" s="46">
        <f>HEX2DEC(RIGHT(Table13232127[[#This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387</v>
      </c>
      <c r="E241" s="35" t="s">
        <v>61</v>
      </c>
      <c r="G241" s="15">
        <f>IF(Table131925[[#This Row],[dec val]]="",0,1)</f>
        <v>0</v>
      </c>
      <c r="I241" s="24">
        <v>2</v>
      </c>
      <c r="J241" s="24">
        <v>50000</v>
      </c>
      <c r="M241" s="24">
        <v>50000</v>
      </c>
      <c r="O241" s="46" t="s">
        <v>97</v>
      </c>
      <c r="P241" s="46">
        <f>HEX2DEC(RIGHT(Table13232127[[#This Row],[h1]],8))</f>
        <v>0</v>
      </c>
      <c r="Q241" s="46" t="s">
        <v>97</v>
      </c>
      <c r="R241" s="46">
        <f>HEX2DEC(RIGHT(Table13232127[[#This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388</v>
      </c>
      <c r="E242" s="35" t="s">
        <v>62</v>
      </c>
      <c r="G242" s="15">
        <f>IF(Table131925[[#This Row],[dec val]]="",0,1)</f>
        <v>0</v>
      </c>
      <c r="I242" s="24">
        <v>1</v>
      </c>
      <c r="J242" s="24">
        <v>50000</v>
      </c>
      <c r="M242" s="24">
        <v>50000</v>
      </c>
      <c r="O242" s="46" t="s">
        <v>97</v>
      </c>
      <c r="P242" s="46">
        <f>HEX2DEC(RIGHT(Table13232127[[#This Row],[h1]],8))</f>
        <v>0</v>
      </c>
      <c r="Q242" s="46" t="s">
        <v>97</v>
      </c>
      <c r="R242" s="46">
        <f>HEX2DEC(RIGHT(Table13232127[[#This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395</v>
      </c>
      <c r="E243" s="35" t="s">
        <v>69</v>
      </c>
      <c r="G243" s="15">
        <v>0</v>
      </c>
      <c r="I243" s="24">
        <v>3</v>
      </c>
      <c r="J243" s="24">
        <v>50000</v>
      </c>
      <c r="M243" s="24">
        <v>50000</v>
      </c>
      <c r="O243" s="46" t="s">
        <v>97</v>
      </c>
      <c r="P243" s="46">
        <f>HEX2DEC(RIGHT(Table13232127[[#This Row],[h1]],8))</f>
        <v>0</v>
      </c>
      <c r="Q243" s="46" t="s">
        <v>97</v>
      </c>
      <c r="R243" s="46">
        <f>HEX2DEC(RIGHT(Table13232127[[#This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396</v>
      </c>
      <c r="E244" s="35" t="s">
        <v>70</v>
      </c>
      <c r="G244" s="15">
        <f>IF(Table131925[[#This Row],[dec val]]="",0,1)</f>
        <v>0</v>
      </c>
      <c r="I244" s="24">
        <v>1</v>
      </c>
      <c r="J244" s="24">
        <v>50000</v>
      </c>
      <c r="M244" s="24">
        <v>50000</v>
      </c>
      <c r="O244" s="46" t="s">
        <v>97</v>
      </c>
      <c r="P244" s="46">
        <f>HEX2DEC(RIGHT(Table13232127[[#This Row],[h1]],8))</f>
        <v>0</v>
      </c>
      <c r="Q244" s="46" t="s">
        <v>97</v>
      </c>
      <c r="R244" s="46">
        <f>HEX2DEC(RIGHT(Table13232127[[#This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684</v>
      </c>
      <c r="E245" s="35" t="s">
        <v>685</v>
      </c>
      <c r="G245" s="15">
        <v>1</v>
      </c>
      <c r="I245" s="24">
        <v>2</v>
      </c>
      <c r="J245" s="24">
        <v>50000</v>
      </c>
      <c r="M245" s="24">
        <v>50000</v>
      </c>
      <c r="O245" s="46" t="s">
        <v>97</v>
      </c>
      <c r="P245" s="46">
        <f>HEX2DEC(RIGHT(Table13232127[[#This Row],[h1]],8))</f>
        <v>0</v>
      </c>
      <c r="Q245" s="46" t="s">
        <v>97</v>
      </c>
      <c r="R245" s="46">
        <f>HEX2DEC(RIGHT(Table13232127[[#This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E246" s="35"/>
      <c r="I246" s="24">
        <v>1</v>
      </c>
      <c r="J246" s="24">
        <v>50000</v>
      </c>
      <c r="M246" s="24">
        <v>50000</v>
      </c>
      <c r="O246" s="46" t="s">
        <v>97</v>
      </c>
      <c r="P246" s="46">
        <f>HEX2DEC(RIGHT(Table13232127[[#This Row],[h1]],8))</f>
        <v>0</v>
      </c>
      <c r="Q246" s="46" t="s">
        <v>97</v>
      </c>
      <c r="R246" s="46">
        <f>HEX2DEC(RIGHT(Table13232127[[#This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411</v>
      </c>
      <c r="E247" s="35" t="s">
        <v>54</v>
      </c>
      <c r="G247" s="15">
        <f>IF(Table131925[[#This Row],[dec val]]="",0,1)</f>
        <v>0</v>
      </c>
      <c r="I247" s="24">
        <v>3</v>
      </c>
      <c r="J247" s="24">
        <v>50000</v>
      </c>
      <c r="M247" s="24">
        <v>50000</v>
      </c>
      <c r="O247" s="46" t="s">
        <v>97</v>
      </c>
      <c r="P247" s="46">
        <f>HEX2DEC(RIGHT(Table13232127[[#This Row],[h1]],8))</f>
        <v>0</v>
      </c>
      <c r="Q247" s="46" t="s">
        <v>97</v>
      </c>
      <c r="R247" s="46">
        <f>HEX2DEC(RIGHT(Table13232127[[#This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412</v>
      </c>
      <c r="E248" s="35" t="s">
        <v>55</v>
      </c>
      <c r="G248" s="15">
        <f>IF(Table131925[[#This Row],[dec val]]="",0,1)</f>
        <v>0</v>
      </c>
      <c r="I248" s="24">
        <v>1</v>
      </c>
      <c r="J248" s="24">
        <v>50000</v>
      </c>
      <c r="M248" s="24">
        <v>50000</v>
      </c>
      <c r="O248" s="46" t="s">
        <v>97</v>
      </c>
      <c r="P248" s="46">
        <f>HEX2DEC(RIGHT(Table13232127[[#This Row],[h1]],8))</f>
        <v>0</v>
      </c>
      <c r="Q248" s="46" t="s">
        <v>97</v>
      </c>
      <c r="R248" s="46">
        <f>HEX2DEC(RIGHT(Table13232127[[#This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413</v>
      </c>
      <c r="E249" s="35" t="s">
        <v>56</v>
      </c>
      <c r="G249" s="15">
        <f>IF(Table131925[[#This Row],[dec val]]="",0,1)</f>
        <v>0</v>
      </c>
      <c r="I249" s="24">
        <v>2</v>
      </c>
      <c r="J249" s="24">
        <v>50000</v>
      </c>
      <c r="M249" s="24">
        <v>50000</v>
      </c>
      <c r="O249" s="46" t="s">
        <v>97</v>
      </c>
      <c r="P249" s="46">
        <f>HEX2DEC(RIGHT(Table13232127[[#This Row],[h1]],8))</f>
        <v>0</v>
      </c>
      <c r="Q249" s="46" t="s">
        <v>97</v>
      </c>
      <c r="R249" s="46">
        <f>HEX2DEC(RIGHT(Table13232127[[#This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414</v>
      </c>
      <c r="E250" s="35" t="s">
        <v>57</v>
      </c>
      <c r="G250" s="15">
        <f>IF(Table131925[[#This Row],[dec val]]="",0,1)</f>
        <v>0</v>
      </c>
      <c r="I250" s="24">
        <v>1</v>
      </c>
      <c r="J250" s="24">
        <v>50000</v>
      </c>
      <c r="M250" s="24">
        <v>50000</v>
      </c>
      <c r="O250" s="46" t="s">
        <v>97</v>
      </c>
      <c r="P250" s="46">
        <f>HEX2DEC(RIGHT(Table13232127[[#This Row],[h1]],8))</f>
        <v>0</v>
      </c>
      <c r="Q250" s="46" t="s">
        <v>97</v>
      </c>
      <c r="R250" s="46">
        <f>HEX2DEC(RIGHT(Table13232127[[#This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415</v>
      </c>
      <c r="E251" s="35" t="s">
        <v>58</v>
      </c>
      <c r="G251" s="15">
        <f>IF(Table131925[[#This Row],[dec val]]="",0,1)</f>
        <v>0</v>
      </c>
      <c r="I251" s="24" t="s">
        <v>754</v>
      </c>
      <c r="J251" s="24">
        <v>50000</v>
      </c>
      <c r="M251" s="24">
        <v>50000</v>
      </c>
      <c r="O251" s="46" t="s">
        <v>97</v>
      </c>
      <c r="P251" s="46">
        <f>HEX2DEC(RIGHT(Table13232127[[#This Row],[h1]],8))</f>
        <v>0</v>
      </c>
      <c r="Q251" s="46" t="s">
        <v>97</v>
      </c>
      <c r="R251" s="46">
        <f>HEX2DEC(RIGHT(Table13232127[[#This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416</v>
      </c>
      <c r="E252" s="35" t="s">
        <v>59</v>
      </c>
      <c r="G252" s="15">
        <f>IF(Table131925[[#This Row],[dec val]]="",0,1)</f>
        <v>0</v>
      </c>
      <c r="J252" s="24">
        <v>50000</v>
      </c>
      <c r="M252" s="24">
        <v>50000</v>
      </c>
      <c r="O252" s="46" t="s">
        <v>97</v>
      </c>
      <c r="P252" s="46">
        <f>HEX2DEC(RIGHT(Table13232127[[#This Row],[h1]],8))</f>
        <v>0</v>
      </c>
      <c r="Q252" s="46" t="s">
        <v>97</v>
      </c>
      <c r="R252" s="46">
        <f>HEX2DEC(RIGHT(Table13232127[[#This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417</v>
      </c>
      <c r="E253" s="35" t="s">
        <v>60</v>
      </c>
      <c r="G253" s="15">
        <f>IF(Table131925[[#This Row],[dec val]]="",0,1)</f>
        <v>0</v>
      </c>
      <c r="J253" s="24">
        <v>50000</v>
      </c>
      <c r="M253" s="24">
        <v>50000</v>
      </c>
      <c r="O253" s="46" t="s">
        <v>97</v>
      </c>
      <c r="P253" s="46">
        <f>HEX2DEC(RIGHT(Table13232127[[#This Row],[h1]],8))</f>
        <v>0</v>
      </c>
      <c r="Q253" s="46" t="s">
        <v>97</v>
      </c>
      <c r="R253" s="46">
        <f>HEX2DEC(RIGHT(Table13232127[[#This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418</v>
      </c>
      <c r="E254" s="35" t="s">
        <v>61</v>
      </c>
      <c r="G254" s="15">
        <f>IF(Table131925[[#This Row],[dec val]]="",0,1)</f>
        <v>0</v>
      </c>
      <c r="J254" s="24">
        <v>50000</v>
      </c>
      <c r="M254" s="24">
        <v>50000</v>
      </c>
      <c r="O254" s="46" t="s">
        <v>97</v>
      </c>
      <c r="P254" s="46">
        <f>HEX2DEC(RIGHT(Table13232127[[#This Row],[h1]],8))</f>
        <v>0</v>
      </c>
      <c r="Q254" s="46" t="s">
        <v>97</v>
      </c>
      <c r="R254" s="46">
        <f>HEX2DEC(RIGHT(Table13232127[[#This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419</v>
      </c>
      <c r="E255" s="35" t="s">
        <v>62</v>
      </c>
      <c r="G255" s="15">
        <f>IF(Table131925[[#This Row],[dec val]]="",0,1)</f>
        <v>0</v>
      </c>
      <c r="J255" s="24">
        <v>50000</v>
      </c>
      <c r="M255" s="24">
        <v>50000</v>
      </c>
      <c r="O255" s="46" t="s">
        <v>97</v>
      </c>
      <c r="P255" s="46">
        <f>HEX2DEC(RIGHT(Table13232127[[#This Row],[h1]],8))</f>
        <v>0</v>
      </c>
      <c r="Q255" s="46" t="s">
        <v>97</v>
      </c>
      <c r="R255" s="46">
        <f>HEX2DEC(RIGHT(Table13232127[[#This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426</v>
      </c>
      <c r="E256" s="35" t="s">
        <v>69</v>
      </c>
      <c r="G256" s="15">
        <f>IF(Table131925[[#This Row],[dec val]]="",0,1)</f>
        <v>0</v>
      </c>
      <c r="J256" s="24">
        <v>50000</v>
      </c>
      <c r="M256" s="24">
        <v>50000</v>
      </c>
      <c r="O256" s="46" t="s">
        <v>97</v>
      </c>
      <c r="P256" s="46">
        <f>HEX2DEC(RIGHT(Table13232127[[#This Row],[h1]],8))</f>
        <v>0</v>
      </c>
      <c r="Q256" s="46" t="s">
        <v>97</v>
      </c>
      <c r="R256" s="46">
        <f>HEX2DEC(RIGHT(Table13232127[[#This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427</v>
      </c>
      <c r="E257" s="35" t="s">
        <v>70</v>
      </c>
      <c r="G257" s="15">
        <f>IF(Table131925[[#This Row],[dec val]]="",0,1)</f>
        <v>0</v>
      </c>
      <c r="J257" s="24">
        <v>50000</v>
      </c>
      <c r="M257" s="24">
        <v>50000</v>
      </c>
      <c r="O257" s="46" t="s">
        <v>97</v>
      </c>
      <c r="P257" s="46">
        <f>HEX2DEC(RIGHT(Table13232127[[#This Row],[h1]],8))</f>
        <v>0</v>
      </c>
      <c r="Q257" s="46" t="s">
        <v>97</v>
      </c>
      <c r="R257" s="46">
        <f>HEX2DEC(RIGHT(Table13232127[[#This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686</v>
      </c>
      <c r="E258" s="35" t="s">
        <v>687</v>
      </c>
      <c r="G258" s="15">
        <f>IF(Table131925[[#This Row],[dec val]]="",0,1)</f>
        <v>0</v>
      </c>
      <c r="J258" s="24">
        <v>50000</v>
      </c>
      <c r="M258" s="24">
        <v>50000</v>
      </c>
      <c r="O258" s="46" t="s">
        <v>97</v>
      </c>
      <c r="P258" s="46">
        <f>HEX2DEC(RIGHT(Table13232127[[#This Row],[h1]],8))</f>
        <v>0</v>
      </c>
      <c r="Q258" s="46" t="s">
        <v>97</v>
      </c>
      <c r="R258" s="46">
        <f>HEX2DEC(RIGHT(Table13232127[[#This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E259" s="35"/>
      <c r="J259" s="24">
        <v>50000</v>
      </c>
      <c r="M259" s="24">
        <v>50000</v>
      </c>
      <c r="O259" s="46" t="s">
        <v>97</v>
      </c>
      <c r="P259" s="46">
        <f>HEX2DEC(RIGHT(Table13232127[[#This Row],[h1]],8))</f>
        <v>0</v>
      </c>
      <c r="Q259" s="46" t="s">
        <v>97</v>
      </c>
      <c r="R259" s="46">
        <f>HEX2DEC(RIGHT(Table13232127[[#This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442</v>
      </c>
      <c r="E260" s="35" t="s">
        <v>54</v>
      </c>
      <c r="G260" s="15">
        <f>IF(Table131925[[#This Row],[dec val]]="",0,1)</f>
        <v>0</v>
      </c>
      <c r="J260" s="24">
        <v>50000</v>
      </c>
      <c r="M260" s="24">
        <v>50000</v>
      </c>
      <c r="O260" s="46" t="s">
        <v>97</v>
      </c>
      <c r="P260" s="46">
        <f>HEX2DEC(RIGHT(Table13232127[[#This Row],[h1]],8))</f>
        <v>0</v>
      </c>
      <c r="Q260" s="46" t="s">
        <v>97</v>
      </c>
      <c r="R260" s="46">
        <f>HEX2DEC(RIGHT(Table13232127[[#This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443</v>
      </c>
      <c r="E261" s="35" t="s">
        <v>55</v>
      </c>
      <c r="G261" s="15">
        <f>IF(Table131925[[#This Row],[dec val]]="",0,1)</f>
        <v>0</v>
      </c>
      <c r="J261" s="24">
        <v>50000</v>
      </c>
      <c r="M261" s="24">
        <v>50000</v>
      </c>
      <c r="O261" s="46" t="s">
        <v>97</v>
      </c>
      <c r="P261" s="46">
        <f>HEX2DEC(RIGHT(Table13232127[[#This Row],[h1]],8))</f>
        <v>0</v>
      </c>
      <c r="Q261" s="46" t="s">
        <v>97</v>
      </c>
      <c r="R261" s="46">
        <f>HEX2DEC(RIGHT(Table13232127[[#This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444</v>
      </c>
      <c r="E262" s="35" t="s">
        <v>56</v>
      </c>
      <c r="G262" s="15">
        <f>IF(Table131925[[#This Row],[dec val]]="",0,1)</f>
        <v>0</v>
      </c>
      <c r="J262" s="24">
        <v>50000</v>
      </c>
      <c r="M262" s="24">
        <v>50000</v>
      </c>
      <c r="O262" s="46" t="s">
        <v>97</v>
      </c>
      <c r="P262" s="46">
        <f>HEX2DEC(RIGHT(Table13232127[[#This Row],[h1]],8))</f>
        <v>0</v>
      </c>
      <c r="Q262" s="46" t="s">
        <v>97</v>
      </c>
      <c r="R262" s="46">
        <f>HEX2DEC(RIGHT(Table13232127[[#This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445</v>
      </c>
      <c r="E263" s="35" t="s">
        <v>57</v>
      </c>
      <c r="G263" s="15">
        <f>IF(Table131925[[#This Row],[dec val]]="",0,1)</f>
        <v>0</v>
      </c>
      <c r="J263" s="24">
        <v>50000</v>
      </c>
      <c r="M263" s="24">
        <v>50000</v>
      </c>
      <c r="O263" s="46" t="s">
        <v>97</v>
      </c>
      <c r="P263" s="46">
        <f>HEX2DEC(RIGHT(Table13232127[[#This Row],[h1]],8))</f>
        <v>0</v>
      </c>
      <c r="Q263" s="46" t="s">
        <v>97</v>
      </c>
      <c r="R263" s="46">
        <f>HEX2DEC(RIGHT(Table13232127[[#This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446</v>
      </c>
      <c r="E264" s="35" t="s">
        <v>58</v>
      </c>
      <c r="G264" s="15">
        <f>IF(Table131925[[#This Row],[dec val]]="",0,1)</f>
        <v>0</v>
      </c>
      <c r="J264" s="24">
        <v>50000</v>
      </c>
      <c r="M264" s="24">
        <v>50000</v>
      </c>
      <c r="O264" s="46" t="s">
        <v>97</v>
      </c>
      <c r="P264" s="46">
        <f>HEX2DEC(RIGHT(Table13232127[[#This Row],[h1]],8))</f>
        <v>0</v>
      </c>
      <c r="Q264" s="46" t="s">
        <v>97</v>
      </c>
      <c r="R264" s="46">
        <f>HEX2DEC(RIGHT(Table13232127[[#This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447</v>
      </c>
      <c r="E265" s="35" t="s">
        <v>59</v>
      </c>
      <c r="G265" s="15">
        <f>IF(Table131925[[#This Row],[dec val]]="",0,1)</f>
        <v>0</v>
      </c>
      <c r="J265" s="24">
        <v>50000</v>
      </c>
      <c r="M265" s="24">
        <v>50000</v>
      </c>
      <c r="O265" s="46" t="s">
        <v>97</v>
      </c>
      <c r="P265" s="46">
        <f>HEX2DEC(RIGHT(Table13232127[[#This Row],[h1]],8))</f>
        <v>0</v>
      </c>
      <c r="Q265" s="46" t="s">
        <v>97</v>
      </c>
      <c r="R265" s="46">
        <f>HEX2DEC(RIGHT(Table13232127[[#This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448</v>
      </c>
      <c r="E266" s="35" t="s">
        <v>60</v>
      </c>
      <c r="G266" s="15">
        <f>IF(Table131925[[#This Row],[dec val]]="",0,1)</f>
        <v>0</v>
      </c>
      <c r="J266" s="24">
        <v>50000</v>
      </c>
      <c r="M266" s="24">
        <v>50000</v>
      </c>
      <c r="O266" s="46" t="s">
        <v>97</v>
      </c>
      <c r="P266" s="46">
        <f>HEX2DEC(RIGHT(Table13232127[[#This Row],[h1]],8))</f>
        <v>0</v>
      </c>
      <c r="Q266" s="46" t="s">
        <v>97</v>
      </c>
      <c r="R266" s="46">
        <f>HEX2DEC(RIGHT(Table13232127[[#This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449</v>
      </c>
      <c r="E267" s="35" t="s">
        <v>61</v>
      </c>
      <c r="G267" s="15">
        <f>IF(Table131925[[#This Row],[dec val]]="",0,1)</f>
        <v>0</v>
      </c>
      <c r="J267" s="24">
        <v>50000</v>
      </c>
      <c r="M267" s="24">
        <v>50000</v>
      </c>
      <c r="O267" s="46" t="s">
        <v>97</v>
      </c>
      <c r="P267" s="46">
        <f>HEX2DEC(RIGHT(Table13232127[[#This Row],[h1]],8))</f>
        <v>0</v>
      </c>
      <c r="Q267" s="46" t="s">
        <v>97</v>
      </c>
      <c r="R267" s="46">
        <f>HEX2DEC(RIGHT(Table13232127[[#This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450</v>
      </c>
      <c r="E268" s="35" t="s">
        <v>62</v>
      </c>
      <c r="G268" s="15">
        <f>IF(Table131925[[#This Row],[dec val]]="",0,1)</f>
        <v>0</v>
      </c>
      <c r="J268" s="24">
        <v>50000</v>
      </c>
      <c r="M268" s="24">
        <v>50000</v>
      </c>
      <c r="O268" s="46" t="s">
        <v>97</v>
      </c>
      <c r="P268" s="46">
        <f>HEX2DEC(RIGHT(Table13232127[[#This Row],[h1]],8))</f>
        <v>0</v>
      </c>
      <c r="Q268" s="46" t="s">
        <v>97</v>
      </c>
      <c r="R268" s="46">
        <f>HEX2DEC(RIGHT(Table13232127[[#This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457</v>
      </c>
      <c r="E269" s="35" t="s">
        <v>69</v>
      </c>
      <c r="G269" s="15">
        <f>IF(Table131925[[#This Row],[dec val]]="",0,1)</f>
        <v>0</v>
      </c>
      <c r="J269" s="24">
        <v>50000</v>
      </c>
      <c r="M269" s="24">
        <v>50000</v>
      </c>
      <c r="O269" s="46" t="s">
        <v>97</v>
      </c>
      <c r="P269" s="46">
        <f>HEX2DEC(RIGHT(Table13232127[[#This Row],[h1]],8))</f>
        <v>0</v>
      </c>
      <c r="Q269" s="46" t="s">
        <v>97</v>
      </c>
      <c r="R269" s="46">
        <f>HEX2DEC(RIGHT(Table13232127[[#This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458</v>
      </c>
      <c r="E270" s="35" t="s">
        <v>70</v>
      </c>
      <c r="G270" s="15">
        <f>IF(Table131925[[#This Row],[dec val]]="",0,1)</f>
        <v>0</v>
      </c>
      <c r="J270" s="24">
        <v>50000</v>
      </c>
      <c r="M270" s="24">
        <v>50000</v>
      </c>
      <c r="O270" s="46" t="s">
        <v>97</v>
      </c>
      <c r="P270" s="46">
        <f>HEX2DEC(RIGHT(Table13232127[[#This Row],[h1]],8))</f>
        <v>0</v>
      </c>
      <c r="Q270" s="46" t="s">
        <v>97</v>
      </c>
      <c r="R270" s="46">
        <f>HEX2DEC(RIGHT(Table13232127[[#This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688</v>
      </c>
      <c r="E271" s="35" t="s">
        <v>687</v>
      </c>
      <c r="G271" s="15">
        <f>IF(Table131925[[#This Row],[dec val]]="",0,1)</f>
        <v>0</v>
      </c>
      <c r="J271" s="24">
        <v>50000</v>
      </c>
      <c r="M271" s="24">
        <v>50000</v>
      </c>
      <c r="O271" s="46" t="s">
        <v>97</v>
      </c>
      <c r="P271" s="46">
        <f>HEX2DEC(RIGHT(Table13232127[[#This Row],[h1]],8))</f>
        <v>0</v>
      </c>
      <c r="Q271" s="46" t="s">
        <v>97</v>
      </c>
      <c r="R271" s="46">
        <f>HEX2DEC(RIGHT(Table13232127[[#This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E272" s="35"/>
      <c r="J272" s="24">
        <v>50000</v>
      </c>
      <c r="M272" s="24">
        <v>50000</v>
      </c>
      <c r="O272" s="46" t="s">
        <v>97</v>
      </c>
      <c r="P272" s="46">
        <f>HEX2DEC(RIGHT(Table13232127[[#This Row],[h1]],8))</f>
        <v>0</v>
      </c>
      <c r="Q272" s="46" t="s">
        <v>97</v>
      </c>
      <c r="R272" s="46">
        <f>HEX2DEC(RIGHT(Table13232127[[#This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473</v>
      </c>
      <c r="E273" s="35" t="s">
        <v>54</v>
      </c>
      <c r="G273" s="15">
        <f>IF(Table131925[[#This Row],[dec val]]="",0,1)</f>
        <v>0</v>
      </c>
      <c r="J273" s="24">
        <v>50000</v>
      </c>
      <c r="M273" s="24">
        <v>50000</v>
      </c>
      <c r="O273" s="46" t="s">
        <v>97</v>
      </c>
      <c r="P273" s="46">
        <f>HEX2DEC(RIGHT(Table13232127[[#This Row],[h1]],8))</f>
        <v>0</v>
      </c>
      <c r="Q273" s="46" t="s">
        <v>97</v>
      </c>
      <c r="R273" s="46">
        <f>HEX2DEC(RIGHT(Table13232127[[#This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474</v>
      </c>
      <c r="E274" s="35" t="s">
        <v>55</v>
      </c>
      <c r="G274" s="15">
        <f>IF(Table131925[[#This Row],[dec val]]="",0,1)</f>
        <v>0</v>
      </c>
      <c r="J274" s="24">
        <v>50000</v>
      </c>
      <c r="M274" s="24">
        <v>50000</v>
      </c>
      <c r="O274" s="46" t="s">
        <v>97</v>
      </c>
      <c r="P274" s="46">
        <f>HEX2DEC(RIGHT(Table13232127[[#This Row],[h1]],8))</f>
        <v>0</v>
      </c>
      <c r="Q274" s="46" t="s">
        <v>97</v>
      </c>
      <c r="R274" s="46">
        <f>HEX2DEC(RIGHT(Table13232127[[#This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475</v>
      </c>
      <c r="E275" s="35" t="s">
        <v>56</v>
      </c>
      <c r="G275" s="15">
        <f>IF(Table131925[[#This Row],[dec val]]="",0,1)</f>
        <v>0</v>
      </c>
      <c r="J275" s="24">
        <v>50000</v>
      </c>
      <c r="M275" s="24">
        <v>50000</v>
      </c>
      <c r="O275" s="46" t="s">
        <v>97</v>
      </c>
      <c r="P275" s="46">
        <f>HEX2DEC(RIGHT(Table13232127[[#This Row],[h1]],8))</f>
        <v>0</v>
      </c>
      <c r="Q275" s="46" t="s">
        <v>97</v>
      </c>
      <c r="R275" s="46">
        <f>HEX2DEC(RIGHT(Table13232127[[#This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476</v>
      </c>
      <c r="E276" s="35" t="s">
        <v>57</v>
      </c>
      <c r="G276" s="15">
        <f>IF(Table131925[[#This Row],[dec val]]="",0,1)</f>
        <v>0</v>
      </c>
      <c r="J276" s="24">
        <v>50000</v>
      </c>
      <c r="M276" s="24">
        <v>50000</v>
      </c>
      <c r="O276" s="46" t="s">
        <v>97</v>
      </c>
      <c r="P276" s="46">
        <f>HEX2DEC(RIGHT(Table13232127[[#This Row],[h1]],8))</f>
        <v>0</v>
      </c>
      <c r="Q276" s="46" t="s">
        <v>97</v>
      </c>
      <c r="R276" s="46">
        <f>HEX2DEC(RIGHT(Table13232127[[#This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477</v>
      </c>
      <c r="E277" s="35" t="s">
        <v>58</v>
      </c>
      <c r="G277" s="15">
        <f>IF(Table131925[[#This Row],[dec val]]="",0,1)</f>
        <v>0</v>
      </c>
      <c r="J277" s="24">
        <v>50000</v>
      </c>
      <c r="M277" s="24">
        <v>50000</v>
      </c>
      <c r="O277" s="46" t="s">
        <v>97</v>
      </c>
      <c r="P277" s="46">
        <f>HEX2DEC(RIGHT(Table13232127[[#This Row],[h1]],8))</f>
        <v>0</v>
      </c>
      <c r="Q277" s="46" t="s">
        <v>97</v>
      </c>
      <c r="R277" s="46">
        <f>HEX2DEC(RIGHT(Table13232127[[#This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478</v>
      </c>
      <c r="E278" s="35" t="s">
        <v>59</v>
      </c>
      <c r="G278" s="15">
        <f>IF(Table131925[[#This Row],[dec val]]="",0,1)</f>
        <v>0</v>
      </c>
      <c r="J278" s="24">
        <v>50000</v>
      </c>
      <c r="M278" s="24">
        <v>50000</v>
      </c>
      <c r="O278" s="46" t="s">
        <v>97</v>
      </c>
      <c r="P278" s="46">
        <f>HEX2DEC(RIGHT(Table13232127[[#This Row],[h1]],8))</f>
        <v>0</v>
      </c>
      <c r="Q278" s="46" t="s">
        <v>97</v>
      </c>
      <c r="R278" s="46">
        <f>HEX2DEC(RIGHT(Table13232127[[#This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479</v>
      </c>
      <c r="E279" s="35" t="s">
        <v>60</v>
      </c>
      <c r="G279" s="15">
        <f>IF(Table131925[[#This Row],[dec val]]="",0,1)</f>
        <v>0</v>
      </c>
      <c r="J279" s="24">
        <v>50000</v>
      </c>
      <c r="M279" s="24">
        <v>50000</v>
      </c>
      <c r="O279" s="46" t="s">
        <v>97</v>
      </c>
      <c r="P279" s="46">
        <f>HEX2DEC(RIGHT(Table13232127[[#This Row],[h1]],8))</f>
        <v>0</v>
      </c>
      <c r="Q279" s="46" t="s">
        <v>97</v>
      </c>
      <c r="R279" s="46">
        <f>HEX2DEC(RIGHT(Table13232127[[#This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480</v>
      </c>
      <c r="E280" s="35" t="s">
        <v>61</v>
      </c>
      <c r="G280" s="15">
        <f>IF(Table131925[[#This Row],[dec val]]="",0,1)</f>
        <v>0</v>
      </c>
      <c r="J280" s="24">
        <v>50000</v>
      </c>
      <c r="M280" s="24">
        <v>50000</v>
      </c>
      <c r="O280" s="46" t="s">
        <v>97</v>
      </c>
      <c r="P280" s="46">
        <f>HEX2DEC(RIGHT(Table13232127[[#This Row],[h1]],8))</f>
        <v>0</v>
      </c>
      <c r="Q280" s="46" t="s">
        <v>97</v>
      </c>
      <c r="R280" s="46">
        <f>HEX2DEC(RIGHT(Table13232127[[#This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488</v>
      </c>
      <c r="E281" s="35" t="s">
        <v>69</v>
      </c>
      <c r="G281" s="15">
        <f>IF(Table131925[[#This Row],[dec val]]="",0,1)</f>
        <v>0</v>
      </c>
      <c r="J281" s="24">
        <v>50000</v>
      </c>
      <c r="M281" s="24">
        <v>50000</v>
      </c>
      <c r="O281" s="46" t="s">
        <v>97</v>
      </c>
      <c r="P281" s="46">
        <f>HEX2DEC(RIGHT(Table13232127[[#This Row],[h1]],8))</f>
        <v>0</v>
      </c>
      <c r="Q281" s="46" t="s">
        <v>97</v>
      </c>
      <c r="R281" s="46">
        <f>HEX2DEC(RIGHT(Table13232127[[#This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489</v>
      </c>
      <c r="E282" s="35" t="s">
        <v>70</v>
      </c>
      <c r="G282" s="15">
        <f>IF(Table131925[[#This Row],[dec val]]="",0,1)</f>
        <v>0</v>
      </c>
      <c r="J282" s="24">
        <v>50000</v>
      </c>
      <c r="M282" s="24">
        <v>50000</v>
      </c>
      <c r="O282" s="46" t="s">
        <v>97</v>
      </c>
      <c r="P282" s="46">
        <f>HEX2DEC(RIGHT(Table13232127[[#This Row],[h1]],8))</f>
        <v>0</v>
      </c>
      <c r="Q282" s="46" t="s">
        <v>97</v>
      </c>
      <c r="R282" s="46">
        <f>HEX2DEC(RIGHT(Table13232127[[#This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689</v>
      </c>
      <c r="E283" s="35" t="s">
        <v>687</v>
      </c>
      <c r="G283" s="15">
        <f>IF(Table131925[[#This Row],[dec val]]="",0,1)</f>
        <v>0</v>
      </c>
      <c r="J283" s="24">
        <v>50000</v>
      </c>
      <c r="M283" s="24">
        <v>50000</v>
      </c>
      <c r="O283" s="46" t="s">
        <v>97</v>
      </c>
      <c r="P283" s="46">
        <f>HEX2DEC(RIGHT(Table13232127[[#This Row],[h1]],8))</f>
        <v>0</v>
      </c>
      <c r="Q283" s="46" t="s">
        <v>97</v>
      </c>
      <c r="R283" s="46">
        <f>HEX2DEC(RIGHT(Table13232127[[#This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G284" s="33"/>
      <c r="J284" s="24">
        <v>50000</v>
      </c>
      <c r="M284" s="24">
        <v>50000</v>
      </c>
      <c r="O284" s="46" t="s">
        <v>97</v>
      </c>
      <c r="P284" s="46">
        <f>HEX2DEC(RIGHT(Table13232127[[#This Row],[h1]],8))</f>
        <v>0</v>
      </c>
      <c r="Q284" s="46" t="s">
        <v>97</v>
      </c>
      <c r="R284" s="46">
        <f>HEX2DEC(RIGHT(Table13232127[[#This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113</v>
      </c>
      <c r="G285" s="33" t="s">
        <v>154</v>
      </c>
      <c r="J285" s="24">
        <v>50000</v>
      </c>
      <c r="M285" s="24">
        <v>50000</v>
      </c>
      <c r="O285" s="46" t="s">
        <v>97</v>
      </c>
      <c r="P285" s="46">
        <f>HEX2DEC(RIGHT(Table13232127[[#This Row],[h1]],8))</f>
        <v>0</v>
      </c>
      <c r="Q285" s="46" t="s">
        <v>97</v>
      </c>
      <c r="R285" s="46">
        <f>HEX2DEC(RIGHT(Table13232127[[#This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114</v>
      </c>
      <c r="G286" s="33" t="s">
        <v>155</v>
      </c>
      <c r="J286" s="24">
        <v>50000</v>
      </c>
      <c r="M286" s="24">
        <v>50000</v>
      </c>
      <c r="O286" s="46" t="s">
        <v>97</v>
      </c>
      <c r="P286" s="46">
        <f>HEX2DEC(RIGHT(Table13232127[[#This Row],[h1]],8))</f>
        <v>0</v>
      </c>
      <c r="Q286" s="46" t="s">
        <v>97</v>
      </c>
      <c r="R286" s="46">
        <f>HEX2DEC(RIGHT(Table13232127[[#This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115</v>
      </c>
      <c r="G287" s="33" t="s">
        <v>155</v>
      </c>
      <c r="J287" s="24">
        <v>50000</v>
      </c>
      <c r="M287" s="24">
        <v>50000</v>
      </c>
      <c r="O287" s="46" t="s">
        <v>97</v>
      </c>
      <c r="P287" s="46">
        <f>HEX2DEC(RIGHT(Table13232127[[#This Row],[h1]],8))</f>
        <v>0</v>
      </c>
      <c r="Q287" s="46" t="s">
        <v>97</v>
      </c>
      <c r="R287" s="46">
        <f>HEX2DEC(RIGHT(Table13232127[[#This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116</v>
      </c>
      <c r="G288" s="33" t="s">
        <v>155</v>
      </c>
      <c r="J288" s="24">
        <v>50000</v>
      </c>
      <c r="M288" s="24">
        <v>50000</v>
      </c>
      <c r="O288" s="46" t="s">
        <v>97</v>
      </c>
      <c r="P288" s="46">
        <f>HEX2DEC(RIGHT(Table13232127[[#This Row],[h1]],8))</f>
        <v>0</v>
      </c>
      <c r="Q288" s="46" t="s">
        <v>97</v>
      </c>
      <c r="R288" s="46">
        <f>HEX2DEC(RIGHT(Table13232127[[#This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117</v>
      </c>
      <c r="G289" s="33" t="s">
        <v>155</v>
      </c>
      <c r="J289" s="24">
        <v>50000</v>
      </c>
      <c r="M289" s="24">
        <v>50000</v>
      </c>
      <c r="O289" s="46" t="s">
        <v>97</v>
      </c>
      <c r="P289" s="46">
        <f>HEX2DEC(RIGHT(Table13232127[[#This Row],[h1]],8))</f>
        <v>0</v>
      </c>
      <c r="Q289" s="46" t="s">
        <v>97</v>
      </c>
      <c r="R289" s="46">
        <f>HEX2DEC(RIGHT(Table13232127[[#This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118</v>
      </c>
      <c r="G290" s="33" t="s">
        <v>155</v>
      </c>
      <c r="J290" s="24">
        <v>50000</v>
      </c>
      <c r="M290" s="24">
        <v>50000</v>
      </c>
      <c r="O290" s="46" t="s">
        <v>97</v>
      </c>
      <c r="P290" s="46">
        <f>HEX2DEC(RIGHT(Table13232127[[#This Row],[h1]],8))</f>
        <v>0</v>
      </c>
      <c r="Q290" s="46" t="s">
        <v>97</v>
      </c>
      <c r="R290" s="46">
        <f>HEX2DEC(RIGHT(Table13232127[[#This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119</v>
      </c>
      <c r="G291" s="33" t="s">
        <v>155</v>
      </c>
      <c r="J291" s="24">
        <v>50000</v>
      </c>
      <c r="M291" s="24">
        <v>50000</v>
      </c>
      <c r="O291" s="46" t="s">
        <v>97</v>
      </c>
      <c r="P291" s="46">
        <f>HEX2DEC(RIGHT(Table13232127[[#This Row],[h1]],8))</f>
        <v>0</v>
      </c>
      <c r="Q291" s="46" t="s">
        <v>97</v>
      </c>
      <c r="R291" s="46">
        <f>HEX2DEC(RIGHT(Table13232127[[#This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120</v>
      </c>
      <c r="G292" s="33" t="s">
        <v>152</v>
      </c>
      <c r="J292" s="24">
        <v>50000</v>
      </c>
      <c r="M292" s="24">
        <v>50000</v>
      </c>
      <c r="O292" s="46" t="s">
        <v>97</v>
      </c>
      <c r="P292" s="46">
        <f>HEX2DEC(RIGHT(Table13232127[[#This Row],[h1]],8))</f>
        <v>0</v>
      </c>
      <c r="Q292" s="46" t="s">
        <v>97</v>
      </c>
      <c r="R292" s="46">
        <f>HEX2DEC(RIGHT(Table13232127[[#This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121</v>
      </c>
      <c r="G293" s="33" t="s">
        <v>152</v>
      </c>
      <c r="J293" s="24">
        <v>50000</v>
      </c>
      <c r="M293" s="24">
        <v>50000</v>
      </c>
      <c r="O293" s="46" t="s">
        <v>97</v>
      </c>
      <c r="P293" s="46">
        <f>HEX2DEC(RIGHT(Table13232127[[#This Row],[h1]],8))</f>
        <v>0</v>
      </c>
      <c r="Q293" s="46" t="s">
        <v>97</v>
      </c>
      <c r="R293" s="46">
        <f>HEX2DEC(RIGHT(Table13232127[[#This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122</v>
      </c>
      <c r="G294" s="33" t="s">
        <v>152</v>
      </c>
      <c r="J294" s="24">
        <v>50000</v>
      </c>
      <c r="M294" s="24">
        <v>50000</v>
      </c>
      <c r="O294" s="46" t="s">
        <v>97</v>
      </c>
      <c r="P294" s="46">
        <f>HEX2DEC(RIGHT(Table13232127[[#This Row],[h1]],8))</f>
        <v>0</v>
      </c>
      <c r="Q294" s="46" t="s">
        <v>97</v>
      </c>
      <c r="R294" s="46">
        <f>HEX2DEC(RIGHT(Table13232127[[#This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123</v>
      </c>
      <c r="G295" s="33" t="s">
        <v>152</v>
      </c>
      <c r="J295" s="24">
        <v>50000</v>
      </c>
      <c r="M295" s="24">
        <v>50000</v>
      </c>
      <c r="O295" s="46" t="s">
        <v>97</v>
      </c>
      <c r="P295" s="46">
        <f>HEX2DEC(RIGHT(Table13232127[[#This Row],[h1]],8))</f>
        <v>0</v>
      </c>
      <c r="Q295" s="46" t="s">
        <v>97</v>
      </c>
      <c r="R295" s="46">
        <f>HEX2DEC(RIGHT(Table13232127[[#This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124</v>
      </c>
      <c r="G296" s="33" t="s">
        <v>152</v>
      </c>
      <c r="J296" s="24">
        <v>50000</v>
      </c>
      <c r="M296" s="24">
        <v>50000</v>
      </c>
      <c r="O296" s="46" t="s">
        <v>97</v>
      </c>
      <c r="P296" s="46">
        <f>HEX2DEC(RIGHT(Table13232127[[#This Row],[h1]],8))</f>
        <v>0</v>
      </c>
      <c r="Q296" s="46" t="s">
        <v>97</v>
      </c>
      <c r="R296" s="46">
        <f>HEX2DEC(RIGHT(Table13232127[[#This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125</v>
      </c>
      <c r="G297" s="33" t="s">
        <v>152</v>
      </c>
      <c r="J297" s="24">
        <v>50000</v>
      </c>
      <c r="M297" s="24">
        <v>50000</v>
      </c>
      <c r="O297" s="46" t="s">
        <v>97</v>
      </c>
      <c r="P297" s="46">
        <f>HEX2DEC(RIGHT(Table13232127[[#This Row],[h1]],8))</f>
        <v>0</v>
      </c>
      <c r="Q297" s="46" t="s">
        <v>97</v>
      </c>
      <c r="R297" s="46">
        <f>HEX2DEC(RIGHT(Table13232127[[#This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126</v>
      </c>
      <c r="G298" s="33" t="s">
        <v>152</v>
      </c>
      <c r="J298" s="24">
        <v>50000</v>
      </c>
      <c r="M298" s="24">
        <v>50000</v>
      </c>
      <c r="O298" s="46" t="s">
        <v>97</v>
      </c>
      <c r="P298" s="46">
        <f>HEX2DEC(RIGHT(Table13232127[[#This Row],[h1]],8))</f>
        <v>0</v>
      </c>
      <c r="Q298" s="46" t="s">
        <v>97</v>
      </c>
      <c r="R298" s="46">
        <f>HEX2DEC(RIGHT(Table13232127[[#This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127</v>
      </c>
      <c r="G299" s="33" t="s">
        <v>152</v>
      </c>
      <c r="J299" s="24">
        <v>50000</v>
      </c>
      <c r="M299" s="24">
        <v>50000</v>
      </c>
      <c r="O299" s="46" t="s">
        <v>97</v>
      </c>
      <c r="P299" s="46">
        <f>HEX2DEC(RIGHT(Table13232127[[#This Row],[h1]],8))</f>
        <v>0</v>
      </c>
      <c r="Q299" s="46" t="s">
        <v>97</v>
      </c>
      <c r="R299" s="46">
        <f>HEX2DEC(RIGHT(Table13232127[[#This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128</v>
      </c>
      <c r="G300" s="33" t="s">
        <v>152</v>
      </c>
      <c r="J300" s="24">
        <v>50000</v>
      </c>
      <c r="M300" s="24">
        <v>50000</v>
      </c>
      <c r="O300" s="46" t="s">
        <v>97</v>
      </c>
      <c r="P300" s="46">
        <f>HEX2DEC(RIGHT(Table13232127[[#This Row],[h1]],8))</f>
        <v>0</v>
      </c>
      <c r="Q300" s="46" t="s">
        <v>97</v>
      </c>
      <c r="R300" s="46">
        <f>HEX2DEC(RIGHT(Table13232127[[#This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129</v>
      </c>
      <c r="G301" s="33" t="s">
        <v>152</v>
      </c>
      <c r="J301" s="24">
        <v>50000</v>
      </c>
      <c r="M301" s="24">
        <v>50000</v>
      </c>
      <c r="O301" s="46" t="s">
        <v>97</v>
      </c>
      <c r="P301" s="46">
        <f>HEX2DEC(RIGHT(Table13232127[[#This Row],[h1]],8))</f>
        <v>0</v>
      </c>
      <c r="Q301" s="46" t="s">
        <v>97</v>
      </c>
      <c r="R301" s="46">
        <f>HEX2DEC(RIGHT(Table13232127[[#This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130</v>
      </c>
      <c r="G302" s="33" t="s">
        <v>152</v>
      </c>
      <c r="J302" s="24">
        <v>50000</v>
      </c>
      <c r="M302" s="24">
        <v>50000</v>
      </c>
      <c r="O302" s="46" t="s">
        <v>97</v>
      </c>
      <c r="P302" s="46">
        <f>HEX2DEC(RIGHT(Table13232127[[#This Row],[h1]],8))</f>
        <v>0</v>
      </c>
      <c r="Q302" s="46" t="s">
        <v>97</v>
      </c>
      <c r="R302" s="46">
        <f>HEX2DEC(RIGHT(Table13232127[[#This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131</v>
      </c>
      <c r="G303" s="33" t="s">
        <v>152</v>
      </c>
      <c r="J303" s="24">
        <v>50000</v>
      </c>
      <c r="M303" s="24">
        <v>50000</v>
      </c>
      <c r="O303" s="46" t="s">
        <v>97</v>
      </c>
      <c r="P303" s="46">
        <f>HEX2DEC(RIGHT(Table13232127[[#This Row],[h1]],8))</f>
        <v>0</v>
      </c>
      <c r="Q303" s="46" t="s">
        <v>97</v>
      </c>
      <c r="R303" s="46">
        <f>HEX2DEC(RIGHT(Table13232127[[#This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132</v>
      </c>
      <c r="G304" s="33" t="s">
        <v>152</v>
      </c>
      <c r="J304" s="24">
        <v>50000</v>
      </c>
      <c r="M304" s="24">
        <v>50000</v>
      </c>
      <c r="O304" s="46" t="s">
        <v>97</v>
      </c>
      <c r="P304" s="46">
        <f>HEX2DEC(RIGHT(Table13232127[[#This Row],[h1]],8))</f>
        <v>0</v>
      </c>
      <c r="Q304" s="46" t="s">
        <v>97</v>
      </c>
      <c r="R304" s="46">
        <f>HEX2DEC(RIGHT(Table13232127[[#This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133</v>
      </c>
      <c r="G305" s="33" t="s">
        <v>152</v>
      </c>
      <c r="J305" s="24">
        <v>50000</v>
      </c>
      <c r="M305" s="24">
        <v>50000</v>
      </c>
      <c r="O305" s="46" t="s">
        <v>97</v>
      </c>
      <c r="P305" s="46">
        <f>HEX2DEC(RIGHT(Table13232127[[#This Row],[h1]],8))</f>
        <v>0</v>
      </c>
      <c r="Q305" s="46" t="s">
        <v>97</v>
      </c>
      <c r="R305" s="46">
        <f>HEX2DEC(RIGHT(Table13232127[[#This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134</v>
      </c>
      <c r="G306" s="33" t="s">
        <v>152</v>
      </c>
      <c r="J306" s="24">
        <v>50000</v>
      </c>
      <c r="M306" s="24">
        <v>50000</v>
      </c>
      <c r="O306" s="46" t="s">
        <v>97</v>
      </c>
      <c r="P306" s="46">
        <f>HEX2DEC(RIGHT(Table13232127[[#This Row],[h1]],8))</f>
        <v>0</v>
      </c>
      <c r="Q306" s="46" t="s">
        <v>97</v>
      </c>
      <c r="R306" s="46">
        <f>HEX2DEC(RIGHT(Table13232127[[#This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135</v>
      </c>
      <c r="G307" s="33" t="s">
        <v>152</v>
      </c>
      <c r="J307" s="24">
        <v>50000</v>
      </c>
      <c r="M307" s="24">
        <v>50000</v>
      </c>
      <c r="O307" s="46" t="s">
        <v>97</v>
      </c>
      <c r="P307" s="46">
        <f>HEX2DEC(RIGHT(Table13232127[[#This Row],[h1]],8))</f>
        <v>0</v>
      </c>
      <c r="Q307" s="46" t="s">
        <v>97</v>
      </c>
      <c r="R307" s="46">
        <f>HEX2DEC(RIGHT(Table13232127[[#This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136</v>
      </c>
      <c r="G308" s="33" t="s">
        <v>152</v>
      </c>
      <c r="J308" s="24">
        <v>50000</v>
      </c>
      <c r="M308" s="24">
        <v>50000</v>
      </c>
      <c r="O308" s="46" t="s">
        <v>97</v>
      </c>
      <c r="P308" s="46">
        <f>HEX2DEC(RIGHT(Table13232127[[#This Row],[h1]],8))</f>
        <v>0</v>
      </c>
      <c r="Q308" s="46" t="s">
        <v>97</v>
      </c>
      <c r="R308" s="46">
        <f>HEX2DEC(RIGHT(Table13232127[[#This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137</v>
      </c>
      <c r="G309" s="33" t="s">
        <v>152</v>
      </c>
      <c r="J309" s="24">
        <v>50000</v>
      </c>
      <c r="M309" s="24">
        <v>50000</v>
      </c>
      <c r="O309" s="46" t="s">
        <v>97</v>
      </c>
      <c r="P309" s="46">
        <f>HEX2DEC(RIGHT(Table13232127[[#This Row],[h1]],8))</f>
        <v>0</v>
      </c>
      <c r="Q309" s="46" t="s">
        <v>97</v>
      </c>
      <c r="R309" s="46">
        <f>HEX2DEC(RIGHT(Table13232127[[#This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138</v>
      </c>
      <c r="G310" s="33" t="s">
        <v>152</v>
      </c>
      <c r="J310" s="24">
        <v>50000</v>
      </c>
      <c r="M310" s="24">
        <v>50000</v>
      </c>
      <c r="O310" s="46" t="s">
        <v>97</v>
      </c>
      <c r="P310" s="46">
        <f>HEX2DEC(RIGHT(Table13232127[[#This Row],[h1]],8))</f>
        <v>0</v>
      </c>
      <c r="Q310" s="46" t="s">
        <v>97</v>
      </c>
      <c r="R310" s="46">
        <f>HEX2DEC(RIGHT(Table13232127[[#This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139</v>
      </c>
      <c r="G311" s="33" t="s">
        <v>152</v>
      </c>
      <c r="J311" s="24">
        <v>50000</v>
      </c>
      <c r="M311" s="24">
        <v>50000</v>
      </c>
      <c r="O311" s="46" t="s">
        <v>97</v>
      </c>
      <c r="P311" s="46">
        <f>HEX2DEC(RIGHT(Table13232127[[#This Row],[h1]],8))</f>
        <v>0</v>
      </c>
      <c r="Q311" s="46" t="s">
        <v>97</v>
      </c>
      <c r="R311" s="46">
        <f>HEX2DEC(RIGHT(Table13232127[[#This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140</v>
      </c>
      <c r="G312" s="33" t="s">
        <v>152</v>
      </c>
      <c r="J312" s="24">
        <v>50000</v>
      </c>
      <c r="M312" s="24">
        <v>50000</v>
      </c>
      <c r="O312" s="46" t="s">
        <v>97</v>
      </c>
      <c r="P312" s="46">
        <f>HEX2DEC(RIGHT(Table13232127[[#This Row],[h1]],8))</f>
        <v>0</v>
      </c>
      <c r="Q312" s="46" t="s">
        <v>97</v>
      </c>
      <c r="R312" s="46">
        <f>HEX2DEC(RIGHT(Table13232127[[#This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141</v>
      </c>
      <c r="G313" s="33" t="s">
        <v>152</v>
      </c>
      <c r="J313" s="24">
        <v>50000</v>
      </c>
      <c r="M313" s="24">
        <v>50000</v>
      </c>
      <c r="O313" s="46" t="s">
        <v>97</v>
      </c>
      <c r="P313" s="46">
        <f>HEX2DEC(RIGHT(Table13232127[[#This Row],[h1]],8))</f>
        <v>0</v>
      </c>
      <c r="Q313" s="46" t="s">
        <v>97</v>
      </c>
      <c r="R313" s="46">
        <f>HEX2DEC(RIGHT(Table13232127[[#This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142</v>
      </c>
      <c r="G314" s="33" t="s">
        <v>152</v>
      </c>
      <c r="J314" s="24">
        <v>50000</v>
      </c>
      <c r="M314" s="24">
        <v>50000</v>
      </c>
      <c r="O314" s="46" t="s">
        <v>97</v>
      </c>
      <c r="P314" s="46">
        <f>HEX2DEC(RIGHT(Table13232127[[#This Row],[h1]],8))</f>
        <v>0</v>
      </c>
      <c r="Q314" s="46" t="s">
        <v>97</v>
      </c>
      <c r="R314" s="46">
        <f>HEX2DEC(RIGHT(Table13232127[[#This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143</v>
      </c>
      <c r="G315" s="33" t="s">
        <v>152</v>
      </c>
      <c r="J315" s="24">
        <v>50000</v>
      </c>
      <c r="M315" s="24">
        <v>50000</v>
      </c>
      <c r="O315" s="46" t="s">
        <v>97</v>
      </c>
      <c r="P315" s="46">
        <f>HEX2DEC(RIGHT(Table13232127[[#This Row],[h1]],8))</f>
        <v>0</v>
      </c>
      <c r="Q315" s="46" t="s">
        <v>97</v>
      </c>
      <c r="R315" s="46">
        <f>HEX2DEC(RIGHT(Table13232127[[#This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144</v>
      </c>
      <c r="G316" s="33" t="s">
        <v>152</v>
      </c>
      <c r="J316" s="24">
        <v>50000</v>
      </c>
      <c r="M316" s="24">
        <v>50000</v>
      </c>
      <c r="O316" s="46" t="s">
        <v>97</v>
      </c>
      <c r="P316" s="46">
        <f>HEX2DEC(RIGHT(Table13232127[[#This Row],[h1]],8))</f>
        <v>0</v>
      </c>
      <c r="Q316" s="46" t="s">
        <v>97</v>
      </c>
      <c r="R316" s="46">
        <f>HEX2DEC(RIGHT(Table13232127[[#This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145</v>
      </c>
      <c r="G317" s="33" t="s">
        <v>152</v>
      </c>
      <c r="J317" s="24">
        <v>50000</v>
      </c>
      <c r="M317" s="24">
        <v>50000</v>
      </c>
      <c r="O317" s="46" t="s">
        <v>97</v>
      </c>
      <c r="P317" s="46">
        <f>HEX2DEC(RIGHT(Table13232127[[#This Row],[h1]],8))</f>
        <v>0</v>
      </c>
      <c r="Q317" s="46" t="s">
        <v>97</v>
      </c>
      <c r="R317" s="46">
        <f>HEX2DEC(RIGHT(Table13232127[[#This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146</v>
      </c>
      <c r="G318" s="33" t="s">
        <v>152</v>
      </c>
      <c r="J318" s="24">
        <v>50000</v>
      </c>
      <c r="M318" s="24">
        <v>50000</v>
      </c>
      <c r="O318" s="46" t="s">
        <v>97</v>
      </c>
      <c r="P318" s="46">
        <f>HEX2DEC(RIGHT(Table13232127[[#This Row],[h1]],8))</f>
        <v>0</v>
      </c>
      <c r="Q318" s="46" t="s">
        <v>97</v>
      </c>
      <c r="R318" s="46">
        <f>HEX2DEC(RIGHT(Table13232127[[#This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147</v>
      </c>
      <c r="G319" s="33" t="s">
        <v>152</v>
      </c>
      <c r="J319" s="24">
        <v>50000</v>
      </c>
      <c r="M319" s="24">
        <v>50000</v>
      </c>
      <c r="O319" s="46" t="s">
        <v>97</v>
      </c>
      <c r="P319" s="46">
        <f>HEX2DEC(RIGHT(Table13232127[[#This Row],[h1]],8))</f>
        <v>0</v>
      </c>
      <c r="Q319" s="46" t="s">
        <v>97</v>
      </c>
      <c r="R319" s="46">
        <f>HEX2DEC(RIGHT(Table13232127[[#This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148</v>
      </c>
      <c r="G320" s="33" t="s">
        <v>152</v>
      </c>
      <c r="J320" s="24">
        <v>50000</v>
      </c>
      <c r="M320" s="24">
        <v>50000</v>
      </c>
      <c r="O320" s="46" t="s">
        <v>97</v>
      </c>
      <c r="P320" s="46">
        <f>HEX2DEC(RIGHT(Table13232127[[#This Row],[h1]],8))</f>
        <v>0</v>
      </c>
      <c r="Q320" s="46" t="s">
        <v>97</v>
      </c>
      <c r="R320" s="46">
        <f>HEX2DEC(RIGHT(Table13232127[[#This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149</v>
      </c>
      <c r="G321" s="33" t="s">
        <v>152</v>
      </c>
      <c r="J321" s="24">
        <v>50000</v>
      </c>
      <c r="M321" s="24">
        <v>50000</v>
      </c>
      <c r="O321" s="46" t="s">
        <v>97</v>
      </c>
      <c r="P321" s="46">
        <f>HEX2DEC(RIGHT(Table13232127[[#This Row],[h1]],8))</f>
        <v>0</v>
      </c>
      <c r="Q321" s="46" t="s">
        <v>97</v>
      </c>
      <c r="R321" s="46">
        <f>HEX2DEC(RIGHT(Table13232127[[#This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150</v>
      </c>
      <c r="G322" s="33" t="s">
        <v>152</v>
      </c>
      <c r="J322" s="24">
        <v>50000</v>
      </c>
      <c r="M322" s="24">
        <v>50000</v>
      </c>
      <c r="O322" s="46" t="s">
        <v>97</v>
      </c>
      <c r="P322" s="46">
        <f>HEX2DEC(RIGHT(Table13232127[[#This Row],[h1]],8))</f>
        <v>0</v>
      </c>
      <c r="Q322" s="46" t="s">
        <v>97</v>
      </c>
      <c r="R322" s="46">
        <f>HEX2DEC(RIGHT(Table13232127[[#This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151</v>
      </c>
      <c r="G323" s="33" t="s">
        <v>152</v>
      </c>
      <c r="J323" s="24">
        <v>50000</v>
      </c>
      <c r="M323" s="24">
        <v>50000</v>
      </c>
      <c r="O323" s="46" t="s">
        <v>97</v>
      </c>
      <c r="P323" s="46">
        <f>HEX2DEC(RIGHT(Table13232127[[#This Row],[h1]],8))</f>
        <v>0</v>
      </c>
      <c r="Q323" s="46" t="s">
        <v>97</v>
      </c>
      <c r="R323" s="46">
        <f>HEX2DEC(RIGHT(Table13232127[[#This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153</v>
      </c>
      <c r="G324" s="15">
        <v>1</v>
      </c>
      <c r="J324" s="24">
        <v>50000</v>
      </c>
      <c r="M324" s="24">
        <v>50000</v>
      </c>
      <c r="O324" s="46" t="s">
        <v>97</v>
      </c>
      <c r="P324" s="46">
        <f>HEX2DEC(RIGHT(Table13232127[[#This Row],[h1]],8))</f>
        <v>0</v>
      </c>
      <c r="Q324" s="46" t="s">
        <v>97</v>
      </c>
      <c r="R324" s="46">
        <f>HEX2DEC(RIGHT(Table13232127[[#This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153</v>
      </c>
      <c r="G325" s="15">
        <v>0</v>
      </c>
      <c r="J325" s="24">
        <v>50000</v>
      </c>
      <c r="M325" s="24">
        <v>50000</v>
      </c>
      <c r="O325" s="46" t="s">
        <v>97</v>
      </c>
      <c r="P325" s="46">
        <f>HEX2DEC(RIGHT(Table13232127[[#This Row],[h1]],8))</f>
        <v>0</v>
      </c>
      <c r="Q325" s="46" t="s">
        <v>97</v>
      </c>
      <c r="R325" s="46">
        <f>HEX2DEC(RIGHT(Table13232127[[#This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E326" s="35"/>
      <c r="J326" s="24">
        <v>50000</v>
      </c>
      <c r="M326" s="24">
        <v>50000</v>
      </c>
      <c r="O326" s="46" t="s">
        <v>97</v>
      </c>
      <c r="P326" s="46">
        <f>HEX2DEC(RIGHT(Table13232127[[#This Row],[h1]],8))</f>
        <v>0</v>
      </c>
      <c r="Q326" s="46" t="s">
        <v>97</v>
      </c>
      <c r="R326" s="46">
        <f>HEX2DEC(RIGHT(Table13232127[[#This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504</v>
      </c>
      <c r="G327" s="15">
        <v>0</v>
      </c>
      <c r="J327" s="24">
        <v>50000</v>
      </c>
      <c r="M327" s="24">
        <v>50000</v>
      </c>
      <c r="O327" s="46" t="s">
        <v>97</v>
      </c>
      <c r="P327" s="46">
        <f>HEX2DEC(RIGHT(Table13232127[[#This Row],[h1]],8))</f>
        <v>0</v>
      </c>
      <c r="Q327" s="46" t="s">
        <v>97</v>
      </c>
      <c r="R327" s="46">
        <f>HEX2DEC(RIGHT(Table13232127[[#This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507</v>
      </c>
      <c r="G328" s="15">
        <v>0</v>
      </c>
      <c r="J328" s="24">
        <v>50000</v>
      </c>
      <c r="M328" s="24">
        <v>50000</v>
      </c>
      <c r="O328" s="46" t="s">
        <v>97</v>
      </c>
      <c r="P328" s="46">
        <f>HEX2DEC(RIGHT(Table13232127[[#This Row],[h1]],8))</f>
        <v>0</v>
      </c>
      <c r="Q328" s="46" t="s">
        <v>97</v>
      </c>
      <c r="R328" s="46">
        <f>HEX2DEC(RIGHT(Table13232127[[#This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27" t="s">
        <v>690</v>
      </c>
      <c r="G329" s="15">
        <v>1</v>
      </c>
      <c r="J329" s="24">
        <v>50000</v>
      </c>
      <c r="M329" s="24">
        <v>50000</v>
      </c>
      <c r="O329" s="46" t="s">
        <v>97</v>
      </c>
      <c r="P329" s="46">
        <f>HEX2DEC(RIGHT(Table13232127[[#This Row],[h1]],8))</f>
        <v>0</v>
      </c>
      <c r="Q329" s="46" t="s">
        <v>97</v>
      </c>
      <c r="R329" s="46">
        <f>HEX2DEC(RIGHT(Table13232127[[#This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27" t="s">
        <v>691</v>
      </c>
      <c r="G330" s="15">
        <v>0</v>
      </c>
      <c r="J330" s="24">
        <v>50000</v>
      </c>
      <c r="M330" s="24">
        <v>50000</v>
      </c>
      <c r="O330" s="46" t="s">
        <v>97</v>
      </c>
      <c r="P330" s="46">
        <f>HEX2DEC(RIGHT(Table13232127[[#This Row],[h1]],8))</f>
        <v>0</v>
      </c>
      <c r="Q330" s="46" t="s">
        <v>97</v>
      </c>
      <c r="R330" s="46">
        <f>HEX2DEC(RIGHT(Table13232127[[#This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508</v>
      </c>
      <c r="G331" s="15">
        <v>1</v>
      </c>
      <c r="J331" s="24">
        <v>50000</v>
      </c>
      <c r="M331" s="24">
        <v>50000</v>
      </c>
      <c r="O331" s="46" t="s">
        <v>97</v>
      </c>
      <c r="P331" s="46">
        <f>HEX2DEC(RIGHT(Table13232127[[#This Row],[h1]],8))</f>
        <v>0</v>
      </c>
      <c r="Q331" s="46" t="s">
        <v>97</v>
      </c>
      <c r="R331" s="46">
        <f>HEX2DEC(RIGHT(Table13232127[[#This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509</v>
      </c>
      <c r="G332" s="15">
        <v>0</v>
      </c>
      <c r="J332" s="24">
        <v>50000</v>
      </c>
      <c r="M332" s="24">
        <v>50000</v>
      </c>
      <c r="O332" s="46" t="s">
        <v>97</v>
      </c>
      <c r="P332" s="46">
        <f>HEX2DEC(RIGHT(Table13232127[[#This Row],[h1]],8))</f>
        <v>0</v>
      </c>
      <c r="Q332" s="46" t="s">
        <v>97</v>
      </c>
      <c r="R332" s="46">
        <f>HEX2DEC(RIGHT(Table13232127[[#This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510</v>
      </c>
      <c r="G333" s="15">
        <v>0</v>
      </c>
      <c r="J333" s="24">
        <v>50000</v>
      </c>
      <c r="M333" s="24">
        <v>50000</v>
      </c>
      <c r="O333" s="46" t="s">
        <v>97</v>
      </c>
      <c r="P333" s="46">
        <f>HEX2DEC(RIGHT(Table13232127[[#This Row],[h1]],8))</f>
        <v>0</v>
      </c>
      <c r="Q333" s="46" t="s">
        <v>97</v>
      </c>
      <c r="R333" s="46">
        <f>HEX2DEC(RIGHT(Table13232127[[#This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505</v>
      </c>
      <c r="G334" s="15">
        <v>0</v>
      </c>
      <c r="J334" s="24">
        <v>50000</v>
      </c>
      <c r="M334" s="24">
        <v>50000</v>
      </c>
      <c r="O334" s="46" t="s">
        <v>97</v>
      </c>
      <c r="P334" s="46">
        <f>HEX2DEC(RIGHT(Table13232127[[#This Row],[h1]],8))</f>
        <v>0</v>
      </c>
      <c r="Q334" s="46" t="s">
        <v>97</v>
      </c>
      <c r="R334" s="46">
        <f>HEX2DEC(RIGHT(Table13232127[[#This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506</v>
      </c>
      <c r="G335" s="15">
        <v>1</v>
      </c>
      <c r="J335" s="24">
        <v>50000</v>
      </c>
      <c r="M335" s="24">
        <v>50000</v>
      </c>
      <c r="O335" s="46" t="s">
        <v>97</v>
      </c>
      <c r="P335" s="46">
        <f>HEX2DEC(RIGHT(Table13232127[[#This Row],[h1]],8))</f>
        <v>0</v>
      </c>
      <c r="Q335" s="46" t="s">
        <v>97</v>
      </c>
      <c r="R335" s="46">
        <f>HEX2DEC(RIGHT(Table13232127[[#This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E336" s="35"/>
      <c r="J336" s="24">
        <v>50000</v>
      </c>
      <c r="M336" s="24">
        <v>50000</v>
      </c>
      <c r="O336" s="46" t="s">
        <v>97</v>
      </c>
      <c r="P336" s="46">
        <f>HEX2DEC(RIGHT(Table13232127[[#This Row],[h1]],8))</f>
        <v>0</v>
      </c>
      <c r="Q336" s="46" t="s">
        <v>97</v>
      </c>
      <c r="R336" s="46">
        <f>HEX2DEC(RIGHT(Table13232127[[#This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0" t="s">
        <v>35</v>
      </c>
      <c r="D337" s="43" t="s">
        <v>27</v>
      </c>
      <c r="E337" s="43"/>
      <c r="F337" s="43"/>
      <c r="G337" s="44"/>
      <c r="J337" s="24">
        <v>50000</v>
      </c>
      <c r="M337" s="24">
        <v>50000</v>
      </c>
      <c r="O337" s="46" t="s">
        <v>97</v>
      </c>
      <c r="P337" s="46">
        <f>HEX2DEC(RIGHT(Table13232127[[#This Row],[h1]],8))</f>
        <v>0</v>
      </c>
      <c r="Q337" s="46" t="s">
        <v>97</v>
      </c>
      <c r="R337" s="46">
        <f>HEX2DEC(RIGHT(Table13232127[[#This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G338" s="57"/>
      <c r="J338" s="24">
        <v>50000</v>
      </c>
      <c r="M338" s="24">
        <v>50000</v>
      </c>
      <c r="O338" s="46" t="s">
        <v>97</v>
      </c>
      <c r="P338" s="46">
        <f>HEX2DEC(RIGHT(Table13232127[[#This Row],[h1]],8))</f>
        <v>0</v>
      </c>
      <c r="Q338" s="46" t="s">
        <v>97</v>
      </c>
      <c r="R338" s="46">
        <f>HEX2DEC(RIGHT(Table13232127[[#This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G339" s="57"/>
      <c r="J339" s="24">
        <v>50000</v>
      </c>
      <c r="M339" s="24">
        <v>50000</v>
      </c>
      <c r="O339" s="46" t="s">
        <v>97</v>
      </c>
      <c r="P339" s="46">
        <f>HEX2DEC(RIGHT(Table13232127[[#This Row],[h1]],8))</f>
        <v>0</v>
      </c>
      <c r="Q339" s="46" t="s">
        <v>97</v>
      </c>
      <c r="R339" s="46">
        <f>HEX2DEC(RIGHT(Table13232127[[#This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G340" s="57"/>
      <c r="J340" s="24">
        <v>50000</v>
      </c>
      <c r="M340" s="24">
        <v>50000</v>
      </c>
      <c r="O340" s="46" t="s">
        <v>97</v>
      </c>
      <c r="P340" s="46">
        <f>HEX2DEC(RIGHT(Table13232127[[#This Row],[h1]],8))</f>
        <v>0</v>
      </c>
      <c r="Q340" s="46" t="s">
        <v>97</v>
      </c>
      <c r="R340" s="46">
        <f>HEX2DEC(RIGHT(Table13232127[[#This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G341" s="57"/>
      <c r="J341" s="24">
        <v>50000</v>
      </c>
      <c r="M341" s="24">
        <v>50000</v>
      </c>
      <c r="O341" s="46" t="s">
        <v>97</v>
      </c>
      <c r="P341" s="46">
        <f>HEX2DEC(RIGHT(Table13232127[[#This Row],[h1]],8))</f>
        <v>0</v>
      </c>
      <c r="Q341" s="46" t="s">
        <v>97</v>
      </c>
      <c r="R341" s="46">
        <f>HEX2DEC(RIGHT(Table13232127[[#This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G342" s="57"/>
      <c r="J342" s="24">
        <v>50000</v>
      </c>
      <c r="M342" s="24">
        <v>50000</v>
      </c>
      <c r="O342" s="46" t="s">
        <v>97</v>
      </c>
      <c r="P342" s="46">
        <f>HEX2DEC(RIGHT(Table13232127[[#This Row],[h1]],8))</f>
        <v>0</v>
      </c>
      <c r="Q342" s="46" t="s">
        <v>97</v>
      </c>
      <c r="R342" s="46">
        <f>HEX2DEC(RIGHT(Table13232127[[#This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G343" s="57"/>
      <c r="J343" s="24">
        <v>50000</v>
      </c>
      <c r="M343" s="24">
        <v>50000</v>
      </c>
      <c r="O343" s="46" t="s">
        <v>97</v>
      </c>
      <c r="P343" s="46">
        <f>HEX2DEC(RIGHT(Table13232127[[#This Row],[h1]],8))</f>
        <v>0</v>
      </c>
      <c r="Q343" s="46" t="s">
        <v>97</v>
      </c>
      <c r="R343" s="46">
        <f>HEX2DEC(RIGHT(Table13232127[[#This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G344" s="57"/>
      <c r="J344" s="24">
        <v>50000</v>
      </c>
      <c r="M344" s="24">
        <v>50000</v>
      </c>
      <c r="O344" s="46" t="s">
        <v>97</v>
      </c>
      <c r="P344" s="46">
        <f>HEX2DEC(RIGHT(Table13232127[[#This Row],[h1]],8))</f>
        <v>0</v>
      </c>
      <c r="Q344" s="46" t="s">
        <v>97</v>
      </c>
      <c r="R344" s="46">
        <f>HEX2DEC(RIGHT(Table13232127[[#This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G345" s="57"/>
      <c r="J345" s="24">
        <v>50000</v>
      </c>
      <c r="M345" s="24">
        <v>50000</v>
      </c>
      <c r="O345" s="46" t="s">
        <v>97</v>
      </c>
      <c r="P345" s="46">
        <f>HEX2DEC(RIGHT(Table13232127[[#This Row],[h1]],8))</f>
        <v>0</v>
      </c>
      <c r="Q345" s="46" t="s">
        <v>97</v>
      </c>
      <c r="R345" s="46">
        <f>HEX2DEC(RIGHT(Table13232127[[#This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G346" s="57"/>
      <c r="J346" s="24">
        <v>50000</v>
      </c>
      <c r="M346" s="24">
        <v>50000</v>
      </c>
      <c r="O346" s="46" t="s">
        <v>97</v>
      </c>
      <c r="P346" s="46">
        <f>HEX2DEC(RIGHT(Table13232127[[#This Row],[h1]],8))</f>
        <v>0</v>
      </c>
      <c r="Q346" s="46" t="s">
        <v>97</v>
      </c>
      <c r="R346" s="46">
        <f>HEX2DEC(RIGHT(Table13232127[[#This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G347" s="57"/>
      <c r="J347" s="24">
        <v>50000</v>
      </c>
      <c r="M347" s="24">
        <v>50000</v>
      </c>
      <c r="O347" s="46" t="s">
        <v>97</v>
      </c>
      <c r="P347" s="46">
        <f>HEX2DEC(RIGHT(Table13232127[[#This Row],[h1]],8))</f>
        <v>0</v>
      </c>
      <c r="Q347" s="46" t="s">
        <v>97</v>
      </c>
      <c r="R347" s="46">
        <f>HEX2DEC(RIGHT(Table13232127[[#This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G348" s="57"/>
      <c r="J348" s="24">
        <v>50000</v>
      </c>
      <c r="M348" s="24">
        <v>50000</v>
      </c>
      <c r="O348" s="46" t="s">
        <v>97</v>
      </c>
      <c r="P348" s="46">
        <f>HEX2DEC(RIGHT(Table13232127[[#This Row],[h1]],8))</f>
        <v>0</v>
      </c>
      <c r="Q348" s="46" t="s">
        <v>97</v>
      </c>
      <c r="R348" s="46">
        <f>HEX2DEC(RIGHT(Table13232127[[#This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G349" s="57"/>
      <c r="J349" s="24">
        <v>50000</v>
      </c>
      <c r="M349" s="24">
        <v>50000</v>
      </c>
      <c r="O349" s="46" t="s">
        <v>97</v>
      </c>
      <c r="P349" s="46">
        <f>HEX2DEC(RIGHT(Table13232127[[#This Row],[h1]],8))</f>
        <v>0</v>
      </c>
      <c r="Q349" s="46" t="s">
        <v>97</v>
      </c>
      <c r="R349" s="46">
        <f>HEX2DEC(RIGHT(Table13232127[[#This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G350" s="57"/>
      <c r="J350" s="24">
        <v>50000</v>
      </c>
      <c r="M350" s="24">
        <v>50000</v>
      </c>
      <c r="O350" s="46" t="s">
        <v>97</v>
      </c>
      <c r="P350" s="46">
        <f>HEX2DEC(RIGHT(Table13232127[[#This Row],[h1]],8))</f>
        <v>0</v>
      </c>
      <c r="Q350" s="46" t="s">
        <v>97</v>
      </c>
      <c r="R350" s="46">
        <f>HEX2DEC(RIGHT(Table13232127[[#This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G351" s="57"/>
      <c r="J351" s="24">
        <v>50000</v>
      </c>
      <c r="M351" s="24">
        <v>50000</v>
      </c>
      <c r="O351" s="46" t="s">
        <v>97</v>
      </c>
      <c r="P351" s="46">
        <f>HEX2DEC(RIGHT(Table13232127[[#This Row],[h1]],8))</f>
        <v>0</v>
      </c>
      <c r="Q351" s="46" t="s">
        <v>97</v>
      </c>
      <c r="R351" s="46">
        <f>HEX2DEC(RIGHT(Table13232127[[#This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G352" s="57"/>
      <c r="J352" s="24">
        <v>50000</v>
      </c>
      <c r="M352" s="24">
        <v>50000</v>
      </c>
      <c r="O352" s="46" t="s">
        <v>97</v>
      </c>
      <c r="P352" s="46">
        <f>HEX2DEC(RIGHT(Table13232127[[#This Row],[h1]],8))</f>
        <v>0</v>
      </c>
      <c r="Q352" s="46" t="s">
        <v>97</v>
      </c>
      <c r="R352" s="46">
        <f>HEX2DEC(RIGHT(Table13232127[[#This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G353" s="57"/>
      <c r="J353" s="24">
        <v>50000</v>
      </c>
      <c r="M353" s="24">
        <v>50000</v>
      </c>
      <c r="O353" s="46" t="s">
        <v>97</v>
      </c>
      <c r="P353" s="46">
        <f>HEX2DEC(RIGHT(Table13232127[[#This Row],[h1]],8))</f>
        <v>0</v>
      </c>
      <c r="Q353" s="46" t="s">
        <v>97</v>
      </c>
      <c r="R353" s="46">
        <f>HEX2DEC(RIGHT(Table13232127[[#This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G354" s="57"/>
      <c r="J354" s="24">
        <v>50000</v>
      </c>
      <c r="M354" s="24">
        <v>50000</v>
      </c>
      <c r="O354" s="46" t="s">
        <v>97</v>
      </c>
      <c r="P354" s="46">
        <f>HEX2DEC(RIGHT(Table13232127[[#This Row],[h1]],8))</f>
        <v>0</v>
      </c>
      <c r="Q354" s="46" t="s">
        <v>97</v>
      </c>
      <c r="R354" s="46">
        <f>HEX2DEC(RIGHT(Table13232127[[#This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G355" s="46"/>
      <c r="J355" s="24">
        <v>50000</v>
      </c>
      <c r="M355" s="24">
        <v>50000</v>
      </c>
      <c r="O355" s="46" t="s">
        <v>97</v>
      </c>
      <c r="P355" s="46">
        <f>HEX2DEC(RIGHT(Table13232127[[#This Row],[h1]],8))</f>
        <v>0</v>
      </c>
      <c r="Q355" s="46" t="s">
        <v>97</v>
      </c>
      <c r="R355" s="46">
        <f>HEX2DEC(RIGHT(Table13232127[[#This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G356" s="46"/>
      <c r="J356" s="24">
        <v>50000</v>
      </c>
      <c r="M356" s="24">
        <v>50000</v>
      </c>
      <c r="O356" s="46" t="s">
        <v>97</v>
      </c>
      <c r="P356" s="46">
        <f>HEX2DEC(RIGHT(Table13232127[[#This Row],[h1]],8))</f>
        <v>0</v>
      </c>
      <c r="Q356" s="46" t="s">
        <v>97</v>
      </c>
      <c r="R356" s="46">
        <f>HEX2DEC(RIGHT(Table13232127[[#This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G357" s="46"/>
      <c r="J357" s="24">
        <v>50000</v>
      </c>
      <c r="M357" s="24">
        <v>50000</v>
      </c>
      <c r="O357" s="46" t="s">
        <v>97</v>
      </c>
      <c r="P357" s="46">
        <f>HEX2DEC(RIGHT(Table13232127[[#This Row],[h1]],8))</f>
        <v>0</v>
      </c>
      <c r="Q357" s="46" t="s">
        <v>97</v>
      </c>
      <c r="R357" s="46">
        <f>HEX2DEC(RIGHT(Table13232127[[#This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G358" s="46"/>
      <c r="J358" s="24">
        <v>50000</v>
      </c>
      <c r="M358" s="24">
        <v>50000</v>
      </c>
      <c r="O358" s="46" t="s">
        <v>97</v>
      </c>
      <c r="P358" s="46">
        <f>HEX2DEC(RIGHT(Table13232127[[#This Row],[h1]],8))</f>
        <v>0</v>
      </c>
      <c r="Q358" s="46" t="s">
        <v>97</v>
      </c>
      <c r="R358" s="46">
        <f>HEX2DEC(RIGHT(Table13232127[[#This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G359" s="46"/>
      <c r="J359" s="24">
        <v>50000</v>
      </c>
      <c r="M359" s="24">
        <v>50000</v>
      </c>
      <c r="O359" s="46" t="s">
        <v>97</v>
      </c>
      <c r="P359" s="46">
        <f>HEX2DEC(RIGHT(Table13232127[[#This Row],[h1]],8))</f>
        <v>0</v>
      </c>
      <c r="Q359" s="46" t="s">
        <v>97</v>
      </c>
      <c r="R359" s="46">
        <f>HEX2DEC(RIGHT(Table13232127[[#This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G360" s="46"/>
      <c r="J360" s="24">
        <v>50000</v>
      </c>
      <c r="M360" s="24">
        <v>50000</v>
      </c>
      <c r="O360" s="46" t="s">
        <v>97</v>
      </c>
      <c r="P360" s="46">
        <f>HEX2DEC(RIGHT(Table13232127[[#This Row],[h1]],8))</f>
        <v>0</v>
      </c>
      <c r="Q360" s="46" t="s">
        <v>97</v>
      </c>
      <c r="R360" s="46">
        <f>HEX2DEC(RIGHT(Table13232127[[#This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G361" s="46"/>
      <c r="J361" s="24">
        <v>50000</v>
      </c>
      <c r="M361" s="24">
        <v>50000</v>
      </c>
      <c r="O361" s="46" t="s">
        <v>97</v>
      </c>
      <c r="P361" s="46">
        <f>HEX2DEC(RIGHT(Table13232127[[#This Row],[h1]],8))</f>
        <v>0</v>
      </c>
      <c r="Q361" s="46" t="s">
        <v>97</v>
      </c>
      <c r="R361" s="46">
        <f>HEX2DEC(RIGHT(Table13232127[[#This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G362" s="46"/>
      <c r="J362" s="24">
        <v>50000</v>
      </c>
      <c r="M362" s="24">
        <v>50000</v>
      </c>
      <c r="O362" s="46" t="s">
        <v>97</v>
      </c>
      <c r="P362" s="46">
        <f>HEX2DEC(RIGHT(Table13232127[[#This Row],[h1]],8))</f>
        <v>0</v>
      </c>
      <c r="Q362" s="46" t="s">
        <v>97</v>
      </c>
      <c r="R362" s="46">
        <f>HEX2DEC(RIGHT(Table13232127[[#This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G363" s="46"/>
      <c r="J363" s="24">
        <v>50000</v>
      </c>
      <c r="M363" s="24">
        <v>50000</v>
      </c>
      <c r="O363" s="46" t="s">
        <v>97</v>
      </c>
      <c r="P363" s="46">
        <f>HEX2DEC(RIGHT(Table13232127[[#This Row],[h1]],8))</f>
        <v>0</v>
      </c>
      <c r="Q363" s="46" t="s">
        <v>97</v>
      </c>
      <c r="R363" s="46">
        <f>HEX2DEC(RIGHT(Table13232127[[#This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G364" s="46"/>
      <c r="J364" s="24">
        <v>50000</v>
      </c>
      <c r="M364" s="24">
        <v>50000</v>
      </c>
      <c r="O364" s="46" t="s">
        <v>97</v>
      </c>
      <c r="P364" s="46">
        <f>HEX2DEC(RIGHT(Table13232127[[#This Row],[h1]],8))</f>
        <v>0</v>
      </c>
      <c r="Q364" s="46" t="s">
        <v>97</v>
      </c>
      <c r="R364" s="46">
        <f>HEX2DEC(RIGHT(Table13232127[[#This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G365" s="46"/>
      <c r="J365" s="24">
        <v>50000</v>
      </c>
      <c r="M365" s="24">
        <v>50000</v>
      </c>
      <c r="O365" s="46" t="s">
        <v>97</v>
      </c>
      <c r="P365" s="46">
        <f>HEX2DEC(RIGHT(Table13232127[[#This Row],[h1]],8))</f>
        <v>0</v>
      </c>
      <c r="Q365" s="46" t="s">
        <v>97</v>
      </c>
      <c r="R365" s="46">
        <f>HEX2DEC(RIGHT(Table13232127[[#This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G366" s="46"/>
      <c r="J366" s="24">
        <v>50000</v>
      </c>
      <c r="M366" s="24">
        <v>50000</v>
      </c>
      <c r="O366" s="46" t="s">
        <v>97</v>
      </c>
      <c r="P366" s="46">
        <f>HEX2DEC(RIGHT(Table13232127[[#This Row],[h1]],8))</f>
        <v>0</v>
      </c>
      <c r="Q366" s="46" t="s">
        <v>97</v>
      </c>
      <c r="R366" s="46">
        <f>HEX2DEC(RIGHT(Table13232127[[#This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G367" s="46"/>
      <c r="J367" s="24">
        <v>50000</v>
      </c>
      <c r="M367" s="24">
        <v>50000</v>
      </c>
      <c r="O367" s="46" t="s">
        <v>97</v>
      </c>
      <c r="P367" s="46">
        <f>HEX2DEC(RIGHT(Table13232127[[#This Row],[h1]],8))</f>
        <v>0</v>
      </c>
      <c r="Q367" s="46" t="s">
        <v>97</v>
      </c>
      <c r="R367" s="46">
        <f>HEX2DEC(RIGHT(Table13232127[[#This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G368" s="46"/>
      <c r="J368" s="24">
        <v>50000</v>
      </c>
      <c r="M368" s="24">
        <v>50000</v>
      </c>
      <c r="O368" s="46" t="s">
        <v>97</v>
      </c>
      <c r="P368" s="46">
        <f>HEX2DEC(RIGHT(Table13232127[[#This Row],[h1]],8))</f>
        <v>0</v>
      </c>
      <c r="Q368" s="46" t="s">
        <v>97</v>
      </c>
      <c r="R368" s="46">
        <f>HEX2DEC(RIGHT(Table13232127[[#This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J369" s="24">
        <v>50000</v>
      </c>
      <c r="M369" s="24">
        <v>50000</v>
      </c>
      <c r="O369" s="46" t="s">
        <v>97</v>
      </c>
      <c r="P369" s="46">
        <f>HEX2DEC(RIGHT(Table13232127[[#This Row],[h1]],8))</f>
        <v>0</v>
      </c>
      <c r="Q369" s="46" t="s">
        <v>97</v>
      </c>
      <c r="R369" s="46">
        <f>HEX2DEC(RIGHT(Table13232127[[#This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J370" s="24">
        <v>50000</v>
      </c>
      <c r="M370" s="24">
        <v>50000</v>
      </c>
      <c r="O370" s="46" t="s">
        <v>97</v>
      </c>
      <c r="P370" s="46">
        <f>HEX2DEC(RIGHT(Table13232127[[#This Row],[h1]],8))</f>
        <v>0</v>
      </c>
      <c r="Q370" s="46" t="s">
        <v>97</v>
      </c>
      <c r="R370" s="46">
        <f>HEX2DEC(RIGHT(Table13232127[[#This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E371" s="35"/>
      <c r="J371" s="24">
        <v>50000</v>
      </c>
      <c r="M371" s="24">
        <v>50000</v>
      </c>
      <c r="O371" s="46" t="s">
        <v>97</v>
      </c>
      <c r="P371" s="46">
        <f>HEX2DEC(RIGHT(Table13232127[[#This Row],[h1]],8))</f>
        <v>0</v>
      </c>
      <c r="Q371" s="46" t="s">
        <v>97</v>
      </c>
      <c r="R371" s="46">
        <f>HEX2DEC(RIGHT(Table13232127[[#This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E372" s="35"/>
      <c r="J372" s="24">
        <v>50000</v>
      </c>
      <c r="M372" s="24">
        <v>50000</v>
      </c>
      <c r="O372" s="46" t="s">
        <v>97</v>
      </c>
      <c r="P372" s="46">
        <f>HEX2DEC(RIGHT(Table13232127[[#This Row],[h1]],8))</f>
        <v>0</v>
      </c>
      <c r="Q372" s="46" t="s">
        <v>97</v>
      </c>
      <c r="R372" s="46">
        <f>HEX2DEC(RIGHT(Table13232127[[#This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E373" s="35"/>
      <c r="J373" s="24">
        <v>50000</v>
      </c>
      <c r="M373" s="24">
        <v>50000</v>
      </c>
      <c r="O373" s="46" t="s">
        <v>97</v>
      </c>
      <c r="P373" s="46">
        <f>HEX2DEC(RIGHT(Table13232127[[#This Row],[h1]],8))</f>
        <v>0</v>
      </c>
      <c r="Q373" s="46" t="s">
        <v>97</v>
      </c>
      <c r="R373" s="46">
        <f>HEX2DEC(RIGHT(Table13232127[[#This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E374" s="35"/>
      <c r="J374" s="24">
        <v>50000</v>
      </c>
      <c r="M374" s="24">
        <v>50000</v>
      </c>
      <c r="O374" s="46" t="s">
        <v>97</v>
      </c>
      <c r="P374" s="46">
        <f>HEX2DEC(RIGHT(Table13232127[[#This Row],[h1]],8))</f>
        <v>0</v>
      </c>
      <c r="Q374" s="46" t="s">
        <v>97</v>
      </c>
      <c r="R374" s="46">
        <f>HEX2DEC(RIGHT(Table13232127[[#This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E375" s="35"/>
      <c r="J375" s="24">
        <v>50000</v>
      </c>
      <c r="M375" s="24">
        <v>50000</v>
      </c>
      <c r="O375" s="46" t="s">
        <v>97</v>
      </c>
      <c r="P375" s="46">
        <f>HEX2DEC(RIGHT(Table13232127[[#This Row],[h1]],8))</f>
        <v>0</v>
      </c>
      <c r="Q375" s="46" t="s">
        <v>97</v>
      </c>
      <c r="R375" s="46">
        <f>HEX2DEC(RIGHT(Table13232127[[#This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E376" s="35"/>
      <c r="J376" s="24">
        <v>50000</v>
      </c>
      <c r="M376" s="24">
        <v>50000</v>
      </c>
      <c r="O376" s="46" t="s">
        <v>97</v>
      </c>
      <c r="P376" s="46">
        <f>HEX2DEC(RIGHT(Table13232127[[#This Row],[h1]],8))</f>
        <v>0</v>
      </c>
      <c r="Q376" s="46" t="s">
        <v>97</v>
      </c>
      <c r="R376" s="46">
        <f>HEX2DEC(RIGHT(Table13232127[[#This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E377" s="35"/>
      <c r="J377" s="24">
        <v>50000</v>
      </c>
      <c r="M377" s="24">
        <v>50000</v>
      </c>
      <c r="O377" s="46" t="s">
        <v>97</v>
      </c>
      <c r="P377" s="46">
        <f>HEX2DEC(RIGHT(Table13232127[[#This Row],[h1]],8))</f>
        <v>0</v>
      </c>
      <c r="Q377" s="46" t="s">
        <v>97</v>
      </c>
      <c r="R377" s="46">
        <f>HEX2DEC(RIGHT(Table13232127[[#This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E378" s="35"/>
      <c r="J378" s="24">
        <v>50000</v>
      </c>
      <c r="M378" s="24">
        <v>50000</v>
      </c>
      <c r="O378" s="46" t="s">
        <v>97</v>
      </c>
      <c r="P378" s="46">
        <f>HEX2DEC(RIGHT(Table13232127[[#This Row],[h1]],8))</f>
        <v>0</v>
      </c>
      <c r="Q378" s="46" t="s">
        <v>97</v>
      </c>
      <c r="R378" s="46">
        <f>HEX2DEC(RIGHT(Table13232127[[#This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E379" s="35"/>
      <c r="J379" s="24">
        <v>50000</v>
      </c>
      <c r="M379" s="24">
        <v>50000</v>
      </c>
      <c r="O379" s="46" t="s">
        <v>97</v>
      </c>
      <c r="P379" s="46">
        <f>HEX2DEC(RIGHT(Table13232127[[#This Row],[h1]],8))</f>
        <v>0</v>
      </c>
      <c r="Q379" s="46" t="s">
        <v>97</v>
      </c>
      <c r="R379" s="46">
        <f>HEX2DEC(RIGHT(Table13232127[[#This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E380" s="35"/>
      <c r="J380" s="24">
        <v>50000</v>
      </c>
      <c r="M380" s="24">
        <v>50000</v>
      </c>
      <c r="O380" s="46" t="s">
        <v>97</v>
      </c>
      <c r="P380" s="46">
        <f>HEX2DEC(RIGHT(Table13232127[[#This Row],[h1]],8))</f>
        <v>0</v>
      </c>
      <c r="Q380" s="46" t="s">
        <v>97</v>
      </c>
      <c r="R380" s="46">
        <f>HEX2DEC(RIGHT(Table13232127[[#This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E381" s="35"/>
      <c r="J381" s="24">
        <v>50000</v>
      </c>
      <c r="M381" s="24">
        <v>50000</v>
      </c>
      <c r="O381" s="46" t="s">
        <v>97</v>
      </c>
      <c r="P381" s="46">
        <f>HEX2DEC(RIGHT(Table13232127[[#This Row],[h1]],8))</f>
        <v>0</v>
      </c>
      <c r="Q381" s="46" t="s">
        <v>97</v>
      </c>
      <c r="R381" s="46">
        <f>HEX2DEC(RIGHT(Table13232127[[#This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E382" s="35"/>
      <c r="J382" s="24">
        <v>50000</v>
      </c>
      <c r="M382" s="24">
        <v>50000</v>
      </c>
      <c r="O382" s="46" t="s">
        <v>97</v>
      </c>
      <c r="P382" s="46">
        <f>HEX2DEC(RIGHT(Table13232127[[#This Row],[h1]],8))</f>
        <v>0</v>
      </c>
      <c r="Q382" s="46" t="s">
        <v>97</v>
      </c>
      <c r="R382" s="46">
        <f>HEX2DEC(RIGHT(Table13232127[[#This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E383" s="35"/>
      <c r="J383" s="24">
        <v>50000</v>
      </c>
      <c r="M383" s="24">
        <v>50000</v>
      </c>
      <c r="O383" s="46" t="s">
        <v>97</v>
      </c>
      <c r="P383" s="46">
        <f>HEX2DEC(RIGHT(Table13232127[[#This Row],[h1]],8))</f>
        <v>0</v>
      </c>
      <c r="Q383" s="46" t="s">
        <v>97</v>
      </c>
      <c r="R383" s="46">
        <f>HEX2DEC(RIGHT(Table13232127[[#This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E384" s="35"/>
      <c r="J384" s="24">
        <v>50000</v>
      </c>
      <c r="M384" s="24">
        <v>50000</v>
      </c>
      <c r="O384" s="46" t="s">
        <v>97</v>
      </c>
      <c r="P384" s="46">
        <f>HEX2DEC(RIGHT(Table13232127[[#This Row],[h1]],8))</f>
        <v>0</v>
      </c>
      <c r="Q384" s="46" t="s">
        <v>97</v>
      </c>
      <c r="R384" s="46">
        <f>HEX2DEC(RIGHT(Table13232127[[#This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E385" s="35"/>
      <c r="J385" s="24">
        <v>50000</v>
      </c>
      <c r="M385" s="24">
        <v>50000</v>
      </c>
      <c r="O385" s="46" t="s">
        <v>97</v>
      </c>
      <c r="P385" s="46">
        <f>HEX2DEC(RIGHT(Table13232127[[#This Row],[h1]],8))</f>
        <v>0</v>
      </c>
      <c r="Q385" s="46" t="s">
        <v>97</v>
      </c>
      <c r="R385" s="46">
        <f>HEX2DEC(RIGHT(Table13232127[[#This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E386" s="35"/>
      <c r="J386" s="24">
        <v>50000</v>
      </c>
      <c r="M386" s="24">
        <v>50000</v>
      </c>
      <c r="O386" s="46" t="s">
        <v>97</v>
      </c>
      <c r="P386" s="46">
        <f>HEX2DEC(RIGHT(Table13232127[[#This Row],[h1]],8))</f>
        <v>0</v>
      </c>
      <c r="Q386" s="46" t="s">
        <v>97</v>
      </c>
      <c r="R386" s="46">
        <f>HEX2DEC(RIGHT(Table13232127[[#This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E387" s="35"/>
      <c r="J387" s="24">
        <v>50000</v>
      </c>
      <c r="M387" s="24">
        <v>50000</v>
      </c>
      <c r="O387" s="46" t="s">
        <v>97</v>
      </c>
      <c r="P387" s="46">
        <f>HEX2DEC(RIGHT(Table13232127[[#This Row],[h1]],8))</f>
        <v>0</v>
      </c>
      <c r="Q387" s="46" t="s">
        <v>97</v>
      </c>
      <c r="R387" s="46">
        <f>HEX2DEC(RIGHT(Table13232127[[#This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E388" s="35"/>
      <c r="J388" s="24">
        <v>50000</v>
      </c>
      <c r="M388" s="24">
        <v>50000</v>
      </c>
      <c r="O388" s="46" t="s">
        <v>97</v>
      </c>
      <c r="P388" s="46">
        <f>HEX2DEC(RIGHT(Table13232127[[#This Row],[h1]],8))</f>
        <v>0</v>
      </c>
      <c r="Q388" s="46" t="s">
        <v>97</v>
      </c>
      <c r="R388" s="46">
        <f>HEX2DEC(RIGHT(Table13232127[[#This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E389" s="35"/>
      <c r="J389" s="24">
        <v>50000</v>
      </c>
      <c r="M389" s="24">
        <v>50000</v>
      </c>
      <c r="O389" s="46" t="s">
        <v>97</v>
      </c>
      <c r="P389" s="46">
        <f>HEX2DEC(RIGHT(Table13232127[[#This Row],[h1]],8))</f>
        <v>0</v>
      </c>
      <c r="Q389" s="46" t="s">
        <v>97</v>
      </c>
      <c r="R389" s="46">
        <f>HEX2DEC(RIGHT(Table13232127[[#This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E390" s="35"/>
      <c r="J390" s="24">
        <v>50000</v>
      </c>
      <c r="M390" s="24">
        <v>50000</v>
      </c>
      <c r="O390" s="46" t="s">
        <v>97</v>
      </c>
      <c r="P390" s="46">
        <f>HEX2DEC(RIGHT(Table13232127[[#This Row],[h1]],8))</f>
        <v>0</v>
      </c>
      <c r="Q390" s="46" t="s">
        <v>97</v>
      </c>
      <c r="R390" s="46">
        <f>HEX2DEC(RIGHT(Table13232127[[#This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E391" s="35"/>
      <c r="J391" s="24">
        <v>50000</v>
      </c>
      <c r="M391" s="24">
        <v>50000</v>
      </c>
      <c r="O391" s="46" t="s">
        <v>97</v>
      </c>
      <c r="P391" s="46">
        <f>HEX2DEC(RIGHT(Table13232127[[#This Row],[h1]],8))</f>
        <v>0</v>
      </c>
      <c r="Q391" s="46" t="s">
        <v>97</v>
      </c>
      <c r="R391" s="46">
        <f>HEX2DEC(RIGHT(Table13232127[[#This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E392" s="35"/>
      <c r="J392" s="24">
        <v>50000</v>
      </c>
      <c r="M392" s="24">
        <v>50000</v>
      </c>
      <c r="O392" s="46" t="s">
        <v>97</v>
      </c>
      <c r="P392" s="46">
        <f>HEX2DEC(RIGHT(Table13232127[[#This Row],[h1]],8))</f>
        <v>0</v>
      </c>
      <c r="Q392" s="46" t="s">
        <v>97</v>
      </c>
      <c r="R392" s="46">
        <f>HEX2DEC(RIGHT(Table13232127[[#This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E393" s="35"/>
      <c r="J393" s="24">
        <v>50000</v>
      </c>
      <c r="M393" s="24">
        <v>50000</v>
      </c>
      <c r="O393" s="46" t="s">
        <v>97</v>
      </c>
      <c r="P393" s="46">
        <f>HEX2DEC(RIGHT(Table13232127[[#This Row],[h1]],8))</f>
        <v>0</v>
      </c>
      <c r="Q393" s="46" t="s">
        <v>97</v>
      </c>
      <c r="R393" s="46">
        <f>HEX2DEC(RIGHT(Table13232127[[#This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E394" s="35"/>
      <c r="J394" s="24">
        <v>50000</v>
      </c>
      <c r="M394" s="24">
        <v>50000</v>
      </c>
      <c r="O394" s="46" t="s">
        <v>97</v>
      </c>
      <c r="P394" s="46">
        <f>HEX2DEC(RIGHT(Table13232127[[#This Row],[h1]],8))</f>
        <v>0</v>
      </c>
      <c r="Q394" s="46" t="s">
        <v>97</v>
      </c>
      <c r="R394" s="46">
        <f>HEX2DEC(RIGHT(Table13232127[[#This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E395" s="35"/>
      <c r="J395" s="24">
        <v>50000</v>
      </c>
      <c r="M395" s="24">
        <v>50000</v>
      </c>
      <c r="O395" s="46" t="s">
        <v>97</v>
      </c>
      <c r="P395" s="46">
        <f>HEX2DEC(RIGHT(Table13232127[[#This Row],[h1]],8))</f>
        <v>0</v>
      </c>
      <c r="Q395" s="46" t="s">
        <v>97</v>
      </c>
      <c r="R395" s="46">
        <f>HEX2DEC(RIGHT(Table13232127[[#This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E396" s="35"/>
      <c r="J396" s="24">
        <v>50000</v>
      </c>
      <c r="M396" s="24">
        <v>50000</v>
      </c>
      <c r="O396" s="46" t="s">
        <v>97</v>
      </c>
      <c r="P396" s="46">
        <f>HEX2DEC(RIGHT(Table13232127[[#This Row],[h1]],8))</f>
        <v>0</v>
      </c>
      <c r="Q396" s="46" t="s">
        <v>97</v>
      </c>
      <c r="R396" s="46">
        <f>HEX2DEC(RIGHT(Table13232127[[#This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E397" s="35"/>
      <c r="J397" s="24">
        <v>50000</v>
      </c>
      <c r="M397" s="24">
        <v>50000</v>
      </c>
      <c r="O397" s="46" t="s">
        <v>97</v>
      </c>
      <c r="P397" s="46">
        <f>HEX2DEC(RIGHT(Table13232127[[#This Row],[h1]],8))</f>
        <v>0</v>
      </c>
      <c r="Q397" s="46" t="s">
        <v>97</v>
      </c>
      <c r="R397" s="46">
        <f>HEX2DEC(RIGHT(Table13232127[[#This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E398" s="35"/>
      <c r="J398" s="24">
        <v>50000</v>
      </c>
      <c r="M398" s="24">
        <v>50000</v>
      </c>
      <c r="O398" s="46" t="s">
        <v>97</v>
      </c>
      <c r="P398" s="46">
        <f>HEX2DEC(RIGHT(Table13232127[[#This Row],[h1]],8))</f>
        <v>0</v>
      </c>
      <c r="Q398" s="46" t="s">
        <v>97</v>
      </c>
      <c r="R398" s="46">
        <f>HEX2DEC(RIGHT(Table13232127[[#This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E399" s="35"/>
      <c r="J399" s="24">
        <v>50000</v>
      </c>
      <c r="M399" s="24">
        <v>50000</v>
      </c>
      <c r="O399" s="46" t="s">
        <v>97</v>
      </c>
      <c r="P399" s="46">
        <f>HEX2DEC(RIGHT(Table13232127[[#This Row],[h1]],8))</f>
        <v>0</v>
      </c>
      <c r="Q399" s="46" t="s">
        <v>97</v>
      </c>
      <c r="R399" s="46">
        <f>HEX2DEC(RIGHT(Table13232127[[#This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E400" s="35"/>
      <c r="J400" s="24">
        <v>50000</v>
      </c>
      <c r="M400" s="24">
        <v>50000</v>
      </c>
      <c r="O400" s="46" t="s">
        <v>97</v>
      </c>
      <c r="P400" s="46">
        <f>HEX2DEC(RIGHT(Table13232127[[#This Row],[h1]],8))</f>
        <v>0</v>
      </c>
      <c r="Q400" s="46" t="s">
        <v>97</v>
      </c>
      <c r="R400" s="46">
        <f>HEX2DEC(RIGHT(Table13232127[[#This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E401" s="35"/>
      <c r="J401" s="24">
        <v>50000</v>
      </c>
      <c r="M401" s="24">
        <v>50000</v>
      </c>
      <c r="O401" s="46" t="s">
        <v>97</v>
      </c>
      <c r="P401" s="46">
        <f>HEX2DEC(RIGHT(Table13232127[[#This Row],[h1]],8))</f>
        <v>0</v>
      </c>
      <c r="Q401" s="46" t="s">
        <v>97</v>
      </c>
      <c r="R401" s="46">
        <f>HEX2DEC(RIGHT(Table13232127[[#This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E402" s="35"/>
      <c r="J402" s="24">
        <v>50000</v>
      </c>
      <c r="M402" s="24">
        <v>50000</v>
      </c>
      <c r="O402" s="46" t="s">
        <v>97</v>
      </c>
      <c r="P402" s="46">
        <f>HEX2DEC(RIGHT(Table13232127[[#This Row],[h1]],8))</f>
        <v>0</v>
      </c>
      <c r="Q402" s="46" t="s">
        <v>97</v>
      </c>
      <c r="R402" s="46">
        <f>HEX2DEC(RIGHT(Table13232127[[#This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E403" s="35"/>
      <c r="J403" s="24">
        <v>50000</v>
      </c>
      <c r="M403" s="24">
        <v>50000</v>
      </c>
      <c r="O403" s="46" t="s">
        <v>97</v>
      </c>
      <c r="P403" s="46">
        <f>HEX2DEC(RIGHT(Table13232127[[#This Row],[h1]],8))</f>
        <v>0</v>
      </c>
      <c r="Q403" s="46" t="s">
        <v>97</v>
      </c>
      <c r="R403" s="46">
        <f>HEX2DEC(RIGHT(Table13232127[[#This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E404" s="35"/>
      <c r="J404" s="24">
        <v>50000</v>
      </c>
      <c r="M404" s="24">
        <v>50000</v>
      </c>
      <c r="O404" s="46" t="s">
        <v>97</v>
      </c>
      <c r="P404" s="46">
        <f>HEX2DEC(RIGHT(Table13232127[[#This Row],[h1]],8))</f>
        <v>0</v>
      </c>
      <c r="Q404" s="46" t="s">
        <v>97</v>
      </c>
      <c r="R404" s="46">
        <f>HEX2DEC(RIGHT(Table13232127[[#This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E405" s="35"/>
      <c r="J405" s="24">
        <v>50000</v>
      </c>
      <c r="M405" s="24">
        <v>50000</v>
      </c>
      <c r="O405" s="46" t="s">
        <v>97</v>
      </c>
      <c r="P405" s="46">
        <f>HEX2DEC(RIGHT(Table13232127[[#This Row],[h1]],8))</f>
        <v>0</v>
      </c>
      <c r="Q405" s="46" t="s">
        <v>97</v>
      </c>
      <c r="R405" s="46">
        <f>HEX2DEC(RIGHT(Table13232127[[#This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E406" s="35"/>
      <c r="J406" s="24">
        <v>50000</v>
      </c>
      <c r="M406" s="24">
        <v>50000</v>
      </c>
      <c r="O406" s="46" t="s">
        <v>97</v>
      </c>
      <c r="P406" s="46">
        <f>HEX2DEC(RIGHT(Table13232127[[#This Row],[h1]],8))</f>
        <v>0</v>
      </c>
      <c r="Q406" s="46" t="s">
        <v>97</v>
      </c>
      <c r="R406" s="46">
        <f>HEX2DEC(RIGHT(Table13232127[[#This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E407" s="35"/>
      <c r="J407" s="24">
        <v>50000</v>
      </c>
      <c r="M407" s="24">
        <v>50000</v>
      </c>
      <c r="O407" s="46" t="s">
        <v>97</v>
      </c>
      <c r="P407" s="46">
        <f>HEX2DEC(RIGHT(Table13232127[[#This Row],[h1]],8))</f>
        <v>0</v>
      </c>
      <c r="Q407" s="46" t="s">
        <v>97</v>
      </c>
      <c r="R407" s="46">
        <f>HEX2DEC(RIGHT(Table13232127[[#This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E408" s="35"/>
      <c r="J408" s="24">
        <v>50000</v>
      </c>
      <c r="M408" s="24">
        <v>50000</v>
      </c>
      <c r="O408" s="46" t="s">
        <v>97</v>
      </c>
      <c r="P408" s="46">
        <f>HEX2DEC(RIGHT(Table13232127[[#This Row],[h1]],8))</f>
        <v>0</v>
      </c>
      <c r="Q408" s="46" t="s">
        <v>97</v>
      </c>
      <c r="R408" s="46">
        <f>HEX2DEC(RIGHT(Table13232127[[#This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E409" s="35"/>
      <c r="J409" s="24">
        <v>50000</v>
      </c>
      <c r="M409" s="24">
        <v>50000</v>
      </c>
      <c r="O409" s="46" t="s">
        <v>97</v>
      </c>
      <c r="P409" s="46">
        <f>HEX2DEC(RIGHT(Table13232127[[#This Row],[h1]],8))</f>
        <v>0</v>
      </c>
      <c r="Q409" s="46" t="s">
        <v>97</v>
      </c>
      <c r="R409" s="46">
        <f>HEX2DEC(RIGHT(Table13232127[[#This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E410" s="35"/>
      <c r="J410" s="24">
        <v>50000</v>
      </c>
      <c r="M410" s="24">
        <v>50000</v>
      </c>
      <c r="O410" s="46" t="s">
        <v>97</v>
      </c>
      <c r="P410" s="46">
        <f>HEX2DEC(RIGHT(Table13232127[[#This Row],[h1]],8))</f>
        <v>0</v>
      </c>
      <c r="Q410" s="46" t="s">
        <v>97</v>
      </c>
      <c r="R410" s="46">
        <f>HEX2DEC(RIGHT(Table13232127[[#This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E411" s="35"/>
      <c r="J411" s="24">
        <v>50000</v>
      </c>
      <c r="M411" s="24">
        <v>50000</v>
      </c>
      <c r="O411" s="46" t="s">
        <v>97</v>
      </c>
      <c r="P411" s="46">
        <f>HEX2DEC(RIGHT(Table13232127[[#This Row],[h1]],8))</f>
        <v>0</v>
      </c>
      <c r="Q411" s="46" t="s">
        <v>97</v>
      </c>
      <c r="R411" s="46">
        <f>HEX2DEC(RIGHT(Table13232127[[#This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E412" s="35"/>
      <c r="J412" s="24">
        <v>50000</v>
      </c>
      <c r="M412" s="24">
        <v>50000</v>
      </c>
      <c r="O412" s="46" t="s">
        <v>97</v>
      </c>
      <c r="P412" s="46">
        <f>HEX2DEC(RIGHT(Table13232127[[#This Row],[h1]],8))</f>
        <v>0</v>
      </c>
      <c r="Q412" s="46" t="s">
        <v>97</v>
      </c>
      <c r="R412" s="46">
        <f>HEX2DEC(RIGHT(Table13232127[[#This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E413" s="35"/>
      <c r="J413" s="24">
        <v>50000</v>
      </c>
      <c r="M413" s="24">
        <v>50000</v>
      </c>
      <c r="O413" s="46" t="s">
        <v>97</v>
      </c>
      <c r="P413" s="46">
        <f>HEX2DEC(RIGHT(Table13232127[[#This Row],[h1]],8))</f>
        <v>0</v>
      </c>
      <c r="Q413" s="46" t="s">
        <v>97</v>
      </c>
      <c r="R413" s="46">
        <f>HEX2DEC(RIGHT(Table13232127[[#This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E414" s="35"/>
      <c r="J414" s="24">
        <v>50000</v>
      </c>
      <c r="M414" s="24">
        <v>50000</v>
      </c>
      <c r="O414" s="46" t="s">
        <v>97</v>
      </c>
      <c r="P414" s="46">
        <f>HEX2DEC(RIGHT(Table13232127[[#This Row],[h1]],8))</f>
        <v>0</v>
      </c>
      <c r="Q414" s="46" t="s">
        <v>97</v>
      </c>
      <c r="R414" s="46">
        <f>HEX2DEC(RIGHT(Table13232127[[#This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E415" s="35"/>
      <c r="J415" s="24">
        <v>50000</v>
      </c>
      <c r="M415" s="24">
        <v>50000</v>
      </c>
      <c r="O415" s="46" t="s">
        <v>97</v>
      </c>
      <c r="P415" s="46">
        <f>HEX2DEC(RIGHT(Table13232127[[#This Row],[h1]],8))</f>
        <v>0</v>
      </c>
      <c r="Q415" s="46" t="s">
        <v>97</v>
      </c>
      <c r="R415" s="46">
        <f>HEX2DEC(RIGHT(Table13232127[[#This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E416" s="35"/>
      <c r="J416" s="24">
        <v>50000</v>
      </c>
      <c r="M416" s="24">
        <v>50000</v>
      </c>
      <c r="O416" s="46" t="s">
        <v>97</v>
      </c>
      <c r="P416" s="46">
        <f>HEX2DEC(RIGHT(Table13232127[[#This Row],[h1]],8))</f>
        <v>0</v>
      </c>
      <c r="Q416" s="46" t="s">
        <v>97</v>
      </c>
      <c r="R416" s="46">
        <f>HEX2DEC(RIGHT(Table13232127[[#This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E417" s="35"/>
      <c r="J417" s="24">
        <v>50000</v>
      </c>
      <c r="M417" s="24">
        <v>50000</v>
      </c>
      <c r="O417" s="46" t="s">
        <v>97</v>
      </c>
      <c r="P417" s="46">
        <f>HEX2DEC(RIGHT(Table13232127[[#This Row],[h1]],8))</f>
        <v>0</v>
      </c>
      <c r="Q417" s="46" t="s">
        <v>97</v>
      </c>
      <c r="R417" s="46">
        <f>HEX2DEC(RIGHT(Table13232127[[#This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E418" s="35"/>
      <c r="J418" s="24">
        <v>50000</v>
      </c>
      <c r="M418" s="24">
        <v>50000</v>
      </c>
      <c r="O418" s="46" t="s">
        <v>97</v>
      </c>
      <c r="P418" s="46">
        <f>HEX2DEC(RIGHT(Table13232127[[#This Row],[h1]],8))</f>
        <v>0</v>
      </c>
      <c r="Q418" s="46" t="s">
        <v>97</v>
      </c>
      <c r="R418" s="46">
        <f>HEX2DEC(RIGHT(Table13232127[[#This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E419" s="35"/>
      <c r="J419" s="24">
        <v>50000</v>
      </c>
      <c r="M419" s="24">
        <v>50000</v>
      </c>
      <c r="O419" s="46" t="s">
        <v>97</v>
      </c>
      <c r="P419" s="46">
        <f>HEX2DEC(RIGHT(Table13232127[[#This Row],[h1]],8))</f>
        <v>0</v>
      </c>
      <c r="Q419" s="46" t="s">
        <v>97</v>
      </c>
      <c r="R419" s="46">
        <f>HEX2DEC(RIGHT(Table13232127[[#This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E420" s="35"/>
      <c r="J420" s="24">
        <v>50000</v>
      </c>
      <c r="M420" s="24">
        <v>50000</v>
      </c>
      <c r="O420" s="46" t="s">
        <v>97</v>
      </c>
      <c r="P420" s="46">
        <f>HEX2DEC(RIGHT(Table13232127[[#This Row],[h1]],8))</f>
        <v>0</v>
      </c>
      <c r="Q420" s="46" t="s">
        <v>97</v>
      </c>
      <c r="R420" s="46">
        <f>HEX2DEC(RIGHT(Table13232127[[#This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E421" s="35"/>
      <c r="J421" s="24">
        <v>50000</v>
      </c>
      <c r="M421" s="24">
        <v>50000</v>
      </c>
      <c r="O421" s="46" t="s">
        <v>97</v>
      </c>
      <c r="P421" s="46">
        <f>HEX2DEC(RIGHT(Table13232127[[#This Row],[h1]],8))</f>
        <v>0</v>
      </c>
      <c r="Q421" s="46" t="s">
        <v>97</v>
      </c>
      <c r="R421" s="46">
        <f>HEX2DEC(RIGHT(Table13232127[[#This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E422" s="35"/>
      <c r="J422" s="24">
        <v>50000</v>
      </c>
      <c r="M422" s="24">
        <v>50000</v>
      </c>
      <c r="O422" s="46" t="s">
        <v>97</v>
      </c>
      <c r="P422" s="46">
        <f>HEX2DEC(RIGHT(Table13232127[[#This Row],[h1]],8))</f>
        <v>0</v>
      </c>
      <c r="Q422" s="46" t="s">
        <v>97</v>
      </c>
      <c r="R422" s="46">
        <f>HEX2DEC(RIGHT(Table13232127[[#This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E423" s="35"/>
      <c r="J423" s="24">
        <v>50000</v>
      </c>
      <c r="M423" s="24">
        <v>50000</v>
      </c>
      <c r="O423" s="46" t="s">
        <v>97</v>
      </c>
      <c r="P423" s="46">
        <f>HEX2DEC(RIGHT(Table13232127[[#This Row],[h1]],8))</f>
        <v>0</v>
      </c>
      <c r="Q423" s="46" t="s">
        <v>97</v>
      </c>
      <c r="R423" s="46">
        <f>HEX2DEC(RIGHT(Table13232127[[#This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E424" s="35"/>
      <c r="J424" s="24">
        <v>50000</v>
      </c>
      <c r="M424" s="24">
        <v>50000</v>
      </c>
      <c r="O424" s="46" t="s">
        <v>97</v>
      </c>
      <c r="P424" s="46">
        <f>HEX2DEC(RIGHT(Table13232127[[#This Row],[h1]],8))</f>
        <v>0</v>
      </c>
      <c r="Q424" s="46" t="s">
        <v>97</v>
      </c>
      <c r="R424" s="46">
        <f>HEX2DEC(RIGHT(Table13232127[[#This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E425" s="35"/>
      <c r="J425" s="24">
        <v>50000</v>
      </c>
      <c r="M425" s="24">
        <v>50000</v>
      </c>
      <c r="O425" s="46" t="s">
        <v>97</v>
      </c>
      <c r="P425" s="46">
        <f>HEX2DEC(RIGHT(Table13232127[[#This Row],[h1]],8))</f>
        <v>0</v>
      </c>
      <c r="Q425" s="46" t="s">
        <v>97</v>
      </c>
      <c r="R425" s="46">
        <f>HEX2DEC(RIGHT(Table13232127[[#This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E426" s="35"/>
      <c r="J426" s="24">
        <v>50000</v>
      </c>
      <c r="M426" s="24">
        <v>50000</v>
      </c>
      <c r="O426" s="46" t="s">
        <v>97</v>
      </c>
      <c r="P426" s="46">
        <f>HEX2DEC(RIGHT(Table13232127[[#This Row],[h1]],8))</f>
        <v>0</v>
      </c>
      <c r="Q426" s="46" t="s">
        <v>97</v>
      </c>
      <c r="R426" s="46">
        <f>HEX2DEC(RIGHT(Table13232127[[#This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E427" s="35"/>
      <c r="J427" s="24">
        <v>50000</v>
      </c>
      <c r="M427" s="24">
        <v>50000</v>
      </c>
      <c r="O427" s="46" t="s">
        <v>97</v>
      </c>
      <c r="P427" s="46">
        <f>HEX2DEC(RIGHT(Table13232127[[#This Row],[h1]],8))</f>
        <v>0</v>
      </c>
      <c r="Q427" s="46" t="s">
        <v>97</v>
      </c>
      <c r="R427" s="46">
        <f>HEX2DEC(RIGHT(Table13232127[[#This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E428" s="35"/>
      <c r="J428" s="24">
        <v>50000</v>
      </c>
      <c r="M428" s="24">
        <v>50000</v>
      </c>
      <c r="O428" s="46" t="s">
        <v>97</v>
      </c>
      <c r="P428" s="46">
        <f>HEX2DEC(RIGHT(Table13232127[[#This Row],[h1]],8))</f>
        <v>0</v>
      </c>
      <c r="Q428" s="46" t="s">
        <v>97</v>
      </c>
      <c r="R428" s="46">
        <f>HEX2DEC(RIGHT(Table13232127[[#This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E429" s="35"/>
      <c r="J429" s="24">
        <v>50000</v>
      </c>
      <c r="M429" s="24">
        <v>50000</v>
      </c>
      <c r="O429" s="46" t="s">
        <v>97</v>
      </c>
      <c r="P429" s="46">
        <f>HEX2DEC(RIGHT(Table13232127[[#This Row],[h1]],8))</f>
        <v>0</v>
      </c>
      <c r="Q429" s="46" t="s">
        <v>97</v>
      </c>
      <c r="R429" s="46">
        <f>HEX2DEC(RIGHT(Table13232127[[#This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E430" s="35"/>
      <c r="J430" s="24">
        <v>50000</v>
      </c>
      <c r="M430" s="24">
        <v>50000</v>
      </c>
      <c r="O430" s="46" t="s">
        <v>97</v>
      </c>
      <c r="P430" s="46">
        <f>HEX2DEC(RIGHT(Table13232127[[#This Row],[h1]],8))</f>
        <v>0</v>
      </c>
      <c r="Q430" s="46" t="s">
        <v>97</v>
      </c>
      <c r="R430" s="46">
        <f>HEX2DEC(RIGHT(Table13232127[[#This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E431" s="35"/>
      <c r="J431" s="24">
        <v>50000</v>
      </c>
      <c r="M431" s="24">
        <v>50000</v>
      </c>
      <c r="O431" s="46" t="s">
        <v>97</v>
      </c>
      <c r="P431" s="46">
        <f>HEX2DEC(RIGHT(Table13232127[[#This Row],[h1]],8))</f>
        <v>0</v>
      </c>
      <c r="Q431" s="46" t="s">
        <v>97</v>
      </c>
      <c r="R431" s="46">
        <f>HEX2DEC(RIGHT(Table13232127[[#This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E432" s="35"/>
      <c r="J432" s="24">
        <v>50000</v>
      </c>
      <c r="M432" s="24">
        <v>50000</v>
      </c>
      <c r="O432" s="46" t="s">
        <v>97</v>
      </c>
      <c r="P432" s="46">
        <f>HEX2DEC(RIGHT(Table13232127[[#This Row],[h1]],8))</f>
        <v>0</v>
      </c>
      <c r="Q432" s="46" t="s">
        <v>97</v>
      </c>
      <c r="R432" s="46">
        <f>HEX2DEC(RIGHT(Table13232127[[#This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E433" s="35"/>
      <c r="J433" s="24">
        <v>50000</v>
      </c>
      <c r="M433" s="24">
        <v>50000</v>
      </c>
      <c r="O433" s="46" t="s">
        <v>97</v>
      </c>
      <c r="P433" s="46">
        <f>HEX2DEC(RIGHT(Table13232127[[#This Row],[h1]],8))</f>
        <v>0</v>
      </c>
      <c r="Q433" s="46" t="s">
        <v>97</v>
      </c>
      <c r="R433" s="46">
        <f>HEX2DEC(RIGHT(Table13232127[[#This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E434" s="35"/>
      <c r="J434" s="24">
        <v>50000</v>
      </c>
      <c r="M434" s="24">
        <v>50000</v>
      </c>
      <c r="O434" s="46" t="s">
        <v>97</v>
      </c>
      <c r="P434" s="46">
        <f>HEX2DEC(RIGHT(Table13232127[[#This Row],[h1]],8))</f>
        <v>0</v>
      </c>
      <c r="Q434" s="46" t="s">
        <v>97</v>
      </c>
      <c r="R434" s="46">
        <f>HEX2DEC(RIGHT(Table13232127[[#This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E435" s="35"/>
      <c r="J435" s="24">
        <v>50000</v>
      </c>
      <c r="M435" s="24">
        <v>50000</v>
      </c>
      <c r="O435" s="46" t="s">
        <v>97</v>
      </c>
      <c r="P435" s="46">
        <f>HEX2DEC(RIGHT(Table13232127[[#This Row],[h1]],8))</f>
        <v>0</v>
      </c>
      <c r="Q435" s="46" t="s">
        <v>97</v>
      </c>
      <c r="R435" s="46">
        <f>HEX2DEC(RIGHT(Table13232127[[#This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E436" s="35"/>
      <c r="J436" s="24">
        <v>50000</v>
      </c>
      <c r="M436" s="24">
        <v>50000</v>
      </c>
      <c r="O436" s="46" t="s">
        <v>97</v>
      </c>
      <c r="P436" s="46">
        <f>HEX2DEC(RIGHT(Table13232127[[#This Row],[h1]],8))</f>
        <v>0</v>
      </c>
      <c r="Q436" s="46" t="s">
        <v>97</v>
      </c>
      <c r="R436" s="46">
        <f>HEX2DEC(RIGHT(Table13232127[[#This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E437" s="35"/>
      <c r="J437" s="24">
        <v>50000</v>
      </c>
      <c r="M437" s="24">
        <v>50000</v>
      </c>
      <c r="O437" s="46" t="s">
        <v>97</v>
      </c>
      <c r="P437" s="46">
        <f>HEX2DEC(RIGHT(Table13232127[[#This Row],[h1]],8))</f>
        <v>0</v>
      </c>
      <c r="Q437" s="46" t="s">
        <v>97</v>
      </c>
      <c r="R437" s="46">
        <f>HEX2DEC(RIGHT(Table13232127[[#This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E438" s="35"/>
      <c r="J438" s="24">
        <v>50000</v>
      </c>
      <c r="M438" s="24">
        <v>50000</v>
      </c>
      <c r="O438" s="46" t="s">
        <v>97</v>
      </c>
      <c r="P438" s="46">
        <f>HEX2DEC(RIGHT(Table13232127[[#This Row],[h1]],8))</f>
        <v>0</v>
      </c>
      <c r="Q438" s="46" t="s">
        <v>97</v>
      </c>
      <c r="R438" s="46">
        <f>HEX2DEC(RIGHT(Table13232127[[#This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E439" s="35"/>
      <c r="J439" s="24">
        <v>50000</v>
      </c>
      <c r="M439" s="24">
        <v>50000</v>
      </c>
      <c r="O439" s="46" t="s">
        <v>97</v>
      </c>
      <c r="P439" s="46">
        <f>HEX2DEC(RIGHT(Table13232127[[#This Row],[h1]],8))</f>
        <v>0</v>
      </c>
      <c r="Q439" s="46" t="s">
        <v>97</v>
      </c>
      <c r="R439" s="46">
        <f>HEX2DEC(RIGHT(Table13232127[[#This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E440" s="35"/>
      <c r="J440" s="24">
        <v>50000</v>
      </c>
      <c r="M440" s="24">
        <v>50000</v>
      </c>
      <c r="O440" s="46" t="s">
        <v>97</v>
      </c>
      <c r="P440" s="46">
        <f>HEX2DEC(RIGHT(Table13232127[[#This Row],[h1]],8))</f>
        <v>0</v>
      </c>
      <c r="Q440" s="46" t="s">
        <v>97</v>
      </c>
      <c r="R440" s="46">
        <f>HEX2DEC(RIGHT(Table13232127[[#This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E441" s="35"/>
      <c r="J441" s="24">
        <v>50000</v>
      </c>
      <c r="M441" s="24">
        <v>50000</v>
      </c>
      <c r="O441" s="46" t="s">
        <v>97</v>
      </c>
      <c r="P441" s="46">
        <f>HEX2DEC(RIGHT(Table13232127[[#This Row],[h1]],8))</f>
        <v>0</v>
      </c>
      <c r="Q441" s="46" t="s">
        <v>97</v>
      </c>
      <c r="R441" s="46">
        <f>HEX2DEC(RIGHT(Table13232127[[#This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E442" s="35"/>
      <c r="J442" s="24">
        <v>50000</v>
      </c>
      <c r="M442" s="24">
        <v>50000</v>
      </c>
      <c r="O442" s="46" t="s">
        <v>97</v>
      </c>
      <c r="P442" s="46">
        <f>HEX2DEC(RIGHT(Table13232127[[#This Row],[h1]],8))</f>
        <v>0</v>
      </c>
      <c r="Q442" s="46" t="s">
        <v>97</v>
      </c>
      <c r="R442" s="46">
        <f>HEX2DEC(RIGHT(Table13232127[[#This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E443" s="35"/>
      <c r="J443" s="24">
        <v>50000</v>
      </c>
      <c r="M443" s="24">
        <v>50000</v>
      </c>
      <c r="O443" s="46" t="s">
        <v>97</v>
      </c>
      <c r="P443" s="46">
        <f>HEX2DEC(RIGHT(Table13232127[[#This Row],[h1]],8))</f>
        <v>0</v>
      </c>
      <c r="Q443" s="46" t="s">
        <v>97</v>
      </c>
      <c r="R443" s="46">
        <f>HEX2DEC(RIGHT(Table13232127[[#This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E444" s="35"/>
      <c r="J444" s="24">
        <v>50000</v>
      </c>
      <c r="M444" s="24">
        <v>50000</v>
      </c>
      <c r="O444" s="46" t="s">
        <v>97</v>
      </c>
      <c r="P444" s="46">
        <f>HEX2DEC(RIGHT(Table13232127[[#This Row],[h1]],8))</f>
        <v>0</v>
      </c>
      <c r="Q444" s="46" t="s">
        <v>97</v>
      </c>
      <c r="R444" s="46">
        <f>HEX2DEC(RIGHT(Table13232127[[#This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E445" s="35"/>
      <c r="J445" s="24">
        <v>50000</v>
      </c>
      <c r="M445" s="24">
        <v>50000</v>
      </c>
      <c r="O445" s="46" t="s">
        <v>97</v>
      </c>
      <c r="P445" s="46">
        <f>HEX2DEC(RIGHT(Table13232127[[#This Row],[h1]],8))</f>
        <v>0</v>
      </c>
      <c r="Q445" s="46" t="s">
        <v>97</v>
      </c>
      <c r="R445" s="46">
        <f>HEX2DEC(RIGHT(Table13232127[[#This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E446" s="35"/>
      <c r="J446" s="24">
        <v>50000</v>
      </c>
      <c r="M446" s="24">
        <v>50000</v>
      </c>
      <c r="O446" s="46" t="s">
        <v>97</v>
      </c>
      <c r="P446" s="46">
        <f>HEX2DEC(RIGHT(Table13232127[[#This Row],[h1]],8))</f>
        <v>0</v>
      </c>
      <c r="Q446" s="46" t="s">
        <v>97</v>
      </c>
      <c r="R446" s="46">
        <f>HEX2DEC(RIGHT(Table13232127[[#This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E447" s="35"/>
      <c r="J447" s="24">
        <v>50000</v>
      </c>
      <c r="M447" s="24">
        <v>50000</v>
      </c>
      <c r="O447" s="46" t="s">
        <v>97</v>
      </c>
      <c r="P447" s="46">
        <f>HEX2DEC(RIGHT(Table13232127[[#This Row],[h1]],8))</f>
        <v>0</v>
      </c>
      <c r="Q447" s="46" t="s">
        <v>97</v>
      </c>
      <c r="R447" s="46">
        <f>HEX2DEC(RIGHT(Table13232127[[#This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E448" s="35"/>
      <c r="J448" s="24">
        <v>50000</v>
      </c>
      <c r="M448" s="24">
        <v>50000</v>
      </c>
      <c r="O448" s="46" t="s">
        <v>97</v>
      </c>
      <c r="P448" s="46">
        <f>HEX2DEC(RIGHT(Table13232127[[#This Row],[h1]],8))</f>
        <v>0</v>
      </c>
      <c r="Q448" s="46" t="s">
        <v>97</v>
      </c>
      <c r="R448" s="46">
        <f>HEX2DEC(RIGHT(Table13232127[[#This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E449" s="35"/>
      <c r="J449" s="24">
        <v>50000</v>
      </c>
      <c r="M449" s="24">
        <v>50000</v>
      </c>
      <c r="O449" s="46" t="s">
        <v>97</v>
      </c>
      <c r="P449" s="46">
        <f>HEX2DEC(RIGHT(Table13232127[[#This Row],[h1]],8))</f>
        <v>0</v>
      </c>
      <c r="Q449" s="46" t="s">
        <v>97</v>
      </c>
      <c r="R449" s="46">
        <f>HEX2DEC(RIGHT(Table13232127[[#This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J450" s="24">
        <v>50000</v>
      </c>
      <c r="M450" s="24">
        <v>50000</v>
      </c>
      <c r="O450" s="46" t="s">
        <v>97</v>
      </c>
      <c r="P450" s="46">
        <f>HEX2DEC(RIGHT(Table13232127[[#This Row],[h1]],8))</f>
        <v>0</v>
      </c>
      <c r="Q450" s="46" t="s">
        <v>97</v>
      </c>
      <c r="R450" s="46">
        <f>HEX2DEC(RIGHT(Table13232127[[#This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J451" s="24">
        <v>50000</v>
      </c>
      <c r="M451" s="24">
        <v>50000</v>
      </c>
      <c r="O451" s="46" t="s">
        <v>97</v>
      </c>
      <c r="P451" s="46">
        <f>HEX2DEC(RIGHT(Table13232127[[#This Row],[h1]],8))</f>
        <v>0</v>
      </c>
      <c r="Q451" s="46" t="s">
        <v>97</v>
      </c>
      <c r="R451" s="46">
        <f>HEX2DEC(RIGHT(Table13232127[[#This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J452" s="24">
        <v>50000</v>
      </c>
      <c r="M452" s="24">
        <v>50000</v>
      </c>
      <c r="O452" s="46" t="s">
        <v>97</v>
      </c>
      <c r="P452" s="46">
        <f>HEX2DEC(RIGHT(Table13232127[[#This Row],[h1]],8))</f>
        <v>0</v>
      </c>
      <c r="Q452" s="46" t="s">
        <v>97</v>
      </c>
      <c r="R452" s="46">
        <f>HEX2DEC(RIGHT(Table13232127[[#This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J453" s="24">
        <v>50000</v>
      </c>
      <c r="M453" s="24">
        <v>50000</v>
      </c>
      <c r="O453" s="46" t="s">
        <v>97</v>
      </c>
      <c r="P453" s="46">
        <f>HEX2DEC(RIGHT(Table13232127[[#This Row],[h1]],8))</f>
        <v>0</v>
      </c>
      <c r="Q453" s="46" t="s">
        <v>97</v>
      </c>
      <c r="R453" s="46">
        <f>HEX2DEC(RIGHT(Table13232127[[#This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J454" s="24">
        <v>50000</v>
      </c>
      <c r="M454" s="24">
        <v>50000</v>
      </c>
      <c r="O454" s="46" t="s">
        <v>97</v>
      </c>
      <c r="P454" s="46">
        <f>HEX2DEC(RIGHT(Table13232127[[#This Row],[h1]],8))</f>
        <v>0</v>
      </c>
      <c r="Q454" s="46" t="s">
        <v>97</v>
      </c>
      <c r="R454" s="46">
        <f>HEX2DEC(RIGHT(Table13232127[[#This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J455" s="24">
        <v>50000</v>
      </c>
      <c r="M455" s="24">
        <v>50000</v>
      </c>
      <c r="O455" s="46" t="s">
        <v>97</v>
      </c>
      <c r="P455" s="46">
        <f>HEX2DEC(RIGHT(Table13232127[[#This Row],[h1]],8))</f>
        <v>0</v>
      </c>
      <c r="Q455" s="46" t="s">
        <v>97</v>
      </c>
      <c r="R455" s="46">
        <f>HEX2DEC(RIGHT(Table13232127[[#This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6" t="s">
        <v>97</v>
      </c>
      <c r="P456" s="46">
        <f>HEX2DEC(RIGHT(Table13232127[[#This Row],[h1]],8))</f>
        <v>0</v>
      </c>
      <c r="Q456" s="46" t="s">
        <v>97</v>
      </c>
      <c r="R456" s="46">
        <f>HEX2DEC(RIGHT(Table13232127[[#This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6" t="s">
        <v>97</v>
      </c>
      <c r="P457" s="46">
        <f>HEX2DEC(RIGHT(Table13232127[[#This Row],[h1]],8))</f>
        <v>0</v>
      </c>
      <c r="Q457" s="46" t="s">
        <v>97</v>
      </c>
      <c r="R457" s="46">
        <f>HEX2DEC(RIGHT(Table13232127[[#This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6" t="s">
        <v>97</v>
      </c>
      <c r="P458" s="46">
        <f>HEX2DEC(RIGHT(Table13232127[[#This Row],[h1]],8))</f>
        <v>0</v>
      </c>
      <c r="Q458" s="46" t="s">
        <v>97</v>
      </c>
      <c r="R458" s="46">
        <f>HEX2DEC(RIGHT(Table13232127[[#This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6" t="s">
        <v>97</v>
      </c>
      <c r="P459" s="46">
        <f>HEX2DEC(RIGHT(Table13232127[[#This Row],[h1]],8))</f>
        <v>0</v>
      </c>
      <c r="Q459" s="46" t="s">
        <v>97</v>
      </c>
      <c r="R459" s="46">
        <f>HEX2DEC(RIGHT(Table13232127[[#This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6" t="s">
        <v>97</v>
      </c>
      <c r="P460" s="46">
        <f>HEX2DEC(RIGHT(Table13232127[[#This Row],[h1]],8))</f>
        <v>0</v>
      </c>
      <c r="Q460" s="46" t="s">
        <v>97</v>
      </c>
      <c r="R460" s="46">
        <f>HEX2DEC(RIGHT(Table13232127[[#This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6" t="s">
        <v>97</v>
      </c>
      <c r="P461" s="46">
        <f>HEX2DEC(RIGHT(Table13232127[[#This Row],[h1]],8))</f>
        <v>0</v>
      </c>
      <c r="Q461" s="46" t="s">
        <v>97</v>
      </c>
      <c r="R461" s="46">
        <f>HEX2DEC(RIGHT(Table13232127[[#This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6" t="s">
        <v>97</v>
      </c>
      <c r="P462" s="46">
        <f>HEX2DEC(RIGHT(Table13232127[[#This Row],[h1]],8))</f>
        <v>0</v>
      </c>
      <c r="Q462" s="46" t="s">
        <v>97</v>
      </c>
      <c r="R462" s="46">
        <f>HEX2DEC(RIGHT(Table13232127[[#This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6" t="s">
        <v>97</v>
      </c>
      <c r="P463" s="46">
        <f>HEX2DEC(RIGHT(Table13232127[[#This Row],[h1]],8))</f>
        <v>0</v>
      </c>
      <c r="Q463" s="46" t="s">
        <v>97</v>
      </c>
      <c r="R463" s="46">
        <f>HEX2DEC(RIGHT(Table13232127[[#This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6" t="s">
        <v>97</v>
      </c>
      <c r="P464" s="46">
        <f>HEX2DEC(RIGHT(Table13232127[[#This Row],[h1]],8))</f>
        <v>0</v>
      </c>
      <c r="Q464" s="46" t="s">
        <v>97</v>
      </c>
      <c r="R464" s="46">
        <f>HEX2DEC(RIGHT(Table13232127[[#This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6" t="s">
        <v>97</v>
      </c>
      <c r="P465" s="46">
        <f>HEX2DEC(RIGHT(Table13232127[[#This Row],[h1]],8))</f>
        <v>0</v>
      </c>
      <c r="Q465" s="46" t="s">
        <v>97</v>
      </c>
      <c r="R465" s="46">
        <f>HEX2DEC(RIGHT(Table13232127[[#This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6" t="s">
        <v>97</v>
      </c>
      <c r="P466" s="46">
        <f>HEX2DEC(RIGHT(Table13232127[[#This Row],[h1]],8))</f>
        <v>0</v>
      </c>
      <c r="Q466" s="46" t="s">
        <v>97</v>
      </c>
      <c r="R466" s="46">
        <f>HEX2DEC(RIGHT(Table13232127[[#This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6" t="s">
        <v>97</v>
      </c>
      <c r="P467" s="46">
        <f>HEX2DEC(RIGHT(Table13232127[[#This Row],[h1]],8))</f>
        <v>0</v>
      </c>
      <c r="Q467" s="46" t="s">
        <v>97</v>
      </c>
      <c r="R467" s="46">
        <f>HEX2DEC(RIGHT(Table13232127[[#This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6" t="s">
        <v>97</v>
      </c>
      <c r="P468" s="46">
        <f>HEX2DEC(RIGHT(Table13232127[[#This Row],[h1]],8))</f>
        <v>0</v>
      </c>
      <c r="Q468" s="46" t="s">
        <v>97</v>
      </c>
      <c r="R468" s="46">
        <f>HEX2DEC(RIGHT(Table13232127[[#This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6" t="s">
        <v>97</v>
      </c>
      <c r="P469" s="46">
        <f>HEX2DEC(RIGHT(Table13232127[[#This Row],[h1]],8))</f>
        <v>0</v>
      </c>
      <c r="Q469" s="46" t="s">
        <v>97</v>
      </c>
      <c r="R469" s="46">
        <f>HEX2DEC(RIGHT(Table13232127[[#This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6" t="s">
        <v>97</v>
      </c>
      <c r="P470" s="46">
        <f>HEX2DEC(RIGHT(Table13232127[[#This Row],[h1]],8))</f>
        <v>0</v>
      </c>
      <c r="Q470" s="46" t="s">
        <v>97</v>
      </c>
      <c r="R470" s="46">
        <f>HEX2DEC(RIGHT(Table13232127[[#This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6" t="s">
        <v>97</v>
      </c>
      <c r="P471" s="46">
        <f>HEX2DEC(RIGHT(Table13232127[[#This Row],[h1]],8))</f>
        <v>0</v>
      </c>
      <c r="Q471" s="46" t="s">
        <v>97</v>
      </c>
      <c r="R471" s="46">
        <f>HEX2DEC(RIGHT(Table13232127[[#This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6" t="s">
        <v>97</v>
      </c>
      <c r="P472" s="46">
        <f>HEX2DEC(RIGHT(Table13232127[[#This Row],[h1]],8))</f>
        <v>0</v>
      </c>
      <c r="Q472" s="46" t="s">
        <v>97</v>
      </c>
      <c r="R472" s="46">
        <f>HEX2DEC(RIGHT(Table13232127[[#This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6" t="s">
        <v>97</v>
      </c>
      <c r="P473" s="46">
        <f>HEX2DEC(RIGHT(Table13232127[[#This Row],[h1]],8))</f>
        <v>0</v>
      </c>
      <c r="Q473" s="46" t="s">
        <v>97</v>
      </c>
      <c r="R473" s="46">
        <f>HEX2DEC(RIGHT(Table13232127[[#This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6" t="s">
        <v>97</v>
      </c>
      <c r="P474" s="46">
        <f>HEX2DEC(RIGHT(Table13232127[[#This Row],[h1]],8))</f>
        <v>0</v>
      </c>
      <c r="Q474" s="46" t="s">
        <v>97</v>
      </c>
      <c r="R474" s="46">
        <f>HEX2DEC(RIGHT(Table13232127[[#This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6" t="s">
        <v>97</v>
      </c>
      <c r="P475" s="46">
        <f>HEX2DEC(RIGHT(Table13232127[[#This Row],[h1]],8))</f>
        <v>0</v>
      </c>
      <c r="Q475" s="46" t="s">
        <v>97</v>
      </c>
      <c r="R475" s="46">
        <f>HEX2DEC(RIGHT(Table13232127[[#This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6" t="s">
        <v>97</v>
      </c>
      <c r="P476" s="46">
        <f>HEX2DEC(RIGHT(Table13232127[[#This Row],[h1]],8))</f>
        <v>0</v>
      </c>
      <c r="Q476" s="46" t="s">
        <v>97</v>
      </c>
      <c r="R476" s="46">
        <f>HEX2DEC(RIGHT(Table13232127[[#This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6" t="s">
        <v>97</v>
      </c>
      <c r="P477" s="46">
        <f>HEX2DEC(RIGHT(Table13232127[[#This Row],[h1]],8))</f>
        <v>0</v>
      </c>
      <c r="Q477" s="46" t="s">
        <v>97</v>
      </c>
      <c r="R477" s="46">
        <f>HEX2DEC(RIGHT(Table13232127[[#This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6" t="s">
        <v>97</v>
      </c>
      <c r="P478" s="46">
        <f>HEX2DEC(RIGHT(Table13232127[[#This Row],[h1]],8))</f>
        <v>0</v>
      </c>
      <c r="Q478" s="46" t="s">
        <v>97</v>
      </c>
      <c r="R478" s="46">
        <f>HEX2DEC(RIGHT(Table13232127[[#This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6" t="s">
        <v>97</v>
      </c>
      <c r="P479" s="46">
        <f>HEX2DEC(RIGHT(Table13232127[[#This Row],[h1]],8))</f>
        <v>0</v>
      </c>
      <c r="Q479" s="46" t="s">
        <v>97</v>
      </c>
      <c r="R479" s="46">
        <f>HEX2DEC(RIGHT(Table13232127[[#This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6" t="s">
        <v>97</v>
      </c>
      <c r="P480" s="46">
        <f>HEX2DEC(RIGHT(Table13232127[[#This Row],[h1]],8))</f>
        <v>0</v>
      </c>
      <c r="Q480" s="46" t="s">
        <v>97</v>
      </c>
      <c r="R480" s="46">
        <f>HEX2DEC(RIGHT(Table13232127[[#This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6" t="s">
        <v>97</v>
      </c>
      <c r="P481" s="46">
        <f>HEX2DEC(RIGHT(Table13232127[[#This Row],[h1]],8))</f>
        <v>0</v>
      </c>
      <c r="Q481" s="46" t="s">
        <v>97</v>
      </c>
      <c r="R481" s="46">
        <f>HEX2DEC(RIGHT(Table13232127[[#This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6" t="s">
        <v>97</v>
      </c>
      <c r="P482" s="46">
        <f>HEX2DEC(RIGHT(Table13232127[[#This Row],[h1]],8))</f>
        <v>0</v>
      </c>
      <c r="Q482" s="46" t="s">
        <v>97</v>
      </c>
      <c r="R482" s="46">
        <f>HEX2DEC(RIGHT(Table13232127[[#This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G483" s="33"/>
      <c r="J483" s="24">
        <v>50000</v>
      </c>
      <c r="M483" s="24">
        <v>50000</v>
      </c>
      <c r="O483" s="46" t="s">
        <v>97</v>
      </c>
      <c r="P483" s="46">
        <f>HEX2DEC(RIGHT(Table13232127[[#This Row],[h1]],8))</f>
        <v>0</v>
      </c>
      <c r="Q483" s="46" t="s">
        <v>97</v>
      </c>
      <c r="R483" s="46">
        <f>HEX2DEC(RIGHT(Table13232127[[#This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G484" s="33"/>
      <c r="J484" s="24">
        <v>50000</v>
      </c>
      <c r="M484" s="24">
        <v>50000</v>
      </c>
      <c r="O484" s="46" t="s">
        <v>97</v>
      </c>
      <c r="P484" s="46">
        <f>HEX2DEC(RIGHT(Table13232127[[#This Row],[h1]],8))</f>
        <v>0</v>
      </c>
      <c r="Q484" s="46" t="s">
        <v>97</v>
      </c>
      <c r="R484" s="46">
        <f>HEX2DEC(RIGHT(Table13232127[[#This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G485" s="33"/>
      <c r="J485" s="24">
        <v>50000</v>
      </c>
      <c r="M485" s="24">
        <v>50000</v>
      </c>
      <c r="O485" s="46" t="s">
        <v>97</v>
      </c>
      <c r="P485" s="46">
        <f>HEX2DEC(RIGHT(Table13232127[[#This Row],[h1]],8))</f>
        <v>0</v>
      </c>
      <c r="Q485" s="46" t="s">
        <v>97</v>
      </c>
      <c r="R485" s="46">
        <f>HEX2DEC(RIGHT(Table13232127[[#This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G486" s="33"/>
      <c r="J486" s="24">
        <v>50000</v>
      </c>
      <c r="M486" s="24">
        <v>50000</v>
      </c>
      <c r="O486" s="46" t="s">
        <v>97</v>
      </c>
      <c r="P486" s="46">
        <f>HEX2DEC(RIGHT(Table13232127[[#This Row],[h1]],8))</f>
        <v>0</v>
      </c>
      <c r="Q486" s="46" t="s">
        <v>97</v>
      </c>
      <c r="R486" s="46">
        <f>HEX2DEC(RIGHT(Table13232127[[#This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D487" s="15" t="s">
        <v>108</v>
      </c>
      <c r="G487" s="33">
        <v>0</v>
      </c>
      <c r="J487" s="24">
        <v>50000</v>
      </c>
      <c r="M487" s="24">
        <v>50000</v>
      </c>
      <c r="O487" s="46" t="s">
        <v>97</v>
      </c>
      <c r="P487" s="46">
        <f>HEX2DEC(RIGHT(Table13232127[[#This Row],[h1]],8))</f>
        <v>0</v>
      </c>
      <c r="Q487" s="46" t="s">
        <v>97</v>
      </c>
      <c r="R487" s="46">
        <f>HEX2DEC(RIGHT(Table13232127[[#This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D488" s="15" t="s">
        <v>109</v>
      </c>
      <c r="G488" s="33">
        <v>1</v>
      </c>
      <c r="J488" s="24">
        <v>50000</v>
      </c>
      <c r="M488" s="24">
        <v>50000</v>
      </c>
      <c r="O488" s="46" t="s">
        <v>97</v>
      </c>
      <c r="P488" s="46">
        <f>HEX2DEC(RIGHT(Table13232127[[#This Row],[h1]],8))</f>
        <v>0</v>
      </c>
      <c r="Q488" s="46" t="s">
        <v>97</v>
      </c>
      <c r="R488" s="46">
        <f>HEX2DEC(RIGHT(Table13232127[[#This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D489" s="15" t="s">
        <v>110</v>
      </c>
      <c r="G489" s="33">
        <v>1</v>
      </c>
      <c r="J489" s="24">
        <v>50000</v>
      </c>
      <c r="M489" s="24">
        <v>50000</v>
      </c>
      <c r="O489" s="46" t="s">
        <v>97</v>
      </c>
      <c r="P489" s="46">
        <f>HEX2DEC(RIGHT(Table13232127[[#This Row],[h1]],8))</f>
        <v>0</v>
      </c>
      <c r="Q489" s="46" t="s">
        <v>97</v>
      </c>
      <c r="R489" s="46">
        <f>HEX2DEC(RIGHT(Table13232127[[#This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D490" s="15" t="s">
        <v>111</v>
      </c>
      <c r="G490" s="33">
        <v>1</v>
      </c>
      <c r="J490" s="24">
        <v>50000</v>
      </c>
      <c r="M490" s="24">
        <v>50000</v>
      </c>
      <c r="O490" s="46" t="s">
        <v>97</v>
      </c>
      <c r="P490" s="46">
        <f>HEX2DEC(RIGHT(Table13232127[[#This Row],[h1]],8))</f>
        <v>0</v>
      </c>
      <c r="Q490" s="46" t="s">
        <v>97</v>
      </c>
      <c r="R490" s="46">
        <f>HEX2DEC(RIGHT(Table13232127[[#This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E491" s="16"/>
      <c r="F491" s="16"/>
      <c r="G491" s="39" t="s">
        <v>106</v>
      </c>
      <c r="J491" s="24">
        <v>50000</v>
      </c>
      <c r="M491" s="24">
        <v>50000</v>
      </c>
      <c r="O491" s="46" t="s">
        <v>97</v>
      </c>
      <c r="P491" s="46">
        <f>HEX2DEC(RIGHT(Table13232127[[#This Row],[h1]],8))</f>
        <v>0</v>
      </c>
      <c r="Q491" s="46" t="s">
        <v>97</v>
      </c>
      <c r="R491" s="46">
        <f>HEX2DEC(RIGHT(Table13232127[[#This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J492" s="24">
        <v>50000</v>
      </c>
      <c r="M492" s="24">
        <v>50000</v>
      </c>
      <c r="O492" s="46" t="s">
        <v>97</v>
      </c>
      <c r="P492" s="46">
        <f>HEX2DEC(RIGHT(Table13232127[[#This Row],[h1]],8))</f>
        <v>0</v>
      </c>
      <c r="Q492" s="46" t="s">
        <v>97</v>
      </c>
      <c r="R492" s="46">
        <f>HEX2DEC(RIGHT(Table13232127[[#This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D493" s="15" t="s">
        <v>27</v>
      </c>
      <c r="J493" s="24">
        <v>50000</v>
      </c>
      <c r="M493" s="24">
        <v>50000</v>
      </c>
      <c r="O493" s="46" t="s">
        <v>97</v>
      </c>
      <c r="P493" s="46">
        <f>HEX2DEC(RIGHT(Table13232127[[#This Row],[h1]],8))</f>
        <v>0</v>
      </c>
      <c r="Q493" s="46" t="s">
        <v>97</v>
      </c>
      <c r="R493" s="46">
        <f>HEX2DEC(RIGHT(Table13232127[[#This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0"/>
      <c r="D494" s="38"/>
      <c r="E494" s="38"/>
      <c r="F494" s="38"/>
      <c r="G494" s="38"/>
      <c r="J494" s="24">
        <v>50000</v>
      </c>
      <c r="M494" s="24">
        <v>50000</v>
      </c>
      <c r="O494" s="46" t="s">
        <v>97</v>
      </c>
      <c r="P494" s="46">
        <f>HEX2DEC(RIGHT(Table13232127[[#This Row],[h1]],8))</f>
        <v>0</v>
      </c>
      <c r="Q494" s="46" t="s">
        <v>97</v>
      </c>
      <c r="R494" s="46">
        <f>HEX2DEC(RIGHT(Table13232127[[#This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6" t="s">
        <v>97</v>
      </c>
      <c r="P495" s="46">
        <f>HEX2DEC(RIGHT(Table13232127[[#This Row],[h1]],8))</f>
        <v>0</v>
      </c>
      <c r="Q495" s="46" t="s">
        <v>97</v>
      </c>
      <c r="R495" s="46">
        <f>HEX2DEC(RIGHT(Table13232127[[#This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6" t="s">
        <v>97</v>
      </c>
      <c r="P496" s="46">
        <f>HEX2DEC(RIGHT(Table13232127[[#This Row],[h1]],8))</f>
        <v>0</v>
      </c>
      <c r="Q496" s="46" t="s">
        <v>97</v>
      </c>
      <c r="R496" s="46">
        <f>HEX2DEC(RIGHT(Table13232127[[#This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6" t="s">
        <v>97</v>
      </c>
      <c r="P497" s="46">
        <f>HEX2DEC(RIGHT(Table13232127[[#This Row],[h1]],8))</f>
        <v>0</v>
      </c>
      <c r="Q497" s="46" t="s">
        <v>97</v>
      </c>
      <c r="R497" s="46">
        <f>HEX2DEC(RIGHT(Table13232127[[#This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6" t="s">
        <v>97</v>
      </c>
      <c r="P498" s="46">
        <f>HEX2DEC(RIGHT(Table13232127[[#This Row],[h1]],8))</f>
        <v>0</v>
      </c>
      <c r="Q498" s="46" t="s">
        <v>97</v>
      </c>
      <c r="R498" s="46">
        <f>HEX2DEC(RIGHT(Table13232127[[#This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6" t="s">
        <v>97</v>
      </c>
      <c r="P499" s="46">
        <f>HEX2DEC(RIGHT(Table13232127[[#This Row],[h1]],8))</f>
        <v>0</v>
      </c>
      <c r="Q499" s="46" t="s">
        <v>97</v>
      </c>
      <c r="R499" s="46">
        <f>HEX2DEC(RIGHT(Table13232127[[#This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6" t="s">
        <v>97</v>
      </c>
      <c r="P500" s="46">
        <f>HEX2DEC(RIGHT(Table13232127[[#This Row],[h1]],8))</f>
        <v>0</v>
      </c>
      <c r="Q500" s="46" t="s">
        <v>97</v>
      </c>
      <c r="R500" s="46">
        <f>HEX2DEC(RIGHT(Table13232127[[#This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6" t="s">
        <v>97</v>
      </c>
      <c r="P501" s="46">
        <f>HEX2DEC(RIGHT(Table13232127[[#This Row],[h1]],8))</f>
        <v>0</v>
      </c>
      <c r="Q501" s="46" t="s">
        <v>97</v>
      </c>
      <c r="R501" s="46">
        <f>HEX2DEC(RIGHT(Table13232127[[#This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6" t="s">
        <v>97</v>
      </c>
      <c r="P502" s="46">
        <f>HEX2DEC(RIGHT(Table13232127[[#This Row],[h1]],8))</f>
        <v>0</v>
      </c>
      <c r="Q502" s="46" t="s">
        <v>97</v>
      </c>
      <c r="R502" s="46">
        <f>HEX2DEC(RIGHT(Table13232127[[#This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6" t="s">
        <v>97</v>
      </c>
      <c r="P503" s="46">
        <f>HEX2DEC(RIGHT(Table13232127[[#This Row],[h1]],8))</f>
        <v>0</v>
      </c>
      <c r="Q503" s="46" t="s">
        <v>97</v>
      </c>
      <c r="R503" s="46">
        <f>HEX2DEC(RIGHT(Table13232127[[#This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6" t="s">
        <v>97</v>
      </c>
      <c r="P504" s="46">
        <f>HEX2DEC(RIGHT(Table13232127[[#This Row],[h1]],8))</f>
        <v>0</v>
      </c>
      <c r="Q504" s="46" t="s">
        <v>97</v>
      </c>
      <c r="R504" s="46">
        <f>HEX2DEC(RIGHT(Table13232127[[#This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6" t="s">
        <v>97</v>
      </c>
      <c r="P505" s="46">
        <f>HEX2DEC(RIGHT(Table13232127[[#This Row],[h1]],8))</f>
        <v>0</v>
      </c>
      <c r="Q505" s="46" t="s">
        <v>97</v>
      </c>
      <c r="R505" s="46">
        <f>HEX2DEC(RIGHT(Table13232127[[#This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6" t="s">
        <v>97</v>
      </c>
      <c r="P506" s="46">
        <f>HEX2DEC(RIGHT(Table13232127[[#This Row],[h1]],8))</f>
        <v>0</v>
      </c>
      <c r="Q506" s="46" t="s">
        <v>97</v>
      </c>
      <c r="R506" s="46">
        <f>HEX2DEC(RIGHT(Table13232127[[#This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6" t="s">
        <v>97</v>
      </c>
      <c r="P507" s="46">
        <f>HEX2DEC(RIGHT(Table13232127[[#This Row],[h1]],8))</f>
        <v>0</v>
      </c>
      <c r="Q507" s="46" t="s">
        <v>97</v>
      </c>
      <c r="R507" s="46">
        <f>HEX2DEC(RIGHT(Table13232127[[#This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6" t="s">
        <v>97</v>
      </c>
      <c r="P508" s="46">
        <f>HEX2DEC(RIGHT(Table13232127[[#This Row],[h1]],8))</f>
        <v>0</v>
      </c>
      <c r="Q508" s="46" t="s">
        <v>97</v>
      </c>
      <c r="R508" s="46">
        <f>HEX2DEC(RIGHT(Table13232127[[#This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6" t="s">
        <v>97</v>
      </c>
      <c r="P509" s="46">
        <f>HEX2DEC(RIGHT(Table13232127[[#This Row],[h1]],8))</f>
        <v>0</v>
      </c>
      <c r="Q509" s="46" t="s">
        <v>97</v>
      </c>
      <c r="R509" s="46">
        <f>HEX2DEC(RIGHT(Table13232127[[#This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6" t="s">
        <v>97</v>
      </c>
      <c r="P510" s="46">
        <f>HEX2DEC(RIGHT(Table13232127[[#This Row],[h1]],8))</f>
        <v>0</v>
      </c>
      <c r="Q510" s="46" t="s">
        <v>97</v>
      </c>
      <c r="R510" s="46">
        <f>HEX2DEC(RIGHT(Table13232127[[#This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6" t="s">
        <v>97</v>
      </c>
      <c r="P511" s="46">
        <f>HEX2DEC(RIGHT(Table13232127[[#This Row],[h1]],8))</f>
        <v>0</v>
      </c>
      <c r="Q511" s="46" t="s">
        <v>97</v>
      </c>
      <c r="R511" s="46">
        <f>HEX2DEC(RIGHT(Table13232127[[#This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6" t="s">
        <v>97</v>
      </c>
      <c r="P512" s="46">
        <f>HEX2DEC(RIGHT(Table13232127[[#This Row],[h1]],8))</f>
        <v>0</v>
      </c>
      <c r="Q512" s="46" t="s">
        <v>97</v>
      </c>
      <c r="R512" s="46">
        <f>HEX2DEC(RIGHT(Table13232127[[#This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6" t="s">
        <v>97</v>
      </c>
      <c r="P513" s="46">
        <f>HEX2DEC(RIGHT(Table13232127[[#This Row],[h1]],8))</f>
        <v>0</v>
      </c>
      <c r="Q513" s="46" t="s">
        <v>97</v>
      </c>
      <c r="R513" s="46">
        <f>HEX2DEC(RIGHT(Table13232127[[#This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6" t="s">
        <v>97</v>
      </c>
      <c r="P514" s="46">
        <f>HEX2DEC(RIGHT(Table13232127[[#This Row],[h1]],8))</f>
        <v>0</v>
      </c>
      <c r="Q514" s="46" t="s">
        <v>97</v>
      </c>
      <c r="R514" s="46">
        <f>HEX2DEC(RIGHT(Table13232127[[#This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6" t="s">
        <v>97</v>
      </c>
      <c r="P515" s="46">
        <f>HEX2DEC(RIGHT(Table13232127[[#This Row],[h1]],8))</f>
        <v>0</v>
      </c>
      <c r="Q515" s="46" t="s">
        <v>97</v>
      </c>
      <c r="R515" s="46">
        <f>HEX2DEC(RIGHT(Table13232127[[#This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6" t="s">
        <v>97</v>
      </c>
      <c r="P516" s="46">
        <f>HEX2DEC(RIGHT(Table13232127[[#This Row],[h1]],8))</f>
        <v>0</v>
      </c>
      <c r="Q516" s="46" t="s">
        <v>97</v>
      </c>
      <c r="R516" s="46">
        <f>HEX2DEC(RIGHT(Table13232127[[#This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6" t="s">
        <v>97</v>
      </c>
      <c r="P517" s="46">
        <f>HEX2DEC(RIGHT(Table13232127[[#This Row],[h1]],8))</f>
        <v>0</v>
      </c>
      <c r="Q517" s="46" t="s">
        <v>97</v>
      </c>
      <c r="R517" s="46">
        <f>HEX2DEC(RIGHT(Table13232127[[#This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6" t="s">
        <v>97</v>
      </c>
      <c r="P518" s="46">
        <f>HEX2DEC(RIGHT(Table13232127[[#This Row],[h1]],8))</f>
        <v>0</v>
      </c>
      <c r="Q518" s="46" t="s">
        <v>97</v>
      </c>
      <c r="R518" s="46">
        <f>HEX2DEC(RIGHT(Table13232127[[#This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6" t="s">
        <v>97</v>
      </c>
      <c r="P519" s="46">
        <f>HEX2DEC(RIGHT(Table13232127[[#This Row],[h1]],8))</f>
        <v>0</v>
      </c>
      <c r="Q519" s="46" t="s">
        <v>97</v>
      </c>
      <c r="R519" s="46">
        <f>HEX2DEC(RIGHT(Table13232127[[#This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6" t="s">
        <v>97</v>
      </c>
      <c r="P520" s="46">
        <f>HEX2DEC(RIGHT(Table13232127[[#This Row],[h1]],8))</f>
        <v>0</v>
      </c>
      <c r="Q520" s="46" t="s">
        <v>97</v>
      </c>
      <c r="R520" s="46">
        <f>HEX2DEC(RIGHT(Table13232127[[#This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6" t="s">
        <v>97</v>
      </c>
      <c r="P521" s="46">
        <f>HEX2DEC(RIGHT(Table13232127[[#This Row],[h1]],8))</f>
        <v>0</v>
      </c>
      <c r="Q521" s="46" t="s">
        <v>97</v>
      </c>
      <c r="R521" s="46">
        <f>HEX2DEC(RIGHT(Table13232127[[#This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6" t="s">
        <v>97</v>
      </c>
      <c r="P522" s="46">
        <f>HEX2DEC(RIGHT(Table13232127[[#This Row],[h1]],8))</f>
        <v>0</v>
      </c>
      <c r="Q522" s="46" t="s">
        <v>97</v>
      </c>
      <c r="R522" s="46">
        <f>HEX2DEC(RIGHT(Table13232127[[#This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6" t="s">
        <v>97</v>
      </c>
      <c r="P523" s="46">
        <f>HEX2DEC(RIGHT(Table13232127[[#This Row],[h1]],8))</f>
        <v>0</v>
      </c>
      <c r="Q523" s="46" t="s">
        <v>97</v>
      </c>
      <c r="R523" s="46">
        <f>HEX2DEC(RIGHT(Table13232127[[#This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6" t="s">
        <v>97</v>
      </c>
      <c r="P524" s="46">
        <f>HEX2DEC(RIGHT(Table13232127[[#This Row],[h1]],8))</f>
        <v>0</v>
      </c>
      <c r="Q524" s="46" t="s">
        <v>97</v>
      </c>
      <c r="R524" s="46">
        <f>HEX2DEC(RIGHT(Table13232127[[#This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6" t="s">
        <v>97</v>
      </c>
      <c r="P525" s="46">
        <f>HEX2DEC(RIGHT(Table13232127[[#This Row],[h1]],8))</f>
        <v>0</v>
      </c>
      <c r="Q525" s="46" t="s">
        <v>97</v>
      </c>
      <c r="R525" s="46">
        <f>HEX2DEC(RIGHT(Table13232127[[#This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6" t="s">
        <v>97</v>
      </c>
      <c r="P526" s="46">
        <f>HEX2DEC(RIGHT(Table13232127[[#This Row],[h1]],8))</f>
        <v>0</v>
      </c>
      <c r="Q526" s="46" t="s">
        <v>97</v>
      </c>
      <c r="R526" s="46">
        <f>HEX2DEC(RIGHT(Table13232127[[#This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6" t="s">
        <v>97</v>
      </c>
      <c r="P527" s="46">
        <f>HEX2DEC(RIGHT(Table13232127[[#This Row],[h1]],8))</f>
        <v>0</v>
      </c>
      <c r="Q527" s="46" t="s">
        <v>97</v>
      </c>
      <c r="R527" s="46">
        <f>HEX2DEC(RIGHT(Table13232127[[#This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6" t="s">
        <v>97</v>
      </c>
      <c r="P528" s="46">
        <f>HEX2DEC(RIGHT(Table13232127[[#This Row],[h1]],8))</f>
        <v>0</v>
      </c>
      <c r="Q528" s="46" t="s">
        <v>97</v>
      </c>
      <c r="R528" s="46">
        <f>HEX2DEC(RIGHT(Table13232127[[#This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6" t="s">
        <v>97</v>
      </c>
      <c r="P529" s="46">
        <f>HEX2DEC(RIGHT(Table13232127[[#This Row],[h1]],8))</f>
        <v>0</v>
      </c>
      <c r="Q529" s="46" t="s">
        <v>97</v>
      </c>
      <c r="R529" s="46">
        <f>HEX2DEC(RIGHT(Table13232127[[#This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6" t="s">
        <v>97</v>
      </c>
      <c r="P530" s="46">
        <f>HEX2DEC(RIGHT(Table13232127[[#This Row],[h1]],8))</f>
        <v>0</v>
      </c>
      <c r="Q530" s="46" t="s">
        <v>97</v>
      </c>
      <c r="R530" s="46">
        <f>HEX2DEC(RIGHT(Table13232127[[#This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6" t="s">
        <v>97</v>
      </c>
      <c r="P531" s="46">
        <f>HEX2DEC(RIGHT(Table13232127[[#This Row],[h1]],8))</f>
        <v>0</v>
      </c>
      <c r="Q531" s="46" t="s">
        <v>97</v>
      </c>
      <c r="R531" s="46">
        <f>HEX2DEC(RIGHT(Table13232127[[#This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6" t="s">
        <v>97</v>
      </c>
      <c r="P532" s="46">
        <f>HEX2DEC(RIGHT(Table13232127[[#This Row],[h1]],8))</f>
        <v>0</v>
      </c>
      <c r="Q532" s="46" t="s">
        <v>97</v>
      </c>
      <c r="R532" s="46">
        <f>HEX2DEC(RIGHT(Table13232127[[#This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6" t="s">
        <v>97</v>
      </c>
      <c r="P533" s="46">
        <f>HEX2DEC(RIGHT(Table13232127[[#This Row],[h1]],8))</f>
        <v>0</v>
      </c>
      <c r="Q533" s="46" t="s">
        <v>97</v>
      </c>
      <c r="R533" s="46">
        <f>HEX2DEC(RIGHT(Table13232127[[#This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6" t="s">
        <v>97</v>
      </c>
      <c r="P534" s="46">
        <f>HEX2DEC(RIGHT(Table13232127[[#This Row],[h1]],8))</f>
        <v>0</v>
      </c>
      <c r="Q534" s="46" t="s">
        <v>97</v>
      </c>
      <c r="R534" s="46">
        <f>HEX2DEC(RIGHT(Table13232127[[#This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6" t="s">
        <v>97</v>
      </c>
      <c r="P535" s="46">
        <f>HEX2DEC(RIGHT(Table13232127[[#This Row],[h1]],8))</f>
        <v>0</v>
      </c>
      <c r="Q535" s="46" t="s">
        <v>97</v>
      </c>
      <c r="R535" s="46">
        <f>HEX2DEC(RIGHT(Table13232127[[#This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6" t="s">
        <v>97</v>
      </c>
      <c r="P536" s="46">
        <f>HEX2DEC(RIGHT(Table13232127[[#This Row],[h1]],8))</f>
        <v>0</v>
      </c>
      <c r="Q536" s="46" t="s">
        <v>97</v>
      </c>
      <c r="R536" s="46">
        <f>HEX2DEC(RIGHT(Table13232127[[#This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6" t="s">
        <v>97</v>
      </c>
      <c r="P537" s="46">
        <f>HEX2DEC(RIGHT(Table13232127[[#This Row],[h1]],8))</f>
        <v>0</v>
      </c>
      <c r="Q537" s="46" t="s">
        <v>97</v>
      </c>
      <c r="R537" s="46">
        <f>HEX2DEC(RIGHT(Table13232127[[#This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6" t="s">
        <v>97</v>
      </c>
      <c r="P538" s="46">
        <f>HEX2DEC(RIGHT(Table13232127[[#This Row],[h1]],8))</f>
        <v>0</v>
      </c>
      <c r="Q538" s="46" t="s">
        <v>97</v>
      </c>
      <c r="R538" s="46">
        <f>HEX2DEC(RIGHT(Table13232127[[#This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6" t="s">
        <v>97</v>
      </c>
      <c r="P539" s="46">
        <f>HEX2DEC(RIGHT(Table13232127[[#This Row],[h1]],8))</f>
        <v>0</v>
      </c>
      <c r="Q539" s="46" t="s">
        <v>97</v>
      </c>
      <c r="R539" s="46">
        <f>HEX2DEC(RIGHT(Table13232127[[#This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6" t="s">
        <v>97</v>
      </c>
      <c r="P540" s="46">
        <f>HEX2DEC(RIGHT(Table13232127[[#This Row],[h1]],8))</f>
        <v>0</v>
      </c>
      <c r="Q540" s="46" t="s">
        <v>97</v>
      </c>
      <c r="R540" s="46">
        <f>HEX2DEC(RIGHT(Table13232127[[#This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6" t="s">
        <v>97</v>
      </c>
      <c r="P541" s="46">
        <f>HEX2DEC(RIGHT(Table13232127[[#This Row],[h1]],8))</f>
        <v>0</v>
      </c>
      <c r="Q541" s="46" t="s">
        <v>97</v>
      </c>
      <c r="R541" s="46">
        <f>HEX2DEC(RIGHT(Table13232127[[#This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6" t="s">
        <v>97</v>
      </c>
      <c r="P542" s="46">
        <f>HEX2DEC(RIGHT(Table13232127[[#This Row],[h1]],8))</f>
        <v>0</v>
      </c>
      <c r="Q542" s="46" t="s">
        <v>97</v>
      </c>
      <c r="R542" s="46">
        <f>HEX2DEC(RIGHT(Table13232127[[#This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6" t="s">
        <v>97</v>
      </c>
      <c r="P543" s="46">
        <f>HEX2DEC(RIGHT(Table13232127[[#This Row],[h1]],8))</f>
        <v>0</v>
      </c>
      <c r="Q543" s="46" t="s">
        <v>97</v>
      </c>
      <c r="R543" s="46">
        <f>HEX2DEC(RIGHT(Table13232127[[#This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6" t="s">
        <v>97</v>
      </c>
      <c r="P544" s="46">
        <f>HEX2DEC(RIGHT(Table13232127[[#This Row],[h1]],8))</f>
        <v>0</v>
      </c>
      <c r="Q544" s="46" t="s">
        <v>97</v>
      </c>
      <c r="R544" s="46">
        <f>HEX2DEC(RIGHT(Table13232127[[#This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6" t="s">
        <v>97</v>
      </c>
      <c r="P545" s="46">
        <f>HEX2DEC(RIGHT(Table13232127[[#This Row],[h1]],8))</f>
        <v>0</v>
      </c>
      <c r="Q545" s="46" t="s">
        <v>97</v>
      </c>
      <c r="R545" s="46">
        <f>HEX2DEC(RIGHT(Table13232127[[#This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6" t="s">
        <v>97</v>
      </c>
      <c r="P546" s="46">
        <f>HEX2DEC(RIGHT(Table13232127[[#This Row],[h1]],8))</f>
        <v>0</v>
      </c>
      <c r="Q546" s="46" t="s">
        <v>97</v>
      </c>
      <c r="R546" s="46">
        <f>HEX2DEC(RIGHT(Table13232127[[#This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6" t="s">
        <v>97</v>
      </c>
      <c r="P547" s="46">
        <f>HEX2DEC(RIGHT(Table13232127[[#This Row],[h1]],8))</f>
        <v>0</v>
      </c>
      <c r="Q547" s="46" t="s">
        <v>97</v>
      </c>
      <c r="R547" s="46">
        <f>HEX2DEC(RIGHT(Table13232127[[#This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6" t="s">
        <v>97</v>
      </c>
      <c r="P548" s="46">
        <f>HEX2DEC(RIGHT(Table13232127[[#This Row],[h1]],8))</f>
        <v>0</v>
      </c>
      <c r="Q548" s="46" t="s">
        <v>97</v>
      </c>
      <c r="R548" s="46">
        <f>HEX2DEC(RIGHT(Table13232127[[#This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6" t="s">
        <v>97</v>
      </c>
      <c r="P549" s="46">
        <f>HEX2DEC(RIGHT(Table13232127[[#This Row],[h1]],8))</f>
        <v>0</v>
      </c>
      <c r="Q549" s="46" t="s">
        <v>97</v>
      </c>
      <c r="R549" s="46">
        <f>HEX2DEC(RIGHT(Table13232127[[#This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6" t="s">
        <v>97</v>
      </c>
      <c r="P550" s="46">
        <f>HEX2DEC(RIGHT(Table13232127[[#This Row],[h1]],8))</f>
        <v>0</v>
      </c>
      <c r="Q550" s="46" t="s">
        <v>97</v>
      </c>
      <c r="R550" s="46">
        <f>HEX2DEC(RIGHT(Table13232127[[#This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6" t="s">
        <v>97</v>
      </c>
      <c r="P551" s="46">
        <f>HEX2DEC(RIGHT(Table13232127[[#This Row],[h1]],8))</f>
        <v>0</v>
      </c>
      <c r="Q551" s="46" t="s">
        <v>97</v>
      </c>
      <c r="R551" s="46">
        <f>HEX2DEC(RIGHT(Table13232127[[#This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6" t="s">
        <v>97</v>
      </c>
      <c r="P552" s="46">
        <f>HEX2DEC(RIGHT(Table13232127[[#This Row],[h1]],8))</f>
        <v>0</v>
      </c>
      <c r="Q552" s="46" t="s">
        <v>97</v>
      </c>
      <c r="R552" s="46">
        <f>HEX2DEC(RIGHT(Table13232127[[#This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6" t="s">
        <v>97</v>
      </c>
      <c r="P553" s="46">
        <f>HEX2DEC(RIGHT(Table13232127[[#This Row],[h1]],8))</f>
        <v>0</v>
      </c>
      <c r="Q553" s="46" t="s">
        <v>97</v>
      </c>
      <c r="R553" s="46">
        <f>HEX2DEC(RIGHT(Table13232127[[#This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6" t="s">
        <v>97</v>
      </c>
      <c r="P554" s="46">
        <f>HEX2DEC(RIGHT(Table13232127[[#This Row],[h1]],8))</f>
        <v>0</v>
      </c>
      <c r="Q554" s="46" t="s">
        <v>97</v>
      </c>
      <c r="R554" s="46">
        <f>HEX2DEC(RIGHT(Table13232127[[#This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6" t="s">
        <v>97</v>
      </c>
      <c r="P555" s="46">
        <f>HEX2DEC(RIGHT(Table13232127[[#This Row],[h1]],8))</f>
        <v>0</v>
      </c>
      <c r="Q555" s="46" t="s">
        <v>97</v>
      </c>
      <c r="R555" s="46">
        <f>HEX2DEC(RIGHT(Table13232127[[#This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6" t="s">
        <v>97</v>
      </c>
      <c r="P556" s="46">
        <f>HEX2DEC(RIGHT(Table13232127[[#This Row],[h1]],8))</f>
        <v>0</v>
      </c>
      <c r="Q556" s="46" t="s">
        <v>97</v>
      </c>
      <c r="R556" s="46">
        <f>HEX2DEC(RIGHT(Table13232127[[#This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6" t="s">
        <v>97</v>
      </c>
      <c r="P557" s="46">
        <f>HEX2DEC(RIGHT(Table13232127[[#This Row],[h1]],8))</f>
        <v>0</v>
      </c>
      <c r="Q557" s="46" t="s">
        <v>97</v>
      </c>
      <c r="R557" s="46">
        <f>HEX2DEC(RIGHT(Table13232127[[#This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6" t="s">
        <v>97</v>
      </c>
      <c r="P558" s="46">
        <f>HEX2DEC(RIGHT(Table13232127[[#This Row],[h1]],8))</f>
        <v>0</v>
      </c>
      <c r="Q558" s="46" t="s">
        <v>97</v>
      </c>
      <c r="R558" s="46">
        <f>HEX2DEC(RIGHT(Table13232127[[#This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6" t="s">
        <v>97</v>
      </c>
      <c r="P559" s="46">
        <f>HEX2DEC(RIGHT(Table13232127[[#This Row],[h1]],8))</f>
        <v>0</v>
      </c>
      <c r="Q559" s="46" t="s">
        <v>97</v>
      </c>
      <c r="R559" s="46">
        <f>HEX2DEC(RIGHT(Table13232127[[#This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6" t="s">
        <v>97</v>
      </c>
      <c r="P560" s="46">
        <f>HEX2DEC(RIGHT(Table13232127[[#This Row],[h1]],8))</f>
        <v>0</v>
      </c>
      <c r="Q560" s="46" t="s">
        <v>97</v>
      </c>
      <c r="R560" s="46">
        <f>HEX2DEC(RIGHT(Table13232127[[#This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6" t="s">
        <v>97</v>
      </c>
      <c r="P561" s="46">
        <f>HEX2DEC(RIGHT(Table13232127[[#This Row],[h1]],8))</f>
        <v>0</v>
      </c>
      <c r="Q561" s="46" t="s">
        <v>97</v>
      </c>
      <c r="R561" s="46">
        <f>HEX2DEC(RIGHT(Table13232127[[#This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6" t="s">
        <v>97</v>
      </c>
      <c r="P562" s="46">
        <f>HEX2DEC(RIGHT(Table13232127[[#This Row],[h1]],8))</f>
        <v>0</v>
      </c>
      <c r="Q562" s="46" t="s">
        <v>97</v>
      </c>
      <c r="R562" s="46">
        <f>HEX2DEC(RIGHT(Table13232127[[#This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6" t="s">
        <v>97</v>
      </c>
      <c r="P563" s="46">
        <f>HEX2DEC(RIGHT(Table13232127[[#This Row],[h1]],8))</f>
        <v>0</v>
      </c>
      <c r="Q563" s="46" t="s">
        <v>97</v>
      </c>
      <c r="R563" s="46">
        <f>HEX2DEC(RIGHT(Table13232127[[#This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6" t="s">
        <v>97</v>
      </c>
      <c r="P564" s="46">
        <f>HEX2DEC(RIGHT(Table13232127[[#This Row],[h1]],8))</f>
        <v>0</v>
      </c>
      <c r="Q564" s="46" t="s">
        <v>97</v>
      </c>
      <c r="R564" s="46">
        <f>HEX2DEC(RIGHT(Table13232127[[#This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6" t="s">
        <v>97</v>
      </c>
      <c r="P565" s="46">
        <f>HEX2DEC(RIGHT(Table13232127[[#This Row],[h1]],8))</f>
        <v>0</v>
      </c>
      <c r="Q565" s="46" t="s">
        <v>97</v>
      </c>
      <c r="R565" s="46">
        <f>HEX2DEC(RIGHT(Table13232127[[#This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6" t="s">
        <v>97</v>
      </c>
      <c r="P566" s="46">
        <f>HEX2DEC(RIGHT(Table13232127[[#This Row],[h1]],8))</f>
        <v>0</v>
      </c>
      <c r="Q566" s="46" t="s">
        <v>97</v>
      </c>
      <c r="R566" s="46">
        <f>HEX2DEC(RIGHT(Table13232127[[#This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6" t="s">
        <v>97</v>
      </c>
      <c r="P567" s="46">
        <f>HEX2DEC(RIGHT(Table13232127[[#This Row],[h1]],8))</f>
        <v>0</v>
      </c>
      <c r="Q567" s="46" t="s">
        <v>97</v>
      </c>
      <c r="R567" s="46">
        <f>HEX2DEC(RIGHT(Table13232127[[#This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6" t="s">
        <v>97</v>
      </c>
      <c r="P568" s="46">
        <f>HEX2DEC(RIGHT(Table13232127[[#This Row],[h1]],8))</f>
        <v>0</v>
      </c>
      <c r="Q568" s="46" t="s">
        <v>97</v>
      </c>
      <c r="R568" s="46">
        <f>HEX2DEC(RIGHT(Table13232127[[#This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6" t="s">
        <v>97</v>
      </c>
      <c r="P569" s="46">
        <f>HEX2DEC(RIGHT(Table13232127[[#This Row],[h1]],8))</f>
        <v>0</v>
      </c>
      <c r="Q569" s="46" t="s">
        <v>97</v>
      </c>
      <c r="R569" s="46">
        <f>HEX2DEC(RIGHT(Table13232127[[#This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6" t="s">
        <v>97</v>
      </c>
      <c r="P570" s="46">
        <f>HEX2DEC(RIGHT(Table13232127[[#This Row],[h1]],8))</f>
        <v>0</v>
      </c>
      <c r="Q570" s="46" t="s">
        <v>97</v>
      </c>
      <c r="R570" s="46">
        <f>HEX2DEC(RIGHT(Table13232127[[#This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6" t="s">
        <v>97</v>
      </c>
      <c r="P571" s="46">
        <f>HEX2DEC(RIGHT(Table13232127[[#This Row],[h1]],8))</f>
        <v>0</v>
      </c>
      <c r="Q571" s="46" t="s">
        <v>97</v>
      </c>
      <c r="R571" s="46">
        <f>HEX2DEC(RIGHT(Table13232127[[#This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6" t="s">
        <v>97</v>
      </c>
      <c r="P572" s="46">
        <f>HEX2DEC(RIGHT(Table13232127[[#This Row],[h1]],8))</f>
        <v>0</v>
      </c>
      <c r="Q572" s="46" t="s">
        <v>97</v>
      </c>
      <c r="R572" s="46">
        <f>HEX2DEC(RIGHT(Table13232127[[#This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6" t="s">
        <v>97</v>
      </c>
      <c r="P573" s="46">
        <f>HEX2DEC(RIGHT(Table13232127[[#This Row],[h1]],8))</f>
        <v>0</v>
      </c>
      <c r="Q573" s="46" t="s">
        <v>97</v>
      </c>
      <c r="R573" s="46">
        <f>HEX2DEC(RIGHT(Table13232127[[#This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6" t="s">
        <v>97</v>
      </c>
      <c r="P574" s="46">
        <f>HEX2DEC(RIGHT(Table13232127[[#This Row],[h1]],8))</f>
        <v>0</v>
      </c>
      <c r="Q574" s="46" t="s">
        <v>97</v>
      </c>
      <c r="R574" s="46">
        <f>HEX2DEC(RIGHT(Table13232127[[#This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6" t="s">
        <v>97</v>
      </c>
      <c r="P575" s="46">
        <f>HEX2DEC(RIGHT(Table13232127[[#This Row],[h1]],8))</f>
        <v>0</v>
      </c>
      <c r="Q575" s="46" t="s">
        <v>97</v>
      </c>
      <c r="R575" s="46">
        <f>HEX2DEC(RIGHT(Table13232127[[#This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6" t="s">
        <v>97</v>
      </c>
      <c r="P576" s="46">
        <f>HEX2DEC(RIGHT(Table13232127[[#This Row],[h1]],8))</f>
        <v>0</v>
      </c>
      <c r="Q576" s="46" t="s">
        <v>97</v>
      </c>
      <c r="R576" s="46">
        <f>HEX2DEC(RIGHT(Table13232127[[#This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6" t="s">
        <v>97</v>
      </c>
      <c r="P577" s="46">
        <f>HEX2DEC(RIGHT(Table13232127[[#This Row],[h1]],8))</f>
        <v>0</v>
      </c>
      <c r="Q577" s="46" t="s">
        <v>97</v>
      </c>
      <c r="R577" s="46">
        <f>HEX2DEC(RIGHT(Table13232127[[#This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6" t="s">
        <v>97</v>
      </c>
      <c r="P578" s="46">
        <f>HEX2DEC(RIGHT(Table13232127[[#This Row],[h1]],8))</f>
        <v>0</v>
      </c>
      <c r="Q578" s="46" t="s">
        <v>97</v>
      </c>
      <c r="R578" s="46">
        <f>HEX2DEC(RIGHT(Table13232127[[#This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6" t="s">
        <v>97</v>
      </c>
      <c r="P579" s="46">
        <f>HEX2DEC(RIGHT(Table13232127[[#This Row],[h1]],8))</f>
        <v>0</v>
      </c>
      <c r="Q579" s="46" t="s">
        <v>97</v>
      </c>
      <c r="R579" s="46">
        <f>HEX2DEC(RIGHT(Table13232127[[#This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6" t="s">
        <v>97</v>
      </c>
      <c r="P580" s="46">
        <f>HEX2DEC(RIGHT(Table13232127[[#This Row],[h1]],8))</f>
        <v>0</v>
      </c>
      <c r="Q580" s="46" t="s">
        <v>97</v>
      </c>
      <c r="R580" s="46">
        <f>HEX2DEC(RIGHT(Table13232127[[#This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6" t="s">
        <v>97</v>
      </c>
      <c r="P581" s="46">
        <f>HEX2DEC(RIGHT(Table13232127[[#This Row],[h1]],8))</f>
        <v>0</v>
      </c>
      <c r="Q581" s="46" t="s">
        <v>97</v>
      </c>
      <c r="R581" s="46">
        <f>HEX2DEC(RIGHT(Table13232127[[#This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6" t="s">
        <v>97</v>
      </c>
      <c r="P582" s="46">
        <f>HEX2DEC(RIGHT(Table13232127[[#This Row],[h1]],8))</f>
        <v>0</v>
      </c>
      <c r="Q582" s="46" t="s">
        <v>97</v>
      </c>
      <c r="R582" s="46">
        <f>HEX2DEC(RIGHT(Table13232127[[#This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6" t="s">
        <v>97</v>
      </c>
      <c r="P583" s="46">
        <f>HEX2DEC(RIGHT(Table13232127[[#This Row],[h1]],8))</f>
        <v>0</v>
      </c>
      <c r="Q583" s="46" t="s">
        <v>97</v>
      </c>
      <c r="R583" s="46">
        <f>HEX2DEC(RIGHT(Table13232127[[#This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6" t="s">
        <v>97</v>
      </c>
      <c r="P584" s="46">
        <f>HEX2DEC(RIGHT(Table13232127[[#This Row],[h1]],8))</f>
        <v>0</v>
      </c>
      <c r="Q584" s="46" t="s">
        <v>97</v>
      </c>
      <c r="R584" s="46">
        <f>HEX2DEC(RIGHT(Table13232127[[#This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6" t="s">
        <v>97</v>
      </c>
      <c r="P585" s="46">
        <f>HEX2DEC(RIGHT(Table13232127[[#This Row],[h1]],8))</f>
        <v>0</v>
      </c>
      <c r="Q585" s="46" t="s">
        <v>97</v>
      </c>
      <c r="R585" s="46">
        <f>HEX2DEC(RIGHT(Table13232127[[#This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6" t="s">
        <v>97</v>
      </c>
      <c r="P586" s="46">
        <f>HEX2DEC(RIGHT(Table13232127[[#This Row],[h1]],8))</f>
        <v>0</v>
      </c>
      <c r="Q586" s="46" t="s">
        <v>97</v>
      </c>
      <c r="R586" s="46">
        <f>HEX2DEC(RIGHT(Table13232127[[#This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6" t="s">
        <v>97</v>
      </c>
      <c r="P587" s="46">
        <f>HEX2DEC(RIGHT(Table13232127[[#This Row],[h1]],8))</f>
        <v>0</v>
      </c>
      <c r="Q587" s="46" t="s">
        <v>97</v>
      </c>
      <c r="R587" s="46">
        <f>HEX2DEC(RIGHT(Table13232127[[#This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6" t="s">
        <v>97</v>
      </c>
      <c r="P588" s="46">
        <f>HEX2DEC(RIGHT(Table13232127[[#This Row],[h1]],8))</f>
        <v>0</v>
      </c>
      <c r="Q588" s="46" t="s">
        <v>97</v>
      </c>
      <c r="R588" s="46">
        <f>HEX2DEC(RIGHT(Table13232127[[#This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6" t="s">
        <v>97</v>
      </c>
      <c r="P589" s="46">
        <f>HEX2DEC(RIGHT(Table13232127[[#This Row],[h1]],8))</f>
        <v>0</v>
      </c>
      <c r="Q589" s="46" t="s">
        <v>97</v>
      </c>
      <c r="R589" s="46">
        <f>HEX2DEC(RIGHT(Table13232127[[#This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6" t="s">
        <v>97</v>
      </c>
      <c r="P590" s="46">
        <f>HEX2DEC(RIGHT(Table13232127[[#This Row],[h1]],8))</f>
        <v>0</v>
      </c>
      <c r="Q590" s="46" t="s">
        <v>97</v>
      </c>
      <c r="R590" s="46">
        <f>HEX2DEC(RIGHT(Table13232127[[#This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6" t="s">
        <v>97</v>
      </c>
      <c r="P591" s="46">
        <f>HEX2DEC(RIGHT(Table13232127[[#This Row],[h1]],8))</f>
        <v>0</v>
      </c>
      <c r="Q591" s="46" t="s">
        <v>97</v>
      </c>
      <c r="R591" s="46">
        <f>HEX2DEC(RIGHT(Table13232127[[#This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6" t="s">
        <v>97</v>
      </c>
      <c r="P592" s="46">
        <f>HEX2DEC(RIGHT(Table13232127[[#This Row],[h1]],8))</f>
        <v>0</v>
      </c>
      <c r="Q592" s="46" t="s">
        <v>97</v>
      </c>
      <c r="R592" s="46">
        <f>HEX2DEC(RIGHT(Table13232127[[#This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6" t="s">
        <v>97</v>
      </c>
      <c r="P593" s="46">
        <f>HEX2DEC(RIGHT(Table13232127[[#This Row],[h1]],8))</f>
        <v>0</v>
      </c>
      <c r="Q593" s="46" t="s">
        <v>97</v>
      </c>
      <c r="R593" s="46">
        <f>HEX2DEC(RIGHT(Table13232127[[#This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6" t="s">
        <v>97</v>
      </c>
      <c r="P594" s="46">
        <f>HEX2DEC(RIGHT(Table13232127[[#This Row],[h1]],8))</f>
        <v>0</v>
      </c>
      <c r="Q594" s="46" t="s">
        <v>97</v>
      </c>
      <c r="R594" s="46">
        <f>HEX2DEC(RIGHT(Table13232127[[#This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6" t="s">
        <v>97</v>
      </c>
      <c r="P595" s="46">
        <f>HEX2DEC(RIGHT(Table13232127[[#This Row],[h1]],8))</f>
        <v>0</v>
      </c>
      <c r="Q595" s="46" t="s">
        <v>97</v>
      </c>
      <c r="R595" s="46">
        <f>HEX2DEC(RIGHT(Table13232127[[#This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6" t="s">
        <v>97</v>
      </c>
      <c r="P596" s="46">
        <f>HEX2DEC(RIGHT(Table13232127[[#This Row],[h1]],8))</f>
        <v>0</v>
      </c>
      <c r="Q596" s="46" t="s">
        <v>97</v>
      </c>
      <c r="R596" s="46">
        <f>HEX2DEC(RIGHT(Table13232127[[#This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6" t="s">
        <v>97</v>
      </c>
      <c r="P597" s="46">
        <f>HEX2DEC(RIGHT(Table13232127[[#This Row],[h1]],8))</f>
        <v>0</v>
      </c>
      <c r="Q597" s="46" t="s">
        <v>97</v>
      </c>
      <c r="R597" s="46">
        <f>HEX2DEC(RIGHT(Table13232127[[#This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6" t="s">
        <v>97</v>
      </c>
      <c r="P598" s="46">
        <f>HEX2DEC(RIGHT(Table13232127[[#This Row],[h1]],8))</f>
        <v>0</v>
      </c>
      <c r="Q598" s="46" t="s">
        <v>97</v>
      </c>
      <c r="R598" s="46">
        <f>HEX2DEC(RIGHT(Table13232127[[#This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6" t="s">
        <v>97</v>
      </c>
      <c r="P599" s="46">
        <f>HEX2DEC(RIGHT(Table13232127[[#This Row],[h1]],8))</f>
        <v>0</v>
      </c>
      <c r="Q599" s="46" t="s">
        <v>97</v>
      </c>
      <c r="R599" s="46">
        <f>HEX2DEC(RIGHT(Table13232127[[#This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6" t="s">
        <v>97</v>
      </c>
      <c r="P600" s="46">
        <f>HEX2DEC(RIGHT(Table13232127[[#This Row],[h1]],8))</f>
        <v>0</v>
      </c>
      <c r="Q600" s="46" t="s">
        <v>97</v>
      </c>
      <c r="R600" s="46">
        <f>HEX2DEC(RIGHT(Table13232127[[#This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6" t="s">
        <v>97</v>
      </c>
      <c r="P601" s="46">
        <f>HEX2DEC(RIGHT(Table13232127[[#This Row],[h1]],8))</f>
        <v>0</v>
      </c>
      <c r="Q601" s="46" t="s">
        <v>97</v>
      </c>
      <c r="R601" s="46">
        <f>HEX2DEC(RIGHT(Table13232127[[#This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6" t="s">
        <v>97</v>
      </c>
      <c r="P602" s="46">
        <f>HEX2DEC(RIGHT(Table13232127[[#This Row],[h1]],8))</f>
        <v>0</v>
      </c>
      <c r="Q602" s="46" t="s">
        <v>97</v>
      </c>
      <c r="R602" s="46">
        <f>HEX2DEC(RIGHT(Table13232127[[#This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6" t="s">
        <v>97</v>
      </c>
      <c r="P603" s="46">
        <f>HEX2DEC(RIGHT(Table13232127[[#This Row],[h1]],8))</f>
        <v>0</v>
      </c>
      <c r="Q603" s="46" t="s">
        <v>97</v>
      </c>
      <c r="R603" s="46">
        <f>HEX2DEC(RIGHT(Table13232127[[#This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6" t="s">
        <v>97</v>
      </c>
      <c r="P604" s="46">
        <f>HEX2DEC(RIGHT(Table13232127[[#This Row],[h1]],8))</f>
        <v>0</v>
      </c>
      <c r="Q604" s="46" t="s">
        <v>97</v>
      </c>
      <c r="R604" s="46">
        <f>HEX2DEC(RIGHT(Table13232127[[#This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6" t="s">
        <v>97</v>
      </c>
      <c r="P605" s="46">
        <f>HEX2DEC(RIGHT(Table13232127[[#This Row],[h1]],8))</f>
        <v>0</v>
      </c>
      <c r="Q605" s="46" t="s">
        <v>97</v>
      </c>
      <c r="R605" s="46">
        <f>HEX2DEC(RIGHT(Table13232127[[#This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6" t="s">
        <v>97</v>
      </c>
      <c r="P606" s="46">
        <f>HEX2DEC(RIGHT(Table13232127[[#This Row],[h1]],8))</f>
        <v>0</v>
      </c>
      <c r="Q606" s="46" t="s">
        <v>97</v>
      </c>
      <c r="R606" s="46">
        <f>HEX2DEC(RIGHT(Table13232127[[#This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6" t="s">
        <v>97</v>
      </c>
      <c r="P607" s="46">
        <f>HEX2DEC(RIGHT(Table13232127[[#This Row],[h1]],8))</f>
        <v>0</v>
      </c>
      <c r="Q607" s="46" t="s">
        <v>97</v>
      </c>
      <c r="R607" s="46">
        <f>HEX2DEC(RIGHT(Table13232127[[#This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6" t="s">
        <v>97</v>
      </c>
      <c r="P608" s="46">
        <f>HEX2DEC(RIGHT(Table13232127[[#This Row],[h1]],8))</f>
        <v>0</v>
      </c>
      <c r="Q608" s="46" t="s">
        <v>97</v>
      </c>
      <c r="R608" s="46">
        <f>HEX2DEC(RIGHT(Table13232127[[#This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6" t="s">
        <v>97</v>
      </c>
      <c r="P609" s="46">
        <f>HEX2DEC(RIGHT(Table13232127[[#This Row],[h1]],8))</f>
        <v>0</v>
      </c>
      <c r="Q609" s="46" t="s">
        <v>97</v>
      </c>
      <c r="R609" s="46">
        <f>HEX2DEC(RIGHT(Table13232127[[#This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6" t="s">
        <v>97</v>
      </c>
      <c r="P610" s="46">
        <f>HEX2DEC(RIGHT(Table13232127[[#This Row],[h1]],8))</f>
        <v>0</v>
      </c>
      <c r="Q610" s="46" t="s">
        <v>97</v>
      </c>
      <c r="R610" s="46">
        <f>HEX2DEC(RIGHT(Table13232127[[#This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6" t="s">
        <v>97</v>
      </c>
      <c r="P611" s="46">
        <f>HEX2DEC(RIGHT(Table13232127[[#This Row],[h1]],8))</f>
        <v>0</v>
      </c>
      <c r="Q611" s="46" t="s">
        <v>97</v>
      </c>
      <c r="R611" s="46">
        <f>HEX2DEC(RIGHT(Table13232127[[#This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6" t="s">
        <v>97</v>
      </c>
      <c r="P612" s="46">
        <f>HEX2DEC(RIGHT(Table13232127[[#This Row],[h1]],8))</f>
        <v>0</v>
      </c>
      <c r="Q612" s="46" t="s">
        <v>97</v>
      </c>
      <c r="R612" s="46">
        <f>HEX2DEC(RIGHT(Table13232127[[#This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6" t="s">
        <v>97</v>
      </c>
      <c r="P613" s="46">
        <f>HEX2DEC(RIGHT(Table13232127[[#This Row],[h1]],8))</f>
        <v>0</v>
      </c>
      <c r="Q613" s="46" t="s">
        <v>97</v>
      </c>
      <c r="R613" s="46">
        <f>HEX2DEC(RIGHT(Table13232127[[#This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6" t="s">
        <v>97</v>
      </c>
      <c r="P614" s="46">
        <f>HEX2DEC(RIGHT(Table13232127[[#This Row],[h1]],8))</f>
        <v>0</v>
      </c>
      <c r="Q614" s="46" t="s">
        <v>97</v>
      </c>
      <c r="R614" s="46">
        <f>HEX2DEC(RIGHT(Table13232127[[#This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6" t="s">
        <v>97</v>
      </c>
      <c r="P615" s="46">
        <f>HEX2DEC(RIGHT(Table13232127[[#This Row],[h1]],8))</f>
        <v>0</v>
      </c>
      <c r="Q615" s="46" t="s">
        <v>97</v>
      </c>
      <c r="R615" s="46">
        <f>HEX2DEC(RIGHT(Table13232127[[#This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6" t="s">
        <v>97</v>
      </c>
      <c r="P616" s="46">
        <f>HEX2DEC(RIGHT(Table13232127[[#This Row],[h1]],8))</f>
        <v>0</v>
      </c>
      <c r="Q616" s="46" t="s">
        <v>97</v>
      </c>
      <c r="R616" s="46">
        <f>HEX2DEC(RIGHT(Table13232127[[#This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6" t="s">
        <v>97</v>
      </c>
      <c r="P617" s="46">
        <f>HEX2DEC(RIGHT(Table13232127[[#This Row],[h1]],8))</f>
        <v>0</v>
      </c>
      <c r="Q617" s="46" t="s">
        <v>97</v>
      </c>
      <c r="R617" s="46">
        <f>HEX2DEC(RIGHT(Table13232127[[#This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6" t="s">
        <v>97</v>
      </c>
      <c r="P618" s="46">
        <f>HEX2DEC(RIGHT(Table13232127[[#This Row],[h1]],8))</f>
        <v>0</v>
      </c>
      <c r="Q618" s="46" t="s">
        <v>97</v>
      </c>
      <c r="R618" s="46">
        <f>HEX2DEC(RIGHT(Table13232127[[#This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6" t="s">
        <v>97</v>
      </c>
      <c r="P619" s="46">
        <f>HEX2DEC(RIGHT(Table13232127[[#This Row],[h1]],8))</f>
        <v>0</v>
      </c>
      <c r="Q619" s="46" t="s">
        <v>97</v>
      </c>
      <c r="R619" s="46">
        <f>HEX2DEC(RIGHT(Table13232127[[#This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6" t="s">
        <v>97</v>
      </c>
      <c r="P620" s="46">
        <f>HEX2DEC(RIGHT(Table13232127[[#This Row],[h1]],8))</f>
        <v>0</v>
      </c>
      <c r="Q620" s="46" t="s">
        <v>97</v>
      </c>
      <c r="R620" s="46">
        <f>HEX2DEC(RIGHT(Table13232127[[#This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6" t="s">
        <v>97</v>
      </c>
      <c r="P621" s="46">
        <f>HEX2DEC(RIGHT(Table13232127[[#This Row],[h1]],8))</f>
        <v>0</v>
      </c>
      <c r="Q621" s="46" t="s">
        <v>97</v>
      </c>
      <c r="R621" s="46">
        <f>HEX2DEC(RIGHT(Table13232127[[#This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6" t="s">
        <v>97</v>
      </c>
      <c r="P622" s="46">
        <f>HEX2DEC(RIGHT(Table13232127[[#This Row],[h1]],8))</f>
        <v>0</v>
      </c>
      <c r="Q622" s="46" t="s">
        <v>97</v>
      </c>
      <c r="R622" s="46">
        <f>HEX2DEC(RIGHT(Table13232127[[#This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6" t="s">
        <v>97</v>
      </c>
      <c r="P623" s="46">
        <f>HEX2DEC(RIGHT(Table13232127[[#This Row],[h1]],8))</f>
        <v>0</v>
      </c>
      <c r="Q623" s="46" t="s">
        <v>97</v>
      </c>
      <c r="R623" s="46">
        <f>HEX2DEC(RIGHT(Table13232127[[#This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6" t="s">
        <v>97</v>
      </c>
      <c r="P624" s="46">
        <f>HEX2DEC(RIGHT(Table13232127[[#This Row],[h1]],8))</f>
        <v>0</v>
      </c>
      <c r="Q624" s="46" t="s">
        <v>97</v>
      </c>
      <c r="R624" s="46">
        <f>HEX2DEC(RIGHT(Table13232127[[#This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6" t="s">
        <v>97</v>
      </c>
      <c r="P625" s="46">
        <f>HEX2DEC(RIGHT(Table13232127[[#This Row],[h1]],8))</f>
        <v>0</v>
      </c>
      <c r="Q625" s="46" t="s">
        <v>97</v>
      </c>
      <c r="R625" s="46">
        <f>HEX2DEC(RIGHT(Table13232127[[#This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6" t="s">
        <v>97</v>
      </c>
      <c r="P626" s="46">
        <f>HEX2DEC(RIGHT(Table13232127[[#This Row],[h1]],8))</f>
        <v>0</v>
      </c>
      <c r="Q626" s="46" t="s">
        <v>97</v>
      </c>
      <c r="R626" s="46">
        <f>HEX2DEC(RIGHT(Table13232127[[#This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6" t="s">
        <v>97</v>
      </c>
      <c r="P627" s="46">
        <f>HEX2DEC(RIGHT(Table13232127[[#This Row],[h1]],8))</f>
        <v>0</v>
      </c>
      <c r="Q627" s="46" t="s">
        <v>97</v>
      </c>
      <c r="R627" s="46">
        <f>HEX2DEC(RIGHT(Table13232127[[#This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6" t="s">
        <v>97</v>
      </c>
      <c r="P628" s="46">
        <f>HEX2DEC(RIGHT(Table13232127[[#This Row],[h1]],8))</f>
        <v>0</v>
      </c>
      <c r="Q628" s="46" t="s">
        <v>97</v>
      </c>
      <c r="R628" s="46">
        <f>HEX2DEC(RIGHT(Table13232127[[#This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6" t="s">
        <v>97</v>
      </c>
      <c r="P629" s="46">
        <f>HEX2DEC(RIGHT(Table13232127[[#This Row],[h1]],8))</f>
        <v>0</v>
      </c>
      <c r="Q629" s="46" t="s">
        <v>97</v>
      </c>
      <c r="R629" s="46">
        <f>HEX2DEC(RIGHT(Table13232127[[#This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6" t="s">
        <v>97</v>
      </c>
      <c r="P630" s="46">
        <f>HEX2DEC(RIGHT(Table13232127[[#This Row],[h1]],8))</f>
        <v>0</v>
      </c>
      <c r="Q630" s="46" t="s">
        <v>97</v>
      </c>
      <c r="R630" s="46">
        <f>HEX2DEC(RIGHT(Table13232127[[#This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6" t="s">
        <v>97</v>
      </c>
      <c r="P631" s="46">
        <f>HEX2DEC(RIGHT(Table13232127[[#This Row],[h1]],8))</f>
        <v>0</v>
      </c>
      <c r="Q631" s="46" t="s">
        <v>97</v>
      </c>
      <c r="R631" s="46">
        <f>HEX2DEC(RIGHT(Table13232127[[#This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6" t="s">
        <v>97</v>
      </c>
      <c r="P632" s="46">
        <f>HEX2DEC(RIGHT(Table13232127[[#This Row],[h1]],8))</f>
        <v>0</v>
      </c>
      <c r="Q632" s="46" t="s">
        <v>97</v>
      </c>
      <c r="R632" s="46">
        <f>HEX2DEC(RIGHT(Table13232127[[#This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6" t="s">
        <v>97</v>
      </c>
      <c r="P633" s="46">
        <f>HEX2DEC(RIGHT(Table13232127[[#This Row],[h1]],8))</f>
        <v>0</v>
      </c>
      <c r="Q633" s="46" t="s">
        <v>97</v>
      </c>
      <c r="R633" s="46">
        <f>HEX2DEC(RIGHT(Table13232127[[#This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6" t="s">
        <v>97</v>
      </c>
      <c r="P634" s="46">
        <f>HEX2DEC(RIGHT(Table13232127[[#This Row],[h1]],8))</f>
        <v>0</v>
      </c>
      <c r="Q634" s="46" t="s">
        <v>97</v>
      </c>
      <c r="R634" s="46">
        <f>HEX2DEC(RIGHT(Table13232127[[#This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6" t="s">
        <v>97</v>
      </c>
      <c r="P635" s="46">
        <f>HEX2DEC(RIGHT(Table13232127[[#This Row],[h1]],8))</f>
        <v>0</v>
      </c>
      <c r="Q635" s="46" t="s">
        <v>97</v>
      </c>
      <c r="R635" s="46">
        <f>HEX2DEC(RIGHT(Table13232127[[#This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6" t="s">
        <v>97</v>
      </c>
      <c r="P636" s="46">
        <f>HEX2DEC(RIGHT(Table13232127[[#This Row],[h1]],8))</f>
        <v>0</v>
      </c>
      <c r="Q636" s="46" t="s">
        <v>97</v>
      </c>
      <c r="R636" s="46">
        <f>HEX2DEC(RIGHT(Table13232127[[#This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6" t="s">
        <v>97</v>
      </c>
      <c r="P637" s="46">
        <f>HEX2DEC(RIGHT(Table13232127[[#This Row],[h1]],8))</f>
        <v>0</v>
      </c>
      <c r="Q637" s="46" t="s">
        <v>97</v>
      </c>
      <c r="R637" s="46">
        <f>HEX2DEC(RIGHT(Table13232127[[#This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6" t="s">
        <v>97</v>
      </c>
      <c r="P638" s="46">
        <f>HEX2DEC(RIGHT(Table13232127[[#This Row],[h1]],8))</f>
        <v>0</v>
      </c>
      <c r="Q638" s="46" t="s">
        <v>97</v>
      </c>
      <c r="R638" s="46">
        <f>HEX2DEC(RIGHT(Table13232127[[#This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6" t="s">
        <v>97</v>
      </c>
      <c r="P639" s="46">
        <f>HEX2DEC(RIGHT(Table13232127[[#This Row],[h1]],8))</f>
        <v>0</v>
      </c>
      <c r="Q639" s="46" t="s">
        <v>97</v>
      </c>
      <c r="R639" s="46">
        <f>HEX2DEC(RIGHT(Table13232127[[#This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6" t="s">
        <v>97</v>
      </c>
      <c r="P640" s="46">
        <f>HEX2DEC(RIGHT(Table13232127[[#This Row],[h1]],8))</f>
        <v>0</v>
      </c>
      <c r="Q640" s="46" t="s">
        <v>97</v>
      </c>
      <c r="R640" s="46">
        <f>HEX2DEC(RIGHT(Table13232127[[#This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6" t="s">
        <v>97</v>
      </c>
      <c r="P641" s="46">
        <f>HEX2DEC(RIGHT(Table13232127[[#This Row],[h1]],8))</f>
        <v>0</v>
      </c>
      <c r="Q641" s="46" t="s">
        <v>97</v>
      </c>
      <c r="R641" s="46">
        <f>HEX2DEC(RIGHT(Table13232127[[#This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6" t="s">
        <v>97</v>
      </c>
      <c r="P642" s="46">
        <f>HEX2DEC(RIGHT(Table13232127[[#This Row],[h1]],8))</f>
        <v>0</v>
      </c>
      <c r="Q642" s="46" t="s">
        <v>97</v>
      </c>
      <c r="R642" s="46">
        <f>HEX2DEC(RIGHT(Table13232127[[#This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6" t="s">
        <v>97</v>
      </c>
      <c r="P643" s="46">
        <f>HEX2DEC(RIGHT(Table13232127[[#This Row],[h1]],8))</f>
        <v>0</v>
      </c>
      <c r="Q643" s="46" t="s">
        <v>97</v>
      </c>
      <c r="R643" s="46">
        <f>HEX2DEC(RIGHT(Table13232127[[#This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6" t="s">
        <v>97</v>
      </c>
      <c r="P644" s="46">
        <f>HEX2DEC(RIGHT(Table13232127[[#This Row],[h1]],8))</f>
        <v>0</v>
      </c>
      <c r="Q644" s="46" t="s">
        <v>97</v>
      </c>
      <c r="R644" s="46">
        <f>HEX2DEC(RIGHT(Table13232127[[#This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6" t="s">
        <v>97</v>
      </c>
      <c r="P645" s="46">
        <f>HEX2DEC(RIGHT(Table13232127[[#This Row],[h1]],8))</f>
        <v>0</v>
      </c>
      <c r="Q645" s="46" t="s">
        <v>97</v>
      </c>
      <c r="R645" s="46">
        <f>HEX2DEC(RIGHT(Table13232127[[#This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6" t="s">
        <v>97</v>
      </c>
      <c r="P646" s="46">
        <f>HEX2DEC(RIGHT(Table13232127[[#This Row],[h1]],8))</f>
        <v>0</v>
      </c>
      <c r="Q646" s="46" t="s">
        <v>97</v>
      </c>
      <c r="R646" s="46">
        <f>HEX2DEC(RIGHT(Table13232127[[#This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6" t="s">
        <v>97</v>
      </c>
      <c r="P647" s="46">
        <f>HEX2DEC(RIGHT(Table13232127[[#This Row],[h1]],8))</f>
        <v>0</v>
      </c>
      <c r="Q647" s="46" t="s">
        <v>97</v>
      </c>
      <c r="R647" s="46">
        <f>HEX2DEC(RIGHT(Table13232127[[#This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6" t="s">
        <v>97</v>
      </c>
      <c r="P648" s="46">
        <f>HEX2DEC(RIGHT(Table13232127[[#This Row],[h1]],8))</f>
        <v>0</v>
      </c>
      <c r="Q648" s="46" t="s">
        <v>97</v>
      </c>
      <c r="R648" s="46">
        <f>HEX2DEC(RIGHT(Table13232127[[#This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6" t="s">
        <v>97</v>
      </c>
      <c r="P649" s="46">
        <f>HEX2DEC(RIGHT(Table13232127[[#This Row],[h1]],8))</f>
        <v>0</v>
      </c>
      <c r="Q649" s="46" t="s">
        <v>97</v>
      </c>
      <c r="R649" s="46">
        <f>HEX2DEC(RIGHT(Table13232127[[#This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6" t="s">
        <v>97</v>
      </c>
      <c r="P650" s="46">
        <f>HEX2DEC(RIGHT(Table13232127[[#This Row],[h1]],8))</f>
        <v>0</v>
      </c>
      <c r="Q650" s="46" t="s">
        <v>97</v>
      </c>
      <c r="R650" s="46">
        <f>HEX2DEC(RIGHT(Table13232127[[#This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6" t="s">
        <v>97</v>
      </c>
      <c r="P651" s="46">
        <f>HEX2DEC(RIGHT(Table13232127[[#This Row],[h1]],8))</f>
        <v>0</v>
      </c>
      <c r="Q651" s="46" t="s">
        <v>97</v>
      </c>
      <c r="R651" s="46">
        <f>HEX2DEC(RIGHT(Table13232127[[#This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6" t="s">
        <v>97</v>
      </c>
      <c r="P652" s="46">
        <f>HEX2DEC(RIGHT(Table13232127[[#This Row],[h1]],8))</f>
        <v>0</v>
      </c>
      <c r="Q652" s="46" t="s">
        <v>97</v>
      </c>
      <c r="R652" s="46">
        <f>HEX2DEC(RIGHT(Table13232127[[#This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6" t="s">
        <v>97</v>
      </c>
      <c r="P653" s="46">
        <f>HEX2DEC(RIGHT(Table13232127[[#This Row],[h1]],8))</f>
        <v>0</v>
      </c>
      <c r="Q653" s="46" t="s">
        <v>97</v>
      </c>
      <c r="R653" s="46">
        <f>HEX2DEC(RIGHT(Table13232127[[#This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6" t="s">
        <v>97</v>
      </c>
      <c r="P654" s="46">
        <f>HEX2DEC(RIGHT(Table13232127[[#This Row],[h1]],8))</f>
        <v>0</v>
      </c>
      <c r="Q654" s="46" t="s">
        <v>97</v>
      </c>
      <c r="R654" s="46">
        <f>HEX2DEC(RIGHT(Table13232127[[#This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6" t="s">
        <v>97</v>
      </c>
      <c r="P655" s="46">
        <f>HEX2DEC(RIGHT(Table13232127[[#This Row],[h1]],8))</f>
        <v>0</v>
      </c>
      <c r="Q655" s="46" t="s">
        <v>97</v>
      </c>
      <c r="R655" s="46">
        <f>HEX2DEC(RIGHT(Table13232127[[#This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6" t="s">
        <v>97</v>
      </c>
      <c r="P656" s="46">
        <f>HEX2DEC(RIGHT(Table13232127[[#This Row],[h1]],8))</f>
        <v>0</v>
      </c>
      <c r="Q656" s="46" t="s">
        <v>97</v>
      </c>
      <c r="R656" s="46">
        <f>HEX2DEC(RIGHT(Table13232127[[#This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6" t="s">
        <v>97</v>
      </c>
      <c r="P657" s="46">
        <f>HEX2DEC(RIGHT(Table13232127[[#This Row],[h1]],8))</f>
        <v>0</v>
      </c>
      <c r="Q657" s="46" t="s">
        <v>97</v>
      </c>
      <c r="R657" s="46">
        <f>HEX2DEC(RIGHT(Table13232127[[#This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6" t="s">
        <v>97</v>
      </c>
      <c r="P658" s="46">
        <f>HEX2DEC(RIGHT(Table13232127[[#This Row],[h1]],8))</f>
        <v>0</v>
      </c>
      <c r="Q658" s="46" t="s">
        <v>97</v>
      </c>
      <c r="R658" s="46">
        <f>HEX2DEC(RIGHT(Table13232127[[#This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6" t="s">
        <v>97</v>
      </c>
      <c r="P659" s="46">
        <f>HEX2DEC(RIGHT(Table13232127[[#This Row],[h1]],8))</f>
        <v>0</v>
      </c>
      <c r="Q659" s="46" t="s">
        <v>97</v>
      </c>
      <c r="R659" s="46">
        <f>HEX2DEC(RIGHT(Table13232127[[#This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6" t="s">
        <v>97</v>
      </c>
      <c r="P660" s="46">
        <f>HEX2DEC(RIGHT(Table13232127[[#This Row],[h1]],8))</f>
        <v>0</v>
      </c>
      <c r="Q660" s="46" t="s">
        <v>97</v>
      </c>
      <c r="R660" s="46">
        <f>HEX2DEC(RIGHT(Table13232127[[#This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6" t="s">
        <v>97</v>
      </c>
      <c r="P661" s="46">
        <f>HEX2DEC(RIGHT(Table13232127[[#This Row],[h1]],8))</f>
        <v>0</v>
      </c>
      <c r="Q661" s="46" t="s">
        <v>97</v>
      </c>
      <c r="R661" s="46">
        <f>HEX2DEC(RIGHT(Table13232127[[#This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6" t="s">
        <v>97</v>
      </c>
      <c r="P662" s="46">
        <f>HEX2DEC(RIGHT(Table13232127[[#This Row],[h1]],8))</f>
        <v>0</v>
      </c>
      <c r="Q662" s="46" t="s">
        <v>97</v>
      </c>
      <c r="R662" s="46">
        <f>HEX2DEC(RIGHT(Table13232127[[#This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6" t="s">
        <v>97</v>
      </c>
      <c r="P663" s="46">
        <f>HEX2DEC(RIGHT(Table13232127[[#This Row],[h1]],8))</f>
        <v>0</v>
      </c>
      <c r="Q663" s="46" t="s">
        <v>97</v>
      </c>
      <c r="R663" s="46">
        <f>HEX2DEC(RIGHT(Table13232127[[#This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6" t="s">
        <v>97</v>
      </c>
      <c r="P664" s="46">
        <f>HEX2DEC(RIGHT(Table13232127[[#This Row],[h1]],8))</f>
        <v>0</v>
      </c>
      <c r="Q664" s="46" t="s">
        <v>97</v>
      </c>
      <c r="R664" s="46">
        <f>HEX2DEC(RIGHT(Table13232127[[#This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6" t="s">
        <v>97</v>
      </c>
      <c r="P665" s="46">
        <f>HEX2DEC(RIGHT(Table13232127[[#This Row],[h1]],8))</f>
        <v>0</v>
      </c>
      <c r="Q665" s="46" t="s">
        <v>97</v>
      </c>
      <c r="R665" s="46">
        <f>HEX2DEC(RIGHT(Table13232127[[#This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6" t="s">
        <v>97</v>
      </c>
      <c r="P666" s="46">
        <f>HEX2DEC(RIGHT(Table13232127[[#This Row],[h1]],8))</f>
        <v>0</v>
      </c>
      <c r="Q666" s="46" t="s">
        <v>97</v>
      </c>
      <c r="R666" s="46">
        <f>HEX2DEC(RIGHT(Table13232127[[#This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6" t="s">
        <v>97</v>
      </c>
      <c r="P667" s="46">
        <f>HEX2DEC(RIGHT(Table13232127[[#This Row],[h1]],8))</f>
        <v>0</v>
      </c>
      <c r="Q667" s="46" t="s">
        <v>97</v>
      </c>
      <c r="R667" s="46">
        <f>HEX2DEC(RIGHT(Table13232127[[#This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6" t="s">
        <v>97</v>
      </c>
      <c r="P668" s="46">
        <f>HEX2DEC(RIGHT(Table13232127[[#This Row],[h1]],8))</f>
        <v>0</v>
      </c>
      <c r="Q668" s="46" t="s">
        <v>97</v>
      </c>
      <c r="R668" s="46">
        <f>HEX2DEC(RIGHT(Table13232127[[#This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6" t="s">
        <v>97</v>
      </c>
      <c r="P669" s="46">
        <f>HEX2DEC(RIGHT(Table13232127[[#This Row],[h1]],8))</f>
        <v>0</v>
      </c>
      <c r="Q669" s="46" t="s">
        <v>97</v>
      </c>
      <c r="R669" s="46">
        <f>HEX2DEC(RIGHT(Table13232127[[#This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6" t="s">
        <v>97</v>
      </c>
      <c r="P670" s="46">
        <f>HEX2DEC(RIGHT(Table13232127[[#This Row],[h1]],8))</f>
        <v>0</v>
      </c>
      <c r="Q670" s="46" t="s">
        <v>97</v>
      </c>
      <c r="R670" s="46">
        <f>HEX2DEC(RIGHT(Table13232127[[#This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6" t="s">
        <v>97</v>
      </c>
      <c r="P671" s="46">
        <f>HEX2DEC(RIGHT(Table13232127[[#This Row],[h1]],8))</f>
        <v>0</v>
      </c>
      <c r="Q671" s="46" t="s">
        <v>97</v>
      </c>
      <c r="R671" s="46">
        <f>HEX2DEC(RIGHT(Table13232127[[#This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6" t="s">
        <v>97</v>
      </c>
      <c r="P672" s="46">
        <f>HEX2DEC(RIGHT(Table13232127[[#This Row],[h1]],8))</f>
        <v>0</v>
      </c>
      <c r="Q672" s="46" t="s">
        <v>97</v>
      </c>
      <c r="R672" s="46">
        <f>HEX2DEC(RIGHT(Table13232127[[#This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6" t="s">
        <v>97</v>
      </c>
      <c r="P673" s="46">
        <f>HEX2DEC(RIGHT(Table13232127[[#This Row],[h1]],8))</f>
        <v>0</v>
      </c>
      <c r="Q673" s="46" t="s">
        <v>97</v>
      </c>
      <c r="R673" s="46">
        <f>HEX2DEC(RIGHT(Table13232127[[#This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6" t="s">
        <v>97</v>
      </c>
      <c r="P674" s="46">
        <f>HEX2DEC(RIGHT(Table13232127[[#This Row],[h1]],8))</f>
        <v>0</v>
      </c>
      <c r="Q674" s="46" t="s">
        <v>97</v>
      </c>
      <c r="R674" s="46">
        <f>HEX2DEC(RIGHT(Table13232127[[#This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6" t="s">
        <v>97</v>
      </c>
      <c r="P675" s="46">
        <f>HEX2DEC(RIGHT(Table13232127[[#This Row],[h1]],8))</f>
        <v>0</v>
      </c>
      <c r="Q675" s="46" t="s">
        <v>97</v>
      </c>
      <c r="R675" s="46">
        <f>HEX2DEC(RIGHT(Table13232127[[#This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6" t="s">
        <v>97</v>
      </c>
      <c r="P676" s="46">
        <f>HEX2DEC(RIGHT(Table13232127[[#This Row],[h1]],8))</f>
        <v>0</v>
      </c>
      <c r="Q676" s="46" t="s">
        <v>97</v>
      </c>
      <c r="R676" s="46">
        <f>HEX2DEC(RIGHT(Table13232127[[#This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6" t="s">
        <v>97</v>
      </c>
      <c r="P677" s="46">
        <f>HEX2DEC(RIGHT(Table13232127[[#This Row],[h1]],8))</f>
        <v>0</v>
      </c>
      <c r="Q677" s="46" t="s">
        <v>97</v>
      </c>
      <c r="R677" s="46">
        <f>HEX2DEC(RIGHT(Table13232127[[#This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6" t="s">
        <v>97</v>
      </c>
      <c r="P678" s="46">
        <f>HEX2DEC(RIGHT(Table13232127[[#This Row],[h1]],8))</f>
        <v>0</v>
      </c>
      <c r="Q678" s="46" t="s">
        <v>97</v>
      </c>
      <c r="R678" s="46">
        <f>HEX2DEC(RIGHT(Table13232127[[#This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6" t="s">
        <v>97</v>
      </c>
      <c r="P679" s="46">
        <f>HEX2DEC(RIGHT(Table13232127[[#This Row],[h1]],8))</f>
        <v>0</v>
      </c>
      <c r="Q679" s="46" t="s">
        <v>97</v>
      </c>
      <c r="R679" s="46">
        <f>HEX2DEC(RIGHT(Table13232127[[#This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6" t="s">
        <v>97</v>
      </c>
      <c r="P680" s="46">
        <f>HEX2DEC(RIGHT(Table13232127[[#This Row],[h1]],8))</f>
        <v>0</v>
      </c>
      <c r="Q680" s="46" t="s">
        <v>97</v>
      </c>
      <c r="R680" s="46">
        <f>HEX2DEC(RIGHT(Table13232127[[#This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6" t="s">
        <v>97</v>
      </c>
      <c r="P681" s="46">
        <f>HEX2DEC(RIGHT(Table13232127[[#This Row],[h1]],8))</f>
        <v>0</v>
      </c>
      <c r="Q681" s="46" t="s">
        <v>97</v>
      </c>
      <c r="R681" s="46">
        <f>HEX2DEC(RIGHT(Table13232127[[#This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6" t="s">
        <v>97</v>
      </c>
      <c r="P682" s="46">
        <f>HEX2DEC(RIGHT(Table13232127[[#This Row],[h1]],8))</f>
        <v>0</v>
      </c>
      <c r="Q682" s="46" t="s">
        <v>97</v>
      </c>
      <c r="R682" s="46">
        <f>HEX2DEC(RIGHT(Table13232127[[#This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6" t="s">
        <v>97</v>
      </c>
      <c r="P683" s="46">
        <f>HEX2DEC(RIGHT(Table13232127[[#This Row],[h1]],8))</f>
        <v>0</v>
      </c>
      <c r="Q683" s="46" t="s">
        <v>97</v>
      </c>
      <c r="R683" s="46">
        <f>HEX2DEC(RIGHT(Table13232127[[#This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6" t="s">
        <v>97</v>
      </c>
      <c r="P684" s="46">
        <f>HEX2DEC(RIGHT(Table13232127[[#This Row],[h1]],8))</f>
        <v>0</v>
      </c>
      <c r="Q684" s="46" t="s">
        <v>97</v>
      </c>
      <c r="R684" s="46">
        <f>HEX2DEC(RIGHT(Table13232127[[#This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6" t="s">
        <v>97</v>
      </c>
      <c r="P685" s="46">
        <f>HEX2DEC(RIGHT(Table13232127[[#This Row],[h1]],8))</f>
        <v>0</v>
      </c>
      <c r="Q685" s="46" t="s">
        <v>97</v>
      </c>
      <c r="R685" s="46">
        <f>HEX2DEC(RIGHT(Table13232127[[#This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6" t="s">
        <v>97</v>
      </c>
      <c r="P686" s="46">
        <f>HEX2DEC(RIGHT(Table13232127[[#This Row],[h1]],8))</f>
        <v>0</v>
      </c>
      <c r="Q686" s="46" t="s">
        <v>97</v>
      </c>
      <c r="R686" s="46">
        <f>HEX2DEC(RIGHT(Table13232127[[#This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6" t="s">
        <v>97</v>
      </c>
      <c r="P687" s="46">
        <f>HEX2DEC(RIGHT(Table13232127[[#This Row],[h1]],8))</f>
        <v>0</v>
      </c>
      <c r="Q687" s="46" t="s">
        <v>97</v>
      </c>
      <c r="R687" s="46">
        <f>HEX2DEC(RIGHT(Table13232127[[#This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6" t="s">
        <v>97</v>
      </c>
      <c r="P688" s="46">
        <f>HEX2DEC(RIGHT(Table13232127[[#This Row],[h1]],8))</f>
        <v>0</v>
      </c>
      <c r="Q688" s="46" t="s">
        <v>97</v>
      </c>
      <c r="R688" s="46">
        <f>HEX2DEC(RIGHT(Table13232127[[#This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6" t="s">
        <v>97</v>
      </c>
      <c r="P689" s="46">
        <f>HEX2DEC(RIGHT(Table13232127[[#This Row],[h1]],8))</f>
        <v>0</v>
      </c>
      <c r="Q689" s="46" t="s">
        <v>97</v>
      </c>
      <c r="R689" s="46">
        <f>HEX2DEC(RIGHT(Table13232127[[#This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6" t="s">
        <v>97</v>
      </c>
      <c r="P690" s="46">
        <f>HEX2DEC(RIGHT(Table13232127[[#This Row],[h1]],8))</f>
        <v>0</v>
      </c>
      <c r="Q690" s="46" t="s">
        <v>97</v>
      </c>
      <c r="R690" s="46">
        <f>HEX2DEC(RIGHT(Table13232127[[#This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6" t="s">
        <v>97</v>
      </c>
      <c r="P691" s="46">
        <f>HEX2DEC(RIGHT(Table13232127[[#This Row],[h1]],8))</f>
        <v>0</v>
      </c>
      <c r="Q691" s="46" t="s">
        <v>97</v>
      </c>
      <c r="R691" s="46">
        <f>HEX2DEC(RIGHT(Table13232127[[#This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6" t="s">
        <v>97</v>
      </c>
      <c r="P692" s="46">
        <f>HEX2DEC(RIGHT(Table13232127[[#This Row],[h1]],8))</f>
        <v>0</v>
      </c>
      <c r="Q692" s="46" t="s">
        <v>97</v>
      </c>
      <c r="R692" s="46">
        <f>HEX2DEC(RIGHT(Table13232127[[#This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6" t="s">
        <v>97</v>
      </c>
      <c r="P693" s="46">
        <f>HEX2DEC(RIGHT(Table13232127[[#This Row],[h1]],8))</f>
        <v>0</v>
      </c>
      <c r="Q693" s="46" t="s">
        <v>97</v>
      </c>
      <c r="R693" s="46">
        <f>HEX2DEC(RIGHT(Table13232127[[#This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6" t="s">
        <v>97</v>
      </c>
      <c r="P694" s="46">
        <f>HEX2DEC(RIGHT(Table13232127[[#This Row],[h1]],8))</f>
        <v>0</v>
      </c>
      <c r="Q694" s="46" t="s">
        <v>97</v>
      </c>
      <c r="R694" s="46">
        <f>HEX2DEC(RIGHT(Table13232127[[#This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6" t="s">
        <v>97</v>
      </c>
      <c r="P695" s="46">
        <f>HEX2DEC(RIGHT(Table13232127[[#This Row],[h1]],8))</f>
        <v>0</v>
      </c>
      <c r="Q695" s="46" t="s">
        <v>97</v>
      </c>
      <c r="R695" s="46">
        <f>HEX2DEC(RIGHT(Table13232127[[#This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6" t="s">
        <v>97</v>
      </c>
      <c r="P696" s="46">
        <f>HEX2DEC(RIGHT(Table13232127[[#This Row],[h1]],8))</f>
        <v>0</v>
      </c>
      <c r="Q696" s="46" t="s">
        <v>97</v>
      </c>
      <c r="R696" s="46">
        <f>HEX2DEC(RIGHT(Table13232127[[#This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6" t="s">
        <v>97</v>
      </c>
      <c r="P697" s="46">
        <f>HEX2DEC(RIGHT(Table13232127[[#This Row],[h1]],8))</f>
        <v>0</v>
      </c>
      <c r="Q697" s="46" t="s">
        <v>97</v>
      </c>
      <c r="R697" s="46">
        <f>HEX2DEC(RIGHT(Table13232127[[#This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6" t="s">
        <v>97</v>
      </c>
      <c r="P698" s="46">
        <f>HEX2DEC(RIGHT(Table13232127[[#This Row],[h1]],8))</f>
        <v>0</v>
      </c>
      <c r="Q698" s="46" t="s">
        <v>97</v>
      </c>
      <c r="R698" s="46">
        <f>HEX2DEC(RIGHT(Table13232127[[#This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6" t="s">
        <v>97</v>
      </c>
      <c r="P699" s="46">
        <f>HEX2DEC(RIGHT(Table13232127[[#This Row],[h1]],8))</f>
        <v>0</v>
      </c>
      <c r="Q699" s="46" t="s">
        <v>97</v>
      </c>
      <c r="R699" s="46">
        <f>HEX2DEC(RIGHT(Table13232127[[#This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6" t="s">
        <v>97</v>
      </c>
      <c r="P700" s="46">
        <f>HEX2DEC(RIGHT(Table13232127[[#This Row],[h1]],8))</f>
        <v>0</v>
      </c>
      <c r="Q700" s="46" t="s">
        <v>97</v>
      </c>
      <c r="R700" s="46">
        <f>HEX2DEC(RIGHT(Table13232127[[#This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6" t="s">
        <v>97</v>
      </c>
      <c r="P701" s="46">
        <f>HEX2DEC(RIGHT(Table13232127[[#This Row],[h1]],8))</f>
        <v>0</v>
      </c>
      <c r="Q701" s="46" t="s">
        <v>97</v>
      </c>
      <c r="R701" s="46">
        <f>HEX2DEC(RIGHT(Table13232127[[#This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6" t="s">
        <v>97</v>
      </c>
      <c r="P702" s="46">
        <f>HEX2DEC(RIGHT(Table13232127[[#This Row],[h1]],8))</f>
        <v>0</v>
      </c>
      <c r="Q702" s="46" t="s">
        <v>97</v>
      </c>
      <c r="R702" s="46">
        <f>HEX2DEC(RIGHT(Table13232127[[#This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6" t="s">
        <v>97</v>
      </c>
      <c r="P703" s="46">
        <f>HEX2DEC(RIGHT(Table13232127[[#This Row],[h1]],8))</f>
        <v>0</v>
      </c>
      <c r="Q703" s="46" t="s">
        <v>97</v>
      </c>
      <c r="R703" s="46">
        <f>HEX2DEC(RIGHT(Table13232127[[#This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6" t="s">
        <v>97</v>
      </c>
      <c r="P704" s="46">
        <f>HEX2DEC(RIGHT(Table13232127[[#This Row],[h1]],8))</f>
        <v>0</v>
      </c>
      <c r="Q704" s="46" t="s">
        <v>97</v>
      </c>
      <c r="R704" s="46">
        <f>HEX2DEC(RIGHT(Table13232127[[#This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6" t="s">
        <v>97</v>
      </c>
      <c r="P705" s="46">
        <f>HEX2DEC(RIGHT(Table13232127[[#This Row],[h1]],8))</f>
        <v>0</v>
      </c>
      <c r="Q705" s="46" t="s">
        <v>97</v>
      </c>
      <c r="R705" s="46">
        <f>HEX2DEC(RIGHT(Table13232127[[#This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6" t="s">
        <v>97</v>
      </c>
      <c r="P706" s="46">
        <f>HEX2DEC(RIGHT(Table13232127[[#This Row],[h1]],8))</f>
        <v>0</v>
      </c>
      <c r="Q706" s="46" t="s">
        <v>97</v>
      </c>
      <c r="R706" s="46">
        <f>HEX2DEC(RIGHT(Table13232127[[#This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6" t="s">
        <v>97</v>
      </c>
      <c r="P707" s="46">
        <f>HEX2DEC(RIGHT(Table13232127[[#This Row],[h1]],8))</f>
        <v>0</v>
      </c>
      <c r="Q707" s="46" t="s">
        <v>97</v>
      </c>
      <c r="R707" s="46">
        <f>HEX2DEC(RIGHT(Table13232127[[#This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6" t="s">
        <v>97</v>
      </c>
      <c r="P708" s="46">
        <f>HEX2DEC(RIGHT(Table13232127[[#This Row],[h1]],8))</f>
        <v>0</v>
      </c>
      <c r="Q708" s="46" t="s">
        <v>97</v>
      </c>
      <c r="R708" s="46">
        <f>HEX2DEC(RIGHT(Table13232127[[#This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6" t="s">
        <v>97</v>
      </c>
      <c r="P709" s="46">
        <f>HEX2DEC(RIGHT(Table13232127[[#This Row],[h1]],8))</f>
        <v>0</v>
      </c>
      <c r="Q709" s="46" t="s">
        <v>97</v>
      </c>
      <c r="R709" s="46">
        <f>HEX2DEC(RIGHT(Table13232127[[#This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6" t="s">
        <v>97</v>
      </c>
      <c r="P710" s="46">
        <f>HEX2DEC(RIGHT(Table13232127[[#This Row],[h1]],8))</f>
        <v>0</v>
      </c>
      <c r="Q710" s="46" t="s">
        <v>97</v>
      </c>
      <c r="R710" s="46">
        <f>HEX2DEC(RIGHT(Table13232127[[#This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6" t="s">
        <v>97</v>
      </c>
      <c r="P711" s="46">
        <f>HEX2DEC(RIGHT(Table13232127[[#This Row],[h1]],8))</f>
        <v>0</v>
      </c>
      <c r="Q711" s="46" t="s">
        <v>97</v>
      </c>
      <c r="R711" s="46">
        <f>HEX2DEC(RIGHT(Table13232127[[#This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6" t="s">
        <v>97</v>
      </c>
      <c r="P712" s="46">
        <f>HEX2DEC(RIGHT(Table13232127[[#This Row],[h1]],8))</f>
        <v>0</v>
      </c>
      <c r="Q712" s="46" t="s">
        <v>97</v>
      </c>
      <c r="R712" s="46">
        <f>HEX2DEC(RIGHT(Table13232127[[#This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6" t="s">
        <v>97</v>
      </c>
      <c r="P713" s="46">
        <f>HEX2DEC(RIGHT(Table13232127[[#This Row],[h1]],8))</f>
        <v>0</v>
      </c>
      <c r="Q713" s="46" t="s">
        <v>97</v>
      </c>
      <c r="R713" s="46">
        <f>HEX2DEC(RIGHT(Table13232127[[#This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6" t="s">
        <v>97</v>
      </c>
      <c r="P714" s="46">
        <f>HEX2DEC(RIGHT(Table13232127[[#This Row],[h1]],8))</f>
        <v>0</v>
      </c>
      <c r="Q714" s="46" t="s">
        <v>97</v>
      </c>
      <c r="R714" s="46">
        <f>HEX2DEC(RIGHT(Table13232127[[#This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6" t="s">
        <v>97</v>
      </c>
      <c r="P715" s="46">
        <f>HEX2DEC(RIGHT(Table13232127[[#This Row],[h1]],8))</f>
        <v>0</v>
      </c>
      <c r="Q715" s="46" t="s">
        <v>97</v>
      </c>
      <c r="R715" s="46">
        <f>HEX2DEC(RIGHT(Table13232127[[#This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6" t="s">
        <v>97</v>
      </c>
      <c r="P716" s="46">
        <f>HEX2DEC(RIGHT(Table13232127[[#This Row],[h1]],8))</f>
        <v>0</v>
      </c>
      <c r="Q716" s="46" t="s">
        <v>97</v>
      </c>
      <c r="R716" s="46">
        <f>HEX2DEC(RIGHT(Table13232127[[#This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6" t="s">
        <v>97</v>
      </c>
      <c r="P717" s="46">
        <f>HEX2DEC(RIGHT(Table13232127[[#This Row],[h1]],8))</f>
        <v>0</v>
      </c>
      <c r="Q717" s="46" t="s">
        <v>97</v>
      </c>
      <c r="R717" s="46">
        <f>HEX2DEC(RIGHT(Table13232127[[#This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6" t="s">
        <v>97</v>
      </c>
      <c r="P718" s="46">
        <f>HEX2DEC(RIGHT(Table13232127[[#This Row],[h1]],8))</f>
        <v>0</v>
      </c>
      <c r="Q718" s="46" t="s">
        <v>97</v>
      </c>
      <c r="R718" s="46">
        <f>HEX2DEC(RIGHT(Table13232127[[#This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6" t="s">
        <v>97</v>
      </c>
      <c r="P719" s="46">
        <f>HEX2DEC(RIGHT(Table13232127[[#This Row],[h1]],8))</f>
        <v>0</v>
      </c>
      <c r="Q719" s="46" t="s">
        <v>97</v>
      </c>
      <c r="R719" s="46">
        <f>HEX2DEC(RIGHT(Table13232127[[#This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6" t="s">
        <v>97</v>
      </c>
      <c r="P720" s="46">
        <f>HEX2DEC(RIGHT(Table13232127[[#This Row],[h1]],8))</f>
        <v>0</v>
      </c>
      <c r="Q720" s="46" t="s">
        <v>97</v>
      </c>
      <c r="R720" s="46">
        <f>HEX2DEC(RIGHT(Table13232127[[#This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6" t="s">
        <v>97</v>
      </c>
      <c r="P721" s="46">
        <f>HEX2DEC(RIGHT(Table13232127[[#This Row],[h1]],8))</f>
        <v>0</v>
      </c>
      <c r="Q721" s="46" t="s">
        <v>97</v>
      </c>
      <c r="R721" s="46">
        <f>HEX2DEC(RIGHT(Table13232127[[#This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6" t="s">
        <v>97</v>
      </c>
      <c r="P722" s="46">
        <f>HEX2DEC(RIGHT(Table13232127[[#This Row],[h1]],8))</f>
        <v>0</v>
      </c>
      <c r="Q722" s="46" t="s">
        <v>97</v>
      </c>
      <c r="R722" s="46">
        <f>HEX2DEC(RIGHT(Table13232127[[#This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6" t="s">
        <v>97</v>
      </c>
      <c r="P723" s="46">
        <f>HEX2DEC(RIGHT(Table13232127[[#This Row],[h1]],8))</f>
        <v>0</v>
      </c>
      <c r="Q723" s="46" t="s">
        <v>97</v>
      </c>
      <c r="R723" s="46">
        <f>HEX2DEC(RIGHT(Table13232127[[#This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6" t="s">
        <v>97</v>
      </c>
      <c r="P724" s="46">
        <f>HEX2DEC(RIGHT(Table13232127[[#This Row],[h1]],8))</f>
        <v>0</v>
      </c>
      <c r="Q724" s="46" t="s">
        <v>97</v>
      </c>
      <c r="R724" s="46">
        <f>HEX2DEC(RIGHT(Table13232127[[#This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6" t="s">
        <v>97</v>
      </c>
      <c r="P725" s="46">
        <f>HEX2DEC(RIGHT(Table13232127[[#This Row],[h1]],8))</f>
        <v>0</v>
      </c>
      <c r="Q725" s="46" t="s">
        <v>97</v>
      </c>
      <c r="R725" s="46">
        <f>HEX2DEC(RIGHT(Table13232127[[#This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6" t="s">
        <v>97</v>
      </c>
      <c r="P726" s="46">
        <f>HEX2DEC(RIGHT(Table13232127[[#This Row],[h1]],8))</f>
        <v>0</v>
      </c>
      <c r="Q726" s="46" t="s">
        <v>97</v>
      </c>
      <c r="R726" s="46">
        <f>HEX2DEC(RIGHT(Table13232127[[#This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6" t="s">
        <v>97</v>
      </c>
      <c r="P727" s="46">
        <f>HEX2DEC(RIGHT(Table13232127[[#This Row],[h1]],8))</f>
        <v>0</v>
      </c>
      <c r="Q727" s="46" t="s">
        <v>97</v>
      </c>
      <c r="R727" s="46">
        <f>HEX2DEC(RIGHT(Table13232127[[#This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6" t="s">
        <v>97</v>
      </c>
      <c r="P728" s="46">
        <f>HEX2DEC(RIGHT(Table13232127[[#This Row],[h1]],8))</f>
        <v>0</v>
      </c>
      <c r="Q728" s="46" t="s">
        <v>97</v>
      </c>
      <c r="R728" s="46">
        <f>HEX2DEC(RIGHT(Table13232127[[#This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6" t="s">
        <v>97</v>
      </c>
      <c r="P729" s="46">
        <f>HEX2DEC(RIGHT(Table13232127[[#This Row],[h1]],8))</f>
        <v>0</v>
      </c>
      <c r="Q729" s="46" t="s">
        <v>97</v>
      </c>
      <c r="R729" s="46">
        <f>HEX2DEC(RIGHT(Table13232127[[#This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6" t="s">
        <v>97</v>
      </c>
      <c r="P730" s="46">
        <f>HEX2DEC(RIGHT(Table13232127[[#This Row],[h1]],8))</f>
        <v>0</v>
      </c>
      <c r="Q730" s="46" t="s">
        <v>97</v>
      </c>
      <c r="R730" s="46">
        <f>HEX2DEC(RIGHT(Table13232127[[#This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6" t="s">
        <v>97</v>
      </c>
      <c r="P731" s="46">
        <f>HEX2DEC(RIGHT(Table13232127[[#This Row],[h1]],8))</f>
        <v>0</v>
      </c>
      <c r="Q731" s="46" t="s">
        <v>97</v>
      </c>
      <c r="R731" s="46">
        <f>HEX2DEC(RIGHT(Table13232127[[#This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6" t="s">
        <v>97</v>
      </c>
      <c r="P732" s="46">
        <f>HEX2DEC(RIGHT(Table13232127[[#This Row],[h1]],8))</f>
        <v>0</v>
      </c>
      <c r="Q732" s="46" t="s">
        <v>97</v>
      </c>
      <c r="R732" s="46">
        <f>HEX2DEC(RIGHT(Table13232127[[#This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6" t="s">
        <v>97</v>
      </c>
      <c r="P733" s="46">
        <f>HEX2DEC(RIGHT(Table13232127[[#This Row],[h1]],8))</f>
        <v>0</v>
      </c>
      <c r="Q733" s="46" t="s">
        <v>97</v>
      </c>
      <c r="R733" s="46">
        <f>HEX2DEC(RIGHT(Table13232127[[#This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6" t="s">
        <v>97</v>
      </c>
      <c r="P734" s="46">
        <f>HEX2DEC(RIGHT(Table13232127[[#This Row],[h1]],8))</f>
        <v>0</v>
      </c>
      <c r="Q734" s="46" t="s">
        <v>97</v>
      </c>
      <c r="R734" s="46">
        <f>HEX2DEC(RIGHT(Table13232127[[#This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6" t="s">
        <v>97</v>
      </c>
      <c r="P735" s="46">
        <f>HEX2DEC(RIGHT(Table13232127[[#This Row],[h1]],8))</f>
        <v>0</v>
      </c>
      <c r="Q735" s="46" t="s">
        <v>97</v>
      </c>
      <c r="R735" s="46">
        <f>HEX2DEC(RIGHT(Table13232127[[#This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6" t="s">
        <v>97</v>
      </c>
      <c r="P736" s="46">
        <f>HEX2DEC(RIGHT(Table13232127[[#This Row],[h1]],8))</f>
        <v>0</v>
      </c>
      <c r="Q736" s="46" t="s">
        <v>97</v>
      </c>
      <c r="R736" s="46">
        <f>HEX2DEC(RIGHT(Table13232127[[#This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6" t="s">
        <v>97</v>
      </c>
      <c r="P737" s="46">
        <f>HEX2DEC(RIGHT(Table13232127[[#This Row],[h1]],8))</f>
        <v>0</v>
      </c>
      <c r="Q737" s="46" t="s">
        <v>97</v>
      </c>
      <c r="R737" s="46">
        <f>HEX2DEC(RIGHT(Table13232127[[#This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6" t="s">
        <v>97</v>
      </c>
      <c r="P738" s="46">
        <f>HEX2DEC(RIGHT(Table13232127[[#This Row],[h1]],8))</f>
        <v>0</v>
      </c>
      <c r="Q738" s="46" t="s">
        <v>97</v>
      </c>
      <c r="R738" s="46">
        <f>HEX2DEC(RIGHT(Table13232127[[#This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6" t="s">
        <v>97</v>
      </c>
      <c r="P739" s="46">
        <f>HEX2DEC(RIGHT(Table13232127[[#This Row],[h1]],8))</f>
        <v>0</v>
      </c>
      <c r="Q739" s="46" t="s">
        <v>97</v>
      </c>
      <c r="R739" s="46">
        <f>HEX2DEC(RIGHT(Table13232127[[#This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6" t="s">
        <v>97</v>
      </c>
      <c r="P740" s="46">
        <f>HEX2DEC(RIGHT(Table13232127[[#This Row],[h1]],8))</f>
        <v>0</v>
      </c>
      <c r="Q740" s="46" t="s">
        <v>97</v>
      </c>
      <c r="R740" s="46">
        <f>HEX2DEC(RIGHT(Table13232127[[#This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6" t="s">
        <v>97</v>
      </c>
      <c r="P741" s="46">
        <f>HEX2DEC(RIGHT(Table13232127[[#This Row],[h1]],8))</f>
        <v>0</v>
      </c>
      <c r="Q741" s="46" t="s">
        <v>97</v>
      </c>
      <c r="R741" s="46">
        <f>HEX2DEC(RIGHT(Table13232127[[#This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6" t="s">
        <v>97</v>
      </c>
      <c r="P742" s="46">
        <f>HEX2DEC(RIGHT(Table13232127[[#This Row],[h1]],8))</f>
        <v>0</v>
      </c>
      <c r="Q742" s="46" t="s">
        <v>97</v>
      </c>
      <c r="R742" s="46">
        <f>HEX2DEC(RIGHT(Table13232127[[#This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6" t="s">
        <v>97</v>
      </c>
      <c r="P743" s="46">
        <f>HEX2DEC(RIGHT(Table13232127[[#This Row],[h1]],8))</f>
        <v>0</v>
      </c>
      <c r="Q743" s="46" t="s">
        <v>97</v>
      </c>
      <c r="R743" s="46">
        <f>HEX2DEC(RIGHT(Table13232127[[#This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6" t="s">
        <v>97</v>
      </c>
      <c r="P744" s="46">
        <f>HEX2DEC(RIGHT(Table13232127[[#This Row],[h1]],8))</f>
        <v>0</v>
      </c>
      <c r="Q744" s="46" t="s">
        <v>97</v>
      </c>
      <c r="R744" s="46">
        <f>HEX2DEC(RIGHT(Table13232127[[#This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6" t="s">
        <v>97</v>
      </c>
      <c r="P745" s="46">
        <f>HEX2DEC(RIGHT(Table13232127[[#This Row],[h1]],8))</f>
        <v>0</v>
      </c>
      <c r="Q745" s="46" t="s">
        <v>97</v>
      </c>
      <c r="R745" s="46">
        <f>HEX2DEC(RIGHT(Table13232127[[#This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6" t="s">
        <v>97</v>
      </c>
      <c r="P746" s="46">
        <f>HEX2DEC(RIGHT(Table13232127[[#This Row],[h1]],8))</f>
        <v>0</v>
      </c>
      <c r="Q746" s="46" t="s">
        <v>97</v>
      </c>
      <c r="R746" s="46">
        <f>HEX2DEC(RIGHT(Table13232127[[#This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6" t="s">
        <v>97</v>
      </c>
      <c r="P747" s="46">
        <f>HEX2DEC(RIGHT(Table13232127[[#This Row],[h1]],8))</f>
        <v>0</v>
      </c>
      <c r="Q747" s="46" t="s">
        <v>97</v>
      </c>
      <c r="R747" s="46">
        <f>HEX2DEC(RIGHT(Table13232127[[#This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6" t="s">
        <v>97</v>
      </c>
      <c r="P748" s="46">
        <f>HEX2DEC(RIGHT(Table13232127[[#This Row],[h1]],8))</f>
        <v>0</v>
      </c>
      <c r="Q748" s="46" t="s">
        <v>97</v>
      </c>
      <c r="R748" s="46">
        <f>HEX2DEC(RIGHT(Table13232127[[#This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6" t="s">
        <v>97</v>
      </c>
      <c r="P749" s="46">
        <f>HEX2DEC(RIGHT(Table13232127[[#This Row],[h1]],8))</f>
        <v>0</v>
      </c>
      <c r="Q749" s="46" t="s">
        <v>97</v>
      </c>
      <c r="R749" s="46">
        <f>HEX2DEC(RIGHT(Table13232127[[#This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6" t="s">
        <v>97</v>
      </c>
      <c r="P750" s="46">
        <f>HEX2DEC(RIGHT(Table13232127[[#This Row],[h1]],8))</f>
        <v>0</v>
      </c>
      <c r="Q750" s="46" t="s">
        <v>97</v>
      </c>
      <c r="R750" s="46">
        <f>HEX2DEC(RIGHT(Table13232127[[#This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6" t="s">
        <v>97</v>
      </c>
      <c r="P751" s="46">
        <f>HEX2DEC(RIGHT(Table13232127[[#This Row],[h1]],8))</f>
        <v>0</v>
      </c>
      <c r="Q751" s="46" t="s">
        <v>97</v>
      </c>
      <c r="R751" s="46">
        <f>HEX2DEC(RIGHT(Table13232127[[#This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6" t="s">
        <v>97</v>
      </c>
      <c r="P752" s="46">
        <f>HEX2DEC(RIGHT(Table13232127[[#This Row],[h1]],8))</f>
        <v>0</v>
      </c>
      <c r="Q752" s="46" t="s">
        <v>97</v>
      </c>
      <c r="R752" s="46">
        <f>HEX2DEC(RIGHT(Table13232127[[#This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6" t="s">
        <v>97</v>
      </c>
      <c r="P753" s="46">
        <f>HEX2DEC(RIGHT(Table13232127[[#This Row],[h1]],8))</f>
        <v>0</v>
      </c>
      <c r="Q753" s="46" t="s">
        <v>97</v>
      </c>
      <c r="R753" s="46">
        <f>HEX2DEC(RIGHT(Table13232127[[#This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6" t="s">
        <v>97</v>
      </c>
      <c r="P754" s="46">
        <f>HEX2DEC(RIGHT(Table13232127[[#This Row],[h1]],8))</f>
        <v>0</v>
      </c>
      <c r="Q754" s="46" t="s">
        <v>97</v>
      </c>
      <c r="R754" s="46">
        <f>HEX2DEC(RIGHT(Table13232127[[#This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6" t="s">
        <v>97</v>
      </c>
      <c r="P755" s="46">
        <f>HEX2DEC(RIGHT(Table13232127[[#This Row],[h1]],8))</f>
        <v>0</v>
      </c>
      <c r="Q755" s="46" t="s">
        <v>97</v>
      </c>
      <c r="R755" s="46">
        <f>HEX2DEC(RIGHT(Table13232127[[#This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6" t="s">
        <v>97</v>
      </c>
      <c r="P756" s="46">
        <f>HEX2DEC(RIGHT(Table13232127[[#This Row],[h1]],8))</f>
        <v>0</v>
      </c>
      <c r="Q756" s="46" t="s">
        <v>97</v>
      </c>
      <c r="R756" s="46">
        <f>HEX2DEC(RIGHT(Table13232127[[#This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6" t="s">
        <v>97</v>
      </c>
      <c r="P757" s="46">
        <f>HEX2DEC(RIGHT(Table13232127[[#This Row],[h1]],8))</f>
        <v>0</v>
      </c>
      <c r="Q757" s="46" t="s">
        <v>97</v>
      </c>
      <c r="R757" s="46">
        <f>HEX2DEC(RIGHT(Table13232127[[#This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6" t="s">
        <v>97</v>
      </c>
      <c r="P758" s="46">
        <f>HEX2DEC(RIGHT(Table13232127[[#This Row],[h1]],8))</f>
        <v>0</v>
      </c>
      <c r="Q758" s="46" t="s">
        <v>97</v>
      </c>
      <c r="R758" s="46">
        <f>HEX2DEC(RIGHT(Table13232127[[#This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6" t="s">
        <v>97</v>
      </c>
      <c r="P759" s="46">
        <f>HEX2DEC(RIGHT(Table13232127[[#This Row],[h1]],8))</f>
        <v>0</v>
      </c>
      <c r="Q759" s="46" t="s">
        <v>97</v>
      </c>
      <c r="R759" s="46">
        <f>HEX2DEC(RIGHT(Table13232127[[#This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6" t="s">
        <v>97</v>
      </c>
      <c r="P760" s="46">
        <f>HEX2DEC(RIGHT(Table13232127[[#This Row],[h1]],8))</f>
        <v>0</v>
      </c>
      <c r="Q760" s="46" t="s">
        <v>97</v>
      </c>
      <c r="R760" s="46">
        <f>HEX2DEC(RIGHT(Table13232127[[#This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6" t="s">
        <v>97</v>
      </c>
      <c r="P761" s="46">
        <f>HEX2DEC(RIGHT(Table13232127[[#This Row],[h1]],8))</f>
        <v>0</v>
      </c>
      <c r="Q761" s="46" t="s">
        <v>97</v>
      </c>
      <c r="R761" s="46">
        <f>HEX2DEC(RIGHT(Table13232127[[#This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6" t="s">
        <v>97</v>
      </c>
      <c r="P762" s="46">
        <f>HEX2DEC(RIGHT(Table13232127[[#This Row],[h1]],8))</f>
        <v>0</v>
      </c>
      <c r="Q762" s="46" t="s">
        <v>97</v>
      </c>
      <c r="R762" s="46">
        <f>HEX2DEC(RIGHT(Table13232127[[#This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6" t="s">
        <v>97</v>
      </c>
      <c r="P763" s="46">
        <f>HEX2DEC(RIGHT(Table13232127[[#This Row],[h1]],8))</f>
        <v>0</v>
      </c>
      <c r="Q763" s="46" t="s">
        <v>97</v>
      </c>
      <c r="R763" s="46">
        <f>HEX2DEC(RIGHT(Table13232127[[#This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6" t="s">
        <v>97</v>
      </c>
      <c r="P764" s="46">
        <f>HEX2DEC(RIGHT(Table13232127[[#This Row],[h1]],8))</f>
        <v>0</v>
      </c>
      <c r="Q764" s="46" t="s">
        <v>97</v>
      </c>
      <c r="R764" s="46">
        <f>HEX2DEC(RIGHT(Table13232127[[#This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6" t="s">
        <v>97</v>
      </c>
      <c r="P765" s="46">
        <f>HEX2DEC(RIGHT(Table13232127[[#This Row],[h1]],8))</f>
        <v>0</v>
      </c>
      <c r="Q765" s="46" t="s">
        <v>97</v>
      </c>
      <c r="R765" s="46">
        <f>HEX2DEC(RIGHT(Table13232127[[#This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6" t="s">
        <v>97</v>
      </c>
      <c r="P766" s="46">
        <f>HEX2DEC(RIGHT(Table13232127[[#This Row],[h1]],8))</f>
        <v>0</v>
      </c>
      <c r="Q766" s="46" t="s">
        <v>97</v>
      </c>
      <c r="R766" s="46">
        <f>HEX2DEC(RIGHT(Table13232127[[#This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6" t="s">
        <v>97</v>
      </c>
      <c r="P767" s="46">
        <f>HEX2DEC(RIGHT(Table13232127[[#This Row],[h1]],8))</f>
        <v>0</v>
      </c>
      <c r="Q767" s="46" t="s">
        <v>97</v>
      </c>
      <c r="R767" s="46">
        <f>HEX2DEC(RIGHT(Table13232127[[#This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6" t="s">
        <v>97</v>
      </c>
      <c r="P768" s="46">
        <f>HEX2DEC(RIGHT(Table13232127[[#This Row],[h1]],8))</f>
        <v>0</v>
      </c>
      <c r="Q768" s="46" t="s">
        <v>97</v>
      </c>
      <c r="R768" s="46">
        <f>HEX2DEC(RIGHT(Table13232127[[#This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6" t="s">
        <v>97</v>
      </c>
      <c r="P769" s="46">
        <f>HEX2DEC(RIGHT(Table13232127[[#This Row],[h1]],8))</f>
        <v>0</v>
      </c>
      <c r="Q769" s="46" t="s">
        <v>97</v>
      </c>
      <c r="R769" s="46">
        <f>HEX2DEC(RIGHT(Table13232127[[#This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6" t="s">
        <v>97</v>
      </c>
      <c r="P770" s="46">
        <f>HEX2DEC(RIGHT(Table13232127[[#This Row],[h1]],8))</f>
        <v>0</v>
      </c>
      <c r="Q770" s="46" t="s">
        <v>97</v>
      </c>
      <c r="R770" s="46">
        <f>HEX2DEC(RIGHT(Table13232127[[#This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6" t="s">
        <v>97</v>
      </c>
      <c r="P771" s="46">
        <f>HEX2DEC(RIGHT(Table13232127[[#This Row],[h1]],8))</f>
        <v>0</v>
      </c>
      <c r="Q771" s="46" t="s">
        <v>97</v>
      </c>
      <c r="R771" s="46">
        <f>HEX2DEC(RIGHT(Table13232127[[#This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6" t="s">
        <v>97</v>
      </c>
      <c r="P772" s="46">
        <f>HEX2DEC(RIGHT(Table13232127[[#This Row],[h1]],8))</f>
        <v>0</v>
      </c>
      <c r="Q772" s="46" t="s">
        <v>97</v>
      </c>
      <c r="R772" s="46">
        <f>HEX2DEC(RIGHT(Table13232127[[#This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6" t="s">
        <v>97</v>
      </c>
      <c r="P773" s="46">
        <f>HEX2DEC(RIGHT(Table13232127[[#This Row],[h1]],8))</f>
        <v>0</v>
      </c>
      <c r="Q773" s="46" t="s">
        <v>97</v>
      </c>
      <c r="R773" s="46">
        <f>HEX2DEC(RIGHT(Table13232127[[#This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6" t="s">
        <v>97</v>
      </c>
      <c r="P774" s="46">
        <f>HEX2DEC(RIGHT(Table13232127[[#This Row],[h1]],8))</f>
        <v>0</v>
      </c>
      <c r="Q774" s="46" t="s">
        <v>97</v>
      </c>
      <c r="R774" s="46">
        <f>HEX2DEC(RIGHT(Table13232127[[#This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6" t="s">
        <v>97</v>
      </c>
      <c r="P775" s="46">
        <f>HEX2DEC(RIGHT(Table13232127[[#This Row],[h1]],8))</f>
        <v>0</v>
      </c>
      <c r="Q775" s="46" t="s">
        <v>97</v>
      </c>
      <c r="R775" s="46">
        <f>HEX2DEC(RIGHT(Table13232127[[#This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6" t="s">
        <v>97</v>
      </c>
      <c r="P776" s="46">
        <f>HEX2DEC(RIGHT(Table13232127[[#This Row],[h1]],8))</f>
        <v>0</v>
      </c>
      <c r="Q776" s="46" t="s">
        <v>97</v>
      </c>
      <c r="R776" s="46">
        <f>HEX2DEC(RIGHT(Table13232127[[#This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6" t="s">
        <v>97</v>
      </c>
      <c r="P777" s="46">
        <f>HEX2DEC(RIGHT(Table13232127[[#This Row],[h1]],8))</f>
        <v>0</v>
      </c>
      <c r="Q777" s="46" t="s">
        <v>97</v>
      </c>
      <c r="R777" s="46">
        <f>HEX2DEC(RIGHT(Table13232127[[#This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6" t="s">
        <v>97</v>
      </c>
      <c r="P778" s="46">
        <f>HEX2DEC(RIGHT(Table13232127[[#This Row],[h1]],8))</f>
        <v>0</v>
      </c>
      <c r="Q778" s="46" t="s">
        <v>97</v>
      </c>
      <c r="R778" s="46">
        <f>HEX2DEC(RIGHT(Table13232127[[#This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6" t="s">
        <v>97</v>
      </c>
      <c r="P779" s="46">
        <f>HEX2DEC(RIGHT(Table13232127[[#This Row],[h1]],8))</f>
        <v>0</v>
      </c>
      <c r="Q779" s="46" t="s">
        <v>97</v>
      </c>
      <c r="R779" s="46">
        <f>HEX2DEC(RIGHT(Table13232127[[#This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6" t="s">
        <v>97</v>
      </c>
      <c r="P780" s="46">
        <f>HEX2DEC(RIGHT(Table13232127[[#This Row],[h1]],8))</f>
        <v>0</v>
      </c>
      <c r="Q780" s="46" t="s">
        <v>97</v>
      </c>
      <c r="R780" s="46">
        <f>HEX2DEC(RIGHT(Table13232127[[#This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6" t="s">
        <v>97</v>
      </c>
      <c r="P781" s="46">
        <f>HEX2DEC(RIGHT(Table13232127[[#This Row],[h1]],8))</f>
        <v>0</v>
      </c>
      <c r="Q781" s="46" t="s">
        <v>97</v>
      </c>
      <c r="R781" s="46">
        <f>HEX2DEC(RIGHT(Table13232127[[#This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6" t="s">
        <v>97</v>
      </c>
      <c r="P782" s="46">
        <f>HEX2DEC(RIGHT(Table13232127[[#This Row],[h1]],8))</f>
        <v>0</v>
      </c>
      <c r="Q782" s="46" t="s">
        <v>97</v>
      </c>
      <c r="R782" s="46">
        <f>HEX2DEC(RIGHT(Table13232127[[#This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6" t="s">
        <v>97</v>
      </c>
      <c r="P783" s="46">
        <f>HEX2DEC(RIGHT(Table13232127[[#This Row],[h1]],8))</f>
        <v>0</v>
      </c>
      <c r="Q783" s="46" t="s">
        <v>97</v>
      </c>
      <c r="R783" s="46">
        <f>HEX2DEC(RIGHT(Table13232127[[#This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6" t="s">
        <v>97</v>
      </c>
      <c r="P784" s="46">
        <f>HEX2DEC(RIGHT(Table13232127[[#This Row],[h1]],8))</f>
        <v>0</v>
      </c>
      <c r="Q784" s="46" t="s">
        <v>97</v>
      </c>
      <c r="R784" s="46">
        <f>HEX2DEC(RIGHT(Table13232127[[#This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6" t="s">
        <v>97</v>
      </c>
      <c r="P785" s="46">
        <f>HEX2DEC(RIGHT(Table13232127[[#This Row],[h1]],8))</f>
        <v>0</v>
      </c>
      <c r="Q785" s="46" t="s">
        <v>97</v>
      </c>
      <c r="R785" s="46">
        <f>HEX2DEC(RIGHT(Table13232127[[#This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6" t="s">
        <v>97</v>
      </c>
      <c r="P786" s="46">
        <f>HEX2DEC(RIGHT(Table13232127[[#This Row],[h1]],8))</f>
        <v>0</v>
      </c>
      <c r="Q786" s="46" t="s">
        <v>97</v>
      </c>
      <c r="R786" s="46">
        <f>HEX2DEC(RIGHT(Table13232127[[#This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6" t="s">
        <v>97</v>
      </c>
      <c r="P787" s="46">
        <f>HEX2DEC(RIGHT(Table13232127[[#This Row],[h1]],8))</f>
        <v>0</v>
      </c>
      <c r="Q787" s="46" t="s">
        <v>97</v>
      </c>
      <c r="R787" s="46">
        <f>HEX2DEC(RIGHT(Table13232127[[#This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6" t="s">
        <v>97</v>
      </c>
      <c r="P788" s="46">
        <f>HEX2DEC(RIGHT(Table13232127[[#This Row],[h1]],8))</f>
        <v>0</v>
      </c>
      <c r="Q788" s="46" t="s">
        <v>97</v>
      </c>
      <c r="R788" s="46">
        <f>HEX2DEC(RIGHT(Table13232127[[#This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6" t="s">
        <v>97</v>
      </c>
      <c r="P789" s="46">
        <f>HEX2DEC(RIGHT(Table13232127[[#This Row],[h1]],8))</f>
        <v>0</v>
      </c>
      <c r="Q789" s="46" t="s">
        <v>97</v>
      </c>
      <c r="R789" s="46">
        <f>HEX2DEC(RIGHT(Table13232127[[#This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6" t="s">
        <v>97</v>
      </c>
      <c r="P790" s="46">
        <f>HEX2DEC(RIGHT(Table13232127[[#This Row],[h1]],8))</f>
        <v>0</v>
      </c>
      <c r="Q790" s="46" t="s">
        <v>97</v>
      </c>
      <c r="R790" s="46">
        <f>HEX2DEC(RIGHT(Table13232127[[#This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6" t="s">
        <v>97</v>
      </c>
      <c r="P791" s="46">
        <f>HEX2DEC(RIGHT(Table13232127[[#This Row],[h1]],8))</f>
        <v>0</v>
      </c>
      <c r="Q791" s="46" t="s">
        <v>97</v>
      </c>
      <c r="R791" s="46">
        <f>HEX2DEC(RIGHT(Table13232127[[#This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6" t="s">
        <v>97</v>
      </c>
      <c r="P792" s="46">
        <f>HEX2DEC(RIGHT(Table13232127[[#This Row],[h1]],8))</f>
        <v>0</v>
      </c>
      <c r="Q792" s="46" t="s">
        <v>97</v>
      </c>
      <c r="R792" s="46">
        <f>HEX2DEC(RIGHT(Table13232127[[#This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6" t="s">
        <v>97</v>
      </c>
      <c r="P793" s="46">
        <f>HEX2DEC(RIGHT(Table13232127[[#This Row],[h1]],8))</f>
        <v>0</v>
      </c>
      <c r="Q793" s="46" t="s">
        <v>97</v>
      </c>
      <c r="R793" s="46">
        <f>HEX2DEC(RIGHT(Table13232127[[#This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6" t="s">
        <v>97</v>
      </c>
      <c r="P794" s="46">
        <f>HEX2DEC(RIGHT(Table13232127[[#This Row],[h1]],8))</f>
        <v>0</v>
      </c>
      <c r="Q794" s="46" t="s">
        <v>97</v>
      </c>
      <c r="R794" s="46">
        <f>HEX2DEC(RIGHT(Table13232127[[#This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6" t="s">
        <v>97</v>
      </c>
      <c r="P795" s="46">
        <f>HEX2DEC(RIGHT(Table13232127[[#This Row],[h1]],8))</f>
        <v>0</v>
      </c>
      <c r="Q795" s="46" t="s">
        <v>97</v>
      </c>
      <c r="R795" s="46">
        <f>HEX2DEC(RIGHT(Table13232127[[#This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6" t="s">
        <v>97</v>
      </c>
      <c r="P796" s="46">
        <f>HEX2DEC(RIGHT(Table13232127[[#This Row],[h1]],8))</f>
        <v>0</v>
      </c>
      <c r="Q796" s="46" t="s">
        <v>97</v>
      </c>
      <c r="R796" s="46">
        <f>HEX2DEC(RIGHT(Table13232127[[#This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6" t="s">
        <v>97</v>
      </c>
      <c r="P797" s="46">
        <f>HEX2DEC(RIGHT(Table13232127[[#This Row],[h1]],8))</f>
        <v>0</v>
      </c>
      <c r="Q797" s="46" t="s">
        <v>97</v>
      </c>
      <c r="R797" s="46">
        <f>HEX2DEC(RIGHT(Table13232127[[#This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6" t="s">
        <v>97</v>
      </c>
      <c r="P798" s="46">
        <f>HEX2DEC(RIGHT(Table13232127[[#This Row],[h1]],8))</f>
        <v>0</v>
      </c>
      <c r="Q798" s="46" t="s">
        <v>97</v>
      </c>
      <c r="R798" s="46">
        <f>HEX2DEC(RIGHT(Table13232127[[#This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6" t="s">
        <v>97</v>
      </c>
      <c r="P799" s="46">
        <f>HEX2DEC(RIGHT(Table13232127[[#This Row],[h1]],8))</f>
        <v>0</v>
      </c>
      <c r="Q799" s="46" t="s">
        <v>97</v>
      </c>
      <c r="R799" s="46">
        <f>HEX2DEC(RIGHT(Table13232127[[#This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6" t="s">
        <v>97</v>
      </c>
      <c r="P800" s="46">
        <f>HEX2DEC(RIGHT(Table13232127[[#This Row],[h1]],8))</f>
        <v>0</v>
      </c>
      <c r="Q800" s="46" t="s">
        <v>97</v>
      </c>
      <c r="R800" s="46">
        <f>HEX2DEC(RIGHT(Table13232127[[#This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6" t="s">
        <v>97</v>
      </c>
      <c r="P801" s="46">
        <f>HEX2DEC(RIGHT(Table13232127[[#This Row],[h1]],8))</f>
        <v>0</v>
      </c>
      <c r="Q801" s="46" t="s">
        <v>97</v>
      </c>
      <c r="R801" s="46">
        <f>HEX2DEC(RIGHT(Table13232127[[#This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6" t="s">
        <v>97</v>
      </c>
      <c r="P802" s="46">
        <f>HEX2DEC(RIGHT(Table13232127[[#This Row],[h1]],8))</f>
        <v>0</v>
      </c>
      <c r="Q802" s="46" t="s">
        <v>97</v>
      </c>
      <c r="R802" s="46">
        <f>HEX2DEC(RIGHT(Table13232127[[#This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6" t="s">
        <v>97</v>
      </c>
      <c r="P803" s="46">
        <f>HEX2DEC(RIGHT(Table13232127[[#This Row],[h1]],8))</f>
        <v>0</v>
      </c>
      <c r="Q803" s="46" t="s">
        <v>97</v>
      </c>
      <c r="R803" s="46">
        <f>HEX2DEC(RIGHT(Table13232127[[#This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6" t="s">
        <v>97</v>
      </c>
      <c r="P804" s="46">
        <f>HEX2DEC(RIGHT(Table13232127[[#This Row],[h1]],8))</f>
        <v>0</v>
      </c>
      <c r="Q804" s="46" t="s">
        <v>97</v>
      </c>
      <c r="R804" s="46">
        <f>HEX2DEC(RIGHT(Table13232127[[#This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6" t="s">
        <v>97</v>
      </c>
      <c r="P805" s="46">
        <f>HEX2DEC(RIGHT(Table13232127[[#This Row],[h1]],8))</f>
        <v>0</v>
      </c>
      <c r="Q805" s="46" t="s">
        <v>97</v>
      </c>
      <c r="R805" s="46">
        <f>HEX2DEC(RIGHT(Table13232127[[#This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6" t="s">
        <v>97</v>
      </c>
      <c r="P806" s="46">
        <f>HEX2DEC(RIGHT(Table13232127[[#This Row],[h1]],8))</f>
        <v>0</v>
      </c>
      <c r="Q806" s="46" t="s">
        <v>97</v>
      </c>
      <c r="R806" s="46">
        <f>HEX2DEC(RIGHT(Table13232127[[#This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6" t="s">
        <v>97</v>
      </c>
      <c r="P807" s="46">
        <f>HEX2DEC(RIGHT(Table13232127[[#This Row],[h1]],8))</f>
        <v>0</v>
      </c>
      <c r="Q807" s="46" t="s">
        <v>97</v>
      </c>
      <c r="R807" s="46">
        <f>HEX2DEC(RIGHT(Table13232127[[#This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6" t="s">
        <v>97</v>
      </c>
      <c r="P808" s="46">
        <f>HEX2DEC(RIGHT(Table13232127[[#This Row],[h1]],8))</f>
        <v>0</v>
      </c>
      <c r="Q808" s="46" t="s">
        <v>97</v>
      </c>
      <c r="R808" s="46">
        <f>HEX2DEC(RIGHT(Table13232127[[#This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6" t="s">
        <v>97</v>
      </c>
      <c r="P809" s="46">
        <f>HEX2DEC(RIGHT(Table13232127[[#This Row],[h1]],8))</f>
        <v>0</v>
      </c>
      <c r="Q809" s="46" t="s">
        <v>97</v>
      </c>
      <c r="R809" s="46">
        <f>HEX2DEC(RIGHT(Table13232127[[#This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6" t="s">
        <v>97</v>
      </c>
      <c r="P810" s="46">
        <f>HEX2DEC(RIGHT(Table13232127[[#This Row],[h1]],8))</f>
        <v>0</v>
      </c>
      <c r="Q810" s="46" t="s">
        <v>97</v>
      </c>
      <c r="R810" s="46">
        <f>HEX2DEC(RIGHT(Table13232127[[#This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6" t="s">
        <v>97</v>
      </c>
      <c r="P811" s="46">
        <f>HEX2DEC(RIGHT(Table13232127[[#This Row],[h1]],8))</f>
        <v>0</v>
      </c>
      <c r="Q811" s="46" t="s">
        <v>97</v>
      </c>
      <c r="R811" s="46">
        <f>HEX2DEC(RIGHT(Table13232127[[#This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6" t="s">
        <v>97</v>
      </c>
      <c r="P812" s="46">
        <f>HEX2DEC(RIGHT(Table13232127[[#This Row],[h1]],8))</f>
        <v>0</v>
      </c>
      <c r="Q812" s="46" t="s">
        <v>97</v>
      </c>
      <c r="R812" s="46">
        <f>HEX2DEC(RIGHT(Table13232127[[#This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6" t="s">
        <v>97</v>
      </c>
      <c r="P813" s="46">
        <f>HEX2DEC(RIGHT(Table13232127[[#This Row],[h1]],8))</f>
        <v>0</v>
      </c>
      <c r="Q813" s="46" t="s">
        <v>97</v>
      </c>
      <c r="R813" s="46">
        <f>HEX2DEC(RIGHT(Table13232127[[#This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6" t="s">
        <v>97</v>
      </c>
      <c r="P814" s="46">
        <f>HEX2DEC(RIGHT(Table13232127[[#This Row],[h1]],8))</f>
        <v>0</v>
      </c>
      <c r="Q814" s="46" t="s">
        <v>97</v>
      </c>
      <c r="R814" s="46">
        <f>HEX2DEC(RIGHT(Table13232127[[#This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6" t="s">
        <v>97</v>
      </c>
      <c r="P815" s="46">
        <f>HEX2DEC(RIGHT(Table13232127[[#This Row],[h1]],8))</f>
        <v>0</v>
      </c>
      <c r="Q815" s="46" t="s">
        <v>97</v>
      </c>
      <c r="R815" s="46">
        <f>HEX2DEC(RIGHT(Table13232127[[#This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6" t="s">
        <v>97</v>
      </c>
      <c r="P816" s="46">
        <f>HEX2DEC(RIGHT(Table13232127[[#This Row],[h1]],8))</f>
        <v>0</v>
      </c>
      <c r="Q816" s="46" t="s">
        <v>97</v>
      </c>
      <c r="R816" s="46">
        <f>HEX2DEC(RIGHT(Table13232127[[#This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6" t="s">
        <v>97</v>
      </c>
      <c r="P817" s="46">
        <f>HEX2DEC(RIGHT(Table13232127[[#This Row],[h1]],8))</f>
        <v>0</v>
      </c>
      <c r="Q817" s="46" t="s">
        <v>97</v>
      </c>
      <c r="R817" s="46">
        <f>HEX2DEC(RIGHT(Table13232127[[#This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6" t="s">
        <v>97</v>
      </c>
      <c r="P818" s="46">
        <f>HEX2DEC(RIGHT(Table13232127[[#This Row],[h1]],8))</f>
        <v>0</v>
      </c>
      <c r="Q818" s="46" t="s">
        <v>97</v>
      </c>
      <c r="R818" s="46">
        <f>HEX2DEC(RIGHT(Table13232127[[#This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6" t="s">
        <v>97</v>
      </c>
      <c r="P819" s="46">
        <f>HEX2DEC(RIGHT(Table13232127[[#This Row],[h1]],8))</f>
        <v>0</v>
      </c>
      <c r="Q819" s="46" t="s">
        <v>97</v>
      </c>
      <c r="R819" s="46">
        <f>HEX2DEC(RIGHT(Table13232127[[#This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6" t="s">
        <v>97</v>
      </c>
      <c r="P820" s="46">
        <f>HEX2DEC(RIGHT(Table13232127[[#This Row],[h1]],8))</f>
        <v>0</v>
      </c>
      <c r="Q820" s="46" t="s">
        <v>97</v>
      </c>
      <c r="R820" s="46">
        <f>HEX2DEC(RIGHT(Table13232127[[#This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6" t="s">
        <v>97</v>
      </c>
      <c r="P821" s="46">
        <f>HEX2DEC(RIGHT(Table13232127[[#This Row],[h1]],8))</f>
        <v>0</v>
      </c>
      <c r="Q821" s="46" t="s">
        <v>97</v>
      </c>
      <c r="R821" s="46">
        <f>HEX2DEC(RIGHT(Table13232127[[#This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6" t="s">
        <v>97</v>
      </c>
      <c r="P822" s="46">
        <f>HEX2DEC(RIGHT(Table13232127[[#This Row],[h1]],8))</f>
        <v>0</v>
      </c>
      <c r="Q822" s="46" t="s">
        <v>97</v>
      </c>
      <c r="R822" s="46">
        <f>HEX2DEC(RIGHT(Table13232127[[#This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6" t="s">
        <v>97</v>
      </c>
      <c r="P823" s="46">
        <f>HEX2DEC(RIGHT(Table13232127[[#This Row],[h1]],8))</f>
        <v>0</v>
      </c>
      <c r="Q823" s="46" t="s">
        <v>97</v>
      </c>
      <c r="R823" s="46">
        <f>HEX2DEC(RIGHT(Table13232127[[#This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6" t="s">
        <v>97</v>
      </c>
      <c r="P824" s="46">
        <f>HEX2DEC(RIGHT(Table13232127[[#This Row],[h1]],8))</f>
        <v>0</v>
      </c>
      <c r="Q824" s="46" t="s">
        <v>97</v>
      </c>
      <c r="R824" s="46">
        <f>HEX2DEC(RIGHT(Table13232127[[#This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6" t="s">
        <v>97</v>
      </c>
      <c r="P825" s="46">
        <f>HEX2DEC(RIGHT(Table13232127[[#This Row],[h1]],8))</f>
        <v>0</v>
      </c>
      <c r="Q825" s="46" t="s">
        <v>97</v>
      </c>
      <c r="R825" s="46">
        <f>HEX2DEC(RIGHT(Table13232127[[#This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6" t="s">
        <v>97</v>
      </c>
      <c r="P826" s="46">
        <f>HEX2DEC(RIGHT(Table13232127[[#This Row],[h1]],8))</f>
        <v>0</v>
      </c>
      <c r="Q826" s="46" t="s">
        <v>97</v>
      </c>
      <c r="R826" s="46">
        <f>HEX2DEC(RIGHT(Table13232127[[#This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6" t="s">
        <v>97</v>
      </c>
      <c r="P827" s="46">
        <f>HEX2DEC(RIGHT(Table13232127[[#This Row],[h1]],8))</f>
        <v>0</v>
      </c>
      <c r="Q827" s="46" t="s">
        <v>97</v>
      </c>
      <c r="R827" s="46">
        <f>HEX2DEC(RIGHT(Table13232127[[#This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6" t="s">
        <v>97</v>
      </c>
      <c r="P828" s="46">
        <f>HEX2DEC(RIGHT(Table13232127[[#This Row],[h1]],8))</f>
        <v>0</v>
      </c>
      <c r="Q828" s="46" t="s">
        <v>97</v>
      </c>
      <c r="R828" s="46">
        <f>HEX2DEC(RIGHT(Table13232127[[#This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6" t="s">
        <v>97</v>
      </c>
      <c r="P829" s="46">
        <f>HEX2DEC(RIGHT(Table13232127[[#This Row],[h1]],8))</f>
        <v>0</v>
      </c>
      <c r="Q829" s="46" t="s">
        <v>97</v>
      </c>
      <c r="R829" s="46">
        <f>HEX2DEC(RIGHT(Table13232127[[#This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6" t="s">
        <v>97</v>
      </c>
      <c r="P830" s="46">
        <f>HEX2DEC(RIGHT(Table13232127[[#This Row],[h1]],8))</f>
        <v>0</v>
      </c>
      <c r="Q830" s="46" t="s">
        <v>97</v>
      </c>
      <c r="R830" s="46">
        <f>HEX2DEC(RIGHT(Table13232127[[#This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6" t="s">
        <v>97</v>
      </c>
      <c r="P831" s="46">
        <f>HEX2DEC(RIGHT(Table13232127[[#This Row],[h1]],8))</f>
        <v>0</v>
      </c>
      <c r="Q831" s="46" t="s">
        <v>97</v>
      </c>
      <c r="R831" s="46">
        <f>HEX2DEC(RIGHT(Table13232127[[#This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6" t="s">
        <v>97</v>
      </c>
      <c r="P832" s="46">
        <f>HEX2DEC(RIGHT(Table13232127[[#This Row],[h1]],8))</f>
        <v>0</v>
      </c>
      <c r="Q832" s="46" t="s">
        <v>97</v>
      </c>
      <c r="R832" s="46">
        <f>HEX2DEC(RIGHT(Table13232127[[#This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6" t="s">
        <v>97</v>
      </c>
      <c r="P833" s="46">
        <f>HEX2DEC(RIGHT(Table13232127[[#This Row],[h1]],8))</f>
        <v>0</v>
      </c>
      <c r="Q833" s="46" t="s">
        <v>97</v>
      </c>
      <c r="R833" s="46">
        <f>HEX2DEC(RIGHT(Table13232127[[#This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6" t="s">
        <v>97</v>
      </c>
      <c r="P834" s="46">
        <f>HEX2DEC(RIGHT(Table13232127[[#This Row],[h1]],8))</f>
        <v>0</v>
      </c>
      <c r="Q834" s="46" t="s">
        <v>97</v>
      </c>
      <c r="R834" s="46">
        <f>HEX2DEC(RIGHT(Table13232127[[#This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6" t="s">
        <v>97</v>
      </c>
      <c r="P835" s="46">
        <f>HEX2DEC(RIGHT(Table13232127[[#This Row],[h1]],8))</f>
        <v>0</v>
      </c>
      <c r="Q835" s="46" t="s">
        <v>97</v>
      </c>
      <c r="R835" s="46">
        <f>HEX2DEC(RIGHT(Table13232127[[#This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6" t="s">
        <v>97</v>
      </c>
      <c r="P836" s="46">
        <f>HEX2DEC(RIGHT(Table13232127[[#This Row],[h1]],8))</f>
        <v>0</v>
      </c>
      <c r="Q836" s="46" t="s">
        <v>97</v>
      </c>
      <c r="R836" s="46">
        <f>HEX2DEC(RIGHT(Table13232127[[#This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6" t="s">
        <v>97</v>
      </c>
      <c r="P837" s="46">
        <f>HEX2DEC(RIGHT(Table13232127[[#This Row],[h1]],8))</f>
        <v>0</v>
      </c>
      <c r="Q837" s="46" t="s">
        <v>97</v>
      </c>
      <c r="R837" s="46">
        <f>HEX2DEC(RIGHT(Table13232127[[#This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6" t="s">
        <v>97</v>
      </c>
      <c r="P838" s="46">
        <f>HEX2DEC(RIGHT(Table13232127[[#This Row],[h1]],8))</f>
        <v>0</v>
      </c>
      <c r="Q838" s="46" t="s">
        <v>97</v>
      </c>
      <c r="R838" s="46">
        <f>HEX2DEC(RIGHT(Table13232127[[#This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6" t="s">
        <v>97</v>
      </c>
      <c r="P839" s="46">
        <f>HEX2DEC(RIGHT(Table13232127[[#This Row],[h1]],8))</f>
        <v>0</v>
      </c>
      <c r="Q839" s="46" t="s">
        <v>97</v>
      </c>
      <c r="R839" s="46">
        <f>HEX2DEC(RIGHT(Table13232127[[#This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6" t="s">
        <v>97</v>
      </c>
      <c r="P840" s="46">
        <f>HEX2DEC(RIGHT(Table13232127[[#This Row],[h1]],8))</f>
        <v>0</v>
      </c>
      <c r="Q840" s="46" t="s">
        <v>97</v>
      </c>
      <c r="R840" s="46">
        <f>HEX2DEC(RIGHT(Table13232127[[#This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6" t="s">
        <v>97</v>
      </c>
      <c r="P841" s="46">
        <f>HEX2DEC(RIGHT(Table13232127[[#This Row],[h1]],8))</f>
        <v>0</v>
      </c>
      <c r="Q841" s="46" t="s">
        <v>97</v>
      </c>
      <c r="R841" s="46">
        <f>HEX2DEC(RIGHT(Table13232127[[#This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6" t="s">
        <v>97</v>
      </c>
      <c r="P842" s="46">
        <f>HEX2DEC(RIGHT(Table13232127[[#This Row],[h1]],8))</f>
        <v>0</v>
      </c>
      <c r="Q842" s="46" t="s">
        <v>97</v>
      </c>
      <c r="R842" s="46">
        <f>HEX2DEC(RIGHT(Table13232127[[#This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6" t="s">
        <v>97</v>
      </c>
      <c r="P843" s="46">
        <f>HEX2DEC(RIGHT(Table13232127[[#This Row],[h1]],8))</f>
        <v>0</v>
      </c>
      <c r="Q843" s="46" t="s">
        <v>97</v>
      </c>
      <c r="R843" s="46">
        <f>HEX2DEC(RIGHT(Table13232127[[#This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6" t="s">
        <v>97</v>
      </c>
      <c r="P844" s="46">
        <f>HEX2DEC(RIGHT(Table13232127[[#This Row],[h1]],8))</f>
        <v>0</v>
      </c>
      <c r="Q844" s="46" t="s">
        <v>97</v>
      </c>
      <c r="R844" s="46">
        <f>HEX2DEC(RIGHT(Table13232127[[#This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6" t="s">
        <v>97</v>
      </c>
      <c r="P845" s="46">
        <f>HEX2DEC(RIGHT(Table13232127[[#This Row],[h1]],8))</f>
        <v>0</v>
      </c>
      <c r="Q845" s="46" t="s">
        <v>97</v>
      </c>
      <c r="R845" s="46">
        <f>HEX2DEC(RIGHT(Table13232127[[#This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6" t="s">
        <v>97</v>
      </c>
      <c r="P846" s="46">
        <f>HEX2DEC(RIGHT(Table13232127[[#This Row],[h1]],8))</f>
        <v>0</v>
      </c>
      <c r="Q846" s="46" t="s">
        <v>97</v>
      </c>
      <c r="R846" s="46">
        <f>HEX2DEC(RIGHT(Table13232127[[#This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6" t="s">
        <v>97</v>
      </c>
      <c r="P847" s="46">
        <f>HEX2DEC(RIGHT(Table13232127[[#This Row],[h1]],8))</f>
        <v>0</v>
      </c>
      <c r="Q847" s="46" t="s">
        <v>97</v>
      </c>
      <c r="R847" s="46">
        <f>HEX2DEC(RIGHT(Table13232127[[#This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6" t="s">
        <v>97</v>
      </c>
      <c r="P848" s="46">
        <f>HEX2DEC(RIGHT(Table13232127[[#This Row],[h1]],8))</f>
        <v>0</v>
      </c>
      <c r="Q848" s="46" t="s">
        <v>97</v>
      </c>
      <c r="R848" s="46">
        <f>HEX2DEC(RIGHT(Table13232127[[#This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6" t="s">
        <v>97</v>
      </c>
      <c r="P849" s="46">
        <f>HEX2DEC(RIGHT(Table13232127[[#This Row],[h1]],8))</f>
        <v>0</v>
      </c>
      <c r="Q849" s="46" t="s">
        <v>97</v>
      </c>
      <c r="R849" s="46">
        <f>HEX2DEC(RIGHT(Table13232127[[#This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6" t="s">
        <v>97</v>
      </c>
      <c r="P850" s="46">
        <f>HEX2DEC(RIGHT(Table13232127[[#This Row],[h1]],8))</f>
        <v>0</v>
      </c>
      <c r="Q850" s="46" t="s">
        <v>97</v>
      </c>
      <c r="R850" s="46">
        <f>HEX2DEC(RIGHT(Table13232127[[#This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6" t="s">
        <v>97</v>
      </c>
      <c r="P851" s="46">
        <f>HEX2DEC(RIGHT(Table13232127[[#This Row],[h1]],8))</f>
        <v>0</v>
      </c>
      <c r="Q851" s="46" t="s">
        <v>97</v>
      </c>
      <c r="R851" s="46">
        <f>HEX2DEC(RIGHT(Table13232127[[#This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6" t="s">
        <v>97</v>
      </c>
      <c r="P852" s="46">
        <f>HEX2DEC(RIGHT(Table13232127[[#This Row],[h1]],8))</f>
        <v>0</v>
      </c>
      <c r="Q852" s="46" t="s">
        <v>97</v>
      </c>
      <c r="R852" s="46">
        <f>HEX2DEC(RIGHT(Table13232127[[#This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6" t="s">
        <v>97</v>
      </c>
      <c r="P853" s="46">
        <f>HEX2DEC(RIGHT(Table13232127[[#This Row],[h1]],8))</f>
        <v>0</v>
      </c>
      <c r="Q853" s="46" t="s">
        <v>97</v>
      </c>
      <c r="R853" s="46">
        <f>HEX2DEC(RIGHT(Table13232127[[#This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6" t="s">
        <v>97</v>
      </c>
      <c r="P854" s="46">
        <f>HEX2DEC(RIGHT(Table13232127[[#This Row],[h1]],8))</f>
        <v>0</v>
      </c>
      <c r="Q854" s="46" t="s">
        <v>97</v>
      </c>
      <c r="R854" s="46">
        <f>HEX2DEC(RIGHT(Table13232127[[#This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6" t="s">
        <v>97</v>
      </c>
      <c r="P855" s="46">
        <f>HEX2DEC(RIGHT(Table13232127[[#This Row],[h1]],8))</f>
        <v>0</v>
      </c>
      <c r="Q855" s="46" t="s">
        <v>97</v>
      </c>
      <c r="R855" s="46">
        <f>HEX2DEC(RIGHT(Table13232127[[#This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6" t="s">
        <v>97</v>
      </c>
      <c r="P856" s="46">
        <f>HEX2DEC(RIGHT(Table13232127[[#This Row],[h1]],8))</f>
        <v>0</v>
      </c>
      <c r="Q856" s="46" t="s">
        <v>97</v>
      </c>
      <c r="R856" s="46">
        <f>HEX2DEC(RIGHT(Table13232127[[#This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6" t="s">
        <v>97</v>
      </c>
      <c r="P857" s="46">
        <f>HEX2DEC(RIGHT(Table13232127[[#This Row],[h1]],8))</f>
        <v>0</v>
      </c>
      <c r="Q857" s="46" t="s">
        <v>97</v>
      </c>
      <c r="R857" s="46">
        <f>HEX2DEC(RIGHT(Table13232127[[#This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6" t="s">
        <v>97</v>
      </c>
      <c r="P858" s="46">
        <f>HEX2DEC(RIGHT(Table13232127[[#This Row],[h1]],8))</f>
        <v>0</v>
      </c>
      <c r="Q858" s="46" t="s">
        <v>97</v>
      </c>
      <c r="R858" s="46">
        <f>HEX2DEC(RIGHT(Table13232127[[#This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6" t="s">
        <v>97</v>
      </c>
      <c r="P859" s="46">
        <f>HEX2DEC(RIGHT(Table13232127[[#This Row],[h1]],8))</f>
        <v>0</v>
      </c>
      <c r="Q859" s="46" t="s">
        <v>97</v>
      </c>
      <c r="R859" s="46">
        <f>HEX2DEC(RIGHT(Table13232127[[#This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6" t="s">
        <v>97</v>
      </c>
      <c r="P860" s="46">
        <f>HEX2DEC(RIGHT(Table13232127[[#This Row],[h1]],8))</f>
        <v>0</v>
      </c>
      <c r="Q860" s="46" t="s">
        <v>97</v>
      </c>
      <c r="R860" s="46">
        <f>HEX2DEC(RIGHT(Table13232127[[#This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6" t="s">
        <v>97</v>
      </c>
      <c r="P861" s="46">
        <f>HEX2DEC(RIGHT(Table13232127[[#This Row],[h1]],8))</f>
        <v>0</v>
      </c>
      <c r="Q861" s="46" t="s">
        <v>97</v>
      </c>
      <c r="R861" s="46">
        <f>HEX2DEC(RIGHT(Table13232127[[#This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6" t="s">
        <v>97</v>
      </c>
      <c r="P862" s="46">
        <f>HEX2DEC(RIGHT(Table13232127[[#This Row],[h1]],8))</f>
        <v>0</v>
      </c>
      <c r="Q862" s="46" t="s">
        <v>97</v>
      </c>
      <c r="R862" s="46">
        <f>HEX2DEC(RIGHT(Table13232127[[#This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6" t="s">
        <v>97</v>
      </c>
      <c r="P863" s="46">
        <f>HEX2DEC(RIGHT(Table13232127[[#This Row],[h1]],8))</f>
        <v>0</v>
      </c>
      <c r="Q863" s="46" t="s">
        <v>97</v>
      </c>
      <c r="R863" s="46">
        <f>HEX2DEC(RIGHT(Table13232127[[#This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6" t="s">
        <v>97</v>
      </c>
      <c r="P864" s="46">
        <f>HEX2DEC(RIGHT(Table13232127[[#This Row],[h1]],8))</f>
        <v>0</v>
      </c>
      <c r="Q864" s="46" t="s">
        <v>97</v>
      </c>
      <c r="R864" s="46">
        <f>HEX2DEC(RIGHT(Table13232127[[#This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6" t="s">
        <v>97</v>
      </c>
      <c r="P865" s="46">
        <f>HEX2DEC(RIGHT(Table13232127[[#This Row],[h1]],8))</f>
        <v>0</v>
      </c>
      <c r="Q865" s="46" t="s">
        <v>97</v>
      </c>
      <c r="R865" s="46">
        <f>HEX2DEC(RIGHT(Table13232127[[#This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6" t="s">
        <v>97</v>
      </c>
      <c r="P866" s="46">
        <f>HEX2DEC(RIGHT(Table13232127[[#This Row],[h1]],8))</f>
        <v>0</v>
      </c>
      <c r="Q866" s="46" t="s">
        <v>97</v>
      </c>
      <c r="R866" s="46">
        <f>HEX2DEC(RIGHT(Table13232127[[#This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6" t="s">
        <v>97</v>
      </c>
      <c r="P867" s="46">
        <f>HEX2DEC(RIGHT(Table13232127[[#This Row],[h1]],8))</f>
        <v>0</v>
      </c>
      <c r="Q867" s="46" t="s">
        <v>97</v>
      </c>
      <c r="R867" s="46">
        <f>HEX2DEC(RIGHT(Table13232127[[#This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6" t="s">
        <v>97</v>
      </c>
      <c r="P868" s="46">
        <f>HEX2DEC(RIGHT(Table13232127[[#This Row],[h1]],8))</f>
        <v>0</v>
      </c>
      <c r="Q868" s="46" t="s">
        <v>97</v>
      </c>
      <c r="R868" s="46">
        <f>HEX2DEC(RIGHT(Table13232127[[#This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6" t="s">
        <v>97</v>
      </c>
      <c r="P869" s="46">
        <f>HEX2DEC(RIGHT(Table13232127[[#This Row],[h1]],8))</f>
        <v>0</v>
      </c>
      <c r="Q869" s="46" t="s">
        <v>97</v>
      </c>
      <c r="R869" s="46">
        <f>HEX2DEC(RIGHT(Table13232127[[#This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6" t="s">
        <v>97</v>
      </c>
      <c r="P870" s="46">
        <f>HEX2DEC(RIGHT(Table13232127[[#This Row],[h1]],8))</f>
        <v>0</v>
      </c>
      <c r="Q870" s="46" t="s">
        <v>97</v>
      </c>
      <c r="R870" s="46">
        <f>HEX2DEC(RIGHT(Table13232127[[#This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6" t="s">
        <v>97</v>
      </c>
      <c r="P871" s="46">
        <f>HEX2DEC(RIGHT(Table13232127[[#This Row],[h1]],8))</f>
        <v>0</v>
      </c>
      <c r="Q871" s="46" t="s">
        <v>97</v>
      </c>
      <c r="R871" s="46">
        <f>HEX2DEC(RIGHT(Table13232127[[#This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6" t="s">
        <v>97</v>
      </c>
      <c r="P872" s="46">
        <f>HEX2DEC(RIGHT(Table13232127[[#This Row],[h1]],8))</f>
        <v>0</v>
      </c>
      <c r="Q872" s="46" t="s">
        <v>97</v>
      </c>
      <c r="R872" s="46">
        <f>HEX2DEC(RIGHT(Table13232127[[#This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6" t="s">
        <v>97</v>
      </c>
      <c r="P873" s="46">
        <f>HEX2DEC(RIGHT(Table13232127[[#This Row],[h1]],8))</f>
        <v>0</v>
      </c>
      <c r="Q873" s="46" t="s">
        <v>97</v>
      </c>
      <c r="R873" s="46">
        <f>HEX2DEC(RIGHT(Table13232127[[#This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6" t="s">
        <v>97</v>
      </c>
      <c r="P874" s="46">
        <f>HEX2DEC(RIGHT(Table13232127[[#This Row],[h1]],8))</f>
        <v>0</v>
      </c>
      <c r="Q874" s="46" t="s">
        <v>97</v>
      </c>
      <c r="R874" s="46">
        <f>HEX2DEC(RIGHT(Table13232127[[#This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6" t="s">
        <v>97</v>
      </c>
      <c r="P875" s="46">
        <f>HEX2DEC(RIGHT(Table13232127[[#This Row],[h1]],8))</f>
        <v>0</v>
      </c>
      <c r="Q875" s="46" t="s">
        <v>97</v>
      </c>
      <c r="R875" s="46">
        <f>HEX2DEC(RIGHT(Table13232127[[#This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6" t="s">
        <v>97</v>
      </c>
      <c r="P876" s="46">
        <f>HEX2DEC(RIGHT(Table13232127[[#This Row],[h1]],8))</f>
        <v>0</v>
      </c>
      <c r="Q876" s="46" t="s">
        <v>97</v>
      </c>
      <c r="R876" s="46">
        <f>HEX2DEC(RIGHT(Table13232127[[#This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6" t="s">
        <v>97</v>
      </c>
      <c r="P877" s="46">
        <f>HEX2DEC(RIGHT(Table13232127[[#This Row],[h1]],8))</f>
        <v>0</v>
      </c>
      <c r="Q877" s="46" t="s">
        <v>97</v>
      </c>
      <c r="R877" s="46">
        <f>HEX2DEC(RIGHT(Table13232127[[#This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6" t="s">
        <v>97</v>
      </c>
      <c r="P878" s="46">
        <f>HEX2DEC(RIGHT(Table13232127[[#This Row],[h1]],8))</f>
        <v>0</v>
      </c>
      <c r="Q878" s="46" t="s">
        <v>97</v>
      </c>
      <c r="R878" s="46">
        <f>HEX2DEC(RIGHT(Table13232127[[#This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6" t="s">
        <v>97</v>
      </c>
      <c r="P879" s="46">
        <f>HEX2DEC(RIGHT(Table13232127[[#This Row],[h1]],8))</f>
        <v>0</v>
      </c>
      <c r="Q879" s="46" t="s">
        <v>97</v>
      </c>
      <c r="R879" s="46">
        <f>HEX2DEC(RIGHT(Table13232127[[#This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6" t="s">
        <v>97</v>
      </c>
      <c r="P880" s="46">
        <f>HEX2DEC(RIGHT(Table13232127[[#This Row],[h1]],8))</f>
        <v>0</v>
      </c>
      <c r="Q880" s="46" t="s">
        <v>97</v>
      </c>
      <c r="R880" s="46">
        <f>HEX2DEC(RIGHT(Table13232127[[#This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6" t="s">
        <v>97</v>
      </c>
      <c r="P881" s="46">
        <f>HEX2DEC(RIGHT(Table13232127[[#This Row],[h1]],8))</f>
        <v>0</v>
      </c>
      <c r="Q881" s="46" t="s">
        <v>97</v>
      </c>
      <c r="R881" s="46">
        <f>HEX2DEC(RIGHT(Table13232127[[#This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6" t="s">
        <v>97</v>
      </c>
      <c r="P882" s="46">
        <f>HEX2DEC(RIGHT(Table13232127[[#This Row],[h1]],8))</f>
        <v>0</v>
      </c>
      <c r="Q882" s="46" t="s">
        <v>97</v>
      </c>
      <c r="R882" s="46">
        <f>HEX2DEC(RIGHT(Table13232127[[#This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6" t="s">
        <v>97</v>
      </c>
      <c r="P883" s="46">
        <f>HEX2DEC(RIGHT(Table13232127[[#This Row],[h1]],8))</f>
        <v>0</v>
      </c>
      <c r="Q883" s="46" t="s">
        <v>97</v>
      </c>
      <c r="R883" s="46">
        <f>HEX2DEC(RIGHT(Table13232127[[#This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6" t="s">
        <v>97</v>
      </c>
      <c r="P884" s="46">
        <f>HEX2DEC(RIGHT(Table13232127[[#This Row],[h1]],8))</f>
        <v>0</v>
      </c>
      <c r="Q884" s="46" t="s">
        <v>97</v>
      </c>
      <c r="R884" s="46">
        <f>HEX2DEC(RIGHT(Table13232127[[#This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6" t="s">
        <v>97</v>
      </c>
      <c r="P885" s="46">
        <f>HEX2DEC(RIGHT(Table13232127[[#This Row],[h1]],8))</f>
        <v>0</v>
      </c>
      <c r="Q885" s="46" t="s">
        <v>97</v>
      </c>
      <c r="R885" s="46">
        <f>HEX2DEC(RIGHT(Table13232127[[#This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6" t="s">
        <v>97</v>
      </c>
      <c r="P886" s="46">
        <f>HEX2DEC(RIGHT(Table13232127[[#This Row],[h1]],8))</f>
        <v>0</v>
      </c>
      <c r="Q886" s="46" t="s">
        <v>97</v>
      </c>
      <c r="R886" s="46">
        <f>HEX2DEC(RIGHT(Table13232127[[#This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6" t="s">
        <v>97</v>
      </c>
      <c r="P887" s="46">
        <f>HEX2DEC(RIGHT(Table13232127[[#This Row],[h1]],8))</f>
        <v>0</v>
      </c>
      <c r="Q887" s="46" t="s">
        <v>97</v>
      </c>
      <c r="R887" s="46">
        <f>HEX2DEC(RIGHT(Table13232127[[#This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6" t="s">
        <v>97</v>
      </c>
      <c r="P888" s="46">
        <f>HEX2DEC(RIGHT(Table13232127[[#This Row],[h1]],8))</f>
        <v>0</v>
      </c>
      <c r="Q888" s="46" t="s">
        <v>97</v>
      </c>
      <c r="R888" s="46">
        <f>HEX2DEC(RIGHT(Table13232127[[#This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6" t="s">
        <v>97</v>
      </c>
      <c r="P889" s="46">
        <f>HEX2DEC(RIGHT(Table13232127[[#This Row],[h1]],8))</f>
        <v>0</v>
      </c>
      <c r="Q889" s="46" t="s">
        <v>97</v>
      </c>
      <c r="R889" s="46">
        <f>HEX2DEC(RIGHT(Table13232127[[#This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6" t="s">
        <v>97</v>
      </c>
      <c r="P890" s="46">
        <f>HEX2DEC(RIGHT(Table13232127[[#This Row],[h1]],8))</f>
        <v>0</v>
      </c>
      <c r="Q890" s="46" t="s">
        <v>97</v>
      </c>
      <c r="R890" s="46">
        <f>HEX2DEC(RIGHT(Table13232127[[#This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6" t="s">
        <v>97</v>
      </c>
      <c r="P891" s="46">
        <f>HEX2DEC(RIGHT(Table13232127[[#This Row],[h1]],8))</f>
        <v>0</v>
      </c>
      <c r="Q891" s="46" t="s">
        <v>97</v>
      </c>
      <c r="R891" s="46">
        <f>HEX2DEC(RIGHT(Table13232127[[#This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6" t="s">
        <v>97</v>
      </c>
      <c r="P892" s="46">
        <f>HEX2DEC(RIGHT(Table13232127[[#This Row],[h1]],8))</f>
        <v>0</v>
      </c>
      <c r="Q892" s="46" t="s">
        <v>97</v>
      </c>
      <c r="R892" s="46">
        <f>HEX2DEC(RIGHT(Table13232127[[#This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6" t="s">
        <v>97</v>
      </c>
      <c r="P893" s="46">
        <f>HEX2DEC(RIGHT(Table13232127[[#This Row],[h1]],8))</f>
        <v>0</v>
      </c>
      <c r="Q893" s="46" t="s">
        <v>97</v>
      </c>
      <c r="R893" s="46">
        <f>HEX2DEC(RIGHT(Table13232127[[#This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6" t="s">
        <v>97</v>
      </c>
      <c r="P894" s="46">
        <f>HEX2DEC(RIGHT(Table13232127[[#This Row],[h1]],8))</f>
        <v>0</v>
      </c>
      <c r="Q894" s="46" t="s">
        <v>97</v>
      </c>
      <c r="R894" s="46">
        <f>HEX2DEC(RIGHT(Table13232127[[#This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6" t="s">
        <v>97</v>
      </c>
      <c r="P895" s="46">
        <f>HEX2DEC(RIGHT(Table13232127[[#This Row],[h1]],8))</f>
        <v>0</v>
      </c>
      <c r="Q895" s="46" t="s">
        <v>97</v>
      </c>
      <c r="R895" s="46">
        <f>HEX2DEC(RIGHT(Table13232127[[#This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6" t="s">
        <v>97</v>
      </c>
      <c r="P896" s="46">
        <f>HEX2DEC(RIGHT(Table13232127[[#This Row],[h1]],8))</f>
        <v>0</v>
      </c>
      <c r="Q896" s="46" t="s">
        <v>97</v>
      </c>
      <c r="R896" s="46">
        <f>HEX2DEC(RIGHT(Table13232127[[#This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6" t="s">
        <v>97</v>
      </c>
      <c r="P897" s="46">
        <f>HEX2DEC(RIGHT(Table13232127[[#This Row],[h1]],8))</f>
        <v>0</v>
      </c>
      <c r="Q897" s="46" t="s">
        <v>97</v>
      </c>
      <c r="R897" s="46">
        <f>HEX2DEC(RIGHT(Table13232127[[#This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6" t="s">
        <v>97</v>
      </c>
      <c r="P898" s="46">
        <f>HEX2DEC(RIGHT(Table13232127[[#This Row],[h1]],8))</f>
        <v>0</v>
      </c>
      <c r="Q898" s="46" t="s">
        <v>97</v>
      </c>
      <c r="R898" s="46">
        <f>HEX2DEC(RIGHT(Table13232127[[#This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6" t="s">
        <v>97</v>
      </c>
      <c r="P899" s="46">
        <f>HEX2DEC(RIGHT(Table13232127[[#This Row],[h1]],8))</f>
        <v>0</v>
      </c>
      <c r="Q899" s="46" t="s">
        <v>97</v>
      </c>
      <c r="R899" s="46">
        <f>HEX2DEC(RIGHT(Table13232127[[#This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6" t="s">
        <v>97</v>
      </c>
      <c r="P900" s="46">
        <f>HEX2DEC(RIGHT(Table13232127[[#This Row],[h1]],8))</f>
        <v>0</v>
      </c>
      <c r="Q900" s="46" t="s">
        <v>97</v>
      </c>
      <c r="R900" s="46">
        <f>HEX2DEC(RIGHT(Table13232127[[#This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6" t="s">
        <v>97</v>
      </c>
      <c r="P901" s="46">
        <f>HEX2DEC(RIGHT(Table13232127[[#This Row],[h1]],8))</f>
        <v>0</v>
      </c>
      <c r="Q901" s="46" t="s">
        <v>97</v>
      </c>
      <c r="R901" s="46">
        <f>HEX2DEC(RIGHT(Table13232127[[#This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6" t="s">
        <v>97</v>
      </c>
      <c r="P902" s="46">
        <f>HEX2DEC(RIGHT(Table13232127[[#This Row],[h1]],8))</f>
        <v>0</v>
      </c>
      <c r="Q902" s="46" t="s">
        <v>97</v>
      </c>
      <c r="R902" s="46">
        <f>HEX2DEC(RIGHT(Table13232127[[#This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6" t="s">
        <v>97</v>
      </c>
      <c r="P903" s="46">
        <f>HEX2DEC(RIGHT(Table13232127[[#This Row],[h1]],8))</f>
        <v>0</v>
      </c>
      <c r="Q903" s="46" t="s">
        <v>97</v>
      </c>
      <c r="R903" s="46">
        <f>HEX2DEC(RIGHT(Table13232127[[#This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6" t="s">
        <v>97</v>
      </c>
      <c r="P904" s="46">
        <f>HEX2DEC(RIGHT(Table13232127[[#This Row],[h1]],8))</f>
        <v>0</v>
      </c>
      <c r="Q904" s="46" t="s">
        <v>97</v>
      </c>
      <c r="R904" s="46">
        <f>HEX2DEC(RIGHT(Table13232127[[#This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6" t="s">
        <v>97</v>
      </c>
      <c r="P905" s="46">
        <f>HEX2DEC(RIGHT(Table13232127[[#This Row],[h1]],8))</f>
        <v>0</v>
      </c>
      <c r="Q905" s="46" t="s">
        <v>97</v>
      </c>
      <c r="R905" s="46">
        <f>HEX2DEC(RIGHT(Table13232127[[#This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6" t="s">
        <v>97</v>
      </c>
      <c r="P906" s="46">
        <f>HEX2DEC(RIGHT(Table13232127[[#This Row],[h1]],8))</f>
        <v>0</v>
      </c>
      <c r="Q906" s="46" t="s">
        <v>97</v>
      </c>
      <c r="R906" s="46">
        <f>HEX2DEC(RIGHT(Table13232127[[#This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6" t="s">
        <v>97</v>
      </c>
      <c r="P907" s="46">
        <f>HEX2DEC(RIGHT(Table13232127[[#This Row],[h1]],8))</f>
        <v>0</v>
      </c>
      <c r="Q907" s="46" t="s">
        <v>97</v>
      </c>
      <c r="R907" s="46">
        <f>HEX2DEC(RIGHT(Table13232127[[#This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6" t="s">
        <v>97</v>
      </c>
      <c r="P908" s="46">
        <f>HEX2DEC(RIGHT(Table13232127[[#This Row],[h1]],8))</f>
        <v>0</v>
      </c>
      <c r="Q908" s="46" t="s">
        <v>97</v>
      </c>
      <c r="R908" s="46">
        <f>HEX2DEC(RIGHT(Table13232127[[#This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6" t="s">
        <v>97</v>
      </c>
      <c r="P909" s="46">
        <f>HEX2DEC(RIGHT(Table13232127[[#This Row],[h1]],8))</f>
        <v>0</v>
      </c>
      <c r="Q909" s="46" t="s">
        <v>97</v>
      </c>
      <c r="R909" s="46">
        <f>HEX2DEC(RIGHT(Table13232127[[#This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6" t="s">
        <v>97</v>
      </c>
      <c r="P910" s="46">
        <f>HEX2DEC(RIGHT(Table13232127[[#This Row],[h1]],8))</f>
        <v>0</v>
      </c>
      <c r="Q910" s="46" t="s">
        <v>97</v>
      </c>
      <c r="R910" s="46">
        <f>HEX2DEC(RIGHT(Table13232127[[#This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6" t="s">
        <v>97</v>
      </c>
      <c r="P911" s="46">
        <f>HEX2DEC(RIGHT(Table13232127[[#This Row],[h1]],8))</f>
        <v>0</v>
      </c>
      <c r="Q911" s="46" t="s">
        <v>97</v>
      </c>
      <c r="R911" s="46">
        <f>HEX2DEC(RIGHT(Table13232127[[#This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6" t="s">
        <v>97</v>
      </c>
      <c r="P912" s="46">
        <f>HEX2DEC(RIGHT(Table13232127[[#This Row],[h1]],8))</f>
        <v>0</v>
      </c>
      <c r="Q912" s="46" t="s">
        <v>97</v>
      </c>
      <c r="R912" s="46">
        <f>HEX2DEC(RIGHT(Table13232127[[#This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6" t="s">
        <v>97</v>
      </c>
      <c r="P913" s="46">
        <f>HEX2DEC(RIGHT(Table13232127[[#This Row],[h1]],8))</f>
        <v>0</v>
      </c>
      <c r="Q913" s="46" t="s">
        <v>97</v>
      </c>
      <c r="R913" s="46">
        <f>HEX2DEC(RIGHT(Table13232127[[#This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6" t="s">
        <v>97</v>
      </c>
      <c r="P914" s="46">
        <f>HEX2DEC(RIGHT(Table13232127[[#This Row],[h1]],8))</f>
        <v>0</v>
      </c>
      <c r="Q914" s="46" t="s">
        <v>97</v>
      </c>
      <c r="R914" s="46">
        <f>HEX2DEC(RIGHT(Table13232127[[#This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6" t="s">
        <v>97</v>
      </c>
      <c r="P915" s="46">
        <f>HEX2DEC(RIGHT(Table13232127[[#This Row],[h1]],8))</f>
        <v>0</v>
      </c>
      <c r="Q915" s="46" t="s">
        <v>97</v>
      </c>
      <c r="R915" s="46">
        <f>HEX2DEC(RIGHT(Table13232127[[#This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6" t="s">
        <v>97</v>
      </c>
      <c r="P916" s="46">
        <f>HEX2DEC(RIGHT(Table13232127[[#This Row],[h1]],8))</f>
        <v>0</v>
      </c>
      <c r="Q916" s="46" t="s">
        <v>97</v>
      </c>
      <c r="R916" s="46">
        <f>HEX2DEC(RIGHT(Table13232127[[#This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6" t="s">
        <v>97</v>
      </c>
      <c r="P917" s="46">
        <f>HEX2DEC(RIGHT(Table13232127[[#This Row],[h1]],8))</f>
        <v>0</v>
      </c>
      <c r="Q917" s="46" t="s">
        <v>97</v>
      </c>
      <c r="R917" s="46">
        <f>HEX2DEC(RIGHT(Table13232127[[#This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6" t="s">
        <v>97</v>
      </c>
      <c r="P918" s="46">
        <f>HEX2DEC(RIGHT(Table13232127[[#This Row],[h1]],8))</f>
        <v>0</v>
      </c>
      <c r="Q918" s="46" t="s">
        <v>97</v>
      </c>
      <c r="R918" s="46">
        <f>HEX2DEC(RIGHT(Table13232127[[#This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6" t="s">
        <v>97</v>
      </c>
      <c r="P919" s="46">
        <f>HEX2DEC(RIGHT(Table13232127[[#This Row],[h1]],8))</f>
        <v>0</v>
      </c>
      <c r="Q919" s="46" t="s">
        <v>97</v>
      </c>
      <c r="R919" s="46">
        <f>HEX2DEC(RIGHT(Table13232127[[#This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6" t="s">
        <v>97</v>
      </c>
      <c r="P920" s="46">
        <f>HEX2DEC(RIGHT(Table13232127[[#This Row],[h1]],8))</f>
        <v>0</v>
      </c>
      <c r="Q920" s="46" t="s">
        <v>97</v>
      </c>
      <c r="R920" s="46">
        <f>HEX2DEC(RIGHT(Table13232127[[#This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6" t="s">
        <v>97</v>
      </c>
      <c r="P921" s="46">
        <f>HEX2DEC(RIGHT(Table13232127[[#This Row],[h1]],8))</f>
        <v>0</v>
      </c>
      <c r="Q921" s="46" t="s">
        <v>97</v>
      </c>
      <c r="R921" s="46">
        <f>HEX2DEC(RIGHT(Table13232127[[#This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6" t="s">
        <v>97</v>
      </c>
      <c r="P922" s="46">
        <f>HEX2DEC(RIGHT(Table13232127[[#This Row],[h1]],8))</f>
        <v>0</v>
      </c>
      <c r="Q922" s="46" t="s">
        <v>97</v>
      </c>
      <c r="R922" s="46">
        <f>HEX2DEC(RIGHT(Table13232127[[#This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6" t="s">
        <v>97</v>
      </c>
      <c r="P923" s="46">
        <f>HEX2DEC(RIGHT(Table13232127[[#This Row],[h1]],8))</f>
        <v>0</v>
      </c>
      <c r="Q923" s="46" t="s">
        <v>97</v>
      </c>
      <c r="R923" s="46">
        <f>HEX2DEC(RIGHT(Table13232127[[#This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6" t="s">
        <v>97</v>
      </c>
      <c r="P924" s="46">
        <f>HEX2DEC(RIGHT(Table13232127[[#This Row],[h1]],8))</f>
        <v>0</v>
      </c>
      <c r="Q924" s="46" t="s">
        <v>97</v>
      </c>
      <c r="R924" s="46">
        <f>HEX2DEC(RIGHT(Table13232127[[#This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6" t="s">
        <v>97</v>
      </c>
      <c r="P925" s="46">
        <f>HEX2DEC(RIGHT(Table13232127[[#This Row],[h1]],8))</f>
        <v>0</v>
      </c>
      <c r="Q925" s="46" t="s">
        <v>97</v>
      </c>
      <c r="R925" s="46">
        <f>HEX2DEC(RIGHT(Table13232127[[#This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6" t="s">
        <v>97</v>
      </c>
      <c r="P926" s="46">
        <f>HEX2DEC(RIGHT(Table13232127[[#This Row],[h1]],8))</f>
        <v>0</v>
      </c>
      <c r="Q926" s="46" t="s">
        <v>97</v>
      </c>
      <c r="R926" s="46">
        <f>HEX2DEC(RIGHT(Table13232127[[#This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6" t="s">
        <v>97</v>
      </c>
      <c r="P927" s="46">
        <f>HEX2DEC(RIGHT(Table13232127[[#This Row],[h1]],8))</f>
        <v>0</v>
      </c>
      <c r="Q927" s="46" t="s">
        <v>97</v>
      </c>
      <c r="R927" s="46">
        <f>HEX2DEC(RIGHT(Table13232127[[#This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6" t="s">
        <v>97</v>
      </c>
      <c r="P928" s="46">
        <f>HEX2DEC(RIGHT(Table13232127[[#This Row],[h1]],8))</f>
        <v>0</v>
      </c>
      <c r="Q928" s="46" t="s">
        <v>97</v>
      </c>
      <c r="R928" s="46">
        <f>HEX2DEC(RIGHT(Table13232127[[#This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6" t="s">
        <v>97</v>
      </c>
      <c r="P929" s="46">
        <f>HEX2DEC(RIGHT(Table13232127[[#This Row],[h1]],8))</f>
        <v>0</v>
      </c>
      <c r="Q929" s="46" t="s">
        <v>97</v>
      </c>
      <c r="R929" s="46">
        <f>HEX2DEC(RIGHT(Table13232127[[#This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6" t="s">
        <v>97</v>
      </c>
      <c r="P930" s="46">
        <f>HEX2DEC(RIGHT(Table13232127[[#This Row],[h1]],8))</f>
        <v>0</v>
      </c>
      <c r="Q930" s="46" t="s">
        <v>97</v>
      </c>
      <c r="R930" s="46">
        <f>HEX2DEC(RIGHT(Table13232127[[#This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6" t="s">
        <v>97</v>
      </c>
      <c r="P931" s="46">
        <f>HEX2DEC(RIGHT(Table13232127[[#This Row],[h1]],8))</f>
        <v>0</v>
      </c>
      <c r="Q931" s="46" t="s">
        <v>97</v>
      </c>
      <c r="R931" s="46">
        <f>HEX2DEC(RIGHT(Table13232127[[#This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6" t="s">
        <v>97</v>
      </c>
      <c r="P932" s="46">
        <f>HEX2DEC(RIGHT(Table13232127[[#This Row],[h1]],8))</f>
        <v>0</v>
      </c>
      <c r="Q932" s="46" t="s">
        <v>97</v>
      </c>
      <c r="R932" s="46">
        <f>HEX2DEC(RIGHT(Table13232127[[#This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6" t="s">
        <v>97</v>
      </c>
      <c r="P933" s="46">
        <f>HEX2DEC(RIGHT(Table13232127[[#This Row],[h1]],8))</f>
        <v>0</v>
      </c>
      <c r="Q933" s="46" t="s">
        <v>97</v>
      </c>
      <c r="R933" s="46">
        <f>HEX2DEC(RIGHT(Table13232127[[#This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6" t="s">
        <v>97</v>
      </c>
      <c r="P934" s="46">
        <f>HEX2DEC(RIGHT(Table13232127[[#This Row],[h1]],8))</f>
        <v>0</v>
      </c>
      <c r="Q934" s="46" t="s">
        <v>97</v>
      </c>
      <c r="R934" s="46">
        <f>HEX2DEC(RIGHT(Table13232127[[#This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6" t="s">
        <v>97</v>
      </c>
      <c r="P935" s="46">
        <f>HEX2DEC(RIGHT(Table13232127[[#This Row],[h1]],8))</f>
        <v>0</v>
      </c>
      <c r="Q935" s="46" t="s">
        <v>97</v>
      </c>
      <c r="R935" s="46">
        <f>HEX2DEC(RIGHT(Table13232127[[#This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6" t="s">
        <v>97</v>
      </c>
      <c r="P936" s="46">
        <f>HEX2DEC(RIGHT(Table13232127[[#This Row],[h1]],8))</f>
        <v>0</v>
      </c>
      <c r="Q936" s="46" t="s">
        <v>97</v>
      </c>
      <c r="R936" s="46">
        <f>HEX2DEC(RIGHT(Table13232127[[#This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6" t="s">
        <v>97</v>
      </c>
      <c r="P937" s="46">
        <f>HEX2DEC(RIGHT(Table13232127[[#This Row],[h1]],8))</f>
        <v>0</v>
      </c>
      <c r="Q937" s="46" t="s">
        <v>97</v>
      </c>
      <c r="R937" s="46">
        <f>HEX2DEC(RIGHT(Table13232127[[#This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6" t="s">
        <v>97</v>
      </c>
      <c r="P938" s="46">
        <f>HEX2DEC(RIGHT(Table13232127[[#This Row],[h1]],8))</f>
        <v>0</v>
      </c>
      <c r="Q938" s="46" t="s">
        <v>97</v>
      </c>
      <c r="R938" s="46">
        <f>HEX2DEC(RIGHT(Table13232127[[#This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6" t="s">
        <v>97</v>
      </c>
      <c r="P939" s="46">
        <f>HEX2DEC(RIGHT(Table13232127[[#This Row],[h1]],8))</f>
        <v>0</v>
      </c>
      <c r="Q939" s="46" t="s">
        <v>97</v>
      </c>
      <c r="R939" s="46">
        <f>HEX2DEC(RIGHT(Table13232127[[#This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6" t="s">
        <v>97</v>
      </c>
      <c r="P940" s="46">
        <f>HEX2DEC(RIGHT(Table13232127[[#This Row],[h1]],8))</f>
        <v>0</v>
      </c>
      <c r="Q940" s="46" t="s">
        <v>97</v>
      </c>
      <c r="R940" s="46">
        <f>HEX2DEC(RIGHT(Table13232127[[#This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6" t="s">
        <v>97</v>
      </c>
      <c r="P941" s="46">
        <f>HEX2DEC(RIGHT(Table13232127[[#This Row],[h1]],8))</f>
        <v>0</v>
      </c>
      <c r="Q941" s="46" t="s">
        <v>97</v>
      </c>
      <c r="R941" s="46">
        <f>HEX2DEC(RIGHT(Table13232127[[#This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6" t="s">
        <v>97</v>
      </c>
      <c r="P942" s="46">
        <f>HEX2DEC(RIGHT(Table13232127[[#This Row],[h1]],8))</f>
        <v>0</v>
      </c>
      <c r="Q942" s="46" t="s">
        <v>97</v>
      </c>
      <c r="R942" s="46">
        <f>HEX2DEC(RIGHT(Table13232127[[#This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6" t="s">
        <v>97</v>
      </c>
      <c r="P943" s="46">
        <f>HEX2DEC(RIGHT(Table13232127[[#This Row],[h1]],8))</f>
        <v>0</v>
      </c>
      <c r="Q943" s="46" t="s">
        <v>97</v>
      </c>
      <c r="R943" s="46">
        <f>HEX2DEC(RIGHT(Table13232127[[#This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6" t="s">
        <v>97</v>
      </c>
      <c r="P944" s="46">
        <f>HEX2DEC(RIGHT(Table13232127[[#This Row],[h1]],8))</f>
        <v>0</v>
      </c>
      <c r="Q944" s="46" t="s">
        <v>97</v>
      </c>
      <c r="R944" s="46">
        <f>HEX2DEC(RIGHT(Table13232127[[#This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6" t="s">
        <v>97</v>
      </c>
      <c r="P945" s="46">
        <f>HEX2DEC(RIGHT(Table13232127[[#This Row],[h1]],8))</f>
        <v>0</v>
      </c>
      <c r="Q945" s="46" t="s">
        <v>97</v>
      </c>
      <c r="R945" s="46">
        <f>HEX2DEC(RIGHT(Table13232127[[#This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6" t="s">
        <v>97</v>
      </c>
      <c r="P946" s="46">
        <f>HEX2DEC(RIGHT(Table13232127[[#This Row],[h1]],8))</f>
        <v>0</v>
      </c>
      <c r="Q946" s="46" t="s">
        <v>97</v>
      </c>
      <c r="R946" s="46">
        <f>HEX2DEC(RIGHT(Table13232127[[#This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6" t="s">
        <v>97</v>
      </c>
      <c r="P947" s="46">
        <f>HEX2DEC(RIGHT(Table13232127[[#This Row],[h1]],8))</f>
        <v>0</v>
      </c>
      <c r="Q947" s="46" t="s">
        <v>97</v>
      </c>
      <c r="R947" s="46">
        <f>HEX2DEC(RIGHT(Table13232127[[#This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6" t="s">
        <v>97</v>
      </c>
      <c r="P948" s="46">
        <f>HEX2DEC(RIGHT(Table13232127[[#This Row],[h1]],8))</f>
        <v>0</v>
      </c>
      <c r="Q948" s="46" t="s">
        <v>97</v>
      </c>
      <c r="R948" s="46">
        <f>HEX2DEC(RIGHT(Table13232127[[#This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6" t="s">
        <v>97</v>
      </c>
      <c r="P949" s="46">
        <f>HEX2DEC(RIGHT(Table13232127[[#This Row],[h1]],8))</f>
        <v>0</v>
      </c>
      <c r="Q949" s="46" t="s">
        <v>97</v>
      </c>
      <c r="R949" s="46">
        <f>HEX2DEC(RIGHT(Table13232127[[#This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6" t="s">
        <v>97</v>
      </c>
      <c r="P950" s="46">
        <f>HEX2DEC(RIGHT(Table13232127[[#This Row],[h1]],8))</f>
        <v>0</v>
      </c>
      <c r="Q950" s="46" t="s">
        <v>97</v>
      </c>
      <c r="R950" s="46">
        <f>HEX2DEC(RIGHT(Table13232127[[#This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6" t="s">
        <v>97</v>
      </c>
      <c r="P951" s="46">
        <f>HEX2DEC(RIGHT(Table13232127[[#This Row],[h1]],8))</f>
        <v>0</v>
      </c>
      <c r="Q951" s="46" t="s">
        <v>97</v>
      </c>
      <c r="R951" s="46">
        <f>HEX2DEC(RIGHT(Table13232127[[#This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6" t="s">
        <v>97</v>
      </c>
      <c r="P952" s="46">
        <f>HEX2DEC(RIGHT(Table13232127[[#This Row],[h1]],8))</f>
        <v>0</v>
      </c>
      <c r="Q952" s="46" t="s">
        <v>97</v>
      </c>
      <c r="R952" s="46">
        <f>HEX2DEC(RIGHT(Table13232127[[#This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6" t="s">
        <v>97</v>
      </c>
      <c r="P953" s="46">
        <f>HEX2DEC(RIGHT(Table13232127[[#This Row],[h1]],8))</f>
        <v>0</v>
      </c>
      <c r="Q953" s="46" t="s">
        <v>97</v>
      </c>
      <c r="R953" s="46">
        <f>HEX2DEC(RIGHT(Table13232127[[#This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6" t="s">
        <v>97</v>
      </c>
      <c r="P954" s="46">
        <f>HEX2DEC(RIGHT(Table13232127[[#This Row],[h1]],8))</f>
        <v>0</v>
      </c>
      <c r="Q954" s="46" t="s">
        <v>97</v>
      </c>
      <c r="R954" s="46">
        <f>HEX2DEC(RIGHT(Table13232127[[#This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6" t="s">
        <v>97</v>
      </c>
      <c r="P955" s="46">
        <f>HEX2DEC(RIGHT(Table13232127[[#This Row],[h1]],8))</f>
        <v>0</v>
      </c>
      <c r="Q955" s="46" t="s">
        <v>97</v>
      </c>
      <c r="R955" s="46">
        <f>HEX2DEC(RIGHT(Table13232127[[#This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6" t="s">
        <v>97</v>
      </c>
      <c r="P956" s="46">
        <f>HEX2DEC(RIGHT(Table13232127[[#This Row],[h1]],8))</f>
        <v>0</v>
      </c>
      <c r="Q956" s="46" t="s">
        <v>97</v>
      </c>
      <c r="R956" s="46">
        <f>HEX2DEC(RIGHT(Table13232127[[#This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6" t="s">
        <v>97</v>
      </c>
      <c r="P957" s="46">
        <f>HEX2DEC(RIGHT(Table13232127[[#This Row],[h1]],8))</f>
        <v>0</v>
      </c>
      <c r="Q957" s="46" t="s">
        <v>97</v>
      </c>
      <c r="R957" s="46">
        <f>HEX2DEC(RIGHT(Table13232127[[#This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6" t="s">
        <v>97</v>
      </c>
      <c r="P958" s="46">
        <f>HEX2DEC(RIGHT(Table13232127[[#This Row],[h1]],8))</f>
        <v>0</v>
      </c>
      <c r="Q958" s="46" t="s">
        <v>97</v>
      </c>
      <c r="R958" s="46">
        <f>HEX2DEC(RIGHT(Table13232127[[#This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6" t="s">
        <v>97</v>
      </c>
      <c r="P959" s="46">
        <f>HEX2DEC(RIGHT(Table13232127[[#This Row],[h1]],8))</f>
        <v>0</v>
      </c>
      <c r="Q959" s="46" t="s">
        <v>97</v>
      </c>
      <c r="R959" s="46">
        <f>HEX2DEC(RIGHT(Table13232127[[#This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6" t="s">
        <v>97</v>
      </c>
      <c r="P960" s="46">
        <f>HEX2DEC(RIGHT(Table13232127[[#This Row],[h1]],8))</f>
        <v>0</v>
      </c>
      <c r="Q960" s="46" t="s">
        <v>97</v>
      </c>
      <c r="R960" s="46">
        <f>HEX2DEC(RIGHT(Table13232127[[#This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6" t="s">
        <v>97</v>
      </c>
      <c r="P961" s="46">
        <f>HEX2DEC(RIGHT(Table13232127[[#This Row],[h1]],8))</f>
        <v>0</v>
      </c>
      <c r="Q961" s="46" t="s">
        <v>97</v>
      </c>
      <c r="R961" s="46">
        <f>HEX2DEC(RIGHT(Table13232127[[#This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6" t="s">
        <v>97</v>
      </c>
      <c r="P962" s="46">
        <f>HEX2DEC(RIGHT(Table13232127[[#This Row],[h1]],8))</f>
        <v>0</v>
      </c>
      <c r="Q962" s="46" t="s">
        <v>97</v>
      </c>
      <c r="R962" s="46">
        <f>HEX2DEC(RIGHT(Table13232127[[#This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6" t="s">
        <v>97</v>
      </c>
      <c r="P963" s="46">
        <f>HEX2DEC(RIGHT(Table13232127[[#This Row],[h1]],8))</f>
        <v>0</v>
      </c>
      <c r="Q963" s="46" t="s">
        <v>97</v>
      </c>
      <c r="R963" s="46">
        <f>HEX2DEC(RIGHT(Table13232127[[#This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6" t="s">
        <v>97</v>
      </c>
      <c r="P964" s="46">
        <f>HEX2DEC(RIGHT(Table13232127[[#This Row],[h1]],8))</f>
        <v>0</v>
      </c>
      <c r="Q964" s="46" t="s">
        <v>97</v>
      </c>
      <c r="R964" s="46">
        <f>HEX2DEC(RIGHT(Table13232127[[#This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6" t="s">
        <v>97</v>
      </c>
      <c r="P965" s="46">
        <f>HEX2DEC(RIGHT(Table13232127[[#This Row],[h1]],8))</f>
        <v>0</v>
      </c>
      <c r="Q965" s="46" t="s">
        <v>97</v>
      </c>
      <c r="R965" s="46">
        <f>HEX2DEC(RIGHT(Table13232127[[#This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6" t="s">
        <v>97</v>
      </c>
      <c r="P966" s="46">
        <f>HEX2DEC(RIGHT(Table13232127[[#This Row],[h1]],8))</f>
        <v>0</v>
      </c>
      <c r="Q966" s="46" t="s">
        <v>97</v>
      </c>
      <c r="R966" s="46">
        <f>HEX2DEC(RIGHT(Table13232127[[#This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6" t="s">
        <v>97</v>
      </c>
      <c r="P967" s="46">
        <f>HEX2DEC(RIGHT(Table13232127[[#This Row],[h1]],8))</f>
        <v>0</v>
      </c>
      <c r="Q967" s="46" t="s">
        <v>97</v>
      </c>
      <c r="R967" s="46">
        <f>HEX2DEC(RIGHT(Table13232127[[#This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6" t="s">
        <v>97</v>
      </c>
      <c r="P968" s="46">
        <f>HEX2DEC(RIGHT(Table13232127[[#This Row],[h1]],8))</f>
        <v>0</v>
      </c>
      <c r="Q968" s="46" t="s">
        <v>97</v>
      </c>
      <c r="R968" s="46">
        <f>HEX2DEC(RIGHT(Table13232127[[#This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6" t="s">
        <v>97</v>
      </c>
      <c r="P969" s="46">
        <f>HEX2DEC(RIGHT(Table13232127[[#This Row],[h1]],8))</f>
        <v>0</v>
      </c>
      <c r="Q969" s="46" t="s">
        <v>97</v>
      </c>
      <c r="R969" s="46">
        <f>HEX2DEC(RIGHT(Table13232127[[#This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6" t="s">
        <v>97</v>
      </c>
      <c r="P970" s="46">
        <f>HEX2DEC(RIGHT(Table13232127[[#This Row],[h1]],8))</f>
        <v>0</v>
      </c>
      <c r="Q970" s="46" t="s">
        <v>97</v>
      </c>
      <c r="R970" s="46">
        <f>HEX2DEC(RIGHT(Table13232127[[#This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6" t="s">
        <v>97</v>
      </c>
      <c r="P971" s="46">
        <f>HEX2DEC(RIGHT(Table13232127[[#This Row],[h1]],8))</f>
        <v>0</v>
      </c>
      <c r="Q971" s="46" t="s">
        <v>97</v>
      </c>
      <c r="R971" s="46">
        <f>HEX2DEC(RIGHT(Table13232127[[#This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6" t="s">
        <v>97</v>
      </c>
      <c r="P972" s="46">
        <f>HEX2DEC(RIGHT(Table13232127[[#This Row],[h1]],8))</f>
        <v>0</v>
      </c>
      <c r="Q972" s="46" t="s">
        <v>97</v>
      </c>
      <c r="R972" s="46">
        <f>HEX2DEC(RIGHT(Table13232127[[#This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6" t="s">
        <v>97</v>
      </c>
      <c r="P973" s="46">
        <f>HEX2DEC(RIGHT(Table13232127[[#This Row],[h1]],8))</f>
        <v>0</v>
      </c>
      <c r="Q973" s="46" t="s">
        <v>97</v>
      </c>
      <c r="R973" s="46">
        <f>HEX2DEC(RIGHT(Table13232127[[#This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6" t="s">
        <v>97</v>
      </c>
      <c r="P974" s="46">
        <f>HEX2DEC(RIGHT(Table13232127[[#This Row],[h1]],8))</f>
        <v>0</v>
      </c>
      <c r="Q974" s="46" t="s">
        <v>97</v>
      </c>
      <c r="R974" s="46">
        <f>HEX2DEC(RIGHT(Table13232127[[#This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6" t="s">
        <v>97</v>
      </c>
      <c r="P975" s="46">
        <f>HEX2DEC(RIGHT(Table13232127[[#This Row],[h1]],8))</f>
        <v>0</v>
      </c>
      <c r="Q975" s="46" t="s">
        <v>97</v>
      </c>
      <c r="R975" s="46">
        <f>HEX2DEC(RIGHT(Table13232127[[#This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6" t="s">
        <v>97</v>
      </c>
      <c r="P976" s="46">
        <f>HEX2DEC(RIGHT(Table13232127[[#This Row],[h1]],8))</f>
        <v>0</v>
      </c>
      <c r="Q976" s="46" t="s">
        <v>97</v>
      </c>
      <c r="R976" s="46">
        <f>HEX2DEC(RIGHT(Table13232127[[#This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6" t="s">
        <v>97</v>
      </c>
      <c r="P977" s="46">
        <f>HEX2DEC(RIGHT(Table13232127[[#This Row],[h1]],8))</f>
        <v>0</v>
      </c>
      <c r="Q977" s="46" t="s">
        <v>97</v>
      </c>
      <c r="R977" s="46">
        <f>HEX2DEC(RIGHT(Table13232127[[#This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6" t="s">
        <v>97</v>
      </c>
      <c r="P978" s="46">
        <f>HEX2DEC(RIGHT(Table13232127[[#This Row],[h1]],8))</f>
        <v>0</v>
      </c>
      <c r="Q978" s="46" t="s">
        <v>97</v>
      </c>
      <c r="R978" s="46">
        <f>HEX2DEC(RIGHT(Table13232127[[#This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6" t="s">
        <v>97</v>
      </c>
      <c r="P979" s="46">
        <f>HEX2DEC(RIGHT(Table13232127[[#This Row],[h1]],8))</f>
        <v>0</v>
      </c>
      <c r="Q979" s="46" t="s">
        <v>97</v>
      </c>
      <c r="R979" s="46">
        <f>HEX2DEC(RIGHT(Table13232127[[#This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6" t="s">
        <v>97</v>
      </c>
      <c r="P980" s="46">
        <f>HEX2DEC(RIGHT(Table13232127[[#This Row],[h1]],8))</f>
        <v>0</v>
      </c>
      <c r="Q980" s="46" t="s">
        <v>97</v>
      </c>
      <c r="R980" s="46">
        <f>HEX2DEC(RIGHT(Table13232127[[#This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6" t="s">
        <v>97</v>
      </c>
      <c r="P981" s="46">
        <f>HEX2DEC(RIGHT(Table13232127[[#This Row],[h1]],8))</f>
        <v>0</v>
      </c>
      <c r="Q981" s="46" t="s">
        <v>97</v>
      </c>
      <c r="R981" s="46">
        <f>HEX2DEC(RIGHT(Table13232127[[#This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6" t="s">
        <v>97</v>
      </c>
      <c r="P982" s="46">
        <f>HEX2DEC(RIGHT(Table13232127[[#This Row],[h1]],8))</f>
        <v>0</v>
      </c>
      <c r="Q982" s="46" t="s">
        <v>97</v>
      </c>
      <c r="R982" s="46">
        <f>HEX2DEC(RIGHT(Table13232127[[#This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6" t="s">
        <v>97</v>
      </c>
      <c r="P983" s="46">
        <f>HEX2DEC(RIGHT(Table13232127[[#This Row],[h1]],8))</f>
        <v>0</v>
      </c>
      <c r="Q983" s="46" t="s">
        <v>97</v>
      </c>
      <c r="R983" s="46">
        <f>HEX2DEC(RIGHT(Table13232127[[#This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6" t="s">
        <v>97</v>
      </c>
      <c r="P984" s="46">
        <f>HEX2DEC(RIGHT(Table13232127[[#This Row],[h1]],8))</f>
        <v>0</v>
      </c>
      <c r="Q984" s="46" t="s">
        <v>97</v>
      </c>
      <c r="R984" s="46">
        <f>HEX2DEC(RIGHT(Table13232127[[#This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6" t="s">
        <v>97</v>
      </c>
      <c r="P985" s="46">
        <f>HEX2DEC(RIGHT(Table13232127[[#This Row],[h1]],8))</f>
        <v>0</v>
      </c>
      <c r="Q985" s="46" t="s">
        <v>97</v>
      </c>
      <c r="R985" s="46">
        <f>HEX2DEC(RIGHT(Table13232127[[#This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6" t="s">
        <v>97</v>
      </c>
      <c r="P986" s="46">
        <f>HEX2DEC(RIGHT(Table13232127[[#This Row],[h1]],8))</f>
        <v>0</v>
      </c>
      <c r="Q986" s="46" t="s">
        <v>97</v>
      </c>
      <c r="R986" s="46">
        <f>HEX2DEC(RIGHT(Table13232127[[#This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6" t="s">
        <v>97</v>
      </c>
      <c r="P987" s="46">
        <f>HEX2DEC(RIGHT(Table13232127[[#This Row],[h1]],8))</f>
        <v>0</v>
      </c>
      <c r="Q987" s="46" t="s">
        <v>97</v>
      </c>
      <c r="R987" s="46">
        <f>HEX2DEC(RIGHT(Table13232127[[#This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6" t="s">
        <v>97</v>
      </c>
      <c r="P988" s="46">
        <f>HEX2DEC(RIGHT(Table13232127[[#This Row],[h1]],8))</f>
        <v>0</v>
      </c>
      <c r="Q988" s="46" t="s">
        <v>97</v>
      </c>
      <c r="R988" s="46">
        <f>HEX2DEC(RIGHT(Table13232127[[#This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6" t="s">
        <v>97</v>
      </c>
      <c r="P989" s="46">
        <f>HEX2DEC(RIGHT(Table13232127[[#This Row],[h1]],8))</f>
        <v>0</v>
      </c>
      <c r="Q989" s="46" t="s">
        <v>97</v>
      </c>
      <c r="R989" s="46">
        <f>HEX2DEC(RIGHT(Table13232127[[#This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6" t="s">
        <v>97</v>
      </c>
      <c r="P990" s="46">
        <f>HEX2DEC(RIGHT(Table13232127[[#This Row],[h1]],8))</f>
        <v>0</v>
      </c>
      <c r="Q990" s="46" t="s">
        <v>97</v>
      </c>
      <c r="R990" s="46">
        <f>HEX2DEC(RIGHT(Table13232127[[#This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6" t="s">
        <v>97</v>
      </c>
      <c r="P991" s="46">
        <f>HEX2DEC(RIGHT(Table13232127[[#This Row],[h1]],8))</f>
        <v>0</v>
      </c>
      <c r="Q991" s="46" t="s">
        <v>97</v>
      </c>
      <c r="R991" s="46">
        <f>HEX2DEC(RIGHT(Table13232127[[#This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6" t="s">
        <v>97</v>
      </c>
      <c r="P992" s="46">
        <f>HEX2DEC(RIGHT(Table13232127[[#This Row],[h1]],8))</f>
        <v>0</v>
      </c>
      <c r="Q992" s="46" t="s">
        <v>97</v>
      </c>
      <c r="R992" s="46">
        <f>HEX2DEC(RIGHT(Table13232127[[#This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6" t="s">
        <v>97</v>
      </c>
      <c r="P993" s="46">
        <f>HEX2DEC(RIGHT(Table13232127[[#This Row],[h1]],8))</f>
        <v>0</v>
      </c>
      <c r="Q993" s="46" t="s">
        <v>97</v>
      </c>
      <c r="R993" s="46">
        <f>HEX2DEC(RIGHT(Table13232127[[#This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6" t="s">
        <v>97</v>
      </c>
      <c r="P994" s="46">
        <f>HEX2DEC(RIGHT(Table13232127[[#This Row],[h1]],8))</f>
        <v>0</v>
      </c>
      <c r="Q994" s="46" t="s">
        <v>97</v>
      </c>
      <c r="R994" s="46">
        <f>HEX2DEC(RIGHT(Table13232127[[#This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6" t="s">
        <v>97</v>
      </c>
      <c r="P995" s="46">
        <f>HEX2DEC(RIGHT(Table13232127[[#This Row],[h1]],8))</f>
        <v>0</v>
      </c>
      <c r="Q995" s="46" t="s">
        <v>97</v>
      </c>
      <c r="R995" s="46">
        <f>HEX2DEC(RIGHT(Table13232127[[#This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6" t="s">
        <v>97</v>
      </c>
      <c r="P996" s="46">
        <f>HEX2DEC(RIGHT(Table13232127[[#This Row],[h1]],8))</f>
        <v>0</v>
      </c>
      <c r="Q996" s="46" t="s">
        <v>97</v>
      </c>
      <c r="R996" s="46">
        <f>HEX2DEC(RIGHT(Table13232127[[#This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6" t="s">
        <v>97</v>
      </c>
      <c r="P997" s="46">
        <f>HEX2DEC(RIGHT(Table13232127[[#This Row],[h1]],8))</f>
        <v>0</v>
      </c>
      <c r="Q997" s="46" t="s">
        <v>97</v>
      </c>
      <c r="R997" s="46">
        <f>HEX2DEC(RIGHT(Table13232127[[#This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6" t="s">
        <v>97</v>
      </c>
      <c r="P998" s="46">
        <f>HEX2DEC(RIGHT(Table13232127[[#This Row],[h1]],8))</f>
        <v>0</v>
      </c>
      <c r="Q998" s="46" t="s">
        <v>97</v>
      </c>
      <c r="R998" s="46">
        <f>HEX2DEC(RIGHT(Table13232127[[#This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6" t="s">
        <v>97</v>
      </c>
      <c r="P999" s="46">
        <f>HEX2DEC(RIGHT(Table13232127[[#This Row],[h1]],8))</f>
        <v>0</v>
      </c>
      <c r="Q999" s="46" t="s">
        <v>97</v>
      </c>
      <c r="R999" s="46">
        <f>HEX2DEC(RIGHT(Table13232127[[#This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6" t="s">
        <v>97</v>
      </c>
      <c r="P1000" s="46">
        <f>HEX2DEC(RIGHT(Table13232127[[#This Row],[h1]],8))</f>
        <v>0</v>
      </c>
      <c r="Q1000" s="46" t="s">
        <v>97</v>
      </c>
      <c r="R1000" s="46">
        <f>HEX2DEC(RIGHT(Table13232127[[#This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6" t="s">
        <v>97</v>
      </c>
      <c r="P1001" s="46">
        <f>HEX2DEC(RIGHT(Table13232127[[#This Row],[h1]],8))</f>
        <v>0</v>
      </c>
      <c r="Q1001" s="46" t="s">
        <v>97</v>
      </c>
      <c r="R1001" s="46">
        <f>HEX2DEC(RIGHT(Table13232127[[#This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6" t="s">
        <v>97</v>
      </c>
      <c r="P1002" s="46">
        <f>HEX2DEC(RIGHT(Table13232127[[#This Row],[h1]],8))</f>
        <v>0</v>
      </c>
      <c r="Q1002" s="46" t="s">
        <v>97</v>
      </c>
      <c r="R1002" s="46">
        <f>HEX2DEC(RIGHT(Table13232127[[#This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6" t="s">
        <v>97</v>
      </c>
      <c r="P1003" s="46">
        <f>HEX2DEC(RIGHT(Table13232127[[#This Row],[h1]],8))</f>
        <v>0</v>
      </c>
      <c r="Q1003" s="46" t="s">
        <v>97</v>
      </c>
      <c r="R1003" s="46">
        <f>HEX2DEC(RIGHT(Table13232127[[#This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6" t="s">
        <v>97</v>
      </c>
      <c r="P1004" s="46">
        <f>HEX2DEC(RIGHT(Table13232127[[#This Row],[h1]],8))</f>
        <v>0</v>
      </c>
      <c r="Q1004" s="46" t="s">
        <v>97</v>
      </c>
      <c r="R1004" s="46">
        <f>HEX2DEC(RIGHT(Table13232127[[#This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6" t="s">
        <v>97</v>
      </c>
      <c r="P1005" s="46">
        <f>HEX2DEC(RIGHT(Table13232127[[#This Row],[h1]],8))</f>
        <v>0</v>
      </c>
      <c r="Q1005" s="46" t="s">
        <v>97</v>
      </c>
      <c r="R1005" s="46">
        <f>HEX2DEC(RIGHT(Table13232127[[#This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6" t="s">
        <v>97</v>
      </c>
      <c r="P1006" s="46">
        <f>HEX2DEC(RIGHT(Table13232127[[#This Row],[h1]],8))</f>
        <v>0</v>
      </c>
      <c r="Q1006" s="46" t="s">
        <v>97</v>
      </c>
      <c r="R1006" s="46">
        <f>HEX2DEC(RIGHT(Table13232127[[#This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6" t="s">
        <v>97</v>
      </c>
      <c r="P1007" s="46">
        <f>HEX2DEC(RIGHT(Table13232127[[#This Row],[h1]],8))</f>
        <v>0</v>
      </c>
      <c r="Q1007" s="46" t="s">
        <v>97</v>
      </c>
      <c r="R1007" s="46">
        <f>HEX2DEC(RIGHT(Table13232127[[#This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6" t="s">
        <v>97</v>
      </c>
      <c r="P1008" s="46">
        <f>HEX2DEC(RIGHT(Table13232127[[#This Row],[h1]],8))</f>
        <v>0</v>
      </c>
      <c r="Q1008" s="46" t="s">
        <v>97</v>
      </c>
      <c r="R1008" s="46">
        <f>HEX2DEC(RIGHT(Table13232127[[#This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6" t="s">
        <v>97</v>
      </c>
      <c r="P1009" s="46">
        <f>HEX2DEC(RIGHT(Table13232127[[#This Row],[h1]],8))</f>
        <v>0</v>
      </c>
      <c r="Q1009" s="46" t="s">
        <v>97</v>
      </c>
      <c r="R1009" s="46">
        <f>HEX2DEC(RIGHT(Table13232127[[#This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6" t="s">
        <v>97</v>
      </c>
      <c r="P1010" s="46">
        <f>HEX2DEC(RIGHT(Table13232127[[#This Row],[h1]],8))</f>
        <v>0</v>
      </c>
      <c r="Q1010" s="46" t="s">
        <v>97</v>
      </c>
      <c r="R1010" s="46">
        <f>HEX2DEC(RIGHT(Table13232127[[#This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6" t="s">
        <v>97</v>
      </c>
      <c r="P1011" s="46">
        <f>HEX2DEC(RIGHT(Table13232127[[#This Row],[h1]],8))</f>
        <v>0</v>
      </c>
      <c r="Q1011" s="46" t="s">
        <v>97</v>
      </c>
      <c r="R1011" s="46">
        <f>HEX2DEC(RIGHT(Table13232127[[#This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6" t="s">
        <v>97</v>
      </c>
      <c r="P1012" s="46">
        <f>HEX2DEC(RIGHT(Table13232127[[#This Row],[h1]],8))</f>
        <v>0</v>
      </c>
      <c r="Q1012" s="46" t="s">
        <v>97</v>
      </c>
      <c r="R1012" s="46">
        <f>HEX2DEC(RIGHT(Table13232127[[#This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6" t="s">
        <v>97</v>
      </c>
      <c r="P1013" s="46">
        <f>HEX2DEC(RIGHT(Table13232127[[#This Row],[h1]],8))</f>
        <v>0</v>
      </c>
      <c r="Q1013" s="46" t="s">
        <v>97</v>
      </c>
      <c r="R1013" s="46">
        <f>HEX2DEC(RIGHT(Table13232127[[#This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6" t="s">
        <v>97</v>
      </c>
      <c r="P1014" s="46">
        <f>HEX2DEC(RIGHT(Table13232127[[#This Row],[h1]],8))</f>
        <v>0</v>
      </c>
      <c r="Q1014" s="46" t="s">
        <v>97</v>
      </c>
      <c r="R1014" s="46">
        <f>HEX2DEC(RIGHT(Table13232127[[#This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6" t="s">
        <v>97</v>
      </c>
      <c r="P1015" s="46">
        <f>HEX2DEC(RIGHT(Table13232127[[#This Row],[h1]],8))</f>
        <v>0</v>
      </c>
      <c r="Q1015" s="46" t="s">
        <v>97</v>
      </c>
      <c r="R1015" s="46">
        <f>HEX2DEC(RIGHT(Table13232127[[#This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6" t="s">
        <v>97</v>
      </c>
      <c r="P1016" s="46">
        <f>HEX2DEC(RIGHT(Table13232127[[#This Row],[h1]],8))</f>
        <v>0</v>
      </c>
      <c r="Q1016" s="46" t="s">
        <v>97</v>
      </c>
      <c r="R1016" s="46">
        <f>HEX2DEC(RIGHT(Table13232127[[#This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6" t="s">
        <v>97</v>
      </c>
      <c r="P1017" s="46">
        <f>HEX2DEC(RIGHT(Table13232127[[#This Row],[h1]],8))</f>
        <v>0</v>
      </c>
      <c r="Q1017" s="46" t="s">
        <v>97</v>
      </c>
      <c r="R1017" s="46">
        <f>HEX2DEC(RIGHT(Table13232127[[#This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6" t="s">
        <v>97</v>
      </c>
      <c r="P1018" s="46">
        <f>HEX2DEC(RIGHT(Table13232127[[#This Row],[h1]],8))</f>
        <v>0</v>
      </c>
      <c r="Q1018" s="46" t="s">
        <v>97</v>
      </c>
      <c r="R1018" s="46">
        <f>HEX2DEC(RIGHT(Table13232127[[#This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6" t="s">
        <v>97</v>
      </c>
      <c r="P1019" s="46">
        <f>HEX2DEC(RIGHT(Table13232127[[#This Row],[h1]],8))</f>
        <v>0</v>
      </c>
      <c r="Q1019" s="46" t="s">
        <v>97</v>
      </c>
      <c r="R1019" s="46">
        <f>HEX2DEC(RIGHT(Table13232127[[#This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6" t="s">
        <v>97</v>
      </c>
      <c r="P1020" s="46">
        <f>HEX2DEC(RIGHT(Table13232127[[#This Row],[h1]],8))</f>
        <v>0</v>
      </c>
      <c r="Q1020" s="46" t="s">
        <v>97</v>
      </c>
      <c r="R1020" s="46">
        <f>HEX2DEC(RIGHT(Table13232127[[#This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6" t="s">
        <v>97</v>
      </c>
      <c r="P1021" s="46">
        <f>HEX2DEC(RIGHT(Table13232127[[#This Row],[h1]],8))</f>
        <v>0</v>
      </c>
      <c r="Q1021" s="46" t="s">
        <v>97</v>
      </c>
      <c r="R1021" s="46">
        <f>HEX2DEC(RIGHT(Table13232127[[#This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6" t="s">
        <v>97</v>
      </c>
      <c r="P1022" s="46">
        <f>HEX2DEC(RIGHT(Table13232127[[#This Row],[h1]],8))</f>
        <v>0</v>
      </c>
      <c r="Q1022" s="46" t="s">
        <v>97</v>
      </c>
      <c r="R1022" s="46">
        <f>HEX2DEC(RIGHT(Table13232127[[#This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6" t="s">
        <v>97</v>
      </c>
      <c r="P1023" s="46">
        <f>HEX2DEC(RIGHT(Table13232127[[#This Row],[h1]],8))</f>
        <v>0</v>
      </c>
      <c r="Q1023" s="46" t="s">
        <v>97</v>
      </c>
      <c r="R1023" s="46">
        <f>HEX2DEC(RIGHT(Table13232127[[#This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6" t="s">
        <v>97</v>
      </c>
      <c r="P1024" s="46">
        <f>HEX2DEC(RIGHT(Table13232127[[#This Row],[h1]],8))</f>
        <v>0</v>
      </c>
      <c r="Q1024" s="46" t="s">
        <v>97</v>
      </c>
      <c r="R1024" s="46">
        <f>HEX2DEC(RIGHT(Table13232127[[#This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6" t="s">
        <v>97</v>
      </c>
      <c r="P1025" s="46">
        <f>HEX2DEC(RIGHT(Table13232127[[#This Row],[h1]],8))</f>
        <v>0</v>
      </c>
      <c r="Q1025" s="46" t="s">
        <v>97</v>
      </c>
      <c r="R1025" s="46">
        <f>HEX2DEC(RIGHT(Table13232127[[#This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6" t="s">
        <v>97</v>
      </c>
      <c r="P1026" s="46">
        <f>HEX2DEC(RIGHT(Table13232127[[#This Row],[h1]],8))</f>
        <v>0</v>
      </c>
      <c r="Q1026" s="46" t="s">
        <v>97</v>
      </c>
      <c r="R1026" s="46">
        <f>HEX2DEC(RIGHT(Table13232127[[#This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6" t="s">
        <v>97</v>
      </c>
      <c r="P1027" s="46">
        <f>HEX2DEC(RIGHT(Table13232127[[#This Row],[h1]],8))</f>
        <v>0</v>
      </c>
      <c r="Q1027" s="46" t="s">
        <v>97</v>
      </c>
      <c r="R1027" s="46">
        <f>HEX2DEC(RIGHT(Table13232127[[#This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6" t="s">
        <v>97</v>
      </c>
      <c r="P1028" s="46">
        <f>HEX2DEC(RIGHT(Table13232127[[#This Row],[h1]],8))</f>
        <v>0</v>
      </c>
      <c r="Q1028" s="46" t="s">
        <v>97</v>
      </c>
      <c r="R1028" s="46">
        <f>HEX2DEC(RIGHT(Table13232127[[#This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6" t="s">
        <v>97</v>
      </c>
      <c r="P1029" s="46">
        <f>HEX2DEC(RIGHT(Table13232127[[#This Row],[h1]],8))</f>
        <v>0</v>
      </c>
      <c r="Q1029" s="46" t="s">
        <v>97</v>
      </c>
      <c r="R1029" s="46">
        <f>HEX2DEC(RIGHT(Table13232127[[#This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6" t="s">
        <v>97</v>
      </c>
      <c r="P1030" s="46">
        <f>HEX2DEC(RIGHT(Table13232127[[#This Row],[h1]],8))</f>
        <v>0</v>
      </c>
      <c r="Q1030" s="46" t="s">
        <v>97</v>
      </c>
      <c r="R1030" s="46">
        <f>HEX2DEC(RIGHT(Table13232127[[#This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6" t="s">
        <v>97</v>
      </c>
      <c r="P1031" s="46">
        <f>HEX2DEC(RIGHT(Table13232127[[#This Row],[h1]],8))</f>
        <v>0</v>
      </c>
      <c r="Q1031" s="46" t="s">
        <v>97</v>
      </c>
      <c r="R1031" s="46">
        <f>HEX2DEC(RIGHT(Table13232127[[#This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6" t="s">
        <v>97</v>
      </c>
      <c r="P1032" s="46">
        <f>HEX2DEC(RIGHT(Table13232127[[#This Row],[h1]],8))</f>
        <v>0</v>
      </c>
      <c r="Q1032" s="46" t="s">
        <v>97</v>
      </c>
      <c r="R1032" s="46">
        <f>HEX2DEC(RIGHT(Table13232127[[#This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6" t="s">
        <v>97</v>
      </c>
      <c r="P1033" s="46">
        <f>HEX2DEC(RIGHT(Table13232127[[#This Row],[h1]],8))</f>
        <v>0</v>
      </c>
      <c r="Q1033" s="46" t="s">
        <v>97</v>
      </c>
      <c r="R1033" s="46">
        <f>HEX2DEC(RIGHT(Table13232127[[#This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6" t="s">
        <v>97</v>
      </c>
      <c r="P1034" s="46">
        <f>HEX2DEC(RIGHT(Table13232127[[#This Row],[h1]],8))</f>
        <v>0</v>
      </c>
      <c r="Q1034" s="46" t="s">
        <v>97</v>
      </c>
      <c r="R1034" s="46">
        <f>HEX2DEC(RIGHT(Table13232127[[#This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6" t="s">
        <v>97</v>
      </c>
      <c r="P1035" s="46">
        <f>HEX2DEC(RIGHT(Table13232127[[#This Row],[h1]],8))</f>
        <v>0</v>
      </c>
      <c r="Q1035" s="46" t="s">
        <v>97</v>
      </c>
      <c r="R1035" s="46">
        <f>HEX2DEC(RIGHT(Table13232127[[#This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6" t="s">
        <v>97</v>
      </c>
      <c r="P1036" s="46">
        <f>HEX2DEC(RIGHT(Table13232127[[#This Row],[h1]],8))</f>
        <v>0</v>
      </c>
      <c r="Q1036" s="46" t="s">
        <v>97</v>
      </c>
      <c r="R1036" s="46">
        <f>HEX2DEC(RIGHT(Table13232127[[#This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6" t="s">
        <v>97</v>
      </c>
      <c r="P1037" s="46">
        <f>HEX2DEC(RIGHT(Table13232127[[#This Row],[h1]],8))</f>
        <v>0</v>
      </c>
      <c r="Q1037" s="46" t="s">
        <v>97</v>
      </c>
      <c r="R1037" s="46">
        <f>HEX2DEC(RIGHT(Table13232127[[#This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6" t="s">
        <v>97</v>
      </c>
      <c r="P1038" s="46">
        <f>HEX2DEC(RIGHT(Table13232127[[#This Row],[h1]],8))</f>
        <v>0</v>
      </c>
      <c r="Q1038" s="46" t="s">
        <v>97</v>
      </c>
      <c r="R1038" s="46">
        <f>HEX2DEC(RIGHT(Table13232127[[#This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6" t="s">
        <v>97</v>
      </c>
      <c r="P1039" s="46">
        <f>HEX2DEC(RIGHT(Table13232127[[#This Row],[h1]],8))</f>
        <v>0</v>
      </c>
      <c r="Q1039" s="46" t="s">
        <v>97</v>
      </c>
      <c r="R1039" s="46">
        <f>HEX2DEC(RIGHT(Table13232127[[#This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6" t="s">
        <v>97</v>
      </c>
      <c r="P1040" s="46">
        <f>HEX2DEC(RIGHT(Table13232127[[#This Row],[h1]],8))</f>
        <v>0</v>
      </c>
      <c r="Q1040" s="46" t="s">
        <v>97</v>
      </c>
      <c r="R1040" s="46">
        <f>HEX2DEC(RIGHT(Table13232127[[#This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6" t="s">
        <v>97</v>
      </c>
      <c r="P1041" s="46">
        <f>HEX2DEC(RIGHT(Table13232127[[#This Row],[h1]],8))</f>
        <v>0</v>
      </c>
      <c r="Q1041" s="46" t="s">
        <v>97</v>
      </c>
      <c r="R1041" s="46">
        <f>HEX2DEC(RIGHT(Table13232127[[#This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6" t="s">
        <v>97</v>
      </c>
      <c r="P1042" s="46">
        <f>HEX2DEC(RIGHT(Table13232127[[#This Row],[h1]],8))</f>
        <v>0</v>
      </c>
      <c r="Q1042" s="46" t="s">
        <v>97</v>
      </c>
      <c r="R1042" s="46">
        <f>HEX2DEC(RIGHT(Table13232127[[#This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6" t="s">
        <v>97</v>
      </c>
      <c r="P1043" s="46">
        <f>HEX2DEC(RIGHT(Table13232127[[#This Row],[h1]],8))</f>
        <v>0</v>
      </c>
      <c r="Q1043" s="46" t="s">
        <v>97</v>
      </c>
      <c r="R1043" s="46">
        <f>HEX2DEC(RIGHT(Table13232127[[#This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6" t="s">
        <v>97</v>
      </c>
      <c r="P1044" s="46">
        <f>HEX2DEC(RIGHT(Table13232127[[#This Row],[h1]],8))</f>
        <v>0</v>
      </c>
      <c r="Q1044" s="46" t="s">
        <v>97</v>
      </c>
      <c r="R1044" s="46">
        <f>HEX2DEC(RIGHT(Table13232127[[#This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6" t="s">
        <v>97</v>
      </c>
      <c r="P1045" s="46">
        <f>HEX2DEC(RIGHT(Table13232127[[#This Row],[h1]],8))</f>
        <v>0</v>
      </c>
      <c r="Q1045" s="46" t="s">
        <v>97</v>
      </c>
      <c r="R1045" s="46">
        <f>HEX2DEC(RIGHT(Table13232127[[#This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6" t="s">
        <v>97</v>
      </c>
      <c r="P1046" s="46">
        <f>HEX2DEC(RIGHT(Table13232127[[#This Row],[h1]],8))</f>
        <v>0</v>
      </c>
      <c r="Q1046" s="46" t="s">
        <v>97</v>
      </c>
      <c r="R1046" s="46">
        <f>HEX2DEC(RIGHT(Table13232127[[#This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6" t="s">
        <v>97</v>
      </c>
      <c r="P1047" s="46">
        <f>HEX2DEC(RIGHT(Table13232127[[#This Row],[h1]],8))</f>
        <v>0</v>
      </c>
      <c r="Q1047" s="46" t="s">
        <v>97</v>
      </c>
      <c r="R1047" s="46">
        <f>HEX2DEC(RIGHT(Table13232127[[#This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6" t="s">
        <v>97</v>
      </c>
      <c r="P1048" s="46">
        <f>HEX2DEC(RIGHT(Table13232127[[#This Row],[h1]],8))</f>
        <v>0</v>
      </c>
      <c r="Q1048" s="46" t="s">
        <v>97</v>
      </c>
      <c r="R1048" s="46">
        <f>HEX2DEC(RIGHT(Table13232127[[#This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6" t="s">
        <v>97</v>
      </c>
      <c r="P1049" s="46">
        <f>HEX2DEC(RIGHT(Table13232127[[#This Row],[h1]],8))</f>
        <v>0</v>
      </c>
      <c r="Q1049" s="46" t="s">
        <v>97</v>
      </c>
      <c r="R1049" s="46">
        <f>HEX2DEC(RIGHT(Table13232127[[#This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6" t="s">
        <v>97</v>
      </c>
      <c r="P1050" s="46">
        <f>HEX2DEC(RIGHT(Table13232127[[#This Row],[h1]],8))</f>
        <v>0</v>
      </c>
      <c r="Q1050" s="46" t="s">
        <v>97</v>
      </c>
      <c r="R1050" s="46">
        <f>HEX2DEC(RIGHT(Table13232127[[#This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6" t="s">
        <v>97</v>
      </c>
      <c r="P1051" s="46">
        <f>HEX2DEC(RIGHT(Table13232127[[#This Row],[h1]],8))</f>
        <v>0</v>
      </c>
      <c r="Q1051" s="46" t="s">
        <v>97</v>
      </c>
      <c r="R1051" s="46">
        <f>HEX2DEC(RIGHT(Table13232127[[#This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6" t="s">
        <v>97</v>
      </c>
      <c r="P1052" s="46">
        <f>HEX2DEC(RIGHT(Table13232127[[#This Row],[h1]],8))</f>
        <v>0</v>
      </c>
      <c r="Q1052" s="46" t="s">
        <v>97</v>
      </c>
      <c r="R1052" s="46">
        <f>HEX2DEC(RIGHT(Table13232127[[#This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6" t="s">
        <v>97</v>
      </c>
      <c r="P1053" s="46">
        <f>HEX2DEC(RIGHT(Table13232127[[#This Row],[h1]],8))</f>
        <v>0</v>
      </c>
      <c r="Q1053" s="46" t="s">
        <v>97</v>
      </c>
      <c r="R1053" s="46">
        <f>HEX2DEC(RIGHT(Table13232127[[#This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6" t="s">
        <v>97</v>
      </c>
      <c r="P1054" s="46">
        <f>HEX2DEC(RIGHT(Table13232127[[#This Row],[h1]],8))</f>
        <v>0</v>
      </c>
      <c r="Q1054" s="46" t="s">
        <v>97</v>
      </c>
      <c r="R1054" s="46">
        <f>HEX2DEC(RIGHT(Table13232127[[#This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6" t="s">
        <v>97</v>
      </c>
      <c r="P1055" s="46">
        <f>HEX2DEC(RIGHT(Table13232127[[#This Row],[h1]],8))</f>
        <v>0</v>
      </c>
      <c r="Q1055" s="46" t="s">
        <v>97</v>
      </c>
      <c r="R1055" s="46">
        <f>HEX2DEC(RIGHT(Table13232127[[#This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6" t="s">
        <v>97</v>
      </c>
      <c r="P1056" s="46">
        <f>HEX2DEC(RIGHT(Table13232127[[#This Row],[h1]],8))</f>
        <v>0</v>
      </c>
      <c r="Q1056" s="46" t="s">
        <v>97</v>
      </c>
      <c r="R1056" s="46">
        <f>HEX2DEC(RIGHT(Table13232127[[#This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6" t="s">
        <v>97</v>
      </c>
      <c r="P1057" s="46">
        <f>HEX2DEC(RIGHT(Table13232127[[#This Row],[h1]],8))</f>
        <v>0</v>
      </c>
      <c r="Q1057" s="46" t="s">
        <v>97</v>
      </c>
      <c r="R1057" s="46">
        <f>HEX2DEC(RIGHT(Table13232127[[#This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6" t="s">
        <v>97</v>
      </c>
      <c r="P1058" s="46">
        <f>HEX2DEC(RIGHT(Table13232127[[#This Row],[h1]],8))</f>
        <v>0</v>
      </c>
      <c r="Q1058" s="46" t="s">
        <v>97</v>
      </c>
      <c r="R1058" s="46">
        <f>HEX2DEC(RIGHT(Table13232127[[#This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6" t="s">
        <v>97</v>
      </c>
      <c r="P1059" s="46">
        <f>HEX2DEC(RIGHT(Table13232127[[#This Row],[h1]],8))</f>
        <v>0</v>
      </c>
      <c r="Q1059" s="46" t="s">
        <v>97</v>
      </c>
      <c r="R1059" s="46">
        <f>HEX2DEC(RIGHT(Table13232127[[#This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6" t="s">
        <v>97</v>
      </c>
      <c r="P1060" s="46">
        <f>HEX2DEC(RIGHT(Table13232127[[#This Row],[h1]],8))</f>
        <v>0</v>
      </c>
      <c r="Q1060" s="46" t="s">
        <v>97</v>
      </c>
      <c r="R1060" s="46">
        <f>HEX2DEC(RIGHT(Table13232127[[#This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6" t="s">
        <v>97</v>
      </c>
      <c r="P1061" s="46">
        <f>HEX2DEC(RIGHT(Table13232127[[#This Row],[h1]],8))</f>
        <v>0</v>
      </c>
      <c r="Q1061" s="46" t="s">
        <v>97</v>
      </c>
      <c r="R1061" s="46">
        <f>HEX2DEC(RIGHT(Table13232127[[#This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6" t="s">
        <v>97</v>
      </c>
      <c r="P1062" s="46">
        <f>HEX2DEC(RIGHT(Table13232127[[#This Row],[h1]],8))</f>
        <v>0</v>
      </c>
      <c r="Q1062" s="46" t="s">
        <v>97</v>
      </c>
      <c r="R1062" s="46">
        <f>HEX2DEC(RIGHT(Table13232127[[#This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6" t="s">
        <v>97</v>
      </c>
      <c r="P1063" s="46">
        <f>HEX2DEC(RIGHT(Table13232127[[#This Row],[h1]],8))</f>
        <v>0</v>
      </c>
      <c r="Q1063" s="46" t="s">
        <v>97</v>
      </c>
      <c r="R1063" s="46">
        <f>HEX2DEC(RIGHT(Table13232127[[#This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6" t="s">
        <v>97</v>
      </c>
      <c r="P1064" s="46">
        <f>HEX2DEC(RIGHT(Table13232127[[#This Row],[h1]],8))</f>
        <v>0</v>
      </c>
      <c r="Q1064" s="46" t="s">
        <v>97</v>
      </c>
      <c r="R1064" s="46">
        <f>HEX2DEC(RIGHT(Table13232127[[#This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6" t="s">
        <v>97</v>
      </c>
      <c r="P1065" s="46">
        <f>HEX2DEC(RIGHT(Table13232127[[#This Row],[h1]],8))</f>
        <v>0</v>
      </c>
      <c r="Q1065" s="46" t="s">
        <v>97</v>
      </c>
      <c r="R1065" s="46">
        <f>HEX2DEC(RIGHT(Table13232127[[#This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6" t="s">
        <v>97</v>
      </c>
      <c r="P1066" s="46">
        <f>HEX2DEC(RIGHT(Table13232127[[#This Row],[h1]],8))</f>
        <v>0</v>
      </c>
      <c r="Q1066" s="46" t="s">
        <v>97</v>
      </c>
      <c r="R1066" s="46">
        <f>HEX2DEC(RIGHT(Table13232127[[#This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6" t="s">
        <v>97</v>
      </c>
      <c r="P1067" s="46">
        <f>HEX2DEC(RIGHT(Table13232127[[#This Row],[h1]],8))</f>
        <v>0</v>
      </c>
      <c r="Q1067" s="46" t="s">
        <v>97</v>
      </c>
      <c r="R1067" s="46">
        <f>HEX2DEC(RIGHT(Table13232127[[#This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6" t="s">
        <v>97</v>
      </c>
      <c r="P1068" s="46">
        <f>HEX2DEC(RIGHT(Table13232127[[#This Row],[h1]],8))</f>
        <v>0</v>
      </c>
      <c r="Q1068" s="46" t="s">
        <v>97</v>
      </c>
      <c r="R1068" s="46">
        <f>HEX2DEC(RIGHT(Table13232127[[#This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6" t="s">
        <v>97</v>
      </c>
      <c r="P1069" s="46">
        <f>HEX2DEC(RIGHT(Table13232127[[#This Row],[h1]],8))</f>
        <v>0</v>
      </c>
      <c r="Q1069" s="46" t="s">
        <v>97</v>
      </c>
      <c r="R1069" s="46">
        <f>HEX2DEC(RIGHT(Table13232127[[#This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6" t="s">
        <v>97</v>
      </c>
      <c r="P1070" s="46">
        <f>HEX2DEC(RIGHT(Table13232127[[#This Row],[h1]],8))</f>
        <v>0</v>
      </c>
      <c r="Q1070" s="46" t="s">
        <v>97</v>
      </c>
      <c r="R1070" s="46">
        <f>HEX2DEC(RIGHT(Table13232127[[#This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6" t="s">
        <v>97</v>
      </c>
      <c r="P1071" s="46">
        <f>HEX2DEC(RIGHT(Table13232127[[#This Row],[h1]],8))</f>
        <v>0</v>
      </c>
      <c r="Q1071" s="46" t="s">
        <v>97</v>
      </c>
      <c r="R1071" s="46">
        <f>HEX2DEC(RIGHT(Table13232127[[#This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6" t="s">
        <v>97</v>
      </c>
      <c r="P1072" s="46">
        <f>HEX2DEC(RIGHT(Table13232127[[#This Row],[h1]],8))</f>
        <v>0</v>
      </c>
      <c r="Q1072" s="46" t="s">
        <v>97</v>
      </c>
      <c r="R1072" s="46">
        <f>HEX2DEC(RIGHT(Table13232127[[#This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6" t="s">
        <v>97</v>
      </c>
      <c r="P1073" s="46">
        <f>HEX2DEC(RIGHT(Table13232127[[#This Row],[h1]],8))</f>
        <v>0</v>
      </c>
      <c r="Q1073" s="46" t="s">
        <v>97</v>
      </c>
      <c r="R1073" s="46">
        <f>HEX2DEC(RIGHT(Table13232127[[#This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6" t="s">
        <v>97</v>
      </c>
      <c r="P1074" s="46">
        <f>HEX2DEC(RIGHT(Table13232127[[#This Row],[h1]],8))</f>
        <v>0</v>
      </c>
      <c r="Q1074" s="46" t="s">
        <v>97</v>
      </c>
      <c r="R1074" s="46">
        <f>HEX2DEC(RIGHT(Table13232127[[#This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6" t="s">
        <v>97</v>
      </c>
      <c r="P1075" s="46">
        <f>HEX2DEC(RIGHT(Table13232127[[#This Row],[h1]],8))</f>
        <v>0</v>
      </c>
      <c r="Q1075" s="46" t="s">
        <v>97</v>
      </c>
      <c r="R1075" s="46">
        <f>HEX2DEC(RIGHT(Table13232127[[#This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6" t="s">
        <v>97</v>
      </c>
      <c r="P1076" s="46">
        <f>HEX2DEC(RIGHT(Table13232127[[#This Row],[h1]],8))</f>
        <v>0</v>
      </c>
      <c r="Q1076" s="46" t="s">
        <v>97</v>
      </c>
      <c r="R1076" s="46">
        <f>HEX2DEC(RIGHT(Table13232127[[#This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6" t="s">
        <v>97</v>
      </c>
      <c r="P1077" s="46">
        <f>HEX2DEC(RIGHT(Table13232127[[#This Row],[h1]],8))</f>
        <v>0</v>
      </c>
      <c r="Q1077" s="46" t="s">
        <v>97</v>
      </c>
      <c r="R1077" s="46">
        <f>HEX2DEC(RIGHT(Table13232127[[#This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6" t="s">
        <v>97</v>
      </c>
      <c r="P1078" s="46">
        <f>HEX2DEC(RIGHT(Table13232127[[#This Row],[h1]],8))</f>
        <v>0</v>
      </c>
      <c r="Q1078" s="46" t="s">
        <v>97</v>
      </c>
      <c r="R1078" s="46">
        <f>HEX2DEC(RIGHT(Table13232127[[#This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6" t="s">
        <v>97</v>
      </c>
      <c r="P1079" s="46">
        <f>HEX2DEC(RIGHT(Table13232127[[#This Row],[h1]],8))</f>
        <v>0</v>
      </c>
      <c r="Q1079" s="46" t="s">
        <v>97</v>
      </c>
      <c r="R1079" s="46">
        <f>HEX2DEC(RIGHT(Table13232127[[#This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6" t="s">
        <v>97</v>
      </c>
      <c r="P1080" s="46">
        <f>HEX2DEC(RIGHT(Table13232127[[#This Row],[h1]],8))</f>
        <v>0</v>
      </c>
      <c r="Q1080" s="46" t="s">
        <v>97</v>
      </c>
      <c r="R1080" s="46">
        <f>HEX2DEC(RIGHT(Table13232127[[#This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6" t="s">
        <v>97</v>
      </c>
      <c r="P1081" s="46">
        <f>HEX2DEC(RIGHT(Table13232127[[#This Row],[h1]],8))</f>
        <v>0</v>
      </c>
      <c r="Q1081" s="46" t="s">
        <v>97</v>
      </c>
      <c r="R1081" s="46">
        <f>HEX2DEC(RIGHT(Table13232127[[#This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6" t="s">
        <v>97</v>
      </c>
      <c r="P1082" s="46">
        <f>HEX2DEC(RIGHT(Table13232127[[#This Row],[h1]],8))</f>
        <v>0</v>
      </c>
      <c r="Q1082" s="46" t="s">
        <v>97</v>
      </c>
      <c r="R1082" s="46">
        <f>HEX2DEC(RIGHT(Table13232127[[#This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6" t="s">
        <v>97</v>
      </c>
      <c r="P1083" s="46">
        <f>HEX2DEC(RIGHT(Table13232127[[#This Row],[h1]],8))</f>
        <v>0</v>
      </c>
      <c r="Q1083" s="46" t="s">
        <v>97</v>
      </c>
      <c r="R1083" s="46">
        <f>HEX2DEC(RIGHT(Table13232127[[#This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6" t="s">
        <v>97</v>
      </c>
      <c r="P1084" s="46">
        <f>HEX2DEC(RIGHT(Table13232127[[#This Row],[h1]],8))</f>
        <v>0</v>
      </c>
      <c r="Q1084" s="46" t="s">
        <v>97</v>
      </c>
      <c r="R1084" s="46">
        <f>HEX2DEC(RIGHT(Table13232127[[#This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6" t="s">
        <v>97</v>
      </c>
      <c r="P1085" s="46">
        <f>HEX2DEC(RIGHT(Table13232127[[#This Row],[h1]],8))</f>
        <v>0</v>
      </c>
      <c r="Q1085" s="46" t="s">
        <v>97</v>
      </c>
      <c r="R1085" s="46">
        <f>HEX2DEC(RIGHT(Table13232127[[#This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6" t="s">
        <v>97</v>
      </c>
      <c r="P1086" s="46">
        <f>HEX2DEC(RIGHT(Table13232127[[#This Row],[h1]],8))</f>
        <v>0</v>
      </c>
      <c r="Q1086" s="46" t="s">
        <v>97</v>
      </c>
      <c r="R1086" s="46">
        <f>HEX2DEC(RIGHT(Table13232127[[#This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6" t="s">
        <v>97</v>
      </c>
      <c r="P1087" s="46">
        <f>HEX2DEC(RIGHT(Table13232127[[#This Row],[h1]],8))</f>
        <v>0</v>
      </c>
      <c r="Q1087" s="46" t="s">
        <v>97</v>
      </c>
      <c r="R1087" s="46">
        <f>HEX2DEC(RIGHT(Table13232127[[#This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6" t="s">
        <v>97</v>
      </c>
      <c r="P1088" s="46">
        <f>HEX2DEC(RIGHT(Table13232127[[#This Row],[h1]],8))</f>
        <v>0</v>
      </c>
      <c r="Q1088" s="46" t="s">
        <v>97</v>
      </c>
      <c r="R1088" s="46">
        <f>HEX2DEC(RIGHT(Table13232127[[#This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6" t="s">
        <v>97</v>
      </c>
      <c r="P1089" s="46">
        <f>HEX2DEC(RIGHT(Table13232127[[#This Row],[h1]],8))</f>
        <v>0</v>
      </c>
      <c r="Q1089" s="46" t="s">
        <v>97</v>
      </c>
      <c r="R1089" s="46">
        <f>HEX2DEC(RIGHT(Table13232127[[#This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6" t="s">
        <v>97</v>
      </c>
      <c r="P1090" s="46">
        <f>HEX2DEC(RIGHT(Table13232127[[#This Row],[h1]],8))</f>
        <v>0</v>
      </c>
      <c r="Q1090" s="46" t="s">
        <v>97</v>
      </c>
      <c r="R1090" s="46">
        <f>HEX2DEC(RIGHT(Table13232127[[#This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6" t="s">
        <v>97</v>
      </c>
      <c r="P1091" s="46">
        <f>HEX2DEC(RIGHT(Table13232127[[#This Row],[h1]],8))</f>
        <v>0</v>
      </c>
      <c r="Q1091" s="46" t="s">
        <v>97</v>
      </c>
      <c r="R1091" s="46">
        <f>HEX2DEC(RIGHT(Table13232127[[#This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6" t="s">
        <v>97</v>
      </c>
      <c r="P1092" s="46">
        <f>HEX2DEC(RIGHT(Table13232127[[#This Row],[h1]],8))</f>
        <v>0</v>
      </c>
      <c r="Q1092" s="46" t="s">
        <v>97</v>
      </c>
      <c r="R1092" s="46">
        <f>HEX2DEC(RIGHT(Table13232127[[#This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6" t="s">
        <v>97</v>
      </c>
      <c r="P1093" s="46">
        <f>HEX2DEC(RIGHT(Table13232127[[#This Row],[h1]],8))</f>
        <v>0</v>
      </c>
      <c r="Q1093" s="46" t="s">
        <v>97</v>
      </c>
      <c r="R1093" s="46">
        <f>HEX2DEC(RIGHT(Table13232127[[#This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6" t="s">
        <v>97</v>
      </c>
      <c r="P1094" s="46">
        <f>HEX2DEC(RIGHT(Table13232127[[#This Row],[h1]],8))</f>
        <v>0</v>
      </c>
      <c r="Q1094" s="46" t="s">
        <v>97</v>
      </c>
      <c r="R1094" s="46">
        <f>HEX2DEC(RIGHT(Table13232127[[#This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6" t="s">
        <v>97</v>
      </c>
      <c r="P1095" s="46">
        <f>HEX2DEC(RIGHT(Table13232127[[#This Row],[h1]],8))</f>
        <v>0</v>
      </c>
      <c r="Q1095" s="46" t="s">
        <v>97</v>
      </c>
      <c r="R1095" s="46">
        <f>HEX2DEC(RIGHT(Table13232127[[#This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6" t="s">
        <v>97</v>
      </c>
      <c r="P1096" s="46">
        <f>HEX2DEC(RIGHT(Table13232127[[#This Row],[h1]],8))</f>
        <v>0</v>
      </c>
      <c r="Q1096" s="46" t="s">
        <v>97</v>
      </c>
      <c r="R1096" s="46">
        <f>HEX2DEC(RIGHT(Table13232127[[#This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6" t="s">
        <v>97</v>
      </c>
      <c r="P1097" s="46">
        <f>HEX2DEC(RIGHT(Table13232127[[#This Row],[h1]],8))</f>
        <v>0</v>
      </c>
      <c r="Q1097" s="46" t="s">
        <v>97</v>
      </c>
      <c r="R1097" s="46">
        <f>HEX2DEC(RIGHT(Table13232127[[#This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6" t="s">
        <v>97</v>
      </c>
      <c r="P1098" s="46">
        <f>HEX2DEC(RIGHT(Table13232127[[#This Row],[h1]],8))</f>
        <v>0</v>
      </c>
      <c r="Q1098" s="46" t="s">
        <v>97</v>
      </c>
      <c r="R1098" s="46">
        <f>HEX2DEC(RIGHT(Table13232127[[#This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6" t="s">
        <v>97</v>
      </c>
      <c r="P1099" s="46">
        <f>HEX2DEC(RIGHT(Table13232127[[#This Row],[h1]],8))</f>
        <v>0</v>
      </c>
      <c r="Q1099" s="46" t="s">
        <v>97</v>
      </c>
      <c r="R1099" s="46">
        <f>HEX2DEC(RIGHT(Table13232127[[#This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6" t="s">
        <v>97</v>
      </c>
      <c r="P1100" s="46">
        <f>HEX2DEC(RIGHT(Table13232127[[#This Row],[h1]],8))</f>
        <v>0</v>
      </c>
      <c r="Q1100" s="46" t="s">
        <v>97</v>
      </c>
      <c r="R1100" s="46">
        <f>HEX2DEC(RIGHT(Table13232127[[#This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6" t="s">
        <v>97</v>
      </c>
      <c r="P1101" s="46">
        <f>HEX2DEC(RIGHT(Table13232127[[#This Row],[h1]],8))</f>
        <v>0</v>
      </c>
      <c r="Q1101" s="46" t="s">
        <v>97</v>
      </c>
      <c r="R1101" s="46">
        <f>HEX2DEC(RIGHT(Table13232127[[#This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6" t="s">
        <v>97</v>
      </c>
      <c r="P1102" s="46">
        <f>HEX2DEC(RIGHT(Table13232127[[#This Row],[h1]],8))</f>
        <v>0</v>
      </c>
      <c r="Q1102" s="46" t="s">
        <v>97</v>
      </c>
      <c r="R1102" s="46">
        <f>HEX2DEC(RIGHT(Table13232127[[#This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6" t="s">
        <v>97</v>
      </c>
      <c r="P1103" s="46">
        <f>HEX2DEC(RIGHT(Table13232127[[#This Row],[h1]],8))</f>
        <v>0</v>
      </c>
      <c r="Q1103" s="46" t="s">
        <v>97</v>
      </c>
      <c r="R1103" s="46">
        <f>HEX2DEC(RIGHT(Table13232127[[#This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6" t="s">
        <v>97</v>
      </c>
      <c r="P1104" s="46">
        <f>HEX2DEC(RIGHT(Table13232127[[#This Row],[h1]],8))</f>
        <v>0</v>
      </c>
      <c r="Q1104" s="46" t="s">
        <v>97</v>
      </c>
      <c r="R1104" s="46">
        <f>HEX2DEC(RIGHT(Table13232127[[#This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6" t="s">
        <v>97</v>
      </c>
      <c r="P1105" s="46">
        <f>HEX2DEC(RIGHT(Table13232127[[#This Row],[h1]],8))</f>
        <v>0</v>
      </c>
      <c r="Q1105" s="46" t="s">
        <v>97</v>
      </c>
      <c r="R1105" s="46">
        <f>HEX2DEC(RIGHT(Table13232127[[#This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6" t="s">
        <v>97</v>
      </c>
      <c r="P1106" s="46">
        <f>HEX2DEC(RIGHT(Table13232127[[#This Row],[h1]],8))</f>
        <v>0</v>
      </c>
      <c r="Q1106" s="46" t="s">
        <v>97</v>
      </c>
      <c r="R1106" s="46">
        <f>HEX2DEC(RIGHT(Table13232127[[#This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6" t="s">
        <v>97</v>
      </c>
      <c r="P1107" s="46">
        <f>HEX2DEC(RIGHT(Table13232127[[#This Row],[h1]],8))</f>
        <v>0</v>
      </c>
      <c r="Q1107" s="46" t="s">
        <v>97</v>
      </c>
      <c r="R1107" s="46">
        <f>HEX2DEC(RIGHT(Table13232127[[#This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6" t="s">
        <v>97</v>
      </c>
      <c r="P1108" s="46">
        <f>HEX2DEC(RIGHT(Table13232127[[#This Row],[h1]],8))</f>
        <v>0</v>
      </c>
      <c r="Q1108" s="46" t="s">
        <v>97</v>
      </c>
      <c r="R1108" s="46">
        <f>HEX2DEC(RIGHT(Table13232127[[#This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6" t="s">
        <v>97</v>
      </c>
      <c r="P1109" s="46">
        <f>HEX2DEC(RIGHT(Table13232127[[#This Row],[h1]],8))</f>
        <v>0</v>
      </c>
      <c r="Q1109" s="46" t="s">
        <v>97</v>
      </c>
      <c r="R1109" s="46">
        <f>HEX2DEC(RIGHT(Table13232127[[#This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6" t="s">
        <v>97</v>
      </c>
      <c r="P1110" s="46">
        <f>HEX2DEC(RIGHT(Table13232127[[#This Row],[h1]],8))</f>
        <v>0</v>
      </c>
      <c r="Q1110" s="46" t="s">
        <v>97</v>
      </c>
      <c r="R1110" s="46">
        <f>HEX2DEC(RIGHT(Table13232127[[#This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6" t="s">
        <v>97</v>
      </c>
      <c r="P1111" s="46">
        <f>HEX2DEC(RIGHT(Table13232127[[#This Row],[h1]],8))</f>
        <v>0</v>
      </c>
      <c r="Q1111" s="46" t="s">
        <v>97</v>
      </c>
      <c r="R1111" s="46">
        <f>HEX2DEC(RIGHT(Table13232127[[#This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6" t="s">
        <v>97</v>
      </c>
      <c r="P1112" s="46">
        <f>HEX2DEC(RIGHT(Table13232127[[#This Row],[h1]],8))</f>
        <v>0</v>
      </c>
      <c r="Q1112" s="46" t="s">
        <v>97</v>
      </c>
      <c r="R1112" s="46">
        <f>HEX2DEC(RIGHT(Table13232127[[#This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6" t="s">
        <v>97</v>
      </c>
      <c r="P1113" s="46">
        <f>HEX2DEC(RIGHT(Table13232127[[#This Row],[h1]],8))</f>
        <v>0</v>
      </c>
      <c r="Q1113" s="46" t="s">
        <v>97</v>
      </c>
      <c r="R1113" s="46">
        <f>HEX2DEC(RIGHT(Table13232127[[#This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6" t="s">
        <v>97</v>
      </c>
      <c r="P1114" s="46">
        <f>HEX2DEC(RIGHT(Table13232127[[#This Row],[h1]],8))</f>
        <v>0</v>
      </c>
      <c r="Q1114" s="46" t="s">
        <v>97</v>
      </c>
      <c r="R1114" s="46">
        <f>HEX2DEC(RIGHT(Table13232127[[#This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6" t="s">
        <v>97</v>
      </c>
      <c r="P1115" s="46">
        <f>HEX2DEC(RIGHT(Table13232127[[#This Row],[h1]],8))</f>
        <v>0</v>
      </c>
      <c r="Q1115" s="46" t="s">
        <v>97</v>
      </c>
      <c r="R1115" s="46">
        <f>HEX2DEC(RIGHT(Table13232127[[#This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6" t="s">
        <v>97</v>
      </c>
      <c r="P1116" s="46">
        <f>HEX2DEC(RIGHT(Table13232127[[#This Row],[h1]],8))</f>
        <v>0</v>
      </c>
      <c r="Q1116" s="46" t="s">
        <v>97</v>
      </c>
      <c r="R1116" s="46">
        <f>HEX2DEC(RIGHT(Table13232127[[#This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6" t="s">
        <v>97</v>
      </c>
      <c r="P1117" s="46">
        <f>HEX2DEC(RIGHT(Table13232127[[#This Row],[h1]],8))</f>
        <v>0</v>
      </c>
      <c r="Q1117" s="46" t="s">
        <v>97</v>
      </c>
      <c r="R1117" s="46">
        <f>HEX2DEC(RIGHT(Table13232127[[#This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6" t="s">
        <v>97</v>
      </c>
      <c r="P1118" s="46">
        <f>HEX2DEC(RIGHT(Table13232127[[#This Row],[h1]],8))</f>
        <v>0</v>
      </c>
      <c r="Q1118" s="46" t="s">
        <v>97</v>
      </c>
      <c r="R1118" s="46">
        <f>HEX2DEC(RIGHT(Table13232127[[#This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6" t="s">
        <v>97</v>
      </c>
      <c r="P1119" s="46">
        <f>HEX2DEC(RIGHT(Table13232127[[#This Row],[h1]],8))</f>
        <v>0</v>
      </c>
      <c r="Q1119" s="46" t="s">
        <v>97</v>
      </c>
      <c r="R1119" s="46">
        <f>HEX2DEC(RIGHT(Table13232127[[#This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6" t="s">
        <v>97</v>
      </c>
      <c r="P1120" s="46">
        <f>HEX2DEC(RIGHT(Table13232127[[#This Row],[h1]],8))</f>
        <v>0</v>
      </c>
      <c r="Q1120" s="46" t="s">
        <v>97</v>
      </c>
      <c r="R1120" s="46">
        <f>HEX2DEC(RIGHT(Table13232127[[#This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6" t="s">
        <v>97</v>
      </c>
      <c r="P1121" s="46">
        <f>HEX2DEC(RIGHT(Table13232127[[#This Row],[h1]],8))</f>
        <v>0</v>
      </c>
      <c r="Q1121" s="46" t="s">
        <v>97</v>
      </c>
      <c r="R1121" s="46">
        <f>HEX2DEC(RIGHT(Table13232127[[#This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6" t="s">
        <v>97</v>
      </c>
      <c r="P1122" s="46">
        <f>HEX2DEC(RIGHT(Table13232127[[#This Row],[h1]],8))</f>
        <v>0</v>
      </c>
      <c r="Q1122" s="46" t="s">
        <v>97</v>
      </c>
      <c r="R1122" s="46">
        <f>HEX2DEC(RIGHT(Table13232127[[#This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6" t="s">
        <v>97</v>
      </c>
      <c r="P1123" s="46">
        <f>HEX2DEC(RIGHT(Table13232127[[#This Row],[h1]],8))</f>
        <v>0</v>
      </c>
      <c r="Q1123" s="46" t="s">
        <v>97</v>
      </c>
      <c r="R1123" s="46">
        <f>HEX2DEC(RIGHT(Table13232127[[#This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6" t="s">
        <v>97</v>
      </c>
      <c r="P1124" s="46">
        <f>HEX2DEC(RIGHT(Table13232127[[#This Row],[h1]],8))</f>
        <v>0</v>
      </c>
      <c r="Q1124" s="46" t="s">
        <v>97</v>
      </c>
      <c r="R1124" s="46">
        <f>HEX2DEC(RIGHT(Table13232127[[#This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6" t="s">
        <v>97</v>
      </c>
      <c r="P1125" s="46">
        <f>HEX2DEC(RIGHT(Table13232127[[#This Row],[h1]],8))</f>
        <v>0</v>
      </c>
      <c r="Q1125" s="46" t="s">
        <v>97</v>
      </c>
      <c r="R1125" s="46">
        <f>HEX2DEC(RIGHT(Table13232127[[#This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6" t="s">
        <v>97</v>
      </c>
      <c r="P1126" s="46">
        <f>HEX2DEC(RIGHT(Table13232127[[#This Row],[h1]],8))</f>
        <v>0</v>
      </c>
      <c r="Q1126" s="46" t="s">
        <v>97</v>
      </c>
      <c r="R1126" s="46">
        <f>HEX2DEC(RIGHT(Table13232127[[#This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6" t="s">
        <v>97</v>
      </c>
      <c r="P1127" s="46">
        <f>HEX2DEC(RIGHT(Table13232127[[#This Row],[h1]],8))</f>
        <v>0</v>
      </c>
      <c r="Q1127" s="46" t="s">
        <v>97</v>
      </c>
      <c r="R1127" s="46">
        <f>HEX2DEC(RIGHT(Table13232127[[#This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6" t="s">
        <v>97</v>
      </c>
      <c r="P1128" s="46">
        <f>HEX2DEC(RIGHT(Table13232127[[#This Row],[h1]],8))</f>
        <v>0</v>
      </c>
      <c r="Q1128" s="46" t="s">
        <v>97</v>
      </c>
      <c r="R1128" s="46">
        <f>HEX2DEC(RIGHT(Table13232127[[#This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6" t="s">
        <v>97</v>
      </c>
      <c r="P1129" s="46">
        <f>HEX2DEC(RIGHT(Table13232127[[#This Row],[h1]],8))</f>
        <v>0</v>
      </c>
      <c r="Q1129" s="46" t="s">
        <v>97</v>
      </c>
      <c r="R1129" s="46">
        <f>HEX2DEC(RIGHT(Table13232127[[#This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6" t="s">
        <v>97</v>
      </c>
      <c r="P1130" s="46">
        <f>HEX2DEC(RIGHT(Table13232127[[#This Row],[h1]],8))</f>
        <v>0</v>
      </c>
      <c r="Q1130" s="46" t="s">
        <v>97</v>
      </c>
      <c r="R1130" s="46">
        <f>HEX2DEC(RIGHT(Table13232127[[#This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6" t="s">
        <v>97</v>
      </c>
      <c r="P1131" s="46">
        <f>HEX2DEC(RIGHT(Table13232127[[#This Row],[h1]],8))</f>
        <v>0</v>
      </c>
      <c r="Q1131" s="46" t="s">
        <v>97</v>
      </c>
      <c r="R1131" s="46">
        <f>HEX2DEC(RIGHT(Table13232127[[#This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6" t="s">
        <v>97</v>
      </c>
      <c r="P1132" s="46">
        <f>HEX2DEC(RIGHT(Table13232127[[#This Row],[h1]],8))</f>
        <v>0</v>
      </c>
      <c r="Q1132" s="46" t="s">
        <v>97</v>
      </c>
      <c r="R1132" s="46">
        <f>HEX2DEC(RIGHT(Table13232127[[#This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6" t="s">
        <v>97</v>
      </c>
      <c r="P1133" s="46">
        <f>HEX2DEC(RIGHT(Table13232127[[#This Row],[h1]],8))</f>
        <v>0</v>
      </c>
      <c r="Q1133" s="46" t="s">
        <v>97</v>
      </c>
      <c r="R1133" s="46">
        <f>HEX2DEC(RIGHT(Table13232127[[#This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6" t="s">
        <v>97</v>
      </c>
      <c r="P1134" s="46">
        <f>HEX2DEC(RIGHT(Table13232127[[#This Row],[h1]],8))</f>
        <v>0</v>
      </c>
      <c r="Q1134" s="46" t="s">
        <v>97</v>
      </c>
      <c r="R1134" s="46">
        <f>HEX2DEC(RIGHT(Table13232127[[#This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6" t="s">
        <v>97</v>
      </c>
      <c r="P1135" s="46">
        <f>HEX2DEC(RIGHT(Table13232127[[#This Row],[h1]],8))</f>
        <v>0</v>
      </c>
      <c r="Q1135" s="46" t="s">
        <v>97</v>
      </c>
      <c r="R1135" s="46">
        <f>HEX2DEC(RIGHT(Table13232127[[#This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6" t="s">
        <v>97</v>
      </c>
      <c r="P1136" s="46">
        <f>HEX2DEC(RIGHT(Table13232127[[#This Row],[h1]],8))</f>
        <v>0</v>
      </c>
      <c r="Q1136" s="46" t="s">
        <v>97</v>
      </c>
      <c r="R1136" s="46">
        <f>HEX2DEC(RIGHT(Table13232127[[#This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6" t="s">
        <v>97</v>
      </c>
      <c r="P1137" s="46">
        <f>HEX2DEC(RIGHT(Table13232127[[#This Row],[h1]],8))</f>
        <v>0</v>
      </c>
      <c r="Q1137" s="46" t="s">
        <v>97</v>
      </c>
      <c r="R1137" s="46">
        <f>HEX2DEC(RIGHT(Table13232127[[#This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6" t="s">
        <v>97</v>
      </c>
      <c r="P1138" s="46">
        <f>HEX2DEC(RIGHT(Table13232127[[#This Row],[h1]],8))</f>
        <v>0</v>
      </c>
      <c r="Q1138" s="46" t="s">
        <v>97</v>
      </c>
      <c r="R1138" s="46">
        <f>HEX2DEC(RIGHT(Table13232127[[#This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6" t="s">
        <v>97</v>
      </c>
      <c r="P1139" s="46">
        <f>HEX2DEC(RIGHT(Table13232127[[#This Row],[h1]],8))</f>
        <v>0</v>
      </c>
      <c r="Q1139" s="46" t="s">
        <v>97</v>
      </c>
      <c r="R1139" s="46">
        <f>HEX2DEC(RIGHT(Table13232127[[#This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6" t="s">
        <v>97</v>
      </c>
      <c r="P1140" s="46">
        <f>HEX2DEC(RIGHT(Table13232127[[#This Row],[h1]],8))</f>
        <v>0</v>
      </c>
      <c r="Q1140" s="46" t="s">
        <v>97</v>
      </c>
      <c r="R1140" s="46">
        <f>HEX2DEC(RIGHT(Table13232127[[#This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6" t="s">
        <v>97</v>
      </c>
      <c r="P1141" s="46">
        <f>HEX2DEC(RIGHT(Table13232127[[#This Row],[h1]],8))</f>
        <v>0</v>
      </c>
      <c r="Q1141" s="46" t="s">
        <v>97</v>
      </c>
      <c r="R1141" s="46">
        <f>HEX2DEC(RIGHT(Table13232127[[#This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6" t="s">
        <v>97</v>
      </c>
      <c r="P1142" s="46">
        <f>HEX2DEC(RIGHT(Table13232127[[#This Row],[h1]],8))</f>
        <v>0</v>
      </c>
      <c r="Q1142" s="46" t="s">
        <v>97</v>
      </c>
      <c r="R1142" s="46">
        <f>HEX2DEC(RIGHT(Table13232127[[#This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6" t="s">
        <v>97</v>
      </c>
      <c r="P1143" s="46">
        <f>HEX2DEC(RIGHT(Table13232127[[#This Row],[h1]],8))</f>
        <v>0</v>
      </c>
      <c r="Q1143" s="46" t="s">
        <v>97</v>
      </c>
      <c r="R1143" s="46">
        <f>HEX2DEC(RIGHT(Table13232127[[#This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6" t="s">
        <v>97</v>
      </c>
      <c r="P1144" s="46">
        <f>HEX2DEC(RIGHT(Table13232127[[#This Row],[h1]],8))</f>
        <v>0</v>
      </c>
      <c r="Q1144" s="46" t="s">
        <v>97</v>
      </c>
      <c r="R1144" s="46">
        <f>HEX2DEC(RIGHT(Table13232127[[#This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6" t="s">
        <v>97</v>
      </c>
      <c r="P1145" s="46">
        <f>HEX2DEC(RIGHT(Table13232127[[#This Row],[h1]],8))</f>
        <v>0</v>
      </c>
      <c r="Q1145" s="46" t="s">
        <v>97</v>
      </c>
      <c r="R1145" s="46">
        <f>HEX2DEC(RIGHT(Table13232127[[#This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6" t="s">
        <v>97</v>
      </c>
      <c r="P1146" s="46">
        <f>HEX2DEC(RIGHT(Table13232127[[#This Row],[h1]],8))</f>
        <v>0</v>
      </c>
      <c r="Q1146" s="46" t="s">
        <v>97</v>
      </c>
      <c r="R1146" s="46">
        <f>HEX2DEC(RIGHT(Table13232127[[#This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6" t="s">
        <v>97</v>
      </c>
      <c r="P1147" s="46">
        <f>HEX2DEC(RIGHT(Table13232127[[#This Row],[h1]],8))</f>
        <v>0</v>
      </c>
      <c r="Q1147" s="46" t="s">
        <v>97</v>
      </c>
      <c r="R1147" s="46">
        <f>HEX2DEC(RIGHT(Table13232127[[#This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6" t="s">
        <v>97</v>
      </c>
      <c r="P1148" s="46">
        <f>HEX2DEC(RIGHT(Table13232127[[#This Row],[h1]],8))</f>
        <v>0</v>
      </c>
      <c r="Q1148" s="46" t="s">
        <v>97</v>
      </c>
      <c r="R1148" s="46">
        <f>HEX2DEC(RIGHT(Table13232127[[#This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6" t="s">
        <v>97</v>
      </c>
      <c r="P1149" s="46">
        <f>HEX2DEC(RIGHT(Table13232127[[#This Row],[h1]],8))</f>
        <v>0</v>
      </c>
      <c r="Q1149" s="46" t="s">
        <v>97</v>
      </c>
      <c r="R1149" s="46">
        <f>HEX2DEC(RIGHT(Table13232127[[#This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6" t="s">
        <v>97</v>
      </c>
      <c r="P1150" s="46">
        <f>HEX2DEC(RIGHT(Table13232127[[#This Row],[h1]],8))</f>
        <v>0</v>
      </c>
      <c r="Q1150" s="46" t="s">
        <v>97</v>
      </c>
      <c r="R1150" s="46">
        <f>HEX2DEC(RIGHT(Table13232127[[#This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6" t="s">
        <v>97</v>
      </c>
      <c r="P1151" s="46">
        <f>HEX2DEC(RIGHT(Table13232127[[#This Row],[h1]],8))</f>
        <v>0</v>
      </c>
      <c r="Q1151" s="46" t="s">
        <v>97</v>
      </c>
      <c r="R1151" s="46">
        <f>HEX2DEC(RIGHT(Table13232127[[#This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6" t="s">
        <v>97</v>
      </c>
      <c r="P1152" s="46">
        <f>HEX2DEC(RIGHT(Table13232127[[#This Row],[h1]],8))</f>
        <v>0</v>
      </c>
      <c r="Q1152" s="46" t="s">
        <v>97</v>
      </c>
      <c r="R1152" s="46">
        <f>HEX2DEC(RIGHT(Table13232127[[#This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6" t="s">
        <v>97</v>
      </c>
      <c r="P1153" s="46">
        <f>HEX2DEC(RIGHT(Table13232127[[#This Row],[h1]],8))</f>
        <v>0</v>
      </c>
      <c r="Q1153" s="46" t="s">
        <v>97</v>
      </c>
      <c r="R1153" s="46">
        <f>HEX2DEC(RIGHT(Table13232127[[#This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6" t="s">
        <v>97</v>
      </c>
      <c r="P1154" s="46">
        <f>HEX2DEC(RIGHT(Table13232127[[#This Row],[h1]],8))</f>
        <v>0</v>
      </c>
      <c r="Q1154" s="46" t="s">
        <v>97</v>
      </c>
      <c r="R1154" s="46">
        <f>HEX2DEC(RIGHT(Table13232127[[#This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6" t="s">
        <v>97</v>
      </c>
      <c r="P1155" s="46">
        <f>HEX2DEC(RIGHT(Table13232127[[#This Row],[h1]],8))</f>
        <v>0</v>
      </c>
      <c r="Q1155" s="46" t="s">
        <v>97</v>
      </c>
      <c r="R1155" s="46">
        <f>HEX2DEC(RIGHT(Table13232127[[#This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6" t="s">
        <v>97</v>
      </c>
      <c r="P1156" s="46">
        <f>HEX2DEC(RIGHT(Table13232127[[#This Row],[h1]],8))</f>
        <v>0</v>
      </c>
      <c r="Q1156" s="46" t="s">
        <v>97</v>
      </c>
      <c r="R1156" s="46">
        <f>HEX2DEC(RIGHT(Table13232127[[#This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6" t="s">
        <v>97</v>
      </c>
      <c r="P1157" s="46">
        <f>HEX2DEC(RIGHT(Table13232127[[#This Row],[h1]],8))</f>
        <v>0</v>
      </c>
      <c r="Q1157" s="46" t="s">
        <v>97</v>
      </c>
      <c r="R1157" s="46">
        <f>HEX2DEC(RIGHT(Table13232127[[#This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6" t="s">
        <v>97</v>
      </c>
      <c r="P1158" s="46">
        <f>HEX2DEC(RIGHT(Table13232127[[#This Row],[h1]],8))</f>
        <v>0</v>
      </c>
      <c r="Q1158" s="46" t="s">
        <v>97</v>
      </c>
      <c r="R1158" s="46">
        <f>HEX2DEC(RIGHT(Table13232127[[#This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6" t="s">
        <v>97</v>
      </c>
      <c r="P1159" s="46">
        <f>HEX2DEC(RIGHT(Table13232127[[#This Row],[h1]],8))</f>
        <v>0</v>
      </c>
      <c r="Q1159" s="46" t="s">
        <v>97</v>
      </c>
      <c r="R1159" s="46">
        <f>HEX2DEC(RIGHT(Table13232127[[#This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6" t="s">
        <v>97</v>
      </c>
      <c r="P1160" s="46">
        <f>HEX2DEC(RIGHT(Table13232127[[#This Row],[h1]],8))</f>
        <v>0</v>
      </c>
      <c r="Q1160" s="46" t="s">
        <v>97</v>
      </c>
      <c r="R1160" s="46">
        <f>HEX2DEC(RIGHT(Table13232127[[#This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6" t="s">
        <v>97</v>
      </c>
      <c r="P1161" s="46">
        <f>HEX2DEC(RIGHT(Table13232127[[#This Row],[h1]],8))</f>
        <v>0</v>
      </c>
      <c r="Q1161" s="46" t="s">
        <v>97</v>
      </c>
      <c r="R1161" s="46">
        <f>HEX2DEC(RIGHT(Table13232127[[#This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6" t="s">
        <v>97</v>
      </c>
      <c r="P1162" s="46">
        <f>HEX2DEC(RIGHT(Table13232127[[#This Row],[h1]],8))</f>
        <v>0</v>
      </c>
      <c r="Q1162" s="46" t="s">
        <v>97</v>
      </c>
      <c r="R1162" s="46">
        <f>HEX2DEC(RIGHT(Table13232127[[#This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6" t="s">
        <v>97</v>
      </c>
      <c r="P1163" s="46">
        <f>HEX2DEC(RIGHT(Table13232127[[#This Row],[h1]],8))</f>
        <v>0</v>
      </c>
      <c r="Q1163" s="46" t="s">
        <v>97</v>
      </c>
      <c r="R1163" s="46">
        <f>HEX2DEC(RIGHT(Table13232127[[#This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6" t="s">
        <v>97</v>
      </c>
      <c r="P1164" s="46">
        <f>HEX2DEC(RIGHT(Table13232127[[#This Row],[h1]],8))</f>
        <v>0</v>
      </c>
      <c r="Q1164" s="46" t="s">
        <v>97</v>
      </c>
      <c r="R1164" s="46">
        <f>HEX2DEC(RIGHT(Table13232127[[#This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6" t="s">
        <v>97</v>
      </c>
      <c r="P1165" s="46">
        <f>HEX2DEC(RIGHT(Table13232127[[#This Row],[h1]],8))</f>
        <v>0</v>
      </c>
      <c r="Q1165" s="46" t="s">
        <v>97</v>
      </c>
      <c r="R1165" s="46">
        <f>HEX2DEC(RIGHT(Table13232127[[#This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6" t="s">
        <v>97</v>
      </c>
      <c r="P1166" s="46">
        <f>HEX2DEC(RIGHT(Table13232127[[#This Row],[h1]],8))</f>
        <v>0</v>
      </c>
      <c r="Q1166" s="46" t="s">
        <v>97</v>
      </c>
      <c r="R1166" s="46">
        <f>HEX2DEC(RIGHT(Table13232127[[#This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6" t="s">
        <v>97</v>
      </c>
      <c r="P1167" s="46">
        <f>HEX2DEC(RIGHT(Table13232127[[#This Row],[h1]],8))</f>
        <v>0</v>
      </c>
      <c r="Q1167" s="46" t="s">
        <v>97</v>
      </c>
      <c r="R1167" s="46">
        <f>HEX2DEC(RIGHT(Table13232127[[#This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6" t="s">
        <v>97</v>
      </c>
      <c r="P1168" s="46">
        <f>HEX2DEC(RIGHT(Table13232127[[#This Row],[h1]],8))</f>
        <v>0</v>
      </c>
      <c r="Q1168" s="46" t="s">
        <v>97</v>
      </c>
      <c r="R1168" s="46">
        <f>HEX2DEC(RIGHT(Table13232127[[#This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6" t="s">
        <v>97</v>
      </c>
      <c r="P1169" s="46">
        <f>HEX2DEC(RIGHT(Table13232127[[#This Row],[h1]],8))</f>
        <v>0</v>
      </c>
      <c r="Q1169" s="46" t="s">
        <v>97</v>
      </c>
      <c r="R1169" s="46">
        <f>HEX2DEC(RIGHT(Table13232127[[#This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6" t="s">
        <v>97</v>
      </c>
      <c r="P1170" s="46">
        <f>HEX2DEC(RIGHT(Table13232127[[#This Row],[h1]],8))</f>
        <v>0</v>
      </c>
      <c r="Q1170" s="46" t="s">
        <v>97</v>
      </c>
      <c r="R1170" s="46">
        <f>HEX2DEC(RIGHT(Table13232127[[#This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6" t="s">
        <v>97</v>
      </c>
      <c r="P1171" s="46">
        <f>HEX2DEC(RIGHT(Table13232127[[#This Row],[h1]],8))</f>
        <v>0</v>
      </c>
      <c r="Q1171" s="46" t="s">
        <v>97</v>
      </c>
      <c r="R1171" s="46">
        <f>HEX2DEC(RIGHT(Table13232127[[#This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6" t="s">
        <v>97</v>
      </c>
      <c r="P1172" s="46">
        <f>HEX2DEC(RIGHT(Table13232127[[#This Row],[h1]],8))</f>
        <v>0</v>
      </c>
      <c r="Q1172" s="46" t="s">
        <v>97</v>
      </c>
      <c r="R1172" s="46">
        <f>HEX2DEC(RIGHT(Table13232127[[#This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6" t="s">
        <v>97</v>
      </c>
      <c r="P1173" s="46">
        <f>HEX2DEC(RIGHT(Table13232127[[#This Row],[h1]],8))</f>
        <v>0</v>
      </c>
      <c r="Q1173" s="46" t="s">
        <v>97</v>
      </c>
      <c r="R1173" s="46">
        <f>HEX2DEC(RIGHT(Table13232127[[#This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6" t="s">
        <v>97</v>
      </c>
      <c r="P1174" s="46">
        <f>HEX2DEC(RIGHT(Table13232127[[#This Row],[h1]],8))</f>
        <v>0</v>
      </c>
      <c r="Q1174" s="46" t="s">
        <v>97</v>
      </c>
      <c r="R1174" s="46">
        <f>HEX2DEC(RIGHT(Table13232127[[#This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6" t="s">
        <v>97</v>
      </c>
      <c r="P1175" s="46">
        <f>HEX2DEC(RIGHT(Table13232127[[#This Row],[h1]],8))</f>
        <v>0</v>
      </c>
      <c r="Q1175" s="46" t="s">
        <v>97</v>
      </c>
      <c r="R1175" s="46">
        <f>HEX2DEC(RIGHT(Table13232127[[#This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6" t="s">
        <v>97</v>
      </c>
      <c r="P1176" s="46">
        <f>HEX2DEC(RIGHT(Table13232127[[#This Row],[h1]],8))</f>
        <v>0</v>
      </c>
      <c r="Q1176" s="46" t="s">
        <v>97</v>
      </c>
      <c r="R1176" s="46">
        <f>HEX2DEC(RIGHT(Table13232127[[#This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6" t="s">
        <v>97</v>
      </c>
      <c r="P1177" s="46">
        <f>HEX2DEC(RIGHT(Table13232127[[#This Row],[h1]],8))</f>
        <v>0</v>
      </c>
      <c r="Q1177" s="46" t="s">
        <v>97</v>
      </c>
      <c r="R1177" s="46">
        <f>HEX2DEC(RIGHT(Table13232127[[#This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6" t="s">
        <v>97</v>
      </c>
      <c r="P1178" s="46">
        <f>HEX2DEC(RIGHT(Table13232127[[#This Row],[h1]],8))</f>
        <v>0</v>
      </c>
      <c r="Q1178" s="46" t="s">
        <v>97</v>
      </c>
      <c r="R1178" s="46">
        <f>HEX2DEC(RIGHT(Table13232127[[#This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6" t="s">
        <v>97</v>
      </c>
      <c r="P1179" s="46">
        <f>HEX2DEC(RIGHT(Table13232127[[#This Row],[h1]],8))</f>
        <v>0</v>
      </c>
      <c r="Q1179" s="46" t="s">
        <v>97</v>
      </c>
      <c r="R1179" s="46">
        <f>HEX2DEC(RIGHT(Table13232127[[#This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6" t="s">
        <v>97</v>
      </c>
      <c r="P1180" s="46">
        <f>HEX2DEC(RIGHT(Table13232127[[#This Row],[h1]],8))</f>
        <v>0</v>
      </c>
      <c r="Q1180" s="46" t="s">
        <v>97</v>
      </c>
      <c r="R1180" s="46">
        <f>HEX2DEC(RIGHT(Table13232127[[#This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6" t="s">
        <v>97</v>
      </c>
      <c r="P1181" s="46">
        <f>HEX2DEC(RIGHT(Table13232127[[#This Row],[h1]],8))</f>
        <v>0</v>
      </c>
      <c r="Q1181" s="46" t="s">
        <v>97</v>
      </c>
      <c r="R1181" s="46">
        <f>HEX2DEC(RIGHT(Table13232127[[#This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6" t="s">
        <v>97</v>
      </c>
      <c r="P1182" s="46">
        <f>HEX2DEC(RIGHT(Table13232127[[#This Row],[h1]],8))</f>
        <v>0</v>
      </c>
      <c r="Q1182" s="46" t="s">
        <v>97</v>
      </c>
      <c r="R1182" s="46">
        <f>HEX2DEC(RIGHT(Table13232127[[#This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6" t="s">
        <v>97</v>
      </c>
      <c r="P1183" s="46">
        <f>HEX2DEC(RIGHT(Table13232127[[#This Row],[h1]],8))</f>
        <v>0</v>
      </c>
      <c r="Q1183" s="46" t="s">
        <v>97</v>
      </c>
      <c r="R1183" s="46">
        <f>HEX2DEC(RIGHT(Table13232127[[#This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6" t="s">
        <v>97</v>
      </c>
      <c r="P1184" s="46">
        <f>HEX2DEC(RIGHT(Table13232127[[#This Row],[h1]],8))</f>
        <v>0</v>
      </c>
      <c r="Q1184" s="46" t="s">
        <v>97</v>
      </c>
      <c r="R1184" s="46">
        <f>HEX2DEC(RIGHT(Table13232127[[#This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6" t="s">
        <v>97</v>
      </c>
      <c r="P1185" s="46">
        <f>HEX2DEC(RIGHT(Table13232127[[#This Row],[h1]],8))</f>
        <v>0</v>
      </c>
      <c r="Q1185" s="46" t="s">
        <v>97</v>
      </c>
      <c r="R1185" s="46">
        <f>HEX2DEC(RIGHT(Table13232127[[#This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6" t="s">
        <v>97</v>
      </c>
      <c r="P1186" s="46">
        <f>HEX2DEC(RIGHT(Table13232127[[#This Row],[h1]],8))</f>
        <v>0</v>
      </c>
      <c r="Q1186" s="46" t="s">
        <v>97</v>
      </c>
      <c r="R1186" s="46">
        <f>HEX2DEC(RIGHT(Table13232127[[#This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6" t="s">
        <v>97</v>
      </c>
      <c r="P1187" s="46">
        <f>HEX2DEC(RIGHT(Table13232127[[#This Row],[h1]],8))</f>
        <v>0</v>
      </c>
      <c r="Q1187" s="46" t="s">
        <v>97</v>
      </c>
      <c r="R1187" s="46">
        <f>HEX2DEC(RIGHT(Table13232127[[#This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6" t="s">
        <v>97</v>
      </c>
      <c r="P1188" s="46">
        <f>HEX2DEC(RIGHT(Table13232127[[#This Row],[h1]],8))</f>
        <v>0</v>
      </c>
      <c r="Q1188" s="46" t="s">
        <v>97</v>
      </c>
      <c r="R1188" s="46">
        <f>HEX2DEC(RIGHT(Table13232127[[#This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6" t="s">
        <v>97</v>
      </c>
      <c r="P1189" s="46">
        <f>HEX2DEC(RIGHT(Table13232127[[#This Row],[h1]],8))</f>
        <v>0</v>
      </c>
      <c r="Q1189" s="46" t="s">
        <v>97</v>
      </c>
      <c r="R1189" s="46">
        <f>HEX2DEC(RIGHT(Table13232127[[#This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6" t="s">
        <v>97</v>
      </c>
      <c r="P1190" s="46">
        <f>HEX2DEC(RIGHT(Table13232127[[#This Row],[h1]],8))</f>
        <v>0</v>
      </c>
      <c r="Q1190" s="46" t="s">
        <v>97</v>
      </c>
      <c r="R1190" s="46">
        <f>HEX2DEC(RIGHT(Table13232127[[#This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6" t="s">
        <v>97</v>
      </c>
      <c r="P1191" s="46">
        <f>HEX2DEC(RIGHT(Table13232127[[#This Row],[h1]],8))</f>
        <v>0</v>
      </c>
      <c r="Q1191" s="46" t="s">
        <v>97</v>
      </c>
      <c r="R1191" s="46">
        <f>HEX2DEC(RIGHT(Table13232127[[#This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6" t="s">
        <v>97</v>
      </c>
      <c r="P1192" s="46">
        <f>HEX2DEC(RIGHT(Table13232127[[#This Row],[h1]],8))</f>
        <v>0</v>
      </c>
      <c r="Q1192" s="46" t="s">
        <v>97</v>
      </c>
      <c r="R1192" s="46">
        <f>HEX2DEC(RIGHT(Table13232127[[#This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6" t="s">
        <v>97</v>
      </c>
      <c r="P1193" s="46">
        <f>HEX2DEC(RIGHT(Table13232127[[#This Row],[h1]],8))</f>
        <v>0</v>
      </c>
      <c r="Q1193" s="46" t="s">
        <v>97</v>
      </c>
      <c r="R1193" s="46">
        <f>HEX2DEC(RIGHT(Table13232127[[#This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6" t="s">
        <v>97</v>
      </c>
      <c r="P1194" s="46">
        <f>HEX2DEC(RIGHT(Table13232127[[#This Row],[h1]],8))</f>
        <v>0</v>
      </c>
      <c r="Q1194" s="46" t="s">
        <v>97</v>
      </c>
      <c r="R1194" s="46">
        <f>HEX2DEC(RIGHT(Table13232127[[#This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6" t="s">
        <v>97</v>
      </c>
      <c r="P1195" s="46">
        <f>HEX2DEC(RIGHT(Table13232127[[#This Row],[h1]],8))</f>
        <v>0</v>
      </c>
      <c r="Q1195" s="46" t="s">
        <v>97</v>
      </c>
      <c r="R1195" s="46">
        <f>HEX2DEC(RIGHT(Table13232127[[#This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6" t="s">
        <v>97</v>
      </c>
      <c r="P1196" s="46">
        <f>HEX2DEC(RIGHT(Table13232127[[#This Row],[h1]],8))</f>
        <v>0</v>
      </c>
      <c r="Q1196" s="46" t="s">
        <v>97</v>
      </c>
      <c r="R1196" s="46">
        <f>HEX2DEC(RIGHT(Table13232127[[#This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6" t="s">
        <v>97</v>
      </c>
      <c r="P1197" s="46">
        <f>HEX2DEC(RIGHT(Table13232127[[#This Row],[h1]],8))</f>
        <v>0</v>
      </c>
      <c r="Q1197" s="46" t="s">
        <v>97</v>
      </c>
      <c r="R1197" s="46">
        <f>HEX2DEC(RIGHT(Table13232127[[#This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6" t="s">
        <v>97</v>
      </c>
      <c r="P1198" s="46">
        <f>HEX2DEC(RIGHT(Table13232127[[#This Row],[h1]],8))</f>
        <v>0</v>
      </c>
      <c r="Q1198" s="46" t="s">
        <v>97</v>
      </c>
      <c r="R1198" s="46">
        <f>HEX2DEC(RIGHT(Table13232127[[#This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6" t="s">
        <v>97</v>
      </c>
      <c r="P1199" s="46">
        <f>HEX2DEC(RIGHT(Table13232127[[#This Row],[h1]],8))</f>
        <v>0</v>
      </c>
      <c r="Q1199" s="46" t="s">
        <v>97</v>
      </c>
      <c r="R1199" s="46">
        <f>HEX2DEC(RIGHT(Table13232127[[#This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6" t="s">
        <v>97</v>
      </c>
      <c r="P1200" s="46">
        <f>HEX2DEC(RIGHT(Table13232127[[#This Row],[h1]],8))</f>
        <v>0</v>
      </c>
      <c r="Q1200" s="46" t="s">
        <v>97</v>
      </c>
      <c r="R1200" s="46">
        <f>HEX2DEC(RIGHT(Table13232127[[#This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6" t="s">
        <v>97</v>
      </c>
      <c r="P1201" s="46">
        <f>HEX2DEC(RIGHT(Table13232127[[#This Row],[h1]],8))</f>
        <v>0</v>
      </c>
      <c r="Q1201" s="46" t="s">
        <v>97</v>
      </c>
      <c r="R1201" s="46">
        <f>HEX2DEC(RIGHT(Table13232127[[#This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6" t="s">
        <v>97</v>
      </c>
      <c r="P1202" s="46">
        <f>HEX2DEC(RIGHT(Table13232127[[#This Row],[h1]],8))</f>
        <v>0</v>
      </c>
      <c r="Q1202" s="46" t="s">
        <v>97</v>
      </c>
      <c r="R1202" s="46">
        <f>HEX2DEC(RIGHT(Table13232127[[#This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6" t="s">
        <v>97</v>
      </c>
      <c r="P1203" s="46">
        <f>HEX2DEC(RIGHT(Table13232127[[#This Row],[h1]],8))</f>
        <v>0</v>
      </c>
      <c r="Q1203" s="46" t="s">
        <v>97</v>
      </c>
      <c r="R1203" s="46">
        <f>HEX2DEC(RIGHT(Table13232127[[#This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6" t="s">
        <v>97</v>
      </c>
      <c r="P1204" s="46">
        <f>HEX2DEC(RIGHT(Table13232127[[#This Row],[h1]],8))</f>
        <v>0</v>
      </c>
      <c r="Q1204" s="46" t="s">
        <v>97</v>
      </c>
      <c r="R1204" s="46">
        <f>HEX2DEC(RIGHT(Table13232127[[#This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6" t="s">
        <v>97</v>
      </c>
      <c r="P1205" s="46">
        <f>HEX2DEC(RIGHT(Table13232127[[#This Row],[h1]],8))</f>
        <v>0</v>
      </c>
      <c r="Q1205" s="46" t="s">
        <v>97</v>
      </c>
      <c r="R1205" s="46">
        <f>HEX2DEC(RIGHT(Table13232127[[#This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6" t="s">
        <v>97</v>
      </c>
      <c r="P1206" s="46">
        <f>HEX2DEC(RIGHT(Table13232127[[#This Row],[h1]],8))</f>
        <v>0</v>
      </c>
      <c r="Q1206" s="46" t="s">
        <v>97</v>
      </c>
      <c r="R1206" s="46">
        <f>HEX2DEC(RIGHT(Table13232127[[#This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6" t="s">
        <v>97</v>
      </c>
      <c r="P1207" s="46">
        <f>HEX2DEC(RIGHT(Table13232127[[#This Row],[h1]],8))</f>
        <v>0</v>
      </c>
      <c r="Q1207" s="46" t="s">
        <v>97</v>
      </c>
      <c r="R1207" s="46">
        <f>HEX2DEC(RIGHT(Table13232127[[#This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6" t="s">
        <v>97</v>
      </c>
      <c r="P1208" s="46">
        <f>HEX2DEC(RIGHT(Table13232127[[#This Row],[h1]],8))</f>
        <v>0</v>
      </c>
      <c r="Q1208" s="46" t="s">
        <v>97</v>
      </c>
      <c r="R1208" s="46">
        <f>HEX2DEC(RIGHT(Table13232127[[#This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6" t="s">
        <v>97</v>
      </c>
      <c r="P1209" s="46">
        <f>HEX2DEC(RIGHT(Table13232127[[#This Row],[h1]],8))</f>
        <v>0</v>
      </c>
      <c r="Q1209" s="46" t="s">
        <v>97</v>
      </c>
      <c r="R1209" s="46">
        <f>HEX2DEC(RIGHT(Table13232127[[#This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6" t="s">
        <v>97</v>
      </c>
      <c r="P1210" s="46">
        <f>HEX2DEC(RIGHT(Table13232127[[#This Row],[h1]],8))</f>
        <v>0</v>
      </c>
      <c r="Q1210" s="46" t="s">
        <v>97</v>
      </c>
      <c r="R1210" s="46">
        <f>HEX2DEC(RIGHT(Table13232127[[#This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6" t="s">
        <v>97</v>
      </c>
      <c r="P1211" s="46">
        <f>HEX2DEC(RIGHT(Table13232127[[#This Row],[h1]],8))</f>
        <v>0</v>
      </c>
      <c r="Q1211" s="46" t="s">
        <v>97</v>
      </c>
      <c r="R1211" s="46">
        <f>HEX2DEC(RIGHT(Table13232127[[#This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6" t="s">
        <v>97</v>
      </c>
      <c r="P1212" s="46">
        <f>HEX2DEC(RIGHT(Table13232127[[#This Row],[h1]],8))</f>
        <v>0</v>
      </c>
      <c r="Q1212" s="46" t="s">
        <v>97</v>
      </c>
      <c r="R1212" s="46">
        <f>HEX2DEC(RIGHT(Table13232127[[#This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6" t="s">
        <v>97</v>
      </c>
      <c r="P1213" s="46">
        <f>HEX2DEC(RIGHT(Table13232127[[#This Row],[h1]],8))</f>
        <v>0</v>
      </c>
      <c r="Q1213" s="46" t="s">
        <v>97</v>
      </c>
      <c r="R1213" s="46">
        <f>HEX2DEC(RIGHT(Table13232127[[#This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6" t="s">
        <v>97</v>
      </c>
      <c r="P1214" s="46">
        <f>HEX2DEC(RIGHT(Table13232127[[#This Row],[h1]],8))</f>
        <v>0</v>
      </c>
      <c r="Q1214" s="46" t="s">
        <v>97</v>
      </c>
      <c r="R1214" s="46">
        <f>HEX2DEC(RIGHT(Table13232127[[#This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6" t="s">
        <v>97</v>
      </c>
      <c r="P1215" s="46">
        <f>HEX2DEC(RIGHT(Table13232127[[#This Row],[h1]],8))</f>
        <v>0</v>
      </c>
      <c r="Q1215" s="46" t="s">
        <v>97</v>
      </c>
      <c r="R1215" s="46">
        <f>HEX2DEC(RIGHT(Table13232127[[#This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6" t="s">
        <v>97</v>
      </c>
      <c r="P1216" s="46">
        <f>HEX2DEC(RIGHT(Table13232127[[#This Row],[h1]],8))</f>
        <v>0</v>
      </c>
      <c r="Q1216" s="46" t="s">
        <v>97</v>
      </c>
      <c r="R1216" s="46">
        <f>HEX2DEC(RIGHT(Table13232127[[#This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6" t="s">
        <v>97</v>
      </c>
      <c r="P1217" s="46">
        <f>HEX2DEC(RIGHT(Table13232127[[#This Row],[h1]],8))</f>
        <v>0</v>
      </c>
      <c r="Q1217" s="46" t="s">
        <v>97</v>
      </c>
      <c r="R1217" s="46">
        <f>HEX2DEC(RIGHT(Table13232127[[#This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6" t="s">
        <v>97</v>
      </c>
      <c r="P1218" s="46">
        <f>HEX2DEC(RIGHT(Table13232127[[#This Row],[h1]],8))</f>
        <v>0</v>
      </c>
      <c r="Q1218" s="46" t="s">
        <v>97</v>
      </c>
      <c r="R1218" s="46">
        <f>HEX2DEC(RIGHT(Table13232127[[#This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6" t="s">
        <v>97</v>
      </c>
      <c r="P1219" s="46">
        <f>HEX2DEC(RIGHT(Table13232127[[#This Row],[h1]],8))</f>
        <v>0</v>
      </c>
      <c r="Q1219" s="46" t="s">
        <v>97</v>
      </c>
      <c r="R1219" s="46">
        <f>HEX2DEC(RIGHT(Table13232127[[#This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6" t="s">
        <v>97</v>
      </c>
      <c r="P1220" s="46">
        <f>HEX2DEC(RIGHT(Table13232127[[#This Row],[h1]],8))</f>
        <v>0</v>
      </c>
      <c r="Q1220" s="46" t="s">
        <v>97</v>
      </c>
      <c r="R1220" s="46">
        <f>HEX2DEC(RIGHT(Table13232127[[#This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6" t="s">
        <v>97</v>
      </c>
      <c r="P1221" s="46">
        <f>HEX2DEC(RIGHT(Table13232127[[#This Row],[h1]],8))</f>
        <v>0</v>
      </c>
      <c r="Q1221" s="46" t="s">
        <v>97</v>
      </c>
      <c r="R1221" s="46">
        <f>HEX2DEC(RIGHT(Table13232127[[#This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6" t="s">
        <v>97</v>
      </c>
      <c r="P1222" s="46">
        <f>HEX2DEC(RIGHT(Table13232127[[#This Row],[h1]],8))</f>
        <v>0</v>
      </c>
      <c r="Q1222" s="46" t="s">
        <v>97</v>
      </c>
      <c r="R1222" s="46">
        <f>HEX2DEC(RIGHT(Table13232127[[#This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6" t="s">
        <v>97</v>
      </c>
      <c r="P1223" s="46">
        <f>HEX2DEC(RIGHT(Table13232127[[#This Row],[h1]],8))</f>
        <v>0</v>
      </c>
      <c r="Q1223" s="46" t="s">
        <v>97</v>
      </c>
      <c r="R1223" s="46">
        <f>HEX2DEC(RIGHT(Table13232127[[#This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6" t="s">
        <v>97</v>
      </c>
      <c r="P1224" s="46">
        <f>HEX2DEC(RIGHT(Table13232127[[#This Row],[h1]],8))</f>
        <v>0</v>
      </c>
      <c r="Q1224" s="46" t="s">
        <v>97</v>
      </c>
      <c r="R1224" s="46">
        <f>HEX2DEC(RIGHT(Table13232127[[#This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6" t="s">
        <v>97</v>
      </c>
      <c r="P1225" s="46">
        <f>HEX2DEC(RIGHT(Table13232127[[#This Row],[h1]],8))</f>
        <v>0</v>
      </c>
      <c r="Q1225" s="46" t="s">
        <v>97</v>
      </c>
      <c r="R1225" s="46">
        <f>HEX2DEC(RIGHT(Table13232127[[#This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6" t="s">
        <v>97</v>
      </c>
      <c r="P1226" s="46">
        <f>HEX2DEC(RIGHT(Table13232127[[#This Row],[h1]],8))</f>
        <v>0</v>
      </c>
      <c r="Q1226" s="46" t="s">
        <v>97</v>
      </c>
      <c r="R1226" s="46">
        <f>HEX2DEC(RIGHT(Table13232127[[#This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6" t="s">
        <v>97</v>
      </c>
      <c r="P1227" s="46">
        <f>HEX2DEC(RIGHT(Table13232127[[#This Row],[h1]],8))</f>
        <v>0</v>
      </c>
      <c r="Q1227" s="46" t="s">
        <v>97</v>
      </c>
      <c r="R1227" s="46">
        <f>HEX2DEC(RIGHT(Table13232127[[#This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6" t="s">
        <v>97</v>
      </c>
      <c r="P1228" s="46">
        <f>HEX2DEC(RIGHT(Table13232127[[#This Row],[h1]],8))</f>
        <v>0</v>
      </c>
      <c r="Q1228" s="46" t="s">
        <v>97</v>
      </c>
      <c r="R1228" s="46">
        <f>HEX2DEC(RIGHT(Table13232127[[#This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6" t="s">
        <v>97</v>
      </c>
      <c r="P1229" s="46">
        <f>HEX2DEC(RIGHT(Table13232127[[#This Row],[h1]],8))</f>
        <v>0</v>
      </c>
      <c r="Q1229" s="46" t="s">
        <v>97</v>
      </c>
      <c r="R1229" s="46">
        <f>HEX2DEC(RIGHT(Table13232127[[#This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6" t="s">
        <v>97</v>
      </c>
      <c r="P1230" s="46">
        <f>HEX2DEC(RIGHT(Table13232127[[#This Row],[h1]],8))</f>
        <v>0</v>
      </c>
      <c r="Q1230" s="46" t="s">
        <v>97</v>
      </c>
      <c r="R1230" s="46">
        <f>HEX2DEC(RIGHT(Table13232127[[#This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6" t="s">
        <v>97</v>
      </c>
      <c r="P1231" s="46">
        <f>HEX2DEC(RIGHT(Table13232127[[#This Row],[h1]],8))</f>
        <v>0</v>
      </c>
      <c r="Q1231" s="46" t="s">
        <v>97</v>
      </c>
      <c r="R1231" s="46">
        <f>HEX2DEC(RIGHT(Table13232127[[#This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6" t="s">
        <v>97</v>
      </c>
      <c r="P1232" s="46">
        <f>HEX2DEC(RIGHT(Table13232127[[#This Row],[h1]],8))</f>
        <v>0</v>
      </c>
      <c r="Q1232" s="46" t="s">
        <v>97</v>
      </c>
      <c r="R1232" s="46">
        <f>HEX2DEC(RIGHT(Table13232127[[#This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6" t="s">
        <v>97</v>
      </c>
      <c r="P1233" s="46">
        <f>HEX2DEC(RIGHT(Table13232127[[#This Row],[h1]],8))</f>
        <v>0</v>
      </c>
      <c r="Q1233" s="46" t="s">
        <v>97</v>
      </c>
      <c r="R1233" s="46">
        <f>HEX2DEC(RIGHT(Table13232127[[#This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6" t="s">
        <v>97</v>
      </c>
      <c r="P1234" s="46">
        <f>HEX2DEC(RIGHT(Table13232127[[#This Row],[h1]],8))</f>
        <v>0</v>
      </c>
      <c r="Q1234" s="46" t="s">
        <v>97</v>
      </c>
      <c r="R1234" s="46">
        <f>HEX2DEC(RIGHT(Table13232127[[#This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6" t="s">
        <v>97</v>
      </c>
      <c r="P1235" s="46">
        <f>HEX2DEC(RIGHT(Table13232127[[#This Row],[h1]],8))</f>
        <v>0</v>
      </c>
      <c r="Q1235" s="46" t="s">
        <v>97</v>
      </c>
      <c r="R1235" s="46">
        <f>HEX2DEC(RIGHT(Table13232127[[#This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6" t="s">
        <v>97</v>
      </c>
      <c r="P1236" s="46">
        <f>HEX2DEC(RIGHT(Table13232127[[#This Row],[h1]],8))</f>
        <v>0</v>
      </c>
      <c r="Q1236" s="46" t="s">
        <v>97</v>
      </c>
      <c r="R1236" s="46">
        <f>HEX2DEC(RIGHT(Table13232127[[#This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6" t="s">
        <v>97</v>
      </c>
      <c r="P1237" s="46">
        <f>HEX2DEC(RIGHT(Table13232127[[#This Row],[h1]],8))</f>
        <v>0</v>
      </c>
      <c r="Q1237" s="46" t="s">
        <v>97</v>
      </c>
      <c r="R1237" s="46">
        <f>HEX2DEC(RIGHT(Table13232127[[#This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6" t="s">
        <v>97</v>
      </c>
      <c r="P1238" s="46">
        <f>HEX2DEC(RIGHT(Table13232127[[#This Row],[h1]],8))</f>
        <v>0</v>
      </c>
      <c r="Q1238" s="46" t="s">
        <v>97</v>
      </c>
      <c r="R1238" s="46">
        <f>HEX2DEC(RIGHT(Table13232127[[#This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6" t="s">
        <v>97</v>
      </c>
      <c r="P1239" s="46">
        <f>HEX2DEC(RIGHT(Table13232127[[#This Row],[h1]],8))</f>
        <v>0</v>
      </c>
      <c r="Q1239" s="46" t="s">
        <v>97</v>
      </c>
      <c r="R1239" s="46">
        <f>HEX2DEC(RIGHT(Table13232127[[#This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6" t="s">
        <v>97</v>
      </c>
      <c r="P1240" s="46">
        <f>HEX2DEC(RIGHT(Table13232127[[#This Row],[h1]],8))</f>
        <v>0</v>
      </c>
      <c r="Q1240" s="46" t="s">
        <v>97</v>
      </c>
      <c r="R1240" s="46">
        <f>HEX2DEC(RIGHT(Table13232127[[#This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6" t="s">
        <v>97</v>
      </c>
      <c r="P1241" s="46">
        <f>HEX2DEC(RIGHT(Table13232127[[#This Row],[h1]],8))</f>
        <v>0</v>
      </c>
      <c r="Q1241" s="46" t="s">
        <v>97</v>
      </c>
      <c r="R1241" s="46">
        <f>HEX2DEC(RIGHT(Table13232127[[#This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6" t="s">
        <v>97</v>
      </c>
      <c r="P1242" s="46">
        <f>HEX2DEC(RIGHT(Table13232127[[#This Row],[h1]],8))</f>
        <v>0</v>
      </c>
      <c r="Q1242" s="46" t="s">
        <v>97</v>
      </c>
      <c r="R1242" s="46">
        <f>HEX2DEC(RIGHT(Table13232127[[#This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6" t="s">
        <v>97</v>
      </c>
      <c r="P1243" s="46">
        <f>HEX2DEC(RIGHT(Table13232127[[#This Row],[h1]],8))</f>
        <v>0</v>
      </c>
      <c r="Q1243" s="46" t="s">
        <v>97</v>
      </c>
      <c r="R1243" s="46">
        <f>HEX2DEC(RIGHT(Table13232127[[#This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6" t="s">
        <v>97</v>
      </c>
      <c r="P1244" s="46">
        <f>HEX2DEC(RIGHT(Table13232127[[#This Row],[h1]],8))</f>
        <v>0</v>
      </c>
      <c r="Q1244" s="46" t="s">
        <v>97</v>
      </c>
      <c r="R1244" s="46">
        <f>HEX2DEC(RIGHT(Table13232127[[#This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6" t="s">
        <v>97</v>
      </c>
      <c r="P1245" s="46">
        <f>HEX2DEC(RIGHT(Table13232127[[#This Row],[h1]],8))</f>
        <v>0</v>
      </c>
      <c r="Q1245" s="46" t="s">
        <v>97</v>
      </c>
      <c r="R1245" s="46">
        <f>HEX2DEC(RIGHT(Table13232127[[#This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6" t="s">
        <v>97</v>
      </c>
      <c r="P1246" s="46">
        <f>HEX2DEC(RIGHT(Table13232127[[#This Row],[h1]],8))</f>
        <v>0</v>
      </c>
      <c r="Q1246" s="46" t="s">
        <v>97</v>
      </c>
      <c r="R1246" s="46">
        <f>HEX2DEC(RIGHT(Table13232127[[#This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6" t="s">
        <v>97</v>
      </c>
      <c r="P1247" s="46">
        <f>HEX2DEC(RIGHT(Table13232127[[#This Row],[h1]],8))</f>
        <v>0</v>
      </c>
      <c r="Q1247" s="46" t="s">
        <v>97</v>
      </c>
      <c r="R1247" s="46">
        <f>HEX2DEC(RIGHT(Table13232127[[#This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6" t="s">
        <v>97</v>
      </c>
      <c r="P1248" s="46">
        <f>HEX2DEC(RIGHT(Table13232127[[#This Row],[h1]],8))</f>
        <v>0</v>
      </c>
      <c r="Q1248" s="46" t="s">
        <v>97</v>
      </c>
      <c r="R1248" s="46">
        <f>HEX2DEC(RIGHT(Table13232127[[#This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6" t="s">
        <v>97</v>
      </c>
      <c r="P1249" s="46">
        <f>HEX2DEC(RIGHT(Table13232127[[#This Row],[h1]],8))</f>
        <v>0</v>
      </c>
      <c r="Q1249" s="46" t="s">
        <v>97</v>
      </c>
      <c r="R1249" s="46">
        <f>HEX2DEC(RIGHT(Table13232127[[#This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6" t="s">
        <v>97</v>
      </c>
      <c r="P1250" s="46">
        <f>HEX2DEC(RIGHT(Table13232127[[#This Row],[h1]],8))</f>
        <v>0</v>
      </c>
      <c r="Q1250" s="46" t="s">
        <v>97</v>
      </c>
      <c r="R1250" s="46">
        <f>HEX2DEC(RIGHT(Table13232127[[#This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6" t="s">
        <v>97</v>
      </c>
      <c r="P1251" s="46">
        <f>HEX2DEC(RIGHT(Table13232127[[#This Row],[h1]],8))</f>
        <v>0</v>
      </c>
      <c r="Q1251" s="46" t="s">
        <v>97</v>
      </c>
      <c r="R1251" s="46">
        <f>HEX2DEC(RIGHT(Table13232127[[#This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6" t="s">
        <v>97</v>
      </c>
      <c r="P1252" s="46">
        <f>HEX2DEC(RIGHT(Table13232127[[#This Row],[h1]],8))</f>
        <v>0</v>
      </c>
      <c r="Q1252" s="46" t="s">
        <v>97</v>
      </c>
      <c r="R1252" s="46">
        <f>HEX2DEC(RIGHT(Table13232127[[#This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6" t="s">
        <v>97</v>
      </c>
      <c r="P1253" s="46">
        <f>HEX2DEC(RIGHT(Table13232127[[#This Row],[h1]],8))</f>
        <v>0</v>
      </c>
      <c r="Q1253" s="46" t="s">
        <v>97</v>
      </c>
      <c r="R1253" s="46">
        <f>HEX2DEC(RIGHT(Table13232127[[#This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6" t="s">
        <v>97</v>
      </c>
      <c r="P1254" s="46">
        <f>HEX2DEC(RIGHT(Table13232127[[#This Row],[h1]],8))</f>
        <v>0</v>
      </c>
      <c r="Q1254" s="46" t="s">
        <v>97</v>
      </c>
      <c r="R1254" s="46">
        <f>HEX2DEC(RIGHT(Table13232127[[#This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6" t="s">
        <v>97</v>
      </c>
      <c r="P1255" s="46">
        <f>HEX2DEC(RIGHT(Table13232127[[#This Row],[h1]],8))</f>
        <v>0</v>
      </c>
      <c r="Q1255" s="46" t="s">
        <v>97</v>
      </c>
      <c r="R1255" s="46">
        <f>HEX2DEC(RIGHT(Table13232127[[#This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6" t="s">
        <v>97</v>
      </c>
      <c r="P1256" s="46">
        <f>HEX2DEC(RIGHT(Table13232127[[#This Row],[h1]],8))</f>
        <v>0</v>
      </c>
      <c r="Q1256" s="46" t="s">
        <v>97</v>
      </c>
      <c r="R1256" s="46">
        <f>HEX2DEC(RIGHT(Table13232127[[#This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6" t="s">
        <v>97</v>
      </c>
      <c r="P1257" s="46">
        <f>HEX2DEC(RIGHT(Table13232127[[#This Row],[h1]],8))</f>
        <v>0</v>
      </c>
      <c r="Q1257" s="46" t="s">
        <v>97</v>
      </c>
      <c r="R1257" s="46">
        <f>HEX2DEC(RIGHT(Table13232127[[#This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6" t="s">
        <v>97</v>
      </c>
      <c r="P1258" s="46">
        <f>HEX2DEC(RIGHT(Table13232127[[#This Row],[h1]],8))</f>
        <v>0</v>
      </c>
      <c r="Q1258" s="46" t="s">
        <v>97</v>
      </c>
      <c r="R1258" s="46">
        <f>HEX2DEC(RIGHT(Table13232127[[#This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6" t="s">
        <v>97</v>
      </c>
      <c r="P1259" s="46">
        <f>HEX2DEC(RIGHT(Table13232127[[#This Row],[h1]],8))</f>
        <v>0</v>
      </c>
      <c r="Q1259" s="46" t="s">
        <v>97</v>
      </c>
      <c r="R1259" s="46">
        <f>HEX2DEC(RIGHT(Table13232127[[#This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6" t="s">
        <v>97</v>
      </c>
      <c r="P1260" s="46">
        <f>HEX2DEC(RIGHT(Table13232127[[#This Row],[h1]],8))</f>
        <v>0</v>
      </c>
      <c r="Q1260" s="46" t="s">
        <v>97</v>
      </c>
      <c r="R1260" s="46">
        <f>HEX2DEC(RIGHT(Table13232127[[#This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6" t="s">
        <v>97</v>
      </c>
      <c r="P1261" s="46">
        <f>HEX2DEC(RIGHT(Table13232127[[#This Row],[h1]],8))</f>
        <v>0</v>
      </c>
      <c r="Q1261" s="46" t="s">
        <v>97</v>
      </c>
      <c r="R1261" s="46">
        <f>HEX2DEC(RIGHT(Table13232127[[#This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6" t="s">
        <v>97</v>
      </c>
      <c r="P1262" s="46">
        <f>HEX2DEC(RIGHT(Table13232127[[#This Row],[h1]],8))</f>
        <v>0</v>
      </c>
      <c r="Q1262" s="46" t="s">
        <v>97</v>
      </c>
      <c r="R1262" s="46">
        <f>HEX2DEC(RIGHT(Table13232127[[#This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6" t="s">
        <v>97</v>
      </c>
      <c r="P1263" s="46">
        <f>HEX2DEC(RIGHT(Table13232127[[#This Row],[h1]],8))</f>
        <v>0</v>
      </c>
      <c r="Q1263" s="46" t="s">
        <v>97</v>
      </c>
      <c r="R1263" s="46">
        <f>HEX2DEC(RIGHT(Table13232127[[#This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6" t="s">
        <v>97</v>
      </c>
      <c r="P1264" s="46">
        <f>HEX2DEC(RIGHT(Table13232127[[#This Row],[h1]],8))</f>
        <v>0</v>
      </c>
      <c r="Q1264" s="46" t="s">
        <v>97</v>
      </c>
      <c r="R1264" s="46">
        <f>HEX2DEC(RIGHT(Table13232127[[#This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6" t="s">
        <v>97</v>
      </c>
      <c r="P1265" s="46">
        <f>HEX2DEC(RIGHT(Table13232127[[#This Row],[h1]],8))</f>
        <v>0</v>
      </c>
      <c r="Q1265" s="46" t="s">
        <v>97</v>
      </c>
      <c r="R1265" s="46">
        <f>HEX2DEC(RIGHT(Table13232127[[#This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6" t="s">
        <v>97</v>
      </c>
      <c r="P1266" s="46">
        <f>HEX2DEC(RIGHT(Table13232127[[#This Row],[h1]],8))</f>
        <v>0</v>
      </c>
      <c r="Q1266" s="46" t="s">
        <v>97</v>
      </c>
      <c r="R1266" s="46">
        <f>HEX2DEC(RIGHT(Table13232127[[#This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6" t="s">
        <v>97</v>
      </c>
      <c r="P1267" s="46">
        <f>HEX2DEC(RIGHT(Table13232127[[#This Row],[h1]],8))</f>
        <v>0</v>
      </c>
      <c r="Q1267" s="46" t="s">
        <v>97</v>
      </c>
      <c r="R1267" s="46">
        <f>HEX2DEC(RIGHT(Table13232127[[#This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6" t="s">
        <v>97</v>
      </c>
      <c r="P1268" s="46">
        <f>HEX2DEC(RIGHT(Table13232127[[#This Row],[h1]],8))</f>
        <v>0</v>
      </c>
      <c r="Q1268" s="46" t="s">
        <v>97</v>
      </c>
      <c r="R1268" s="46">
        <f>HEX2DEC(RIGHT(Table13232127[[#This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6" t="s">
        <v>97</v>
      </c>
      <c r="P1269" s="46">
        <f>HEX2DEC(RIGHT(Table13232127[[#This Row],[h1]],8))</f>
        <v>0</v>
      </c>
      <c r="Q1269" s="46" t="s">
        <v>97</v>
      </c>
      <c r="R1269" s="46">
        <f>HEX2DEC(RIGHT(Table13232127[[#This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6" t="s">
        <v>97</v>
      </c>
      <c r="P1270" s="46">
        <f>HEX2DEC(RIGHT(Table13232127[[#This Row],[h1]],8))</f>
        <v>0</v>
      </c>
      <c r="Q1270" s="46" t="s">
        <v>97</v>
      </c>
      <c r="R1270" s="46">
        <f>HEX2DEC(RIGHT(Table13232127[[#This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6" t="s">
        <v>97</v>
      </c>
      <c r="P1271" s="46">
        <f>HEX2DEC(RIGHT(Table13232127[[#This Row],[h1]],8))</f>
        <v>0</v>
      </c>
      <c r="Q1271" s="46" t="s">
        <v>97</v>
      </c>
      <c r="R1271" s="46">
        <f>HEX2DEC(RIGHT(Table13232127[[#This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6" t="s">
        <v>97</v>
      </c>
      <c r="P1272" s="46">
        <f>HEX2DEC(RIGHT(Table13232127[[#This Row],[h1]],8))</f>
        <v>0</v>
      </c>
      <c r="Q1272" s="46" t="s">
        <v>97</v>
      </c>
      <c r="R1272" s="46">
        <f>HEX2DEC(RIGHT(Table13232127[[#This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6" t="s">
        <v>97</v>
      </c>
      <c r="P1273" s="46">
        <f>HEX2DEC(RIGHT(Table13232127[[#This Row],[h1]],8))</f>
        <v>0</v>
      </c>
      <c r="Q1273" s="46" t="s">
        <v>97</v>
      </c>
      <c r="R1273" s="46">
        <f>HEX2DEC(RIGHT(Table13232127[[#This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6" t="s">
        <v>97</v>
      </c>
      <c r="P1274" s="46">
        <f>HEX2DEC(RIGHT(Table13232127[[#This Row],[h1]],8))</f>
        <v>0</v>
      </c>
      <c r="Q1274" s="46" t="s">
        <v>97</v>
      </c>
      <c r="R1274" s="46">
        <f>HEX2DEC(RIGHT(Table13232127[[#This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6" t="s">
        <v>97</v>
      </c>
      <c r="P1275" s="46">
        <f>HEX2DEC(RIGHT(Table13232127[[#This Row],[h1]],8))</f>
        <v>0</v>
      </c>
      <c r="Q1275" s="46" t="s">
        <v>97</v>
      </c>
      <c r="R1275" s="46">
        <f>HEX2DEC(RIGHT(Table13232127[[#This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6" t="s">
        <v>97</v>
      </c>
      <c r="P1276" s="46">
        <f>HEX2DEC(RIGHT(Table13232127[[#This Row],[h1]],8))</f>
        <v>0</v>
      </c>
      <c r="Q1276" s="46" t="s">
        <v>97</v>
      </c>
      <c r="R1276" s="46">
        <f>HEX2DEC(RIGHT(Table13232127[[#This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6" t="s">
        <v>97</v>
      </c>
      <c r="P1277" s="46">
        <f>HEX2DEC(RIGHT(Table13232127[[#This Row],[h1]],8))</f>
        <v>0</v>
      </c>
      <c r="Q1277" s="46" t="s">
        <v>97</v>
      </c>
      <c r="R1277" s="46">
        <f>HEX2DEC(RIGHT(Table13232127[[#This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6" t="s">
        <v>97</v>
      </c>
      <c r="P1278" s="46">
        <f>HEX2DEC(RIGHT(Table13232127[[#This Row],[h1]],8))</f>
        <v>0</v>
      </c>
      <c r="Q1278" s="46" t="s">
        <v>97</v>
      </c>
      <c r="R1278" s="46">
        <f>HEX2DEC(RIGHT(Table13232127[[#This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6" t="s">
        <v>97</v>
      </c>
      <c r="P1279" s="46">
        <f>HEX2DEC(RIGHT(Table13232127[[#This Row],[h1]],8))</f>
        <v>0</v>
      </c>
      <c r="Q1279" s="46" t="s">
        <v>97</v>
      </c>
      <c r="R1279" s="46">
        <f>HEX2DEC(RIGHT(Table13232127[[#This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6" t="s">
        <v>97</v>
      </c>
      <c r="P1280" s="46">
        <f>HEX2DEC(RIGHT(Table13232127[[#This Row],[h1]],8))</f>
        <v>0</v>
      </c>
      <c r="Q1280" s="46" t="s">
        <v>97</v>
      </c>
      <c r="R1280" s="46">
        <f>HEX2DEC(RIGHT(Table13232127[[#This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6" t="s">
        <v>97</v>
      </c>
      <c r="P1281" s="46">
        <f>HEX2DEC(RIGHT(Table13232127[[#This Row],[h1]],8))</f>
        <v>0</v>
      </c>
      <c r="Q1281" s="46" t="s">
        <v>97</v>
      </c>
      <c r="R1281" s="46">
        <f>HEX2DEC(RIGHT(Table13232127[[#This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6" t="s">
        <v>97</v>
      </c>
      <c r="P1282" s="46">
        <f>HEX2DEC(RIGHT(Table13232127[[#This Row],[h1]],8))</f>
        <v>0</v>
      </c>
      <c r="Q1282" s="46" t="s">
        <v>97</v>
      </c>
      <c r="R1282" s="46">
        <f>HEX2DEC(RIGHT(Table13232127[[#This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6" t="s">
        <v>97</v>
      </c>
      <c r="P1283" s="46">
        <f>HEX2DEC(RIGHT(Table13232127[[#This Row],[h1]],8))</f>
        <v>0</v>
      </c>
      <c r="Q1283" s="46" t="s">
        <v>97</v>
      </c>
      <c r="R1283" s="46">
        <f>HEX2DEC(RIGHT(Table13232127[[#This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6" t="s">
        <v>97</v>
      </c>
      <c r="P1284" s="46">
        <f>HEX2DEC(RIGHT(Table13232127[[#This Row],[h1]],8))</f>
        <v>0</v>
      </c>
      <c r="Q1284" s="46" t="s">
        <v>97</v>
      </c>
      <c r="R1284" s="46">
        <f>HEX2DEC(RIGHT(Table13232127[[#This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6" t="s">
        <v>97</v>
      </c>
      <c r="P1285" s="46">
        <f>HEX2DEC(RIGHT(Table13232127[[#This Row],[h1]],8))</f>
        <v>0</v>
      </c>
      <c r="Q1285" s="46" t="s">
        <v>97</v>
      </c>
      <c r="R1285" s="46">
        <f>HEX2DEC(RIGHT(Table13232127[[#This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6" t="s">
        <v>97</v>
      </c>
      <c r="P1286" s="46">
        <f>HEX2DEC(RIGHT(Table13232127[[#This Row],[h1]],8))</f>
        <v>0</v>
      </c>
      <c r="Q1286" s="46" t="s">
        <v>97</v>
      </c>
      <c r="R1286" s="46">
        <f>HEX2DEC(RIGHT(Table13232127[[#This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6" t="s">
        <v>97</v>
      </c>
      <c r="P1287" s="46">
        <f>HEX2DEC(RIGHT(Table13232127[[#This Row],[h1]],8))</f>
        <v>0</v>
      </c>
      <c r="Q1287" s="46" t="s">
        <v>97</v>
      </c>
      <c r="R1287" s="46">
        <f>HEX2DEC(RIGHT(Table13232127[[#This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6" t="s">
        <v>97</v>
      </c>
      <c r="P1288" s="46">
        <f>HEX2DEC(RIGHT(Table13232127[[#This Row],[h1]],8))</f>
        <v>0</v>
      </c>
      <c r="Q1288" s="46" t="s">
        <v>97</v>
      </c>
      <c r="R1288" s="46">
        <f>HEX2DEC(RIGHT(Table13232127[[#This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6" t="s">
        <v>97</v>
      </c>
      <c r="P1289" s="46">
        <f>HEX2DEC(RIGHT(Table13232127[[#This Row],[h1]],8))</f>
        <v>0</v>
      </c>
      <c r="Q1289" s="46" t="s">
        <v>97</v>
      </c>
      <c r="R1289" s="46">
        <f>HEX2DEC(RIGHT(Table13232127[[#This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6" t="s">
        <v>97</v>
      </c>
      <c r="P1290" s="46">
        <f>HEX2DEC(RIGHT(Table13232127[[#This Row],[h1]],8))</f>
        <v>0</v>
      </c>
      <c r="Q1290" s="46" t="s">
        <v>97</v>
      </c>
      <c r="R1290" s="46">
        <f>HEX2DEC(RIGHT(Table13232127[[#This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6" t="s">
        <v>97</v>
      </c>
      <c r="P1291" s="46">
        <f>HEX2DEC(RIGHT(Table13232127[[#This Row],[h1]],8))</f>
        <v>0</v>
      </c>
      <c r="Q1291" s="46" t="s">
        <v>97</v>
      </c>
      <c r="R1291" s="46">
        <f>HEX2DEC(RIGHT(Table13232127[[#This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6" t="s">
        <v>97</v>
      </c>
      <c r="P1292" s="46">
        <f>HEX2DEC(RIGHT(Table13232127[[#This Row],[h1]],8))</f>
        <v>0</v>
      </c>
      <c r="Q1292" s="46" t="s">
        <v>97</v>
      </c>
      <c r="R1292" s="46">
        <f>HEX2DEC(RIGHT(Table13232127[[#This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6" t="s">
        <v>97</v>
      </c>
      <c r="P1293" s="46">
        <f>HEX2DEC(RIGHT(Table13232127[[#This Row],[h1]],8))</f>
        <v>0</v>
      </c>
      <c r="Q1293" s="46" t="s">
        <v>97</v>
      </c>
      <c r="R1293" s="46">
        <f>HEX2DEC(RIGHT(Table13232127[[#This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6" t="s">
        <v>97</v>
      </c>
      <c r="P1294" s="46">
        <f>HEX2DEC(RIGHT(Table13232127[[#This Row],[h1]],8))</f>
        <v>0</v>
      </c>
      <c r="Q1294" s="46" t="s">
        <v>97</v>
      </c>
      <c r="R1294" s="46">
        <f>HEX2DEC(RIGHT(Table13232127[[#This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6" t="s">
        <v>97</v>
      </c>
      <c r="P1295" s="46">
        <f>HEX2DEC(RIGHT(Table13232127[[#This Row],[h1]],8))</f>
        <v>0</v>
      </c>
      <c r="Q1295" s="46" t="s">
        <v>97</v>
      </c>
      <c r="R1295" s="46">
        <f>HEX2DEC(RIGHT(Table13232127[[#This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6" t="s">
        <v>97</v>
      </c>
      <c r="P1296" s="46">
        <f>HEX2DEC(RIGHT(Table13232127[[#This Row],[h1]],8))</f>
        <v>0</v>
      </c>
      <c r="Q1296" s="46" t="s">
        <v>97</v>
      </c>
      <c r="R1296" s="46">
        <f>HEX2DEC(RIGHT(Table13232127[[#This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6" t="s">
        <v>97</v>
      </c>
      <c r="P1297" s="46">
        <f>HEX2DEC(RIGHT(Table13232127[[#This Row],[h1]],8))</f>
        <v>0</v>
      </c>
      <c r="Q1297" s="46" t="s">
        <v>97</v>
      </c>
      <c r="R1297" s="46">
        <f>HEX2DEC(RIGHT(Table13232127[[#This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6" t="s">
        <v>97</v>
      </c>
      <c r="P1298" s="46">
        <f>HEX2DEC(RIGHT(Table13232127[[#This Row],[h1]],8))</f>
        <v>0</v>
      </c>
      <c r="Q1298" s="46" t="s">
        <v>97</v>
      </c>
      <c r="R1298" s="46">
        <f>HEX2DEC(RIGHT(Table13232127[[#This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6" t="s">
        <v>97</v>
      </c>
      <c r="P1299" s="46">
        <f>HEX2DEC(RIGHT(Table13232127[[#This Row],[h1]],8))</f>
        <v>0</v>
      </c>
      <c r="Q1299" s="46" t="s">
        <v>97</v>
      </c>
      <c r="R1299" s="46">
        <f>HEX2DEC(RIGHT(Table13232127[[#This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6" t="s">
        <v>97</v>
      </c>
      <c r="P1300" s="46">
        <f>HEX2DEC(RIGHT(Table13232127[[#This Row],[h1]],8))</f>
        <v>0</v>
      </c>
      <c r="Q1300" s="46" t="s">
        <v>97</v>
      </c>
      <c r="R1300" s="46">
        <f>HEX2DEC(RIGHT(Table13232127[[#This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6" t="s">
        <v>97</v>
      </c>
      <c r="P1301" s="46">
        <f>HEX2DEC(RIGHT(Table13232127[[#This Row],[h1]],8))</f>
        <v>0</v>
      </c>
      <c r="Q1301" s="46" t="s">
        <v>97</v>
      </c>
      <c r="R1301" s="46">
        <f>HEX2DEC(RIGHT(Table13232127[[#This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6" t="s">
        <v>97</v>
      </c>
      <c r="P1302" s="46">
        <f>HEX2DEC(RIGHT(Table13232127[[#This Row],[h1]],8))</f>
        <v>0</v>
      </c>
      <c r="Q1302" s="46" t="s">
        <v>97</v>
      </c>
      <c r="R1302" s="46">
        <f>HEX2DEC(RIGHT(Table13232127[[#This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6" t="s">
        <v>97</v>
      </c>
      <c r="P1303" s="46">
        <f>HEX2DEC(RIGHT(Table13232127[[#This Row],[h1]],8))</f>
        <v>0</v>
      </c>
      <c r="Q1303" s="46" t="s">
        <v>97</v>
      </c>
      <c r="R1303" s="46">
        <f>HEX2DEC(RIGHT(Table13232127[[#This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6" t="s">
        <v>97</v>
      </c>
      <c r="P1304" s="46">
        <f>HEX2DEC(RIGHT(Table13232127[[#This Row],[h1]],8))</f>
        <v>0</v>
      </c>
      <c r="Q1304" s="46" t="s">
        <v>97</v>
      </c>
      <c r="R1304" s="46">
        <f>HEX2DEC(RIGHT(Table13232127[[#This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6" t="s">
        <v>97</v>
      </c>
      <c r="P1305" s="46">
        <f>HEX2DEC(RIGHT(Table13232127[[#This Row],[h1]],8))</f>
        <v>0</v>
      </c>
      <c r="Q1305" s="46" t="s">
        <v>97</v>
      </c>
      <c r="R1305" s="46">
        <f>HEX2DEC(RIGHT(Table13232127[[#This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6" t="s">
        <v>97</v>
      </c>
      <c r="P1306" s="46">
        <f>HEX2DEC(RIGHT(Table13232127[[#This Row],[h1]],8))</f>
        <v>0</v>
      </c>
      <c r="Q1306" s="46" t="s">
        <v>97</v>
      </c>
      <c r="R1306" s="46">
        <f>HEX2DEC(RIGHT(Table13232127[[#This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6" t="s">
        <v>97</v>
      </c>
      <c r="P1307" s="46">
        <f>HEX2DEC(RIGHT(Table13232127[[#This Row],[h1]],8))</f>
        <v>0</v>
      </c>
      <c r="Q1307" s="46" t="s">
        <v>97</v>
      </c>
      <c r="R1307" s="46">
        <f>HEX2DEC(RIGHT(Table13232127[[#This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6" t="s">
        <v>97</v>
      </c>
      <c r="P1308" s="46">
        <f>HEX2DEC(RIGHT(Table13232127[[#This Row],[h1]],8))</f>
        <v>0</v>
      </c>
      <c r="Q1308" s="46" t="s">
        <v>97</v>
      </c>
      <c r="R1308" s="46">
        <f>HEX2DEC(RIGHT(Table13232127[[#This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6" t="s">
        <v>97</v>
      </c>
      <c r="P1309" s="46">
        <f>HEX2DEC(RIGHT(Table13232127[[#This Row],[h1]],8))</f>
        <v>0</v>
      </c>
      <c r="Q1309" s="46" t="s">
        <v>97</v>
      </c>
      <c r="R1309" s="46">
        <f>HEX2DEC(RIGHT(Table13232127[[#This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6" t="s">
        <v>97</v>
      </c>
      <c r="P1310" s="46">
        <f>HEX2DEC(RIGHT(Table13232127[[#This Row],[h1]],8))</f>
        <v>0</v>
      </c>
      <c r="Q1310" s="46" t="s">
        <v>97</v>
      </c>
      <c r="R1310" s="46">
        <f>HEX2DEC(RIGHT(Table13232127[[#This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6" t="s">
        <v>97</v>
      </c>
      <c r="P1311" s="46">
        <f>HEX2DEC(RIGHT(Table13232127[[#This Row],[h1]],8))</f>
        <v>0</v>
      </c>
      <c r="Q1311" s="46" t="s">
        <v>97</v>
      </c>
      <c r="R1311" s="46">
        <f>HEX2DEC(RIGHT(Table13232127[[#This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6" t="s">
        <v>97</v>
      </c>
      <c r="P1312" s="46">
        <f>HEX2DEC(RIGHT(Table13232127[[#This Row],[h1]],8))</f>
        <v>0</v>
      </c>
      <c r="Q1312" s="46" t="s">
        <v>97</v>
      </c>
      <c r="R1312" s="46">
        <f>HEX2DEC(RIGHT(Table13232127[[#This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6" t="s">
        <v>97</v>
      </c>
      <c r="P1313" s="46">
        <f>HEX2DEC(RIGHT(Table13232127[[#This Row],[h1]],8))</f>
        <v>0</v>
      </c>
      <c r="Q1313" s="46" t="s">
        <v>97</v>
      </c>
      <c r="R1313" s="46">
        <f>HEX2DEC(RIGHT(Table13232127[[#This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6" t="s">
        <v>97</v>
      </c>
      <c r="P1314" s="46">
        <f>HEX2DEC(RIGHT(Table13232127[[#This Row],[h1]],8))</f>
        <v>0</v>
      </c>
      <c r="Q1314" s="46" t="s">
        <v>97</v>
      </c>
      <c r="R1314" s="46">
        <f>HEX2DEC(RIGHT(Table13232127[[#This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6" t="s">
        <v>97</v>
      </c>
      <c r="P1315" s="46">
        <f>HEX2DEC(RIGHT(Table13232127[[#This Row],[h1]],8))</f>
        <v>0</v>
      </c>
      <c r="Q1315" s="46" t="s">
        <v>97</v>
      </c>
      <c r="R1315" s="46">
        <f>HEX2DEC(RIGHT(Table13232127[[#This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6" t="s">
        <v>97</v>
      </c>
      <c r="P1316" s="46">
        <f>HEX2DEC(RIGHT(Table13232127[[#This Row],[h1]],8))</f>
        <v>0</v>
      </c>
      <c r="Q1316" s="46" t="s">
        <v>97</v>
      </c>
      <c r="R1316" s="46">
        <f>HEX2DEC(RIGHT(Table13232127[[#This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6" t="s">
        <v>97</v>
      </c>
      <c r="P1317" s="46">
        <f>HEX2DEC(RIGHT(Table13232127[[#This Row],[h1]],8))</f>
        <v>0</v>
      </c>
      <c r="Q1317" s="46" t="s">
        <v>97</v>
      </c>
      <c r="R1317" s="46">
        <f>HEX2DEC(RIGHT(Table13232127[[#This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6" t="s">
        <v>97</v>
      </c>
      <c r="P1318" s="46">
        <f>HEX2DEC(RIGHT(Table13232127[[#This Row],[h1]],8))</f>
        <v>0</v>
      </c>
      <c r="Q1318" s="46" t="s">
        <v>97</v>
      </c>
      <c r="R1318" s="46">
        <f>HEX2DEC(RIGHT(Table13232127[[#This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6" t="s">
        <v>97</v>
      </c>
      <c r="P1319" s="46">
        <f>HEX2DEC(RIGHT(Table13232127[[#This Row],[h1]],8))</f>
        <v>0</v>
      </c>
      <c r="Q1319" s="46" t="s">
        <v>97</v>
      </c>
      <c r="R1319" s="46">
        <f>HEX2DEC(RIGHT(Table13232127[[#This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6" t="s">
        <v>97</v>
      </c>
      <c r="P1320" s="46">
        <f>HEX2DEC(RIGHT(Table13232127[[#This Row],[h1]],8))</f>
        <v>0</v>
      </c>
      <c r="Q1320" s="46" t="s">
        <v>97</v>
      </c>
      <c r="R1320" s="46">
        <f>HEX2DEC(RIGHT(Table13232127[[#This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6" t="s">
        <v>97</v>
      </c>
      <c r="P1321" s="46">
        <f>HEX2DEC(RIGHT(Table13232127[[#This Row],[h1]],8))</f>
        <v>0</v>
      </c>
      <c r="Q1321" s="46" t="s">
        <v>97</v>
      </c>
      <c r="R1321" s="46">
        <f>HEX2DEC(RIGHT(Table13232127[[#This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6" t="s">
        <v>97</v>
      </c>
      <c r="P1322" s="46">
        <f>HEX2DEC(RIGHT(Table13232127[[#This Row],[h1]],8))</f>
        <v>0</v>
      </c>
      <c r="Q1322" s="46" t="s">
        <v>97</v>
      </c>
      <c r="R1322" s="46">
        <f>HEX2DEC(RIGHT(Table13232127[[#This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6" t="s">
        <v>97</v>
      </c>
      <c r="P1323" s="46">
        <f>HEX2DEC(RIGHT(Table13232127[[#This Row],[h1]],8))</f>
        <v>0</v>
      </c>
      <c r="Q1323" s="46" t="s">
        <v>97</v>
      </c>
      <c r="R1323" s="46">
        <f>HEX2DEC(RIGHT(Table13232127[[#This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6" t="s">
        <v>97</v>
      </c>
      <c r="P1324" s="46">
        <f>HEX2DEC(RIGHT(Table13232127[[#This Row],[h1]],8))</f>
        <v>0</v>
      </c>
      <c r="Q1324" s="46" t="s">
        <v>97</v>
      </c>
      <c r="R1324" s="46">
        <f>HEX2DEC(RIGHT(Table13232127[[#This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6" t="s">
        <v>97</v>
      </c>
      <c r="P1325" s="46">
        <f>HEX2DEC(RIGHT(Table13232127[[#This Row],[h1]],8))</f>
        <v>0</v>
      </c>
      <c r="Q1325" s="46" t="s">
        <v>97</v>
      </c>
      <c r="R1325" s="46">
        <f>HEX2DEC(RIGHT(Table13232127[[#This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6" t="s">
        <v>97</v>
      </c>
      <c r="P1326" s="46">
        <f>HEX2DEC(RIGHT(Table13232127[[#This Row],[h1]],8))</f>
        <v>0</v>
      </c>
      <c r="Q1326" s="46" t="s">
        <v>97</v>
      </c>
      <c r="R1326" s="46">
        <f>HEX2DEC(RIGHT(Table13232127[[#This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6" t="s">
        <v>97</v>
      </c>
      <c r="P1327" s="46">
        <f>HEX2DEC(RIGHT(Table13232127[[#This Row],[h1]],8))</f>
        <v>0</v>
      </c>
      <c r="Q1327" s="46" t="s">
        <v>97</v>
      </c>
      <c r="R1327" s="46">
        <f>HEX2DEC(RIGHT(Table13232127[[#This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6" t="s">
        <v>97</v>
      </c>
      <c r="P1328" s="46">
        <f>HEX2DEC(RIGHT(Table13232127[[#This Row],[h1]],8))</f>
        <v>0</v>
      </c>
      <c r="Q1328" s="46" t="s">
        <v>97</v>
      </c>
      <c r="R1328" s="46">
        <f>HEX2DEC(RIGHT(Table13232127[[#This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6" t="s">
        <v>97</v>
      </c>
      <c r="P1329" s="46">
        <f>HEX2DEC(RIGHT(Table13232127[[#This Row],[h1]],8))</f>
        <v>0</v>
      </c>
      <c r="Q1329" s="46" t="s">
        <v>97</v>
      </c>
      <c r="R1329" s="46">
        <f>HEX2DEC(RIGHT(Table13232127[[#This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6" t="s">
        <v>97</v>
      </c>
      <c r="P1330" s="46">
        <f>HEX2DEC(RIGHT(Table13232127[[#This Row],[h1]],8))</f>
        <v>0</v>
      </c>
      <c r="Q1330" s="46" t="s">
        <v>97</v>
      </c>
      <c r="R1330" s="46">
        <f>HEX2DEC(RIGHT(Table13232127[[#This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6" t="s">
        <v>97</v>
      </c>
      <c r="P1331" s="46">
        <f>HEX2DEC(RIGHT(Table13232127[[#This Row],[h1]],8))</f>
        <v>0</v>
      </c>
      <c r="Q1331" s="46" t="s">
        <v>97</v>
      </c>
      <c r="R1331" s="46">
        <f>HEX2DEC(RIGHT(Table13232127[[#This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6" t="s">
        <v>97</v>
      </c>
      <c r="P1332" s="46">
        <f>HEX2DEC(RIGHT(Table13232127[[#This Row],[h1]],8))</f>
        <v>0</v>
      </c>
      <c r="Q1332" s="46" t="s">
        <v>97</v>
      </c>
      <c r="R1332" s="46">
        <f>HEX2DEC(RIGHT(Table13232127[[#This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6" t="s">
        <v>97</v>
      </c>
      <c r="P1333" s="46">
        <f>HEX2DEC(RIGHT(Table13232127[[#This Row],[h1]],8))</f>
        <v>0</v>
      </c>
      <c r="Q1333" s="46" t="s">
        <v>97</v>
      </c>
      <c r="R1333" s="46">
        <f>HEX2DEC(RIGHT(Table13232127[[#This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6" t="s">
        <v>97</v>
      </c>
      <c r="P1334" s="46">
        <f>HEX2DEC(RIGHT(Table13232127[[#This Row],[h1]],8))</f>
        <v>0</v>
      </c>
      <c r="Q1334" s="46" t="s">
        <v>97</v>
      </c>
      <c r="R1334" s="46">
        <f>HEX2DEC(RIGHT(Table13232127[[#This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6" t="s">
        <v>97</v>
      </c>
      <c r="P1335" s="46">
        <f>HEX2DEC(RIGHT(Table13232127[[#This Row],[h1]],8))</f>
        <v>0</v>
      </c>
      <c r="Q1335" s="46" t="s">
        <v>97</v>
      </c>
      <c r="R1335" s="46">
        <f>HEX2DEC(RIGHT(Table13232127[[#This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6" t="s">
        <v>97</v>
      </c>
      <c r="P1336" s="46">
        <f>HEX2DEC(RIGHT(Table13232127[[#This Row],[h1]],8))</f>
        <v>0</v>
      </c>
      <c r="Q1336" s="46" t="s">
        <v>97</v>
      </c>
      <c r="R1336" s="46">
        <f>HEX2DEC(RIGHT(Table13232127[[#This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6" t="s">
        <v>97</v>
      </c>
      <c r="P1337" s="46">
        <f>HEX2DEC(RIGHT(Table13232127[[#This Row],[h1]],8))</f>
        <v>0</v>
      </c>
      <c r="Q1337" s="46" t="s">
        <v>97</v>
      </c>
      <c r="R1337" s="46">
        <f>HEX2DEC(RIGHT(Table13232127[[#This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6" t="s">
        <v>97</v>
      </c>
      <c r="P1338" s="46">
        <f>HEX2DEC(RIGHT(Table13232127[[#This Row],[h1]],8))</f>
        <v>0</v>
      </c>
      <c r="Q1338" s="46" t="s">
        <v>97</v>
      </c>
      <c r="R1338" s="46">
        <f>HEX2DEC(RIGHT(Table13232127[[#This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6" t="s">
        <v>97</v>
      </c>
      <c r="P1339" s="46">
        <f>HEX2DEC(RIGHT(Table13232127[[#This Row],[h1]],8))</f>
        <v>0</v>
      </c>
      <c r="Q1339" s="46" t="s">
        <v>97</v>
      </c>
      <c r="R1339" s="46">
        <f>HEX2DEC(RIGHT(Table13232127[[#This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6" t="s">
        <v>97</v>
      </c>
      <c r="P1340" s="46">
        <f>HEX2DEC(RIGHT(Table13232127[[#This Row],[h1]],8))</f>
        <v>0</v>
      </c>
      <c r="Q1340" s="46" t="s">
        <v>97</v>
      </c>
      <c r="R1340" s="46">
        <f>HEX2DEC(RIGHT(Table13232127[[#This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6" t="s">
        <v>97</v>
      </c>
      <c r="P1341" s="46">
        <f>HEX2DEC(RIGHT(Table13232127[[#This Row],[h1]],8))</f>
        <v>0</v>
      </c>
      <c r="Q1341" s="46" t="s">
        <v>97</v>
      </c>
      <c r="R1341" s="46">
        <f>HEX2DEC(RIGHT(Table13232127[[#This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6" t="s">
        <v>97</v>
      </c>
      <c r="P1342" s="46">
        <f>HEX2DEC(RIGHT(Table13232127[[#This Row],[h1]],8))</f>
        <v>0</v>
      </c>
      <c r="Q1342" s="46" t="s">
        <v>97</v>
      </c>
      <c r="R1342" s="46">
        <f>HEX2DEC(RIGHT(Table13232127[[#This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6" t="s">
        <v>97</v>
      </c>
      <c r="P1343" s="46">
        <f>HEX2DEC(RIGHT(Table13232127[[#This Row],[h1]],8))</f>
        <v>0</v>
      </c>
      <c r="Q1343" s="46" t="s">
        <v>97</v>
      </c>
      <c r="R1343" s="46">
        <f>HEX2DEC(RIGHT(Table13232127[[#This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6" t="s">
        <v>97</v>
      </c>
      <c r="P1344" s="46">
        <f>HEX2DEC(RIGHT(Table13232127[[#This Row],[h1]],8))</f>
        <v>0</v>
      </c>
      <c r="Q1344" s="46" t="s">
        <v>97</v>
      </c>
      <c r="R1344" s="46">
        <f>HEX2DEC(RIGHT(Table13232127[[#This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6" t="s">
        <v>97</v>
      </c>
      <c r="P1345" s="46">
        <f>HEX2DEC(RIGHT(Table13232127[[#This Row],[h1]],8))</f>
        <v>0</v>
      </c>
      <c r="Q1345" s="46" t="s">
        <v>97</v>
      </c>
      <c r="R1345" s="46">
        <f>HEX2DEC(RIGHT(Table13232127[[#This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6" t="s">
        <v>97</v>
      </c>
      <c r="P1346" s="46">
        <f>HEX2DEC(RIGHT(Table13232127[[#This Row],[h1]],8))</f>
        <v>0</v>
      </c>
      <c r="Q1346" s="46" t="s">
        <v>97</v>
      </c>
      <c r="R1346" s="46">
        <f>HEX2DEC(RIGHT(Table13232127[[#This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6" t="s">
        <v>97</v>
      </c>
      <c r="P1347" s="46">
        <f>HEX2DEC(RIGHT(Table13232127[[#This Row],[h1]],8))</f>
        <v>0</v>
      </c>
      <c r="Q1347" s="46" t="s">
        <v>97</v>
      </c>
      <c r="R1347" s="46">
        <f>HEX2DEC(RIGHT(Table13232127[[#This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6" t="s">
        <v>97</v>
      </c>
      <c r="P1348" s="46">
        <f>HEX2DEC(RIGHT(Table13232127[[#This Row],[h1]],8))</f>
        <v>0</v>
      </c>
      <c r="Q1348" s="46" t="s">
        <v>97</v>
      </c>
      <c r="R1348" s="46">
        <f>HEX2DEC(RIGHT(Table13232127[[#This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6" t="s">
        <v>97</v>
      </c>
      <c r="P1349" s="46">
        <f>HEX2DEC(RIGHT(Table13232127[[#This Row],[h1]],8))</f>
        <v>0</v>
      </c>
      <c r="Q1349" s="46" t="s">
        <v>97</v>
      </c>
      <c r="R1349" s="46">
        <f>HEX2DEC(RIGHT(Table13232127[[#This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6" t="s">
        <v>97</v>
      </c>
      <c r="P1350" s="46">
        <f>HEX2DEC(RIGHT(Table13232127[[#This Row],[h1]],8))</f>
        <v>0</v>
      </c>
      <c r="Q1350" s="46" t="s">
        <v>97</v>
      </c>
      <c r="R1350" s="46">
        <f>HEX2DEC(RIGHT(Table13232127[[#This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6" t="s">
        <v>97</v>
      </c>
      <c r="P1351" s="46">
        <f>HEX2DEC(RIGHT(Table13232127[[#This Row],[h1]],8))</f>
        <v>0</v>
      </c>
      <c r="Q1351" s="46" t="s">
        <v>97</v>
      </c>
      <c r="R1351" s="46">
        <f>HEX2DEC(RIGHT(Table13232127[[#This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6" t="s">
        <v>97</v>
      </c>
      <c r="P1352" s="46">
        <f>HEX2DEC(RIGHT(Table13232127[[#This Row],[h1]],8))</f>
        <v>0</v>
      </c>
      <c r="Q1352" s="46" t="s">
        <v>97</v>
      </c>
      <c r="R1352" s="46">
        <f>HEX2DEC(RIGHT(Table13232127[[#This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6" t="s">
        <v>97</v>
      </c>
      <c r="P1353" s="46">
        <f>HEX2DEC(RIGHT(Table13232127[[#This Row],[h1]],8))</f>
        <v>0</v>
      </c>
      <c r="Q1353" s="46" t="s">
        <v>97</v>
      </c>
      <c r="R1353" s="46">
        <f>HEX2DEC(RIGHT(Table13232127[[#This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6" t="s">
        <v>97</v>
      </c>
      <c r="P1354" s="46">
        <f>HEX2DEC(RIGHT(Table13232127[[#This Row],[h1]],8))</f>
        <v>0</v>
      </c>
      <c r="Q1354" s="46" t="s">
        <v>97</v>
      </c>
      <c r="R1354" s="46">
        <f>HEX2DEC(RIGHT(Table13232127[[#This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6" t="s">
        <v>97</v>
      </c>
      <c r="P1355" s="46">
        <f>HEX2DEC(RIGHT(Table13232127[[#This Row],[h1]],8))</f>
        <v>0</v>
      </c>
      <c r="Q1355" s="46" t="s">
        <v>97</v>
      </c>
      <c r="R1355" s="46">
        <f>HEX2DEC(RIGHT(Table13232127[[#This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6" t="s">
        <v>97</v>
      </c>
      <c r="P1356" s="46">
        <f>HEX2DEC(RIGHT(Table13232127[[#This Row],[h1]],8))</f>
        <v>0</v>
      </c>
      <c r="Q1356" s="46" t="s">
        <v>97</v>
      </c>
      <c r="R1356" s="46">
        <f>HEX2DEC(RIGHT(Table13232127[[#This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6" t="s">
        <v>97</v>
      </c>
      <c r="P1357" s="46">
        <f>HEX2DEC(RIGHT(Table13232127[[#This Row],[h1]],8))</f>
        <v>0</v>
      </c>
      <c r="Q1357" s="46" t="s">
        <v>97</v>
      </c>
      <c r="R1357" s="46">
        <f>HEX2DEC(RIGHT(Table13232127[[#This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6" t="s">
        <v>97</v>
      </c>
      <c r="P1358" s="46">
        <f>HEX2DEC(RIGHT(Table13232127[[#This Row],[h1]],8))</f>
        <v>0</v>
      </c>
      <c r="Q1358" s="46" t="s">
        <v>97</v>
      </c>
      <c r="R1358" s="46">
        <f>HEX2DEC(RIGHT(Table13232127[[#This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6" t="s">
        <v>97</v>
      </c>
      <c r="P1359" s="46">
        <f>HEX2DEC(RIGHT(Table13232127[[#This Row],[h1]],8))</f>
        <v>0</v>
      </c>
      <c r="Q1359" s="46" t="s">
        <v>97</v>
      </c>
      <c r="R1359" s="46">
        <f>HEX2DEC(RIGHT(Table13232127[[#This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6" t="s">
        <v>97</v>
      </c>
      <c r="P1360" s="46">
        <f>HEX2DEC(RIGHT(Table13232127[[#This Row],[h1]],8))</f>
        <v>0</v>
      </c>
      <c r="Q1360" s="46" t="s">
        <v>97</v>
      </c>
      <c r="R1360" s="46">
        <f>HEX2DEC(RIGHT(Table13232127[[#This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6" t="s">
        <v>97</v>
      </c>
      <c r="P1361" s="46">
        <f>HEX2DEC(RIGHT(Table13232127[[#This Row],[h1]],8))</f>
        <v>0</v>
      </c>
      <c r="Q1361" s="46" t="s">
        <v>97</v>
      </c>
      <c r="R1361" s="46">
        <f>HEX2DEC(RIGHT(Table13232127[[#This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6" t="s">
        <v>97</v>
      </c>
      <c r="P1362" s="46">
        <f>HEX2DEC(RIGHT(Table13232127[[#This Row],[h1]],8))</f>
        <v>0</v>
      </c>
      <c r="Q1362" s="46" t="s">
        <v>97</v>
      </c>
      <c r="R1362" s="46">
        <f>HEX2DEC(RIGHT(Table13232127[[#This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6" t="s">
        <v>97</v>
      </c>
      <c r="P1363" s="46">
        <f>HEX2DEC(RIGHT(Table13232127[[#This Row],[h1]],8))</f>
        <v>0</v>
      </c>
      <c r="Q1363" s="46" t="s">
        <v>97</v>
      </c>
      <c r="R1363" s="46">
        <f>HEX2DEC(RIGHT(Table13232127[[#This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6" t="s">
        <v>97</v>
      </c>
      <c r="P1364" s="46">
        <f>HEX2DEC(RIGHT(Table13232127[[#This Row],[h1]],8))</f>
        <v>0</v>
      </c>
      <c r="Q1364" s="46" t="s">
        <v>97</v>
      </c>
      <c r="R1364" s="46">
        <f>HEX2DEC(RIGHT(Table13232127[[#This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6" t="s">
        <v>97</v>
      </c>
      <c r="P1365" s="46">
        <f>HEX2DEC(RIGHT(Table13232127[[#This Row],[h1]],8))</f>
        <v>0</v>
      </c>
      <c r="Q1365" s="46" t="s">
        <v>97</v>
      </c>
      <c r="R1365" s="46">
        <f>HEX2DEC(RIGHT(Table13232127[[#This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6" t="s">
        <v>97</v>
      </c>
      <c r="P1366" s="46">
        <f>HEX2DEC(RIGHT(Table13232127[[#This Row],[h1]],8))</f>
        <v>0</v>
      </c>
      <c r="Q1366" s="46" t="s">
        <v>97</v>
      </c>
      <c r="R1366" s="46">
        <f>HEX2DEC(RIGHT(Table13232127[[#This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6" t="s">
        <v>97</v>
      </c>
      <c r="P1367" s="46">
        <f>HEX2DEC(RIGHT(Table13232127[[#This Row],[h1]],8))</f>
        <v>0</v>
      </c>
      <c r="Q1367" s="46" t="s">
        <v>97</v>
      </c>
      <c r="R1367" s="46">
        <f>HEX2DEC(RIGHT(Table13232127[[#This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6" t="s">
        <v>97</v>
      </c>
      <c r="P1368" s="46">
        <f>HEX2DEC(RIGHT(Table13232127[[#This Row],[h1]],8))</f>
        <v>0</v>
      </c>
      <c r="Q1368" s="46" t="s">
        <v>97</v>
      </c>
      <c r="R1368" s="46">
        <f>HEX2DEC(RIGHT(Table13232127[[#This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6" t="s">
        <v>97</v>
      </c>
      <c r="P1369" s="46">
        <f>HEX2DEC(RIGHT(Table13232127[[#This Row],[h1]],8))</f>
        <v>0</v>
      </c>
      <c r="Q1369" s="46" t="s">
        <v>97</v>
      </c>
      <c r="R1369" s="46">
        <f>HEX2DEC(RIGHT(Table13232127[[#This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6" t="s">
        <v>97</v>
      </c>
      <c r="P1370" s="46">
        <f>HEX2DEC(RIGHT(Table13232127[[#This Row],[h1]],8))</f>
        <v>0</v>
      </c>
      <c r="Q1370" s="46" t="s">
        <v>97</v>
      </c>
      <c r="R1370" s="46">
        <f>HEX2DEC(RIGHT(Table13232127[[#This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6" t="s">
        <v>97</v>
      </c>
      <c r="P1371" s="46">
        <f>HEX2DEC(RIGHT(Table13232127[[#This Row],[h1]],8))</f>
        <v>0</v>
      </c>
      <c r="Q1371" s="46" t="s">
        <v>97</v>
      </c>
      <c r="R1371" s="46">
        <f>HEX2DEC(RIGHT(Table13232127[[#This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6" t="s">
        <v>97</v>
      </c>
      <c r="P1372" s="46">
        <f>HEX2DEC(RIGHT(Table13232127[[#This Row],[h1]],8))</f>
        <v>0</v>
      </c>
      <c r="Q1372" s="46" t="s">
        <v>97</v>
      </c>
      <c r="R1372" s="46">
        <f>HEX2DEC(RIGHT(Table13232127[[#This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6" t="s">
        <v>97</v>
      </c>
      <c r="P1373" s="46">
        <f>HEX2DEC(RIGHT(Table13232127[[#This Row],[h1]],8))</f>
        <v>0</v>
      </c>
      <c r="Q1373" s="46" t="s">
        <v>97</v>
      </c>
      <c r="R1373" s="46">
        <f>HEX2DEC(RIGHT(Table13232127[[#This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6" t="s">
        <v>97</v>
      </c>
      <c r="P1374" s="46">
        <f>HEX2DEC(RIGHT(Table13232127[[#This Row],[h1]],8))</f>
        <v>0</v>
      </c>
      <c r="Q1374" s="46" t="s">
        <v>97</v>
      </c>
      <c r="R1374" s="46">
        <f>HEX2DEC(RIGHT(Table13232127[[#This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6" t="s">
        <v>97</v>
      </c>
      <c r="P1375" s="46">
        <f>HEX2DEC(RIGHT(Table13232127[[#This Row],[h1]],8))</f>
        <v>0</v>
      </c>
      <c r="Q1375" s="46" t="s">
        <v>97</v>
      </c>
      <c r="R1375" s="46">
        <f>HEX2DEC(RIGHT(Table13232127[[#This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6" t="s">
        <v>97</v>
      </c>
      <c r="P1376" s="46">
        <f>HEX2DEC(RIGHT(Table13232127[[#This Row],[h1]],8))</f>
        <v>0</v>
      </c>
      <c r="Q1376" s="46" t="s">
        <v>97</v>
      </c>
      <c r="R1376" s="46">
        <f>HEX2DEC(RIGHT(Table13232127[[#This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6" t="s">
        <v>97</v>
      </c>
      <c r="P1377" s="46">
        <f>HEX2DEC(RIGHT(Table13232127[[#This Row],[h1]],8))</f>
        <v>0</v>
      </c>
      <c r="Q1377" s="46" t="s">
        <v>97</v>
      </c>
      <c r="R1377" s="46">
        <f>HEX2DEC(RIGHT(Table13232127[[#This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6" t="s">
        <v>97</v>
      </c>
      <c r="P1378" s="46">
        <f>HEX2DEC(RIGHT(Table13232127[[#This Row],[h1]],8))</f>
        <v>0</v>
      </c>
      <c r="Q1378" s="46" t="s">
        <v>97</v>
      </c>
      <c r="R1378" s="46">
        <f>HEX2DEC(RIGHT(Table13232127[[#This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6" t="s">
        <v>97</v>
      </c>
      <c r="P1379" s="46">
        <f>HEX2DEC(RIGHT(Table13232127[[#This Row],[h1]],8))</f>
        <v>0</v>
      </c>
      <c r="Q1379" s="46" t="s">
        <v>97</v>
      </c>
      <c r="R1379" s="46">
        <f>HEX2DEC(RIGHT(Table13232127[[#This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6" t="s">
        <v>97</v>
      </c>
      <c r="P1380" s="46">
        <f>HEX2DEC(RIGHT(Table13232127[[#This Row],[h1]],8))</f>
        <v>0</v>
      </c>
      <c r="Q1380" s="46" t="s">
        <v>97</v>
      </c>
      <c r="R1380" s="46">
        <f>HEX2DEC(RIGHT(Table13232127[[#This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6" t="s">
        <v>97</v>
      </c>
      <c r="P1381" s="46">
        <f>HEX2DEC(RIGHT(Table13232127[[#This Row],[h1]],8))</f>
        <v>0</v>
      </c>
      <c r="Q1381" s="46" t="s">
        <v>97</v>
      </c>
      <c r="R1381" s="46">
        <f>HEX2DEC(RIGHT(Table13232127[[#This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6" t="s">
        <v>97</v>
      </c>
      <c r="P1382" s="46">
        <f>HEX2DEC(RIGHT(Table13232127[[#This Row],[h1]],8))</f>
        <v>0</v>
      </c>
      <c r="Q1382" s="46" t="s">
        <v>97</v>
      </c>
      <c r="R1382" s="46">
        <f>HEX2DEC(RIGHT(Table13232127[[#This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6" t="s">
        <v>97</v>
      </c>
      <c r="P1383" s="46">
        <f>HEX2DEC(RIGHT(Table13232127[[#This Row],[h1]],8))</f>
        <v>0</v>
      </c>
      <c r="Q1383" s="46" t="s">
        <v>97</v>
      </c>
      <c r="R1383" s="46">
        <f>HEX2DEC(RIGHT(Table13232127[[#This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6" t="s">
        <v>97</v>
      </c>
      <c r="P1384" s="46">
        <f>HEX2DEC(RIGHT(Table13232127[[#This Row],[h1]],8))</f>
        <v>0</v>
      </c>
      <c r="Q1384" s="46" t="s">
        <v>97</v>
      </c>
      <c r="R1384" s="46">
        <f>HEX2DEC(RIGHT(Table13232127[[#This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6" t="s">
        <v>97</v>
      </c>
      <c r="P1385" s="46">
        <f>HEX2DEC(RIGHT(Table13232127[[#This Row],[h1]],8))</f>
        <v>0</v>
      </c>
      <c r="Q1385" s="46" t="s">
        <v>97</v>
      </c>
      <c r="R1385" s="46">
        <f>HEX2DEC(RIGHT(Table13232127[[#This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6" t="s">
        <v>97</v>
      </c>
      <c r="P1386" s="46">
        <f>HEX2DEC(RIGHT(Table13232127[[#This Row],[h1]],8))</f>
        <v>0</v>
      </c>
      <c r="Q1386" s="46" t="s">
        <v>97</v>
      </c>
      <c r="R1386" s="46">
        <f>HEX2DEC(RIGHT(Table13232127[[#This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6" t="s">
        <v>97</v>
      </c>
      <c r="P1387" s="46">
        <f>HEX2DEC(RIGHT(Table13232127[[#This Row],[h1]],8))</f>
        <v>0</v>
      </c>
      <c r="Q1387" s="46" t="s">
        <v>97</v>
      </c>
      <c r="R1387" s="46">
        <f>HEX2DEC(RIGHT(Table13232127[[#This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6" t="s">
        <v>97</v>
      </c>
      <c r="P1388" s="46">
        <f>HEX2DEC(RIGHT(Table13232127[[#This Row],[h1]],8))</f>
        <v>0</v>
      </c>
      <c r="Q1388" s="46" t="s">
        <v>97</v>
      </c>
      <c r="R1388" s="46">
        <f>HEX2DEC(RIGHT(Table13232127[[#This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6" t="s">
        <v>97</v>
      </c>
      <c r="P1389" s="46">
        <f>HEX2DEC(RIGHT(Table13232127[[#This Row],[h1]],8))</f>
        <v>0</v>
      </c>
      <c r="Q1389" s="46" t="s">
        <v>97</v>
      </c>
      <c r="R1389" s="46">
        <f>HEX2DEC(RIGHT(Table13232127[[#This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6" t="s">
        <v>97</v>
      </c>
      <c r="P1390" s="46">
        <f>HEX2DEC(RIGHT(Table13232127[[#This Row],[h1]],8))</f>
        <v>0</v>
      </c>
      <c r="Q1390" s="46" t="s">
        <v>97</v>
      </c>
      <c r="R1390" s="46">
        <f>HEX2DEC(RIGHT(Table13232127[[#This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6" t="s">
        <v>97</v>
      </c>
      <c r="P1391" s="46">
        <f>HEX2DEC(RIGHT(Table13232127[[#This Row],[h1]],8))</f>
        <v>0</v>
      </c>
      <c r="Q1391" s="46" t="s">
        <v>97</v>
      </c>
      <c r="R1391" s="46">
        <f>HEX2DEC(RIGHT(Table13232127[[#This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6" t="s">
        <v>97</v>
      </c>
      <c r="P1392" s="46">
        <f>HEX2DEC(RIGHT(Table13232127[[#This Row],[h1]],8))</f>
        <v>0</v>
      </c>
      <c r="Q1392" s="46" t="s">
        <v>97</v>
      </c>
      <c r="R1392" s="46">
        <f>HEX2DEC(RIGHT(Table13232127[[#This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6" t="s">
        <v>97</v>
      </c>
      <c r="P1393" s="46">
        <f>HEX2DEC(RIGHT(Table13232127[[#This Row],[h1]],8))</f>
        <v>0</v>
      </c>
      <c r="Q1393" s="46" t="s">
        <v>97</v>
      </c>
      <c r="R1393" s="46">
        <f>HEX2DEC(RIGHT(Table13232127[[#This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6" t="s">
        <v>97</v>
      </c>
      <c r="P1394" s="46">
        <f>HEX2DEC(RIGHT(Table13232127[[#This Row],[h1]],8))</f>
        <v>0</v>
      </c>
      <c r="Q1394" s="46" t="s">
        <v>97</v>
      </c>
      <c r="R1394" s="46">
        <f>HEX2DEC(RIGHT(Table13232127[[#This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6" t="s">
        <v>97</v>
      </c>
      <c r="P1395" s="46">
        <f>HEX2DEC(RIGHT(Table13232127[[#This Row],[h1]],8))</f>
        <v>0</v>
      </c>
      <c r="Q1395" s="46" t="s">
        <v>97</v>
      </c>
      <c r="R1395" s="46">
        <f>HEX2DEC(RIGHT(Table13232127[[#This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6" t="s">
        <v>97</v>
      </c>
      <c r="P1396" s="46">
        <f>HEX2DEC(RIGHT(Table13232127[[#This Row],[h1]],8))</f>
        <v>0</v>
      </c>
      <c r="Q1396" s="46" t="s">
        <v>97</v>
      </c>
      <c r="R1396" s="46">
        <f>HEX2DEC(RIGHT(Table13232127[[#This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6" t="s">
        <v>97</v>
      </c>
      <c r="P1397" s="46">
        <f>HEX2DEC(RIGHT(Table13232127[[#This Row],[h1]],8))</f>
        <v>0</v>
      </c>
      <c r="Q1397" s="46" t="s">
        <v>97</v>
      </c>
      <c r="R1397" s="46">
        <f>HEX2DEC(RIGHT(Table13232127[[#This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6" t="s">
        <v>97</v>
      </c>
      <c r="P1398" s="46">
        <f>HEX2DEC(RIGHT(Table13232127[[#This Row],[h1]],8))</f>
        <v>0</v>
      </c>
      <c r="Q1398" s="46" t="s">
        <v>97</v>
      </c>
      <c r="R1398" s="46">
        <f>HEX2DEC(RIGHT(Table13232127[[#This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6" t="s">
        <v>97</v>
      </c>
      <c r="P1399" s="46">
        <f>HEX2DEC(RIGHT(Table13232127[[#This Row],[h1]],8))</f>
        <v>0</v>
      </c>
      <c r="Q1399" s="46" t="s">
        <v>97</v>
      </c>
      <c r="R1399" s="46">
        <f>HEX2DEC(RIGHT(Table13232127[[#This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6" t="s">
        <v>97</v>
      </c>
      <c r="P1400" s="46">
        <f>HEX2DEC(RIGHT(Table13232127[[#This Row],[h1]],8))</f>
        <v>0</v>
      </c>
      <c r="Q1400" s="46" t="s">
        <v>97</v>
      </c>
      <c r="R1400" s="46">
        <f>HEX2DEC(RIGHT(Table13232127[[#This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6" t="s">
        <v>97</v>
      </c>
      <c r="P1401" s="46">
        <f>HEX2DEC(RIGHT(Table13232127[[#This Row],[h1]],8))</f>
        <v>0</v>
      </c>
      <c r="Q1401" s="46" t="s">
        <v>97</v>
      </c>
      <c r="R1401" s="46">
        <f>HEX2DEC(RIGHT(Table13232127[[#This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6" t="s">
        <v>97</v>
      </c>
      <c r="P1402" s="46">
        <f>HEX2DEC(RIGHT(Table13232127[[#This Row],[h1]],8))</f>
        <v>0</v>
      </c>
      <c r="Q1402" s="46" t="s">
        <v>97</v>
      </c>
      <c r="R1402" s="46">
        <f>HEX2DEC(RIGHT(Table13232127[[#This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6" t="s">
        <v>97</v>
      </c>
      <c r="P1403" s="46">
        <f>HEX2DEC(RIGHT(Table13232127[[#This Row],[h1]],8))</f>
        <v>0</v>
      </c>
      <c r="Q1403" s="46" t="s">
        <v>97</v>
      </c>
      <c r="R1403" s="46">
        <f>HEX2DEC(RIGHT(Table13232127[[#This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6" t="s">
        <v>97</v>
      </c>
      <c r="P1404" s="46">
        <f>HEX2DEC(RIGHT(Table13232127[[#This Row],[h1]],8))</f>
        <v>0</v>
      </c>
      <c r="Q1404" s="46" t="s">
        <v>97</v>
      </c>
      <c r="R1404" s="46">
        <f>HEX2DEC(RIGHT(Table13232127[[#This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6" t="s">
        <v>97</v>
      </c>
      <c r="P1405" s="46">
        <f>HEX2DEC(RIGHT(Table13232127[[#This Row],[h1]],8))</f>
        <v>0</v>
      </c>
      <c r="Q1405" s="46" t="s">
        <v>97</v>
      </c>
      <c r="R1405" s="46">
        <f>HEX2DEC(RIGHT(Table13232127[[#This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6" t="s">
        <v>97</v>
      </c>
      <c r="P1406" s="46">
        <f>HEX2DEC(RIGHT(Table13232127[[#This Row],[h1]],8))</f>
        <v>0</v>
      </c>
      <c r="Q1406" s="46" t="s">
        <v>97</v>
      </c>
      <c r="R1406" s="46">
        <f>HEX2DEC(RIGHT(Table13232127[[#This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6" t="s">
        <v>97</v>
      </c>
      <c r="P1407" s="46">
        <f>HEX2DEC(RIGHT(Table13232127[[#This Row],[h1]],8))</f>
        <v>0</v>
      </c>
      <c r="Q1407" s="46" t="s">
        <v>97</v>
      </c>
      <c r="R1407" s="46">
        <f>HEX2DEC(RIGHT(Table13232127[[#This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6" t="s">
        <v>97</v>
      </c>
      <c r="P1408" s="46">
        <f>HEX2DEC(RIGHT(Table13232127[[#This Row],[h1]],8))</f>
        <v>0</v>
      </c>
      <c r="Q1408" s="46" t="s">
        <v>97</v>
      </c>
      <c r="R1408" s="46">
        <f>HEX2DEC(RIGHT(Table13232127[[#This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6" t="s">
        <v>97</v>
      </c>
      <c r="P1409" s="46">
        <f>HEX2DEC(RIGHT(Table13232127[[#This Row],[h1]],8))</f>
        <v>0</v>
      </c>
      <c r="Q1409" s="46" t="s">
        <v>97</v>
      </c>
      <c r="R1409" s="46">
        <f>HEX2DEC(RIGHT(Table13232127[[#This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6" t="s">
        <v>97</v>
      </c>
      <c r="P1410" s="46">
        <f>HEX2DEC(RIGHT(Table13232127[[#This Row],[h1]],8))</f>
        <v>0</v>
      </c>
      <c r="Q1410" s="46" t="s">
        <v>97</v>
      </c>
      <c r="R1410" s="46">
        <f>HEX2DEC(RIGHT(Table13232127[[#This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F1411" s="22"/>
      <c r="G1411" s="22"/>
      <c r="J1411" s="24">
        <v>50000</v>
      </c>
      <c r="M1411" s="24">
        <v>50000</v>
      </c>
      <c r="O1411" s="46" t="s">
        <v>97</v>
      </c>
      <c r="P1411" s="46">
        <f>HEX2DEC(RIGHT(Table13232127[[#This Row],[h1]],8))</f>
        <v>0</v>
      </c>
      <c r="Q1411" s="46" t="s">
        <v>97</v>
      </c>
      <c r="R1411" s="46">
        <f>HEX2DEC(RIGHT(Table13232127[[#This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6" t="s">
        <v>97</v>
      </c>
      <c r="P1412" s="46">
        <f>HEX2DEC(RIGHT(Table13232127[[#This Row],[h1]],8))</f>
        <v>0</v>
      </c>
      <c r="Q1412" s="46" t="s">
        <v>97</v>
      </c>
      <c r="R1412" s="46">
        <f>HEX2DEC(RIGHT(Table13232127[[#This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6" t="s">
        <v>97</v>
      </c>
      <c r="P1413" s="46">
        <f>HEX2DEC(RIGHT(Table13232127[[#This Row],[h1]],8))</f>
        <v>0</v>
      </c>
      <c r="Q1413" s="46" t="s">
        <v>97</v>
      </c>
      <c r="R1413" s="46">
        <f>HEX2DEC(RIGHT(Table13232127[[#This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6" t="s">
        <v>97</v>
      </c>
      <c r="P1414" s="46">
        <f>HEX2DEC(RIGHT(Table13232127[[#This Row],[h1]],8))</f>
        <v>0</v>
      </c>
      <c r="Q1414" s="46" t="s">
        <v>97</v>
      </c>
      <c r="R1414" s="46">
        <f>HEX2DEC(RIGHT(Table13232127[[#This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6" t="s">
        <v>97</v>
      </c>
      <c r="P1415" s="46">
        <f>HEX2DEC(RIGHT(Table13232127[[#This Row],[h1]],8))</f>
        <v>0</v>
      </c>
      <c r="Q1415" s="46" t="s">
        <v>97</v>
      </c>
      <c r="R1415" s="46">
        <f>HEX2DEC(RIGHT(Table13232127[[#This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6" t="s">
        <v>97</v>
      </c>
      <c r="P1416" s="46">
        <f>HEX2DEC(RIGHT(Table13232127[[#This Row],[h1]],8))</f>
        <v>0</v>
      </c>
      <c r="Q1416" s="46" t="s">
        <v>97</v>
      </c>
      <c r="R1416" s="46">
        <f>HEX2DEC(RIGHT(Table13232127[[#This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6" t="s">
        <v>97</v>
      </c>
      <c r="P1417" s="46">
        <f>HEX2DEC(RIGHT(Table13232127[[#This Row],[h1]],8))</f>
        <v>0</v>
      </c>
      <c r="Q1417" s="46" t="s">
        <v>97</v>
      </c>
      <c r="R1417" s="46">
        <f>HEX2DEC(RIGHT(Table13232127[[#This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6" t="s">
        <v>97</v>
      </c>
      <c r="P1418" s="46">
        <f>HEX2DEC(RIGHT(Table13232127[[#This Row],[h1]],8))</f>
        <v>0</v>
      </c>
      <c r="Q1418" s="46" t="s">
        <v>97</v>
      </c>
      <c r="R1418" s="46">
        <f>HEX2DEC(RIGHT(Table13232127[[#This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6" t="s">
        <v>97</v>
      </c>
      <c r="P1419" s="46">
        <f>HEX2DEC(RIGHT(Table13232127[[#This Row],[h1]],8))</f>
        <v>0</v>
      </c>
      <c r="Q1419" s="46" t="s">
        <v>97</v>
      </c>
      <c r="R1419" s="46">
        <f>HEX2DEC(RIGHT(Table13232127[[#This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6" t="s">
        <v>97</v>
      </c>
      <c r="P1420" s="46">
        <f>HEX2DEC(RIGHT(Table13232127[[#This Row],[h1]],8))</f>
        <v>0</v>
      </c>
      <c r="Q1420" s="46" t="s">
        <v>97</v>
      </c>
      <c r="R1420" s="46">
        <f>HEX2DEC(RIGHT(Table13232127[[#This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6" t="s">
        <v>97</v>
      </c>
      <c r="P1421" s="46">
        <f>HEX2DEC(RIGHT(Table13232127[[#This Row],[h1]],8))</f>
        <v>0</v>
      </c>
      <c r="Q1421" s="46" t="s">
        <v>97</v>
      </c>
      <c r="R1421" s="46">
        <f>HEX2DEC(RIGHT(Table13232127[[#This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6" t="s">
        <v>97</v>
      </c>
      <c r="P1422" s="46">
        <f>HEX2DEC(RIGHT(Table13232127[[#This Row],[h1]],8))</f>
        <v>0</v>
      </c>
      <c r="Q1422" s="46" t="s">
        <v>97</v>
      </c>
      <c r="R1422" s="46">
        <f>HEX2DEC(RIGHT(Table13232127[[#This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6" t="s">
        <v>97</v>
      </c>
      <c r="P1423" s="46">
        <f>HEX2DEC(RIGHT(Table13232127[[#This Row],[h1]],8))</f>
        <v>0</v>
      </c>
      <c r="Q1423" s="46" t="s">
        <v>97</v>
      </c>
      <c r="R1423" s="46">
        <f>HEX2DEC(RIGHT(Table13232127[[#This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6" t="s">
        <v>97</v>
      </c>
      <c r="P1424" s="46">
        <f>HEX2DEC(RIGHT(Table13232127[[#This Row],[h1]],8))</f>
        <v>0</v>
      </c>
      <c r="Q1424" s="46" t="s">
        <v>97</v>
      </c>
      <c r="R1424" s="46">
        <f>HEX2DEC(RIGHT(Table13232127[[#This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6" t="s">
        <v>97</v>
      </c>
      <c r="P1425" s="46">
        <f>HEX2DEC(RIGHT(Table13232127[[#This Row],[h1]],8))</f>
        <v>0</v>
      </c>
      <c r="Q1425" s="46" t="s">
        <v>97</v>
      </c>
      <c r="R1425" s="46">
        <f>HEX2DEC(RIGHT(Table13232127[[#This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6" t="s">
        <v>97</v>
      </c>
      <c r="P1426" s="46">
        <f>HEX2DEC(RIGHT(Table13232127[[#This Row],[h1]],8))</f>
        <v>0</v>
      </c>
      <c r="Q1426" s="46" t="s">
        <v>97</v>
      </c>
      <c r="R1426" s="46">
        <f>HEX2DEC(RIGHT(Table13232127[[#This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6" t="s">
        <v>97</v>
      </c>
      <c r="P1427" s="46">
        <f>HEX2DEC(RIGHT(Table13232127[[#This Row],[h1]],8))</f>
        <v>0</v>
      </c>
      <c r="Q1427" s="46" t="s">
        <v>97</v>
      </c>
      <c r="R1427" s="46">
        <f>HEX2DEC(RIGHT(Table13232127[[#This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6" t="s">
        <v>97</v>
      </c>
      <c r="P1428" s="46">
        <f>HEX2DEC(RIGHT(Table13232127[[#This Row],[h1]],8))</f>
        <v>0</v>
      </c>
      <c r="Q1428" s="46" t="s">
        <v>97</v>
      </c>
      <c r="R1428" s="46">
        <f>HEX2DEC(RIGHT(Table13232127[[#This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6" t="s">
        <v>97</v>
      </c>
      <c r="P1429" s="46">
        <f>HEX2DEC(RIGHT(Table13232127[[#This Row],[h1]],8))</f>
        <v>0</v>
      </c>
      <c r="Q1429" s="46" t="s">
        <v>97</v>
      </c>
      <c r="R1429" s="46">
        <f>HEX2DEC(RIGHT(Table13232127[[#This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6" t="s">
        <v>97</v>
      </c>
      <c r="P1430" s="46">
        <f>HEX2DEC(RIGHT(Table13232127[[#This Row],[h1]],8))</f>
        <v>0</v>
      </c>
      <c r="Q1430" s="46" t="s">
        <v>97</v>
      </c>
      <c r="R1430" s="46">
        <f>HEX2DEC(RIGHT(Table13232127[[#This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6" t="s">
        <v>97</v>
      </c>
      <c r="P1431" s="46">
        <f>HEX2DEC(RIGHT(Table13232127[[#This Row],[h1]],8))</f>
        <v>0</v>
      </c>
      <c r="Q1431" s="46" t="s">
        <v>97</v>
      </c>
      <c r="R1431" s="46">
        <f>HEX2DEC(RIGHT(Table13232127[[#This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D1432" s="15" t="s">
        <v>27</v>
      </c>
      <c r="F1432" s="22"/>
      <c r="G1432" s="22"/>
      <c r="J1432" s="24">
        <v>50000</v>
      </c>
      <c r="M1432" s="24">
        <v>50000</v>
      </c>
      <c r="O1432" s="46" t="s">
        <v>97</v>
      </c>
      <c r="P1432" s="46">
        <f>HEX2DEC(RIGHT(Table13232127[[#This Row],[h1]],8))</f>
        <v>0</v>
      </c>
      <c r="Q1432" s="46" t="s">
        <v>97</v>
      </c>
      <c r="R1432" s="46">
        <f>HEX2DEC(RIGHT(Table13232127[[#This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6" t="s">
        <v>97</v>
      </c>
      <c r="P1433" s="46">
        <f>HEX2DEC(RIGHT(Table13232127[[#This Row],[h1]],8))</f>
        <v>0</v>
      </c>
      <c r="Q1433" s="46" t="s">
        <v>97</v>
      </c>
      <c r="R1433" s="46">
        <f>HEX2DEC(RIGHT(Table13232127[[#This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6" t="s">
        <v>97</v>
      </c>
      <c r="P1434" s="46">
        <f>HEX2DEC(RIGHT(Table13232127[[#This Row],[h1]],8))</f>
        <v>0</v>
      </c>
      <c r="Q1434" s="46" t="s">
        <v>97</v>
      </c>
      <c r="R1434" s="46">
        <f>HEX2DEC(RIGHT(Table13232127[[#This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6" t="s">
        <v>97</v>
      </c>
      <c r="P1435" s="46">
        <f>HEX2DEC(RIGHT(Table13232127[[#This Row],[h1]],8))</f>
        <v>0</v>
      </c>
      <c r="Q1435" s="46" t="s">
        <v>97</v>
      </c>
      <c r="R1435" s="46">
        <f>HEX2DEC(RIGHT(Table13232127[[#This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6" t="s">
        <v>97</v>
      </c>
      <c r="P1436" s="46">
        <f>HEX2DEC(RIGHT(Table13232127[[#This Row],[h1]],8))</f>
        <v>0</v>
      </c>
      <c r="Q1436" s="46" t="s">
        <v>97</v>
      </c>
      <c r="R1436" s="46">
        <f>HEX2DEC(RIGHT(Table13232127[[#This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6" t="s">
        <v>97</v>
      </c>
      <c r="P1437" s="46">
        <f>HEX2DEC(RIGHT(Table13232127[[#This Row],[h1]],8))</f>
        <v>0</v>
      </c>
      <c r="Q1437" s="46" t="s">
        <v>97</v>
      </c>
      <c r="R1437" s="46">
        <f>HEX2DEC(RIGHT(Table13232127[[#This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6" t="s">
        <v>97</v>
      </c>
      <c r="P1438" s="46">
        <f>HEX2DEC(RIGHT(Table13232127[[#This Row],[h1]],8))</f>
        <v>0</v>
      </c>
      <c r="Q1438" s="46" t="s">
        <v>97</v>
      </c>
      <c r="R1438" s="46">
        <f>HEX2DEC(RIGHT(Table13232127[[#This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6" t="s">
        <v>97</v>
      </c>
      <c r="P1439" s="46">
        <f>HEX2DEC(RIGHT(Table13232127[[#This Row],[h1]],8))</f>
        <v>0</v>
      </c>
      <c r="Q1439" s="46" t="s">
        <v>97</v>
      </c>
      <c r="R1439" s="46">
        <f>HEX2DEC(RIGHT(Table13232127[[#This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6" t="s">
        <v>97</v>
      </c>
      <c r="P1440" s="46">
        <f>HEX2DEC(RIGHT(Table13232127[[#This Row],[h1]],8))</f>
        <v>0</v>
      </c>
      <c r="Q1440" s="46" t="s">
        <v>97</v>
      </c>
      <c r="R1440" s="46">
        <f>HEX2DEC(RIGHT(Table13232127[[#This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6" t="s">
        <v>97</v>
      </c>
      <c r="P1441" s="46">
        <f>HEX2DEC(RIGHT(Table13232127[[#This Row],[h1]],8))</f>
        <v>0</v>
      </c>
      <c r="Q1441" s="46" t="s">
        <v>97</v>
      </c>
      <c r="R1441" s="46">
        <f>HEX2DEC(RIGHT(Table13232127[[#This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6" t="s">
        <v>97</v>
      </c>
      <c r="P1442" s="46">
        <f>HEX2DEC(RIGHT(Table13232127[[#This Row],[h1]],8))</f>
        <v>0</v>
      </c>
      <c r="Q1442" s="46" t="s">
        <v>97</v>
      </c>
      <c r="R1442" s="46">
        <f>HEX2DEC(RIGHT(Table13232127[[#This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6" t="s">
        <v>97</v>
      </c>
      <c r="P1443" s="46">
        <f>HEX2DEC(RIGHT(Table13232127[[#This Row],[h1]],8))</f>
        <v>0</v>
      </c>
      <c r="Q1443" s="46" t="s">
        <v>97</v>
      </c>
      <c r="R1443" s="46">
        <f>HEX2DEC(RIGHT(Table13232127[[#This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6" t="s">
        <v>97</v>
      </c>
      <c r="P1444" s="46">
        <f>HEX2DEC(RIGHT(Table13232127[[#This Row],[h1]],8))</f>
        <v>0</v>
      </c>
      <c r="Q1444" s="46" t="s">
        <v>97</v>
      </c>
      <c r="R1444" s="46">
        <f>HEX2DEC(RIGHT(Table13232127[[#This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6" t="s">
        <v>97</v>
      </c>
      <c r="P1445" s="46">
        <f>HEX2DEC(RIGHT(Table13232127[[#This Row],[h1]],8))</f>
        <v>0</v>
      </c>
      <c r="Q1445" s="46" t="s">
        <v>97</v>
      </c>
      <c r="R1445" s="46">
        <f>HEX2DEC(RIGHT(Table13232127[[#This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6" t="s">
        <v>97</v>
      </c>
      <c r="P1446" s="46">
        <f>HEX2DEC(RIGHT(Table13232127[[#This Row],[h1]],8))</f>
        <v>0</v>
      </c>
      <c r="Q1446" s="46" t="s">
        <v>97</v>
      </c>
      <c r="R1446" s="46">
        <f>HEX2DEC(RIGHT(Table13232127[[#This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6" t="s">
        <v>97</v>
      </c>
      <c r="P1447" s="46">
        <f>HEX2DEC(RIGHT(Table13232127[[#This Row],[h1]],8))</f>
        <v>0</v>
      </c>
      <c r="Q1447" s="46" t="s">
        <v>97</v>
      </c>
      <c r="R1447" s="46">
        <f>HEX2DEC(RIGHT(Table13232127[[#This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6" t="s">
        <v>97</v>
      </c>
      <c r="P1448" s="46">
        <f>HEX2DEC(RIGHT(Table13232127[[#This Row],[h1]],8))</f>
        <v>0</v>
      </c>
      <c r="Q1448" s="46" t="s">
        <v>97</v>
      </c>
      <c r="R1448" s="46">
        <f>HEX2DEC(RIGHT(Table13232127[[#This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6" t="s">
        <v>97</v>
      </c>
      <c r="P1449" s="46">
        <f>HEX2DEC(RIGHT(Table13232127[[#This Row],[h1]],8))</f>
        <v>0</v>
      </c>
      <c r="Q1449" s="46" t="s">
        <v>97</v>
      </c>
      <c r="R1449" s="46">
        <f>HEX2DEC(RIGHT(Table13232127[[#This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6" t="s">
        <v>97</v>
      </c>
      <c r="P1450" s="46">
        <f>HEX2DEC(RIGHT(Table13232127[[#This Row],[h1]],8))</f>
        <v>0</v>
      </c>
      <c r="Q1450" s="46" t="s">
        <v>97</v>
      </c>
      <c r="R1450" s="46">
        <f>HEX2DEC(RIGHT(Table13232127[[#This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6" t="s">
        <v>97</v>
      </c>
      <c r="P1451" s="46">
        <f>HEX2DEC(RIGHT(Table13232127[[#This Row],[h1]],8))</f>
        <v>0</v>
      </c>
      <c r="Q1451" s="46" t="s">
        <v>97</v>
      </c>
      <c r="R1451" s="46">
        <f>HEX2DEC(RIGHT(Table13232127[[#This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6" t="s">
        <v>97</v>
      </c>
      <c r="P1452" s="46">
        <f>HEX2DEC(RIGHT(Table13232127[[#This Row],[h1]],8))</f>
        <v>0</v>
      </c>
      <c r="Q1452" s="46" t="s">
        <v>97</v>
      </c>
      <c r="R1452" s="46">
        <f>HEX2DEC(RIGHT(Table13232127[[#This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6" t="s">
        <v>97</v>
      </c>
      <c r="P1453" s="46">
        <f>HEX2DEC(RIGHT(Table13232127[[#This Row],[h1]],8))</f>
        <v>0</v>
      </c>
      <c r="Q1453" s="46" t="s">
        <v>97</v>
      </c>
      <c r="R1453" s="46">
        <f>HEX2DEC(RIGHT(Table13232127[[#This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6" t="s">
        <v>97</v>
      </c>
      <c r="P1454" s="46">
        <f>HEX2DEC(RIGHT(Table13232127[[#This Row],[h1]],8))</f>
        <v>0</v>
      </c>
      <c r="Q1454" s="46" t="s">
        <v>97</v>
      </c>
      <c r="R1454" s="46">
        <f>HEX2DEC(RIGHT(Table13232127[[#This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6" t="s">
        <v>97</v>
      </c>
      <c r="P1455" s="46">
        <f>HEX2DEC(RIGHT(Table13232127[[#This Row],[h1]],8))</f>
        <v>0</v>
      </c>
      <c r="Q1455" s="46" t="s">
        <v>97</v>
      </c>
      <c r="R1455" s="46">
        <f>HEX2DEC(RIGHT(Table13232127[[#This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6" t="s">
        <v>97</v>
      </c>
      <c r="P1456" s="46">
        <f>HEX2DEC(RIGHT(Table13232127[[#This Row],[h1]],8))</f>
        <v>0</v>
      </c>
      <c r="Q1456" s="46" t="s">
        <v>97</v>
      </c>
      <c r="R1456" s="46">
        <f>HEX2DEC(RIGHT(Table13232127[[#This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6" t="s">
        <v>97</v>
      </c>
      <c r="P1457" s="46">
        <f>HEX2DEC(RIGHT(Table13232127[[#This Row],[h1]],8))</f>
        <v>0</v>
      </c>
      <c r="Q1457" s="46" t="s">
        <v>97</v>
      </c>
      <c r="R1457" s="46">
        <f>HEX2DEC(RIGHT(Table13232127[[#This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6" t="s">
        <v>97</v>
      </c>
      <c r="P1458" s="46">
        <f>HEX2DEC(RIGHT(Table13232127[[#This Row],[h1]],8))</f>
        <v>0</v>
      </c>
      <c r="Q1458" s="46" t="s">
        <v>97</v>
      </c>
      <c r="R1458" s="46">
        <f>HEX2DEC(RIGHT(Table13232127[[#This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6" t="s">
        <v>97</v>
      </c>
      <c r="P1459" s="46">
        <f>HEX2DEC(RIGHT(Table13232127[[#This Row],[h1]],8))</f>
        <v>0</v>
      </c>
      <c r="Q1459" s="46" t="s">
        <v>97</v>
      </c>
      <c r="R1459" s="46">
        <f>HEX2DEC(RIGHT(Table13232127[[#This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6" t="s">
        <v>97</v>
      </c>
      <c r="P1460" s="46">
        <f>HEX2DEC(RIGHT(Table13232127[[#This Row],[h1]],8))</f>
        <v>0</v>
      </c>
      <c r="Q1460" s="46" t="s">
        <v>97</v>
      </c>
      <c r="R1460" s="46">
        <f>HEX2DEC(RIGHT(Table13232127[[#This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6" t="s">
        <v>97</v>
      </c>
      <c r="P1461" s="46">
        <f>HEX2DEC(RIGHT(Table13232127[[#This Row],[h1]],8))</f>
        <v>0</v>
      </c>
      <c r="Q1461" s="46" t="s">
        <v>97</v>
      </c>
      <c r="R1461" s="46">
        <f>HEX2DEC(RIGHT(Table13232127[[#This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6" t="s">
        <v>97</v>
      </c>
      <c r="P1462" s="46">
        <f>HEX2DEC(RIGHT(Table13232127[[#This Row],[h1]],8))</f>
        <v>0</v>
      </c>
      <c r="Q1462" s="46" t="s">
        <v>97</v>
      </c>
      <c r="R1462" s="46">
        <f>HEX2DEC(RIGHT(Table13232127[[#This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6" t="s">
        <v>97</v>
      </c>
      <c r="P1463" s="46">
        <f>HEX2DEC(RIGHT(Table13232127[[#This Row],[h1]],8))</f>
        <v>0</v>
      </c>
      <c r="Q1463" s="46" t="s">
        <v>97</v>
      </c>
      <c r="R1463" s="46">
        <f>HEX2DEC(RIGHT(Table13232127[[#This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6" t="s">
        <v>97</v>
      </c>
      <c r="P1464" s="46">
        <f>HEX2DEC(RIGHT(Table13232127[[#This Row],[h1]],8))</f>
        <v>0</v>
      </c>
      <c r="Q1464" s="46" t="s">
        <v>97</v>
      </c>
      <c r="R1464" s="46">
        <f>HEX2DEC(RIGHT(Table13232127[[#This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6" t="s">
        <v>97</v>
      </c>
      <c r="P1465" s="46">
        <f>HEX2DEC(RIGHT(Table13232127[[#This Row],[h1]],8))</f>
        <v>0</v>
      </c>
      <c r="Q1465" s="46" t="s">
        <v>97</v>
      </c>
      <c r="R1465" s="46">
        <f>HEX2DEC(RIGHT(Table13232127[[#This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6" t="s">
        <v>97</v>
      </c>
      <c r="P1466" s="46">
        <f>HEX2DEC(RIGHT(Table13232127[[#This Row],[h1]],8))</f>
        <v>0</v>
      </c>
      <c r="Q1466" s="46" t="s">
        <v>97</v>
      </c>
      <c r="R1466" s="46">
        <f>HEX2DEC(RIGHT(Table13232127[[#This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6" t="s">
        <v>97</v>
      </c>
      <c r="P1467" s="46">
        <f>HEX2DEC(RIGHT(Table13232127[[#This Row],[h1]],8))</f>
        <v>0</v>
      </c>
      <c r="Q1467" s="46" t="s">
        <v>97</v>
      </c>
      <c r="R1467" s="46">
        <f>HEX2DEC(RIGHT(Table13232127[[#This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6" t="s">
        <v>97</v>
      </c>
      <c r="P1468" s="46">
        <f>HEX2DEC(RIGHT(Table13232127[[#This Row],[h1]],8))</f>
        <v>0</v>
      </c>
      <c r="Q1468" s="46" t="s">
        <v>97</v>
      </c>
      <c r="R1468" s="46">
        <f>HEX2DEC(RIGHT(Table13232127[[#This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6" t="s">
        <v>97</v>
      </c>
      <c r="P1469" s="46">
        <f>HEX2DEC(RIGHT(Table13232127[[#This Row],[h1]],8))</f>
        <v>0</v>
      </c>
      <c r="Q1469" s="46" t="s">
        <v>97</v>
      </c>
      <c r="R1469" s="46">
        <f>HEX2DEC(RIGHT(Table13232127[[#This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6" t="s">
        <v>97</v>
      </c>
      <c r="P1470" s="46">
        <f>HEX2DEC(RIGHT(Table13232127[[#This Row],[h1]],8))</f>
        <v>0</v>
      </c>
      <c r="Q1470" s="46" t="s">
        <v>97</v>
      </c>
      <c r="R1470" s="46">
        <f>HEX2DEC(RIGHT(Table13232127[[#This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6" t="s">
        <v>97</v>
      </c>
      <c r="P1471" s="46">
        <f>HEX2DEC(RIGHT(Table13232127[[#This Row],[h1]],8))</f>
        <v>0</v>
      </c>
      <c r="Q1471" s="46" t="s">
        <v>97</v>
      </c>
      <c r="R1471" s="46">
        <f>HEX2DEC(RIGHT(Table13232127[[#This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6" t="s">
        <v>97</v>
      </c>
      <c r="P1472" s="46">
        <f>HEX2DEC(RIGHT(Table13232127[[#This Row],[h1]],8))</f>
        <v>0</v>
      </c>
      <c r="Q1472" s="46" t="s">
        <v>97</v>
      </c>
      <c r="R1472" s="46">
        <f>HEX2DEC(RIGHT(Table13232127[[#This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6" t="s">
        <v>97</v>
      </c>
      <c r="P1473" s="46">
        <f>HEX2DEC(RIGHT(Table13232127[[#This Row],[h1]],8))</f>
        <v>0</v>
      </c>
      <c r="Q1473" s="46" t="s">
        <v>97</v>
      </c>
      <c r="R1473" s="46">
        <f>HEX2DEC(RIGHT(Table13232127[[#This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6" t="s">
        <v>97</v>
      </c>
      <c r="P1474" s="46">
        <f>HEX2DEC(RIGHT(Table13232127[[#This Row],[h1]],8))</f>
        <v>0</v>
      </c>
      <c r="Q1474" s="46" t="s">
        <v>97</v>
      </c>
      <c r="R1474" s="46">
        <f>HEX2DEC(RIGHT(Table13232127[[#This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6" t="s">
        <v>97</v>
      </c>
      <c r="P1475" s="46">
        <f>HEX2DEC(RIGHT(Table13232127[[#This Row],[h1]],8))</f>
        <v>0</v>
      </c>
      <c r="Q1475" s="46" t="s">
        <v>97</v>
      </c>
      <c r="R1475" s="46">
        <f>HEX2DEC(RIGHT(Table13232127[[#This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6" t="s">
        <v>97</v>
      </c>
      <c r="P1476" s="46">
        <f>HEX2DEC(RIGHT(Table13232127[[#This Row],[h1]],8))</f>
        <v>0</v>
      </c>
      <c r="Q1476" s="46" t="s">
        <v>97</v>
      </c>
      <c r="R1476" s="46">
        <f>HEX2DEC(RIGHT(Table13232127[[#This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6" t="s">
        <v>97</v>
      </c>
      <c r="P1477" s="46">
        <f>HEX2DEC(RIGHT(Table13232127[[#This Row],[h1]],8))</f>
        <v>0</v>
      </c>
      <c r="Q1477" s="46" t="s">
        <v>97</v>
      </c>
      <c r="R1477" s="46">
        <f>HEX2DEC(RIGHT(Table13232127[[#This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6" t="s">
        <v>97</v>
      </c>
      <c r="P1478" s="46">
        <f>HEX2DEC(RIGHT(Table13232127[[#This Row],[h1]],8))</f>
        <v>0</v>
      </c>
      <c r="Q1478" s="46" t="s">
        <v>97</v>
      </c>
      <c r="R1478" s="46">
        <f>HEX2DEC(RIGHT(Table13232127[[#This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6" t="s">
        <v>97</v>
      </c>
      <c r="P1479" s="46">
        <f>HEX2DEC(RIGHT(Table13232127[[#This Row],[h1]],8))</f>
        <v>0</v>
      </c>
      <c r="Q1479" s="46" t="s">
        <v>97</v>
      </c>
      <c r="R1479" s="46">
        <f>HEX2DEC(RIGHT(Table13232127[[#This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6" t="s">
        <v>97</v>
      </c>
      <c r="P1480" s="46">
        <f>HEX2DEC(RIGHT(Table13232127[[#This Row],[h1]],8))</f>
        <v>0</v>
      </c>
      <c r="Q1480" s="46" t="s">
        <v>97</v>
      </c>
      <c r="R1480" s="46">
        <f>HEX2DEC(RIGHT(Table13232127[[#This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6" t="s">
        <v>97</v>
      </c>
      <c r="P1481" s="46">
        <f>HEX2DEC(RIGHT(Table13232127[[#This Row],[h1]],8))</f>
        <v>0</v>
      </c>
      <c r="Q1481" s="46" t="s">
        <v>97</v>
      </c>
      <c r="R1481" s="46">
        <f>HEX2DEC(RIGHT(Table13232127[[#This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6" t="s">
        <v>97</v>
      </c>
      <c r="P1482" s="46">
        <f>HEX2DEC(RIGHT(Table13232127[[#This Row],[h1]],8))</f>
        <v>0</v>
      </c>
      <c r="Q1482" s="46" t="s">
        <v>97</v>
      </c>
      <c r="R1482" s="46">
        <f>HEX2DEC(RIGHT(Table13232127[[#This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6" t="s">
        <v>97</v>
      </c>
      <c r="P1483" s="46">
        <f>HEX2DEC(RIGHT(Table13232127[[#This Row],[h1]],8))</f>
        <v>0</v>
      </c>
      <c r="Q1483" s="46" t="s">
        <v>97</v>
      </c>
      <c r="R1483" s="46">
        <f>HEX2DEC(RIGHT(Table13232127[[#This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6" t="s">
        <v>97</v>
      </c>
      <c r="P1484" s="46">
        <f>HEX2DEC(RIGHT(Table13232127[[#This Row],[h1]],8))</f>
        <v>0</v>
      </c>
      <c r="Q1484" s="46" t="s">
        <v>97</v>
      </c>
      <c r="R1484" s="46">
        <f>HEX2DEC(RIGHT(Table13232127[[#This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6" t="s">
        <v>97</v>
      </c>
      <c r="P1485" s="46">
        <f>HEX2DEC(RIGHT(Table13232127[[#This Row],[h1]],8))</f>
        <v>0</v>
      </c>
      <c r="Q1485" s="46" t="s">
        <v>97</v>
      </c>
      <c r="R1485" s="46">
        <f>HEX2DEC(RIGHT(Table13232127[[#This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6" t="s">
        <v>97</v>
      </c>
      <c r="P1486" s="46">
        <f>HEX2DEC(RIGHT(Table13232127[[#This Row],[h1]],8))</f>
        <v>0</v>
      </c>
      <c r="Q1486" s="46" t="s">
        <v>97</v>
      </c>
      <c r="R1486" s="46">
        <f>HEX2DEC(RIGHT(Table13232127[[#This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6" t="s">
        <v>97</v>
      </c>
      <c r="P1487" s="46">
        <f>HEX2DEC(RIGHT(Table13232127[[#This Row],[h1]],8))</f>
        <v>0</v>
      </c>
      <c r="Q1487" s="46" t="s">
        <v>97</v>
      </c>
      <c r="R1487" s="46">
        <f>HEX2DEC(RIGHT(Table13232127[[#This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6" t="s">
        <v>97</v>
      </c>
      <c r="P1488" s="46">
        <f>HEX2DEC(RIGHT(Table13232127[[#This Row],[h1]],8))</f>
        <v>0</v>
      </c>
      <c r="Q1488" s="46" t="s">
        <v>97</v>
      </c>
      <c r="R1488" s="46">
        <f>HEX2DEC(RIGHT(Table13232127[[#This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6" t="s">
        <v>97</v>
      </c>
      <c r="P1489" s="46">
        <f>HEX2DEC(RIGHT(Table13232127[[#This Row],[h1]],8))</f>
        <v>0</v>
      </c>
      <c r="Q1489" s="46" t="s">
        <v>97</v>
      </c>
      <c r="R1489" s="46">
        <f>HEX2DEC(RIGHT(Table13232127[[#This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6" t="s">
        <v>97</v>
      </c>
      <c r="P1490" s="46">
        <f>HEX2DEC(RIGHT(Table13232127[[#This Row],[h1]],8))</f>
        <v>0</v>
      </c>
      <c r="Q1490" s="46" t="s">
        <v>97</v>
      </c>
      <c r="R1490" s="46">
        <f>HEX2DEC(RIGHT(Table13232127[[#This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6" t="s">
        <v>97</v>
      </c>
      <c r="P1491" s="46">
        <f>HEX2DEC(RIGHT(Table13232127[[#This Row],[h1]],8))</f>
        <v>0</v>
      </c>
      <c r="Q1491" s="46" t="s">
        <v>97</v>
      </c>
      <c r="R1491" s="46">
        <f>HEX2DEC(RIGHT(Table13232127[[#This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6" t="s">
        <v>97</v>
      </c>
      <c r="P1492" s="46">
        <f>HEX2DEC(RIGHT(Table13232127[[#This Row],[h1]],8))</f>
        <v>0</v>
      </c>
      <c r="Q1492" s="46" t="s">
        <v>97</v>
      </c>
      <c r="R1492" s="46">
        <f>HEX2DEC(RIGHT(Table13232127[[#This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6" t="s">
        <v>97</v>
      </c>
      <c r="P1493" s="46">
        <f>HEX2DEC(RIGHT(Table13232127[[#This Row],[h1]],8))</f>
        <v>0</v>
      </c>
      <c r="Q1493" s="46" t="s">
        <v>97</v>
      </c>
      <c r="R1493" s="46">
        <f>HEX2DEC(RIGHT(Table13232127[[#This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6" t="s">
        <v>97</v>
      </c>
      <c r="P1494" s="46">
        <f>HEX2DEC(RIGHT(Table13232127[[#This Row],[h1]],8))</f>
        <v>0</v>
      </c>
      <c r="Q1494" s="46" t="s">
        <v>97</v>
      </c>
      <c r="R1494" s="46">
        <f>HEX2DEC(RIGHT(Table13232127[[#This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6" t="s">
        <v>97</v>
      </c>
      <c r="P1495" s="46">
        <f>HEX2DEC(RIGHT(Table13232127[[#This Row],[h1]],8))</f>
        <v>0</v>
      </c>
      <c r="Q1495" s="46" t="s">
        <v>97</v>
      </c>
      <c r="R1495" s="46">
        <f>HEX2DEC(RIGHT(Table13232127[[#This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6" t="s">
        <v>97</v>
      </c>
      <c r="P1496" s="46">
        <f>HEX2DEC(RIGHT(Table13232127[[#This Row],[h1]],8))</f>
        <v>0</v>
      </c>
      <c r="Q1496" s="46" t="s">
        <v>97</v>
      </c>
      <c r="R1496" s="46">
        <f>HEX2DEC(RIGHT(Table13232127[[#This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6" t="s">
        <v>97</v>
      </c>
      <c r="P1497" s="46">
        <f>HEX2DEC(RIGHT(Table13232127[[#This Row],[h1]],8))</f>
        <v>0</v>
      </c>
      <c r="Q1497" s="46" t="s">
        <v>97</v>
      </c>
      <c r="R1497" s="46">
        <f>HEX2DEC(RIGHT(Table13232127[[#This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6" t="s">
        <v>97</v>
      </c>
      <c r="P1498" s="46">
        <f>HEX2DEC(RIGHT(Table13232127[[#This Row],[h1]],8))</f>
        <v>0</v>
      </c>
      <c r="Q1498" s="46" t="s">
        <v>97</v>
      </c>
      <c r="R1498" s="46">
        <f>HEX2DEC(RIGHT(Table13232127[[#This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6" t="s">
        <v>97</v>
      </c>
      <c r="P1499" s="46">
        <f>HEX2DEC(RIGHT(Table13232127[[#This Row],[h1]],8))</f>
        <v>0</v>
      </c>
      <c r="Q1499" s="46" t="s">
        <v>97</v>
      </c>
      <c r="R1499" s="46">
        <f>HEX2DEC(RIGHT(Table13232127[[#This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6" t="s">
        <v>97</v>
      </c>
      <c r="P1500" s="46">
        <f>HEX2DEC(RIGHT(Table13232127[[#This Row],[h1]],8))</f>
        <v>0</v>
      </c>
      <c r="Q1500" s="46" t="s">
        <v>97</v>
      </c>
      <c r="R1500" s="46">
        <f>HEX2DEC(RIGHT(Table13232127[[#This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6" t="s">
        <v>97</v>
      </c>
      <c r="P1501" s="46">
        <f>HEX2DEC(RIGHT(Table13232127[[#This Row],[h1]],8))</f>
        <v>0</v>
      </c>
      <c r="Q1501" s="46" t="s">
        <v>97</v>
      </c>
      <c r="R1501" s="46">
        <f>HEX2DEC(RIGHT(Table13232127[[#This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6" t="s">
        <v>97</v>
      </c>
      <c r="P1502" s="46">
        <f>HEX2DEC(RIGHT(Table13232127[[#This Row],[h1]],8))</f>
        <v>0</v>
      </c>
      <c r="Q1502" s="46" t="s">
        <v>97</v>
      </c>
      <c r="R1502" s="46">
        <f>HEX2DEC(RIGHT(Table13232127[[#This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6" t="s">
        <v>97</v>
      </c>
      <c r="P1503" s="46">
        <f>HEX2DEC(RIGHT(Table13232127[[#This Row],[h1]],8))</f>
        <v>0</v>
      </c>
      <c r="Q1503" s="46" t="s">
        <v>97</v>
      </c>
      <c r="R1503" s="46">
        <f>HEX2DEC(RIGHT(Table13232127[[#This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6" t="s">
        <v>97</v>
      </c>
      <c r="P1504" s="46">
        <f>HEX2DEC(RIGHT(Table13232127[[#This Row],[h1]],8))</f>
        <v>0</v>
      </c>
      <c r="Q1504" s="46" t="s">
        <v>97</v>
      </c>
      <c r="R1504" s="46">
        <f>HEX2DEC(RIGHT(Table13232127[[#This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6" t="s">
        <v>97</v>
      </c>
      <c r="P1505" s="46">
        <f>HEX2DEC(RIGHT(Table13232127[[#This Row],[h1]],8))</f>
        <v>0</v>
      </c>
      <c r="Q1505" s="46" t="s">
        <v>97</v>
      </c>
      <c r="R1505" s="46">
        <f>HEX2DEC(RIGHT(Table13232127[[#This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6" t="s">
        <v>97</v>
      </c>
      <c r="P1506" s="46">
        <f>HEX2DEC(RIGHT(Table13232127[[#This Row],[h1]],8))</f>
        <v>0</v>
      </c>
      <c r="Q1506" s="46" t="s">
        <v>97</v>
      </c>
      <c r="R1506" s="46">
        <f>HEX2DEC(RIGHT(Table13232127[[#This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6" t="s">
        <v>97</v>
      </c>
      <c r="P1507" s="46">
        <f>HEX2DEC(RIGHT(Table13232127[[#This Row],[h1]],8))</f>
        <v>0</v>
      </c>
      <c r="Q1507" s="46" t="s">
        <v>97</v>
      </c>
      <c r="R1507" s="46">
        <f>HEX2DEC(RIGHT(Table13232127[[#This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6" t="s">
        <v>97</v>
      </c>
      <c r="P1508" s="46">
        <f>HEX2DEC(RIGHT(Table13232127[[#This Row],[h1]],8))</f>
        <v>0</v>
      </c>
      <c r="Q1508" s="46" t="s">
        <v>97</v>
      </c>
      <c r="R1508" s="46">
        <f>HEX2DEC(RIGHT(Table13232127[[#This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6" t="s">
        <v>97</v>
      </c>
      <c r="P1509" s="46">
        <f>HEX2DEC(RIGHT(Table13232127[[#This Row],[h1]],8))</f>
        <v>0</v>
      </c>
      <c r="Q1509" s="46" t="s">
        <v>97</v>
      </c>
      <c r="R1509" s="46">
        <f>HEX2DEC(RIGHT(Table13232127[[#This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6" t="s">
        <v>97</v>
      </c>
      <c r="P1510" s="46">
        <f>HEX2DEC(RIGHT(Table13232127[[#This Row],[h1]],8))</f>
        <v>0</v>
      </c>
      <c r="Q1510" s="46" t="s">
        <v>97</v>
      </c>
      <c r="R1510" s="46">
        <f>HEX2DEC(RIGHT(Table13232127[[#This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6" t="s">
        <v>97</v>
      </c>
      <c r="P1511" s="46">
        <f>HEX2DEC(RIGHT(Table13232127[[#This Row],[h1]],8))</f>
        <v>0</v>
      </c>
      <c r="Q1511" s="46" t="s">
        <v>97</v>
      </c>
      <c r="R1511" s="46">
        <f>HEX2DEC(RIGHT(Table13232127[[#This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6" t="s">
        <v>97</v>
      </c>
      <c r="P1512" s="46">
        <f>HEX2DEC(RIGHT(Table13232127[[#This Row],[h1]],8))</f>
        <v>0</v>
      </c>
      <c r="Q1512" s="46" t="s">
        <v>97</v>
      </c>
      <c r="R1512" s="46">
        <f>HEX2DEC(RIGHT(Table13232127[[#This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6" t="s">
        <v>97</v>
      </c>
      <c r="P1513" s="46">
        <f>HEX2DEC(RIGHT(Table13232127[[#This Row],[h1]],8))</f>
        <v>0</v>
      </c>
      <c r="Q1513" s="46" t="s">
        <v>97</v>
      </c>
      <c r="R1513" s="46">
        <f>HEX2DEC(RIGHT(Table13232127[[#This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6" t="s">
        <v>97</v>
      </c>
      <c r="P1514" s="46">
        <f>HEX2DEC(RIGHT(Table13232127[[#This Row],[h1]],8))</f>
        <v>0</v>
      </c>
      <c r="Q1514" s="46" t="s">
        <v>97</v>
      </c>
      <c r="R1514" s="46">
        <f>HEX2DEC(RIGHT(Table13232127[[#This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6" t="s">
        <v>97</v>
      </c>
      <c r="P1515" s="46">
        <f>HEX2DEC(RIGHT(Table13232127[[#This Row],[h1]],8))</f>
        <v>0</v>
      </c>
      <c r="Q1515" s="46" t="s">
        <v>97</v>
      </c>
      <c r="R1515" s="46">
        <f>HEX2DEC(RIGHT(Table13232127[[#This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6" t="s">
        <v>97</v>
      </c>
      <c r="P1516" s="46">
        <f>HEX2DEC(RIGHT(Table13232127[[#This Row],[h1]],8))</f>
        <v>0</v>
      </c>
      <c r="Q1516" s="46" t="s">
        <v>97</v>
      </c>
      <c r="R1516" s="46">
        <f>HEX2DEC(RIGHT(Table13232127[[#This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6" t="s">
        <v>97</v>
      </c>
      <c r="P1517" s="46">
        <f>HEX2DEC(RIGHT(Table13232127[[#This Row],[h1]],8))</f>
        <v>0</v>
      </c>
      <c r="Q1517" s="46" t="s">
        <v>97</v>
      </c>
      <c r="R1517" s="46">
        <f>HEX2DEC(RIGHT(Table13232127[[#This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6" t="s">
        <v>97</v>
      </c>
      <c r="P1518" s="46">
        <f>HEX2DEC(RIGHT(Table13232127[[#This Row],[h1]],8))</f>
        <v>0</v>
      </c>
      <c r="Q1518" s="46" t="s">
        <v>97</v>
      </c>
      <c r="R1518" s="46">
        <f>HEX2DEC(RIGHT(Table13232127[[#This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6" t="s">
        <v>97</v>
      </c>
      <c r="P1519" s="46">
        <f>HEX2DEC(RIGHT(Table13232127[[#This Row],[h1]],8))</f>
        <v>0</v>
      </c>
      <c r="Q1519" s="46" t="s">
        <v>97</v>
      </c>
      <c r="R1519" s="46">
        <f>HEX2DEC(RIGHT(Table13232127[[#This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6" t="s">
        <v>97</v>
      </c>
      <c r="P1520" s="46">
        <f>HEX2DEC(RIGHT(Table13232127[[#This Row],[h1]],8))</f>
        <v>0</v>
      </c>
      <c r="Q1520" s="46" t="s">
        <v>97</v>
      </c>
      <c r="R1520" s="46">
        <f>HEX2DEC(RIGHT(Table13232127[[#This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6" t="s">
        <v>97</v>
      </c>
      <c r="P1521" s="46">
        <f>HEX2DEC(RIGHT(Table13232127[[#This Row],[h1]],8))</f>
        <v>0</v>
      </c>
      <c r="Q1521" s="46" t="s">
        <v>97</v>
      </c>
      <c r="R1521" s="46">
        <f>HEX2DEC(RIGHT(Table13232127[[#This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6" t="s">
        <v>97</v>
      </c>
      <c r="P1522" s="46">
        <f>HEX2DEC(RIGHT(Table13232127[[#This Row],[h1]],8))</f>
        <v>0</v>
      </c>
      <c r="Q1522" s="46" t="s">
        <v>97</v>
      </c>
      <c r="R1522" s="46">
        <f>HEX2DEC(RIGHT(Table13232127[[#This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6" t="s">
        <v>97</v>
      </c>
      <c r="P1523" s="46">
        <f>HEX2DEC(RIGHT(Table13232127[[#This Row],[h1]],8))</f>
        <v>0</v>
      </c>
      <c r="Q1523" s="46" t="s">
        <v>97</v>
      </c>
      <c r="R1523" s="46">
        <f>HEX2DEC(RIGHT(Table13232127[[#This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6" t="s">
        <v>97</v>
      </c>
      <c r="P1524" s="46">
        <f>HEX2DEC(RIGHT(Table13232127[[#This Row],[h1]],8))</f>
        <v>0</v>
      </c>
      <c r="Q1524" s="46" t="s">
        <v>97</v>
      </c>
      <c r="R1524" s="46">
        <f>HEX2DEC(RIGHT(Table13232127[[#This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6" t="s">
        <v>97</v>
      </c>
      <c r="P1525" s="46">
        <f>HEX2DEC(RIGHT(Table13232127[[#This Row],[h1]],8))</f>
        <v>0</v>
      </c>
      <c r="Q1525" s="46" t="s">
        <v>97</v>
      </c>
      <c r="R1525" s="46">
        <f>HEX2DEC(RIGHT(Table13232127[[#This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6" t="s">
        <v>97</v>
      </c>
      <c r="P1526" s="46">
        <f>HEX2DEC(RIGHT(Table13232127[[#This Row],[h1]],8))</f>
        <v>0</v>
      </c>
      <c r="Q1526" s="46" t="s">
        <v>97</v>
      </c>
      <c r="R1526" s="46">
        <f>HEX2DEC(RIGHT(Table13232127[[#This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6" t="s">
        <v>97</v>
      </c>
      <c r="P1527" s="46">
        <f>HEX2DEC(RIGHT(Table13232127[[#This Row],[h1]],8))</f>
        <v>0</v>
      </c>
      <c r="Q1527" s="46" t="s">
        <v>97</v>
      </c>
      <c r="R1527" s="46">
        <f>HEX2DEC(RIGHT(Table13232127[[#This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6" t="s">
        <v>97</v>
      </c>
      <c r="P1528" s="46">
        <f>HEX2DEC(RIGHT(Table13232127[[#This Row],[h1]],8))</f>
        <v>0</v>
      </c>
      <c r="Q1528" s="46" t="s">
        <v>97</v>
      </c>
      <c r="R1528" s="46">
        <f>HEX2DEC(RIGHT(Table13232127[[#This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6" t="s">
        <v>97</v>
      </c>
      <c r="P1529" s="46">
        <f>HEX2DEC(RIGHT(Table13232127[[#This Row],[h1]],8))</f>
        <v>0</v>
      </c>
      <c r="Q1529" s="46" t="s">
        <v>97</v>
      </c>
      <c r="R1529" s="46">
        <f>HEX2DEC(RIGHT(Table13232127[[#This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6" t="s">
        <v>97</v>
      </c>
      <c r="P1530" s="46">
        <f>HEX2DEC(RIGHT(Table13232127[[#This Row],[h1]],8))</f>
        <v>0</v>
      </c>
      <c r="Q1530" s="46" t="s">
        <v>97</v>
      </c>
      <c r="R1530" s="46">
        <f>HEX2DEC(RIGHT(Table13232127[[#This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6" t="s">
        <v>97</v>
      </c>
      <c r="P1531" s="46">
        <f>HEX2DEC(RIGHT(Table13232127[[#This Row],[h1]],8))</f>
        <v>0</v>
      </c>
      <c r="Q1531" s="46" t="s">
        <v>97</v>
      </c>
      <c r="R1531" s="46">
        <f>HEX2DEC(RIGHT(Table13232127[[#This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6" t="s">
        <v>97</v>
      </c>
      <c r="P1532" s="46">
        <f>HEX2DEC(RIGHT(Table13232127[[#This Row],[h1]],8))</f>
        <v>0</v>
      </c>
      <c r="Q1532" s="46" t="s">
        <v>97</v>
      </c>
      <c r="R1532" s="46">
        <f>HEX2DEC(RIGHT(Table13232127[[#This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6" t="s">
        <v>97</v>
      </c>
      <c r="P1533" s="46">
        <f>HEX2DEC(RIGHT(Table13232127[[#This Row],[h1]],8))</f>
        <v>0</v>
      </c>
      <c r="Q1533" s="46" t="s">
        <v>97</v>
      </c>
      <c r="R1533" s="46">
        <f>HEX2DEC(RIGHT(Table13232127[[#This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6" t="s">
        <v>97</v>
      </c>
      <c r="P1534" s="46">
        <f>HEX2DEC(RIGHT(Table13232127[[#This Row],[h1]],8))</f>
        <v>0</v>
      </c>
      <c r="Q1534" s="46" t="s">
        <v>97</v>
      </c>
      <c r="R1534" s="46">
        <f>HEX2DEC(RIGHT(Table13232127[[#This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6" t="s">
        <v>97</v>
      </c>
      <c r="P1535" s="46">
        <f>HEX2DEC(RIGHT(Table13232127[[#This Row],[h1]],8))</f>
        <v>0</v>
      </c>
      <c r="Q1535" s="46" t="s">
        <v>97</v>
      </c>
      <c r="R1535" s="46">
        <f>HEX2DEC(RIGHT(Table13232127[[#This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6" t="s">
        <v>97</v>
      </c>
      <c r="P1536" s="46">
        <f>HEX2DEC(RIGHT(Table13232127[[#This Row],[h1]],8))</f>
        <v>0</v>
      </c>
      <c r="Q1536" s="46" t="s">
        <v>97</v>
      </c>
      <c r="R1536" s="46">
        <f>HEX2DEC(RIGHT(Table13232127[[#This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6" t="s">
        <v>97</v>
      </c>
      <c r="P1537" s="46">
        <f>HEX2DEC(RIGHT(Table13232127[[#This Row],[h1]],8))</f>
        <v>0</v>
      </c>
      <c r="Q1537" s="46" t="s">
        <v>97</v>
      </c>
      <c r="R1537" s="46">
        <f>HEX2DEC(RIGHT(Table13232127[[#This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6" t="s">
        <v>97</v>
      </c>
      <c r="P1538" s="46">
        <f>HEX2DEC(RIGHT(Table13232127[[#This Row],[h1]],8))</f>
        <v>0</v>
      </c>
      <c r="Q1538" s="46" t="s">
        <v>97</v>
      </c>
      <c r="R1538" s="46">
        <f>HEX2DEC(RIGHT(Table13232127[[#This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6" t="s">
        <v>97</v>
      </c>
      <c r="P1539" s="46">
        <f>HEX2DEC(RIGHT(Table13232127[[#This Row],[h1]],8))</f>
        <v>0</v>
      </c>
      <c r="Q1539" s="46" t="s">
        <v>97</v>
      </c>
      <c r="R1539" s="46">
        <f>HEX2DEC(RIGHT(Table13232127[[#This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6" t="s">
        <v>97</v>
      </c>
      <c r="P1540" s="46">
        <f>HEX2DEC(RIGHT(Table13232127[[#This Row],[h1]],8))</f>
        <v>0</v>
      </c>
      <c r="Q1540" s="46" t="s">
        <v>97</v>
      </c>
      <c r="R1540" s="46">
        <f>HEX2DEC(RIGHT(Table13232127[[#This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6" t="s">
        <v>97</v>
      </c>
      <c r="P1541" s="46">
        <f>HEX2DEC(RIGHT(Table13232127[[#This Row],[h1]],8))</f>
        <v>0</v>
      </c>
      <c r="Q1541" s="46" t="s">
        <v>97</v>
      </c>
      <c r="R1541" s="46">
        <f>HEX2DEC(RIGHT(Table13232127[[#This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6" t="s">
        <v>97</v>
      </c>
      <c r="P1542" s="46">
        <f>HEX2DEC(RIGHT(Table13232127[[#This Row],[h1]],8))</f>
        <v>0</v>
      </c>
      <c r="Q1542" s="46" t="s">
        <v>97</v>
      </c>
      <c r="R1542" s="46">
        <f>HEX2DEC(RIGHT(Table13232127[[#This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6" t="s">
        <v>97</v>
      </c>
      <c r="P1543" s="46">
        <f>HEX2DEC(RIGHT(Table13232127[[#This Row],[h1]],8))</f>
        <v>0</v>
      </c>
      <c r="Q1543" s="46" t="s">
        <v>97</v>
      </c>
      <c r="R1543" s="46">
        <f>HEX2DEC(RIGHT(Table13232127[[#This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6" t="s">
        <v>97</v>
      </c>
      <c r="P1544" s="46">
        <f>HEX2DEC(RIGHT(Table13232127[[#This Row],[h1]],8))</f>
        <v>0</v>
      </c>
      <c r="Q1544" s="46" t="s">
        <v>97</v>
      </c>
      <c r="R1544" s="46">
        <f>HEX2DEC(RIGHT(Table13232127[[#This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6" t="s">
        <v>97</v>
      </c>
      <c r="P1545" s="46">
        <f>HEX2DEC(RIGHT(Table13232127[[#This Row],[h1]],8))</f>
        <v>0</v>
      </c>
      <c r="Q1545" s="46" t="s">
        <v>97</v>
      </c>
      <c r="R1545" s="46">
        <f>HEX2DEC(RIGHT(Table13232127[[#This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6" t="s">
        <v>97</v>
      </c>
      <c r="P1546" s="46">
        <f>HEX2DEC(RIGHT(Table13232127[[#This Row],[h1]],8))</f>
        <v>0</v>
      </c>
      <c r="Q1546" s="46" t="s">
        <v>97</v>
      </c>
      <c r="R1546" s="46">
        <f>HEX2DEC(RIGHT(Table13232127[[#This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6" t="s">
        <v>97</v>
      </c>
      <c r="P1547" s="46">
        <f>HEX2DEC(RIGHT(Table13232127[[#This Row],[h1]],8))</f>
        <v>0</v>
      </c>
      <c r="Q1547" s="46" t="s">
        <v>97</v>
      </c>
      <c r="R1547" s="46">
        <f>HEX2DEC(RIGHT(Table13232127[[#This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6" t="s">
        <v>97</v>
      </c>
      <c r="P1548" s="46">
        <f>HEX2DEC(RIGHT(Table13232127[[#This Row],[h1]],8))</f>
        <v>0</v>
      </c>
      <c r="Q1548" s="46" t="s">
        <v>97</v>
      </c>
      <c r="R1548" s="46">
        <f>HEX2DEC(RIGHT(Table13232127[[#This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6" t="s">
        <v>97</v>
      </c>
      <c r="P1549" s="46">
        <f>HEX2DEC(RIGHT(Table13232127[[#This Row],[h1]],8))</f>
        <v>0</v>
      </c>
      <c r="Q1549" s="46" t="s">
        <v>97</v>
      </c>
      <c r="R1549" s="46">
        <f>HEX2DEC(RIGHT(Table13232127[[#This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6" t="s">
        <v>97</v>
      </c>
      <c r="P1550" s="46">
        <f>HEX2DEC(RIGHT(Table13232127[[#This Row],[h1]],8))</f>
        <v>0</v>
      </c>
      <c r="Q1550" s="46" t="s">
        <v>97</v>
      </c>
      <c r="R1550" s="46">
        <f>HEX2DEC(RIGHT(Table13232127[[#This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6" t="s">
        <v>97</v>
      </c>
      <c r="P1551" s="46">
        <f>HEX2DEC(RIGHT(Table13232127[[#This Row],[h1]],8))</f>
        <v>0</v>
      </c>
      <c r="Q1551" s="46" t="s">
        <v>97</v>
      </c>
      <c r="R1551" s="46">
        <f>HEX2DEC(RIGHT(Table13232127[[#This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6" t="s">
        <v>97</v>
      </c>
      <c r="P1552" s="46">
        <f>HEX2DEC(RIGHT(Table13232127[[#This Row],[h1]],8))</f>
        <v>0</v>
      </c>
      <c r="Q1552" s="46" t="s">
        <v>97</v>
      </c>
      <c r="R1552" s="46">
        <f>HEX2DEC(RIGHT(Table13232127[[#This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6" t="s">
        <v>97</v>
      </c>
      <c r="P1553" s="46">
        <f>HEX2DEC(RIGHT(Table13232127[[#This Row],[h1]],8))</f>
        <v>0</v>
      </c>
      <c r="Q1553" s="46" t="s">
        <v>97</v>
      </c>
      <c r="R1553" s="46">
        <f>HEX2DEC(RIGHT(Table13232127[[#This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6" t="s">
        <v>97</v>
      </c>
      <c r="P1554" s="46">
        <f>HEX2DEC(RIGHT(Table13232127[[#This Row],[h1]],8))</f>
        <v>0</v>
      </c>
      <c r="Q1554" s="46" t="s">
        <v>97</v>
      </c>
      <c r="R1554" s="46">
        <f>HEX2DEC(RIGHT(Table13232127[[#This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6" t="s">
        <v>97</v>
      </c>
      <c r="P1555" s="46">
        <f>HEX2DEC(RIGHT(Table13232127[[#This Row],[h1]],8))</f>
        <v>0</v>
      </c>
      <c r="Q1555" s="46" t="s">
        <v>97</v>
      </c>
      <c r="R1555" s="46">
        <f>HEX2DEC(RIGHT(Table13232127[[#This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6" t="s">
        <v>97</v>
      </c>
      <c r="P1556" s="46">
        <f>HEX2DEC(RIGHT(Table13232127[[#This Row],[h1]],8))</f>
        <v>0</v>
      </c>
      <c r="Q1556" s="46" t="s">
        <v>97</v>
      </c>
      <c r="R1556" s="46">
        <f>HEX2DEC(RIGHT(Table13232127[[#This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6" t="s">
        <v>97</v>
      </c>
      <c r="P1557" s="46">
        <f>HEX2DEC(RIGHT(Table13232127[[#This Row],[h1]],8))</f>
        <v>0</v>
      </c>
      <c r="Q1557" s="46" t="s">
        <v>97</v>
      </c>
      <c r="R1557" s="46">
        <f>HEX2DEC(RIGHT(Table13232127[[#This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6" t="s">
        <v>97</v>
      </c>
      <c r="P1558" s="46">
        <f>HEX2DEC(RIGHT(Table13232127[[#This Row],[h1]],8))</f>
        <v>0</v>
      </c>
      <c r="Q1558" s="46" t="s">
        <v>97</v>
      </c>
      <c r="R1558" s="46">
        <f>HEX2DEC(RIGHT(Table13232127[[#This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6" t="s">
        <v>97</v>
      </c>
      <c r="P1559" s="46">
        <f>HEX2DEC(RIGHT(Table13232127[[#This Row],[h1]],8))</f>
        <v>0</v>
      </c>
      <c r="Q1559" s="46" t="s">
        <v>97</v>
      </c>
      <c r="R1559" s="46">
        <f>HEX2DEC(RIGHT(Table13232127[[#This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6" t="s">
        <v>97</v>
      </c>
      <c r="P1560" s="46">
        <f>HEX2DEC(RIGHT(Table13232127[[#This Row],[h1]],8))</f>
        <v>0</v>
      </c>
      <c r="Q1560" s="46" t="s">
        <v>97</v>
      </c>
      <c r="R1560" s="46">
        <f>HEX2DEC(RIGHT(Table13232127[[#This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6" t="s">
        <v>97</v>
      </c>
      <c r="P1561" s="46">
        <f>HEX2DEC(RIGHT(Table13232127[[#This Row],[h1]],8))</f>
        <v>0</v>
      </c>
      <c r="Q1561" s="46" t="s">
        <v>97</v>
      </c>
      <c r="R1561" s="46">
        <f>HEX2DEC(RIGHT(Table13232127[[#This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6" t="s">
        <v>97</v>
      </c>
      <c r="P1562" s="46">
        <f>HEX2DEC(RIGHT(Table13232127[[#This Row],[h1]],8))</f>
        <v>0</v>
      </c>
      <c r="Q1562" s="46" t="s">
        <v>97</v>
      </c>
      <c r="R1562" s="46">
        <f>HEX2DEC(RIGHT(Table13232127[[#This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6" t="s">
        <v>97</v>
      </c>
      <c r="P1563" s="46">
        <f>HEX2DEC(RIGHT(Table13232127[[#This Row],[h1]],8))</f>
        <v>0</v>
      </c>
      <c r="Q1563" s="46" t="s">
        <v>97</v>
      </c>
      <c r="R1563" s="46">
        <f>HEX2DEC(RIGHT(Table13232127[[#This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6" t="s">
        <v>97</v>
      </c>
      <c r="P1564" s="46">
        <f>HEX2DEC(RIGHT(Table13232127[[#This Row],[h1]],8))</f>
        <v>0</v>
      </c>
      <c r="Q1564" s="46" t="s">
        <v>97</v>
      </c>
      <c r="R1564" s="46">
        <f>HEX2DEC(RIGHT(Table13232127[[#This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6" t="s">
        <v>97</v>
      </c>
      <c r="P1565" s="46">
        <f>HEX2DEC(RIGHT(Table13232127[[#This Row],[h1]],8))</f>
        <v>0</v>
      </c>
      <c r="Q1565" s="46" t="s">
        <v>97</v>
      </c>
      <c r="R1565" s="46">
        <f>HEX2DEC(RIGHT(Table13232127[[#This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6" t="s">
        <v>97</v>
      </c>
      <c r="P1566" s="46">
        <f>HEX2DEC(RIGHT(Table13232127[[#This Row],[h1]],8))</f>
        <v>0</v>
      </c>
      <c r="Q1566" s="46" t="s">
        <v>97</v>
      </c>
      <c r="R1566" s="46">
        <f>HEX2DEC(RIGHT(Table13232127[[#This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6" t="s">
        <v>97</v>
      </c>
      <c r="P1567" s="46">
        <f>HEX2DEC(RIGHT(Table13232127[[#This Row],[h1]],8))</f>
        <v>0</v>
      </c>
      <c r="Q1567" s="46" t="s">
        <v>97</v>
      </c>
      <c r="R1567" s="46">
        <f>HEX2DEC(RIGHT(Table13232127[[#This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6" t="s">
        <v>97</v>
      </c>
      <c r="P1568" s="46">
        <f>HEX2DEC(RIGHT(Table13232127[[#This Row],[h1]],8))</f>
        <v>0</v>
      </c>
      <c r="Q1568" s="46" t="s">
        <v>97</v>
      </c>
      <c r="R1568" s="46">
        <f>HEX2DEC(RIGHT(Table13232127[[#This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6" t="s">
        <v>97</v>
      </c>
      <c r="P1569" s="46">
        <f>HEX2DEC(RIGHT(Table13232127[[#This Row],[h1]],8))</f>
        <v>0</v>
      </c>
      <c r="Q1569" s="46" t="s">
        <v>97</v>
      </c>
      <c r="R1569" s="46">
        <f>HEX2DEC(RIGHT(Table13232127[[#This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6" t="s">
        <v>97</v>
      </c>
      <c r="P1570" s="46">
        <f>HEX2DEC(RIGHT(Table13232127[[#This Row],[h1]],8))</f>
        <v>0</v>
      </c>
      <c r="Q1570" s="46" t="s">
        <v>97</v>
      </c>
      <c r="R1570" s="46">
        <f>HEX2DEC(RIGHT(Table13232127[[#This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6" t="s">
        <v>97</v>
      </c>
      <c r="P1571" s="46">
        <f>HEX2DEC(RIGHT(Table13232127[[#This Row],[h1]],8))</f>
        <v>0</v>
      </c>
      <c r="Q1571" s="46" t="s">
        <v>97</v>
      </c>
      <c r="R1571" s="46">
        <f>HEX2DEC(RIGHT(Table13232127[[#This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6" t="s">
        <v>97</v>
      </c>
      <c r="P1572" s="46">
        <f>HEX2DEC(RIGHT(Table13232127[[#This Row],[h1]],8))</f>
        <v>0</v>
      </c>
      <c r="Q1572" s="46" t="s">
        <v>97</v>
      </c>
      <c r="R1572" s="46">
        <f>HEX2DEC(RIGHT(Table13232127[[#This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6" t="s">
        <v>97</v>
      </c>
      <c r="P1573" s="46">
        <f>HEX2DEC(RIGHT(Table13232127[[#This Row],[h1]],8))</f>
        <v>0</v>
      </c>
      <c r="Q1573" s="46" t="s">
        <v>97</v>
      </c>
      <c r="R1573" s="46">
        <f>HEX2DEC(RIGHT(Table13232127[[#This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6" t="s">
        <v>97</v>
      </c>
      <c r="P1574" s="46">
        <f>HEX2DEC(RIGHT(Table13232127[[#This Row],[h1]],8))</f>
        <v>0</v>
      </c>
      <c r="Q1574" s="46" t="s">
        <v>97</v>
      </c>
      <c r="R1574" s="46">
        <f>HEX2DEC(RIGHT(Table13232127[[#This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6" t="s">
        <v>97</v>
      </c>
      <c r="P1575" s="46">
        <f>HEX2DEC(RIGHT(Table13232127[[#This Row],[h1]],8))</f>
        <v>0</v>
      </c>
      <c r="Q1575" s="46" t="s">
        <v>97</v>
      </c>
      <c r="R1575" s="46">
        <f>HEX2DEC(RIGHT(Table13232127[[#This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6" t="s">
        <v>97</v>
      </c>
      <c r="P1576" s="46">
        <f>HEX2DEC(RIGHT(Table13232127[[#This Row],[h1]],8))</f>
        <v>0</v>
      </c>
      <c r="Q1576" s="46" t="s">
        <v>97</v>
      </c>
      <c r="R1576" s="46">
        <f>HEX2DEC(RIGHT(Table13232127[[#This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6" t="s">
        <v>97</v>
      </c>
      <c r="P1577" s="46">
        <f>HEX2DEC(RIGHT(Table13232127[[#This Row],[h1]],8))</f>
        <v>0</v>
      </c>
      <c r="Q1577" s="46" t="s">
        <v>97</v>
      </c>
      <c r="R1577" s="46">
        <f>HEX2DEC(RIGHT(Table13232127[[#This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6" t="s">
        <v>97</v>
      </c>
      <c r="P1578" s="46">
        <f>HEX2DEC(RIGHT(Table13232127[[#This Row],[h1]],8))</f>
        <v>0</v>
      </c>
      <c r="Q1578" s="46" t="s">
        <v>97</v>
      </c>
      <c r="R1578" s="46">
        <f>HEX2DEC(RIGHT(Table13232127[[#This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6" t="s">
        <v>97</v>
      </c>
      <c r="P1579" s="46">
        <f>HEX2DEC(RIGHT(Table13232127[[#This Row],[h1]],8))</f>
        <v>0</v>
      </c>
      <c r="Q1579" s="46" t="s">
        <v>97</v>
      </c>
      <c r="R1579" s="46">
        <f>HEX2DEC(RIGHT(Table13232127[[#This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6" t="s">
        <v>97</v>
      </c>
      <c r="P1580" s="46">
        <f>HEX2DEC(RIGHT(Table13232127[[#This Row],[h1]],8))</f>
        <v>0</v>
      </c>
      <c r="Q1580" s="46" t="s">
        <v>97</v>
      </c>
      <c r="R1580" s="46">
        <f>HEX2DEC(RIGHT(Table13232127[[#This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6" t="s">
        <v>97</v>
      </c>
      <c r="P1581" s="46">
        <f>HEX2DEC(RIGHT(Table13232127[[#This Row],[h1]],8))</f>
        <v>0</v>
      </c>
      <c r="Q1581" s="46" t="s">
        <v>97</v>
      </c>
      <c r="R1581" s="46">
        <f>HEX2DEC(RIGHT(Table13232127[[#This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6" t="s">
        <v>97</v>
      </c>
      <c r="P1582" s="46">
        <f>HEX2DEC(RIGHT(Table13232127[[#This Row],[h1]],8))</f>
        <v>0</v>
      </c>
      <c r="Q1582" s="46" t="s">
        <v>97</v>
      </c>
      <c r="R1582" s="46">
        <f>HEX2DEC(RIGHT(Table13232127[[#This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6" t="s">
        <v>97</v>
      </c>
      <c r="P1583" s="46">
        <f>HEX2DEC(RIGHT(Table13232127[[#This Row],[h1]],8))</f>
        <v>0</v>
      </c>
      <c r="Q1583" s="46" t="s">
        <v>97</v>
      </c>
      <c r="R1583" s="46">
        <f>HEX2DEC(RIGHT(Table13232127[[#This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6" t="s">
        <v>97</v>
      </c>
      <c r="P1584" s="46">
        <f>HEX2DEC(RIGHT(Table13232127[[#This Row],[h1]],8))</f>
        <v>0</v>
      </c>
      <c r="Q1584" s="46" t="s">
        <v>97</v>
      </c>
      <c r="R1584" s="46">
        <f>HEX2DEC(RIGHT(Table13232127[[#This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6" t="s">
        <v>97</v>
      </c>
      <c r="P1585" s="46">
        <f>HEX2DEC(RIGHT(Table13232127[[#This Row],[h1]],8))</f>
        <v>0</v>
      </c>
      <c r="Q1585" s="46" t="s">
        <v>97</v>
      </c>
      <c r="R1585" s="46">
        <f>HEX2DEC(RIGHT(Table13232127[[#This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6" t="s">
        <v>97</v>
      </c>
      <c r="P1586" s="46">
        <f>HEX2DEC(RIGHT(Table13232127[[#This Row],[h1]],8))</f>
        <v>0</v>
      </c>
      <c r="Q1586" s="46" t="s">
        <v>97</v>
      </c>
      <c r="R1586" s="46">
        <f>HEX2DEC(RIGHT(Table13232127[[#This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6" t="s">
        <v>97</v>
      </c>
      <c r="P1587" s="46">
        <f>HEX2DEC(RIGHT(Table13232127[[#This Row],[h1]],8))</f>
        <v>0</v>
      </c>
      <c r="Q1587" s="46" t="s">
        <v>97</v>
      </c>
      <c r="R1587" s="46">
        <f>HEX2DEC(RIGHT(Table13232127[[#This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6" t="s">
        <v>97</v>
      </c>
      <c r="P1588" s="46">
        <f>HEX2DEC(RIGHT(Table13232127[[#This Row],[h1]],8))</f>
        <v>0</v>
      </c>
      <c r="Q1588" s="46" t="s">
        <v>97</v>
      </c>
      <c r="R1588" s="46">
        <f>HEX2DEC(RIGHT(Table13232127[[#This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6" t="s">
        <v>97</v>
      </c>
      <c r="P1589" s="46">
        <f>HEX2DEC(RIGHT(Table13232127[[#This Row],[h1]],8))</f>
        <v>0</v>
      </c>
      <c r="Q1589" s="46" t="s">
        <v>97</v>
      </c>
      <c r="R1589" s="46">
        <f>HEX2DEC(RIGHT(Table13232127[[#This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6" t="s">
        <v>97</v>
      </c>
      <c r="P1590" s="46">
        <f>HEX2DEC(RIGHT(Table13232127[[#This Row],[h1]],8))</f>
        <v>0</v>
      </c>
      <c r="Q1590" s="46" t="s">
        <v>97</v>
      </c>
      <c r="R1590" s="46">
        <f>HEX2DEC(RIGHT(Table13232127[[#This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6" t="s">
        <v>97</v>
      </c>
      <c r="P1591" s="46">
        <f>HEX2DEC(RIGHT(Table13232127[[#This Row],[h1]],8))</f>
        <v>0</v>
      </c>
      <c r="Q1591" s="46" t="s">
        <v>97</v>
      </c>
      <c r="R1591" s="46">
        <f>HEX2DEC(RIGHT(Table13232127[[#This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6" t="s">
        <v>97</v>
      </c>
      <c r="P1592" s="46">
        <f>HEX2DEC(RIGHT(Table13232127[[#This Row],[h1]],8))</f>
        <v>0</v>
      </c>
      <c r="Q1592" s="46" t="s">
        <v>97</v>
      </c>
      <c r="R1592" s="46">
        <f>HEX2DEC(RIGHT(Table13232127[[#This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6" t="s">
        <v>97</v>
      </c>
      <c r="P1593" s="46">
        <f>HEX2DEC(RIGHT(Table13232127[[#This Row],[h1]],8))</f>
        <v>0</v>
      </c>
      <c r="Q1593" s="46" t="s">
        <v>97</v>
      </c>
      <c r="R1593" s="46">
        <f>HEX2DEC(RIGHT(Table13232127[[#This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6" t="s">
        <v>97</v>
      </c>
      <c r="P1594" s="46">
        <f>HEX2DEC(RIGHT(Table13232127[[#This Row],[h1]],8))</f>
        <v>0</v>
      </c>
      <c r="Q1594" s="46" t="s">
        <v>97</v>
      </c>
      <c r="R1594" s="46">
        <f>HEX2DEC(RIGHT(Table13232127[[#This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6" t="s">
        <v>97</v>
      </c>
      <c r="P1595" s="46">
        <f>HEX2DEC(RIGHT(Table13232127[[#This Row],[h1]],8))</f>
        <v>0</v>
      </c>
      <c r="Q1595" s="46" t="s">
        <v>97</v>
      </c>
      <c r="R1595" s="46">
        <f>HEX2DEC(RIGHT(Table13232127[[#This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6" t="s">
        <v>97</v>
      </c>
      <c r="P1596" s="46">
        <f>HEX2DEC(RIGHT(Table13232127[[#This Row],[h1]],8))</f>
        <v>0</v>
      </c>
      <c r="Q1596" s="46" t="s">
        <v>97</v>
      </c>
      <c r="R1596" s="46">
        <f>HEX2DEC(RIGHT(Table13232127[[#This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6" t="s">
        <v>97</v>
      </c>
      <c r="P1597" s="46">
        <f>HEX2DEC(RIGHT(Table13232127[[#This Row],[h1]],8))</f>
        <v>0</v>
      </c>
      <c r="Q1597" s="46" t="s">
        <v>97</v>
      </c>
      <c r="R1597" s="46">
        <f>HEX2DEC(RIGHT(Table13232127[[#This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6" t="s">
        <v>97</v>
      </c>
      <c r="P1598" s="46">
        <f>HEX2DEC(RIGHT(Table13232127[[#This Row],[h1]],8))</f>
        <v>0</v>
      </c>
      <c r="Q1598" s="46" t="s">
        <v>97</v>
      </c>
      <c r="R1598" s="46">
        <f>HEX2DEC(RIGHT(Table13232127[[#This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6" t="s">
        <v>97</v>
      </c>
      <c r="P1599" s="46">
        <f>HEX2DEC(RIGHT(Table13232127[[#This Row],[h1]],8))</f>
        <v>0</v>
      </c>
      <c r="Q1599" s="46" t="s">
        <v>97</v>
      </c>
      <c r="R1599" s="46">
        <f>HEX2DEC(RIGHT(Table13232127[[#This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6" t="s">
        <v>97</v>
      </c>
      <c r="P1600" s="46">
        <f>HEX2DEC(RIGHT(Table13232127[[#This Row],[h1]],8))</f>
        <v>0</v>
      </c>
      <c r="Q1600" s="46" t="s">
        <v>97</v>
      </c>
      <c r="R1600" s="46">
        <f>HEX2DEC(RIGHT(Table13232127[[#This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6" t="s">
        <v>97</v>
      </c>
      <c r="P1601" s="46">
        <f>HEX2DEC(RIGHT(Table13232127[[#This Row],[h1]],8))</f>
        <v>0</v>
      </c>
      <c r="Q1601" s="46" t="s">
        <v>97</v>
      </c>
      <c r="R1601" s="46">
        <f>HEX2DEC(RIGHT(Table13232127[[#This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6" t="s">
        <v>97</v>
      </c>
      <c r="P1602" s="46">
        <f>HEX2DEC(RIGHT(Table13232127[[#This Row],[h1]],8))</f>
        <v>0</v>
      </c>
      <c r="Q1602" s="46" t="s">
        <v>97</v>
      </c>
      <c r="R1602" s="46">
        <f>HEX2DEC(RIGHT(Table13232127[[#This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6" t="s">
        <v>97</v>
      </c>
      <c r="P1603" s="46">
        <f>HEX2DEC(RIGHT(Table13232127[[#This Row],[h1]],8))</f>
        <v>0</v>
      </c>
      <c r="Q1603" s="46" t="s">
        <v>97</v>
      </c>
      <c r="R1603" s="46">
        <f>HEX2DEC(RIGHT(Table13232127[[#This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6" t="s">
        <v>97</v>
      </c>
      <c r="P1604" s="46">
        <f>HEX2DEC(RIGHT(Table13232127[[#This Row],[h1]],8))</f>
        <v>0</v>
      </c>
      <c r="Q1604" s="46" t="s">
        <v>97</v>
      </c>
      <c r="R1604" s="46">
        <f>HEX2DEC(RIGHT(Table13232127[[#This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6" t="s">
        <v>97</v>
      </c>
      <c r="P1605" s="46">
        <f>HEX2DEC(RIGHT(Table13232127[[#This Row],[h1]],8))</f>
        <v>0</v>
      </c>
      <c r="Q1605" s="46" t="s">
        <v>97</v>
      </c>
      <c r="R1605" s="46">
        <f>HEX2DEC(RIGHT(Table13232127[[#This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6" t="s">
        <v>97</v>
      </c>
      <c r="P1606" s="46">
        <f>HEX2DEC(RIGHT(Table13232127[[#This Row],[h1]],8))</f>
        <v>0</v>
      </c>
      <c r="Q1606" s="46" t="s">
        <v>97</v>
      </c>
      <c r="R1606" s="46">
        <f>HEX2DEC(RIGHT(Table13232127[[#This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6" t="s">
        <v>97</v>
      </c>
      <c r="P1607" s="46">
        <f>HEX2DEC(RIGHT(Table13232127[[#This Row],[h1]],8))</f>
        <v>0</v>
      </c>
      <c r="Q1607" s="46" t="s">
        <v>97</v>
      </c>
      <c r="R1607" s="46">
        <f>HEX2DEC(RIGHT(Table13232127[[#This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6" t="s">
        <v>97</v>
      </c>
      <c r="P1608" s="46">
        <f>HEX2DEC(RIGHT(Table13232127[[#This Row],[h1]],8))</f>
        <v>0</v>
      </c>
      <c r="Q1608" s="46" t="s">
        <v>97</v>
      </c>
      <c r="R1608" s="46">
        <f>HEX2DEC(RIGHT(Table13232127[[#This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6" t="s">
        <v>97</v>
      </c>
      <c r="P1609" s="46">
        <f>HEX2DEC(RIGHT(Table13232127[[#This Row],[h1]],8))</f>
        <v>0</v>
      </c>
      <c r="Q1609" s="46" t="s">
        <v>97</v>
      </c>
      <c r="R1609" s="46">
        <f>HEX2DEC(RIGHT(Table13232127[[#This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6" t="s">
        <v>97</v>
      </c>
      <c r="P1610" s="46">
        <f>HEX2DEC(RIGHT(Table13232127[[#This Row],[h1]],8))</f>
        <v>0</v>
      </c>
      <c r="Q1610" s="46" t="s">
        <v>97</v>
      </c>
      <c r="R1610" s="46">
        <f>HEX2DEC(RIGHT(Table13232127[[#This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6" t="s">
        <v>97</v>
      </c>
      <c r="P1611" s="46">
        <f>HEX2DEC(RIGHT(Table13232127[[#This Row],[h1]],8))</f>
        <v>0</v>
      </c>
      <c r="Q1611" s="46" t="s">
        <v>97</v>
      </c>
      <c r="R1611" s="46">
        <f>HEX2DEC(RIGHT(Table13232127[[#This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6" t="s">
        <v>97</v>
      </c>
      <c r="P1612" s="46">
        <f>HEX2DEC(RIGHT(Table13232127[[#This Row],[h1]],8))</f>
        <v>0</v>
      </c>
      <c r="Q1612" s="46" t="s">
        <v>97</v>
      </c>
      <c r="R1612" s="46">
        <f>HEX2DEC(RIGHT(Table13232127[[#This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6" t="s">
        <v>97</v>
      </c>
      <c r="P1613" s="46">
        <f>HEX2DEC(RIGHT(Table13232127[[#This Row],[h1]],8))</f>
        <v>0</v>
      </c>
      <c r="Q1613" s="46" t="s">
        <v>97</v>
      </c>
      <c r="R1613" s="46">
        <f>HEX2DEC(RIGHT(Table13232127[[#This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6" t="s">
        <v>97</v>
      </c>
      <c r="P1614" s="46">
        <f>HEX2DEC(RIGHT(Table13232127[[#This Row],[h1]],8))</f>
        <v>0</v>
      </c>
      <c r="Q1614" s="46" t="s">
        <v>97</v>
      </c>
      <c r="R1614" s="46">
        <f>HEX2DEC(RIGHT(Table13232127[[#This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6" t="s">
        <v>97</v>
      </c>
      <c r="P1615" s="46">
        <f>HEX2DEC(RIGHT(Table13232127[[#This Row],[h1]],8))</f>
        <v>0</v>
      </c>
      <c r="Q1615" s="46" t="s">
        <v>97</v>
      </c>
      <c r="R1615" s="46">
        <f>HEX2DEC(RIGHT(Table13232127[[#This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6" t="s">
        <v>97</v>
      </c>
      <c r="P1616" s="46">
        <f>HEX2DEC(RIGHT(Table13232127[[#This Row],[h1]],8))</f>
        <v>0</v>
      </c>
      <c r="Q1616" s="46" t="s">
        <v>97</v>
      </c>
      <c r="R1616" s="46">
        <f>HEX2DEC(RIGHT(Table13232127[[#This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6" t="s">
        <v>97</v>
      </c>
      <c r="P1617" s="46">
        <f>HEX2DEC(RIGHT(Table13232127[[#This Row],[h1]],8))</f>
        <v>0</v>
      </c>
      <c r="Q1617" s="46" t="s">
        <v>97</v>
      </c>
      <c r="R1617" s="46">
        <f>HEX2DEC(RIGHT(Table13232127[[#This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6" t="s">
        <v>97</v>
      </c>
      <c r="P1618" s="46">
        <f>HEX2DEC(RIGHT(Table13232127[[#This Row],[h1]],8))</f>
        <v>0</v>
      </c>
      <c r="Q1618" s="46" t="s">
        <v>97</v>
      </c>
      <c r="R1618" s="46">
        <f>HEX2DEC(RIGHT(Table13232127[[#This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6" t="s">
        <v>97</v>
      </c>
      <c r="P1619" s="46">
        <f>HEX2DEC(RIGHT(Table13232127[[#This Row],[h1]],8))</f>
        <v>0</v>
      </c>
      <c r="Q1619" s="46" t="s">
        <v>97</v>
      </c>
      <c r="R1619" s="46">
        <f>HEX2DEC(RIGHT(Table13232127[[#This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6" t="s">
        <v>97</v>
      </c>
      <c r="P1620" s="46">
        <f>HEX2DEC(RIGHT(Table13232127[[#This Row],[h1]],8))</f>
        <v>0</v>
      </c>
      <c r="Q1620" s="46" t="s">
        <v>97</v>
      </c>
      <c r="R1620" s="46">
        <f>HEX2DEC(RIGHT(Table13232127[[#This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6" t="s">
        <v>97</v>
      </c>
      <c r="P1621" s="46">
        <f>HEX2DEC(RIGHT(Table13232127[[#This Row],[h1]],8))</f>
        <v>0</v>
      </c>
      <c r="Q1621" s="46" t="s">
        <v>97</v>
      </c>
      <c r="R1621" s="46">
        <f>HEX2DEC(RIGHT(Table13232127[[#This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6" t="s">
        <v>97</v>
      </c>
      <c r="P1622" s="46">
        <f>HEX2DEC(RIGHT(Table13232127[[#This Row],[h1]],8))</f>
        <v>0</v>
      </c>
      <c r="Q1622" s="46" t="s">
        <v>97</v>
      </c>
      <c r="R1622" s="46">
        <f>HEX2DEC(RIGHT(Table13232127[[#This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6" t="s">
        <v>97</v>
      </c>
      <c r="P1623" s="46">
        <f>HEX2DEC(RIGHT(Table13232127[[#This Row],[h1]],8))</f>
        <v>0</v>
      </c>
      <c r="Q1623" s="46" t="s">
        <v>97</v>
      </c>
      <c r="R1623" s="46">
        <f>HEX2DEC(RIGHT(Table13232127[[#This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6" t="s">
        <v>97</v>
      </c>
      <c r="P1624" s="46">
        <f>HEX2DEC(RIGHT(Table13232127[[#This Row],[h1]],8))</f>
        <v>0</v>
      </c>
      <c r="Q1624" s="46" t="s">
        <v>97</v>
      </c>
      <c r="R1624" s="46">
        <f>HEX2DEC(RIGHT(Table13232127[[#This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6" t="s">
        <v>97</v>
      </c>
      <c r="P1625" s="46">
        <f>HEX2DEC(RIGHT(Table13232127[[#This Row],[h1]],8))</f>
        <v>0</v>
      </c>
      <c r="Q1625" s="46" t="s">
        <v>97</v>
      </c>
      <c r="R1625" s="46">
        <f>HEX2DEC(RIGHT(Table13232127[[#This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6" t="s">
        <v>97</v>
      </c>
      <c r="P1626" s="46">
        <f>HEX2DEC(RIGHT(Table13232127[[#This Row],[h1]],8))</f>
        <v>0</v>
      </c>
      <c r="Q1626" s="46" t="s">
        <v>97</v>
      </c>
      <c r="R1626" s="46">
        <f>HEX2DEC(RIGHT(Table13232127[[#This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6" t="s">
        <v>97</v>
      </c>
      <c r="P1627" s="46">
        <f>HEX2DEC(RIGHT(Table13232127[[#This Row],[h1]],8))</f>
        <v>0</v>
      </c>
      <c r="Q1627" s="46" t="s">
        <v>97</v>
      </c>
      <c r="R1627" s="46">
        <f>HEX2DEC(RIGHT(Table13232127[[#This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6" t="s">
        <v>97</v>
      </c>
      <c r="P1628" s="46">
        <f>HEX2DEC(RIGHT(Table13232127[[#This Row],[h1]],8))</f>
        <v>0</v>
      </c>
      <c r="Q1628" s="46" t="s">
        <v>97</v>
      </c>
      <c r="R1628" s="46">
        <f>HEX2DEC(RIGHT(Table13232127[[#This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6" t="s">
        <v>97</v>
      </c>
      <c r="P1629" s="46">
        <f>HEX2DEC(RIGHT(Table13232127[[#This Row],[h1]],8))</f>
        <v>0</v>
      </c>
      <c r="Q1629" s="46" t="s">
        <v>97</v>
      </c>
      <c r="R1629" s="46">
        <f>HEX2DEC(RIGHT(Table13232127[[#This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6" t="s">
        <v>97</v>
      </c>
      <c r="P1630" s="46">
        <f>HEX2DEC(RIGHT(Table13232127[[#This Row],[h1]],8))</f>
        <v>0</v>
      </c>
      <c r="Q1630" s="46" t="s">
        <v>97</v>
      </c>
      <c r="R1630" s="46">
        <f>HEX2DEC(RIGHT(Table13232127[[#This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6" t="s">
        <v>97</v>
      </c>
      <c r="P1631" s="46">
        <f>HEX2DEC(RIGHT(Table13232127[[#This Row],[h1]],8))</f>
        <v>0</v>
      </c>
      <c r="Q1631" s="46" t="s">
        <v>97</v>
      </c>
      <c r="R1631" s="46">
        <f>HEX2DEC(RIGHT(Table13232127[[#This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6" t="s">
        <v>97</v>
      </c>
      <c r="P1632" s="46">
        <f>HEX2DEC(RIGHT(Table13232127[[#This Row],[h1]],8))</f>
        <v>0</v>
      </c>
      <c r="Q1632" s="46" t="s">
        <v>97</v>
      </c>
      <c r="R1632" s="46">
        <f>HEX2DEC(RIGHT(Table13232127[[#This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6" t="s">
        <v>97</v>
      </c>
      <c r="P1633" s="46">
        <f>HEX2DEC(RIGHT(Table13232127[[#This Row],[h1]],8))</f>
        <v>0</v>
      </c>
      <c r="Q1633" s="46" t="s">
        <v>97</v>
      </c>
      <c r="R1633" s="46">
        <f>HEX2DEC(RIGHT(Table13232127[[#This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6" t="s">
        <v>97</v>
      </c>
      <c r="P1634" s="46">
        <f>HEX2DEC(RIGHT(Table13232127[[#This Row],[h1]],8))</f>
        <v>0</v>
      </c>
      <c r="Q1634" s="46" t="s">
        <v>97</v>
      </c>
      <c r="R1634" s="46">
        <f>HEX2DEC(RIGHT(Table13232127[[#This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6" t="s">
        <v>97</v>
      </c>
      <c r="P1635" s="46">
        <f>HEX2DEC(RIGHT(Table13232127[[#This Row],[h1]],8))</f>
        <v>0</v>
      </c>
      <c r="Q1635" s="46" t="s">
        <v>97</v>
      </c>
      <c r="R1635" s="46">
        <f>HEX2DEC(RIGHT(Table13232127[[#This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6" t="s">
        <v>97</v>
      </c>
      <c r="P1636" s="46">
        <f>HEX2DEC(RIGHT(Table13232127[[#This Row],[h1]],8))</f>
        <v>0</v>
      </c>
      <c r="Q1636" s="46" t="s">
        <v>97</v>
      </c>
      <c r="R1636" s="46">
        <f>HEX2DEC(RIGHT(Table13232127[[#This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6" t="s">
        <v>97</v>
      </c>
      <c r="P1637" s="46">
        <f>HEX2DEC(RIGHT(Table13232127[[#This Row],[h1]],8))</f>
        <v>0</v>
      </c>
      <c r="Q1637" s="46" t="s">
        <v>97</v>
      </c>
      <c r="R1637" s="46">
        <f>HEX2DEC(RIGHT(Table13232127[[#This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6" t="s">
        <v>97</v>
      </c>
      <c r="P1638" s="46">
        <f>HEX2DEC(RIGHT(Table13232127[[#This Row],[h1]],8))</f>
        <v>0</v>
      </c>
      <c r="Q1638" s="46" t="s">
        <v>97</v>
      </c>
      <c r="R1638" s="46">
        <f>HEX2DEC(RIGHT(Table13232127[[#This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6" t="s">
        <v>97</v>
      </c>
      <c r="P1639" s="46">
        <f>HEX2DEC(RIGHT(Table13232127[[#This Row],[h1]],8))</f>
        <v>0</v>
      </c>
      <c r="Q1639" s="46" t="s">
        <v>97</v>
      </c>
      <c r="R1639" s="46">
        <f>HEX2DEC(RIGHT(Table13232127[[#This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6" t="s">
        <v>97</v>
      </c>
      <c r="P1640" s="46">
        <f>HEX2DEC(RIGHT(Table13232127[[#This Row],[h1]],8))</f>
        <v>0</v>
      </c>
      <c r="Q1640" s="46" t="s">
        <v>97</v>
      </c>
      <c r="R1640" s="46">
        <f>HEX2DEC(RIGHT(Table13232127[[#This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6" t="s">
        <v>97</v>
      </c>
      <c r="P1641" s="46">
        <f>HEX2DEC(RIGHT(Table13232127[[#This Row],[h1]],8))</f>
        <v>0</v>
      </c>
      <c r="Q1641" s="46" t="s">
        <v>97</v>
      </c>
      <c r="R1641" s="46">
        <f>HEX2DEC(RIGHT(Table13232127[[#This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6" t="s">
        <v>97</v>
      </c>
      <c r="P1642" s="46">
        <f>HEX2DEC(RIGHT(Table13232127[[#This Row],[h1]],8))</f>
        <v>0</v>
      </c>
      <c r="Q1642" s="46" t="s">
        <v>97</v>
      </c>
      <c r="R1642" s="46">
        <f>HEX2DEC(RIGHT(Table13232127[[#This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6" t="s">
        <v>97</v>
      </c>
      <c r="P1643" s="46">
        <f>HEX2DEC(RIGHT(Table13232127[[#This Row],[h1]],8))</f>
        <v>0</v>
      </c>
      <c r="Q1643" s="46" t="s">
        <v>97</v>
      </c>
      <c r="R1643" s="46">
        <f>HEX2DEC(RIGHT(Table13232127[[#This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6" t="s">
        <v>97</v>
      </c>
      <c r="P1644" s="46">
        <f>HEX2DEC(RIGHT(Table13232127[[#This Row],[h1]],8))</f>
        <v>0</v>
      </c>
      <c r="Q1644" s="46" t="s">
        <v>97</v>
      </c>
      <c r="R1644" s="46">
        <f>HEX2DEC(RIGHT(Table13232127[[#This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6" t="s">
        <v>97</v>
      </c>
      <c r="P1645" s="46">
        <f>HEX2DEC(RIGHT(Table13232127[[#This Row],[h1]],8))</f>
        <v>0</v>
      </c>
      <c r="Q1645" s="46" t="s">
        <v>97</v>
      </c>
      <c r="R1645" s="46">
        <f>HEX2DEC(RIGHT(Table13232127[[#This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6" t="s">
        <v>97</v>
      </c>
      <c r="P1646" s="46">
        <f>HEX2DEC(RIGHT(Table13232127[[#This Row],[h1]],8))</f>
        <v>0</v>
      </c>
      <c r="Q1646" s="46" t="s">
        <v>97</v>
      </c>
      <c r="R1646" s="46">
        <f>HEX2DEC(RIGHT(Table13232127[[#This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6" t="s">
        <v>97</v>
      </c>
      <c r="P1647" s="46">
        <f>HEX2DEC(RIGHT(Table13232127[[#This Row],[h1]],8))</f>
        <v>0</v>
      </c>
      <c r="Q1647" s="46" t="s">
        <v>97</v>
      </c>
      <c r="R1647" s="46">
        <f>HEX2DEC(RIGHT(Table13232127[[#This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6" t="s">
        <v>97</v>
      </c>
      <c r="P1648" s="46">
        <f>HEX2DEC(RIGHT(Table13232127[[#This Row],[h1]],8))</f>
        <v>0</v>
      </c>
      <c r="Q1648" s="46" t="s">
        <v>97</v>
      </c>
      <c r="R1648" s="46">
        <f>HEX2DEC(RIGHT(Table13232127[[#This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6" t="s">
        <v>97</v>
      </c>
      <c r="P1649" s="46">
        <f>HEX2DEC(RIGHT(Table13232127[[#This Row],[h1]],8))</f>
        <v>0</v>
      </c>
      <c r="Q1649" s="46" t="s">
        <v>97</v>
      </c>
      <c r="R1649" s="46">
        <f>HEX2DEC(RIGHT(Table13232127[[#This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6" t="s">
        <v>97</v>
      </c>
      <c r="P1650" s="46">
        <f>HEX2DEC(RIGHT(Table13232127[[#This Row],[h1]],8))</f>
        <v>0</v>
      </c>
      <c r="Q1650" s="46" t="s">
        <v>97</v>
      </c>
      <c r="R1650" s="46">
        <f>HEX2DEC(RIGHT(Table13232127[[#This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6" t="s">
        <v>97</v>
      </c>
      <c r="P1651" s="46">
        <f>HEX2DEC(RIGHT(Table13232127[[#This Row],[h1]],8))</f>
        <v>0</v>
      </c>
      <c r="Q1651" s="46" t="s">
        <v>97</v>
      </c>
      <c r="R1651" s="46">
        <f>HEX2DEC(RIGHT(Table13232127[[#This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6" t="s">
        <v>97</v>
      </c>
      <c r="P1652" s="46">
        <f>HEX2DEC(RIGHT(Table13232127[[#This Row],[h1]],8))</f>
        <v>0</v>
      </c>
      <c r="Q1652" s="46" t="s">
        <v>97</v>
      </c>
      <c r="R1652" s="46">
        <f>HEX2DEC(RIGHT(Table13232127[[#This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6" t="s">
        <v>97</v>
      </c>
      <c r="P1653" s="46">
        <f>HEX2DEC(RIGHT(Table13232127[[#This Row],[h1]],8))</f>
        <v>0</v>
      </c>
      <c r="Q1653" s="46" t="s">
        <v>97</v>
      </c>
      <c r="R1653" s="46">
        <f>HEX2DEC(RIGHT(Table13232127[[#This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6" t="s">
        <v>97</v>
      </c>
      <c r="P1654" s="46">
        <f>HEX2DEC(RIGHT(Table13232127[[#This Row],[h1]],8))</f>
        <v>0</v>
      </c>
      <c r="Q1654" s="46" t="s">
        <v>97</v>
      </c>
      <c r="R1654" s="46">
        <f>HEX2DEC(RIGHT(Table13232127[[#This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6" t="s">
        <v>97</v>
      </c>
      <c r="P1655" s="46">
        <f>HEX2DEC(RIGHT(Table13232127[[#This Row],[h1]],8))</f>
        <v>0</v>
      </c>
      <c r="Q1655" s="46" t="s">
        <v>97</v>
      </c>
      <c r="R1655" s="46">
        <f>HEX2DEC(RIGHT(Table13232127[[#This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6" t="s">
        <v>97</v>
      </c>
      <c r="P1656" s="46">
        <f>HEX2DEC(RIGHT(Table13232127[[#This Row],[h1]],8))</f>
        <v>0</v>
      </c>
      <c r="Q1656" s="46" t="s">
        <v>97</v>
      </c>
      <c r="R1656" s="46">
        <f>HEX2DEC(RIGHT(Table13232127[[#This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6" t="s">
        <v>97</v>
      </c>
      <c r="P1657" s="46">
        <f>HEX2DEC(RIGHT(Table13232127[[#This Row],[h1]],8))</f>
        <v>0</v>
      </c>
      <c r="Q1657" s="46" t="s">
        <v>97</v>
      </c>
      <c r="R1657" s="46">
        <f>HEX2DEC(RIGHT(Table13232127[[#This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6" t="s">
        <v>97</v>
      </c>
      <c r="P1658" s="46">
        <f>HEX2DEC(RIGHT(Table13232127[[#This Row],[h1]],8))</f>
        <v>0</v>
      </c>
      <c r="Q1658" s="46" t="s">
        <v>97</v>
      </c>
      <c r="R1658" s="46">
        <f>HEX2DEC(RIGHT(Table13232127[[#This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6" t="s">
        <v>97</v>
      </c>
      <c r="P1659" s="46">
        <f>HEX2DEC(RIGHT(Table13232127[[#This Row],[h1]],8))</f>
        <v>0</v>
      </c>
      <c r="Q1659" s="46" t="s">
        <v>97</v>
      </c>
      <c r="R1659" s="46">
        <f>HEX2DEC(RIGHT(Table13232127[[#This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6" t="s">
        <v>97</v>
      </c>
      <c r="P1660" s="46">
        <f>HEX2DEC(RIGHT(Table13232127[[#This Row],[h1]],8))</f>
        <v>0</v>
      </c>
      <c r="Q1660" s="46" t="s">
        <v>97</v>
      </c>
      <c r="R1660" s="46">
        <f>HEX2DEC(RIGHT(Table13232127[[#This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6" t="s">
        <v>97</v>
      </c>
      <c r="P1661" s="46">
        <f>HEX2DEC(RIGHT(Table13232127[[#This Row],[h1]],8))</f>
        <v>0</v>
      </c>
      <c r="Q1661" s="46" t="s">
        <v>97</v>
      </c>
      <c r="R1661" s="46">
        <f>HEX2DEC(RIGHT(Table13232127[[#This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6" t="s">
        <v>97</v>
      </c>
      <c r="P1662" s="46">
        <f>HEX2DEC(RIGHT(Table13232127[[#This Row],[h1]],8))</f>
        <v>0</v>
      </c>
      <c r="Q1662" s="46" t="s">
        <v>97</v>
      </c>
      <c r="R1662" s="46">
        <f>HEX2DEC(RIGHT(Table13232127[[#This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6" t="s">
        <v>97</v>
      </c>
      <c r="P1663" s="46">
        <f>HEX2DEC(RIGHT(Table13232127[[#This Row],[h1]],8))</f>
        <v>0</v>
      </c>
      <c r="Q1663" s="46" t="s">
        <v>97</v>
      </c>
      <c r="R1663" s="46">
        <f>HEX2DEC(RIGHT(Table13232127[[#This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6" t="s">
        <v>97</v>
      </c>
      <c r="P1664" s="46">
        <f>HEX2DEC(RIGHT(Table13232127[[#This Row],[h1]],8))</f>
        <v>0</v>
      </c>
      <c r="Q1664" s="46" t="s">
        <v>97</v>
      </c>
      <c r="R1664" s="46">
        <f>HEX2DEC(RIGHT(Table13232127[[#This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6" t="s">
        <v>97</v>
      </c>
      <c r="P1665" s="46">
        <f>HEX2DEC(RIGHT(Table13232127[[#This Row],[h1]],8))</f>
        <v>0</v>
      </c>
      <c r="Q1665" s="46" t="s">
        <v>97</v>
      </c>
      <c r="R1665" s="46">
        <f>HEX2DEC(RIGHT(Table13232127[[#This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6" t="s">
        <v>97</v>
      </c>
      <c r="P1666" s="46">
        <f>HEX2DEC(RIGHT(Table13232127[[#This Row],[h1]],8))</f>
        <v>0</v>
      </c>
      <c r="Q1666" s="46" t="s">
        <v>97</v>
      </c>
      <c r="R1666" s="46">
        <f>HEX2DEC(RIGHT(Table13232127[[#This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6" t="s">
        <v>97</v>
      </c>
      <c r="P1667" s="46">
        <f>HEX2DEC(RIGHT(Table13232127[[#This Row],[h1]],8))</f>
        <v>0</v>
      </c>
      <c r="Q1667" s="46" t="s">
        <v>97</v>
      </c>
      <c r="R1667" s="46">
        <f>HEX2DEC(RIGHT(Table13232127[[#This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6" t="s">
        <v>97</v>
      </c>
      <c r="P1668" s="46">
        <f>HEX2DEC(RIGHT(Table13232127[[#This Row],[h1]],8))</f>
        <v>0</v>
      </c>
      <c r="Q1668" s="46" t="s">
        <v>97</v>
      </c>
      <c r="R1668" s="46">
        <f>HEX2DEC(RIGHT(Table13232127[[#This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6" t="s">
        <v>97</v>
      </c>
      <c r="P1669" s="46">
        <f>HEX2DEC(RIGHT(Table13232127[[#This Row],[h1]],8))</f>
        <v>0</v>
      </c>
      <c r="Q1669" s="46" t="s">
        <v>97</v>
      </c>
      <c r="R1669" s="46">
        <f>HEX2DEC(RIGHT(Table13232127[[#This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6" t="s">
        <v>97</v>
      </c>
      <c r="P1670" s="46">
        <f>HEX2DEC(RIGHT(Table13232127[[#This Row],[h1]],8))</f>
        <v>0</v>
      </c>
      <c r="Q1670" s="46" t="s">
        <v>97</v>
      </c>
      <c r="R1670" s="46">
        <f>HEX2DEC(RIGHT(Table13232127[[#This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6" t="s">
        <v>97</v>
      </c>
      <c r="P1671" s="46">
        <f>HEX2DEC(RIGHT(Table13232127[[#This Row],[h1]],8))</f>
        <v>0</v>
      </c>
      <c r="Q1671" s="46" t="s">
        <v>97</v>
      </c>
      <c r="R1671" s="46">
        <f>HEX2DEC(RIGHT(Table13232127[[#This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6" t="s">
        <v>97</v>
      </c>
      <c r="P1672" s="46">
        <f>HEX2DEC(RIGHT(Table13232127[[#This Row],[h1]],8))</f>
        <v>0</v>
      </c>
      <c r="Q1672" s="46" t="s">
        <v>97</v>
      </c>
      <c r="R1672" s="46">
        <f>HEX2DEC(RIGHT(Table13232127[[#This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6" t="s">
        <v>97</v>
      </c>
      <c r="P1673" s="46">
        <f>HEX2DEC(RIGHT(Table13232127[[#This Row],[h1]],8))</f>
        <v>0</v>
      </c>
      <c r="Q1673" s="46" t="s">
        <v>97</v>
      </c>
      <c r="R1673" s="46">
        <f>HEX2DEC(RIGHT(Table13232127[[#This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6" t="s">
        <v>97</v>
      </c>
      <c r="P1674" s="46">
        <f>HEX2DEC(RIGHT(Table13232127[[#This Row],[h1]],8))</f>
        <v>0</v>
      </c>
      <c r="Q1674" s="46" t="s">
        <v>97</v>
      </c>
      <c r="R1674" s="46">
        <f>HEX2DEC(RIGHT(Table13232127[[#This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6" t="s">
        <v>97</v>
      </c>
      <c r="P1675" s="46">
        <f>HEX2DEC(RIGHT(Table13232127[[#This Row],[h1]],8))</f>
        <v>0</v>
      </c>
      <c r="Q1675" s="46" t="s">
        <v>97</v>
      </c>
      <c r="R1675" s="46">
        <f>HEX2DEC(RIGHT(Table13232127[[#This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6" t="s">
        <v>97</v>
      </c>
      <c r="P1676" s="46">
        <f>HEX2DEC(RIGHT(Table13232127[[#This Row],[h1]],8))</f>
        <v>0</v>
      </c>
      <c r="Q1676" s="46" t="s">
        <v>97</v>
      </c>
      <c r="R1676" s="46">
        <f>HEX2DEC(RIGHT(Table13232127[[#This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6" t="s">
        <v>97</v>
      </c>
      <c r="P1677" s="46">
        <f>HEX2DEC(RIGHT(Table13232127[[#This Row],[h1]],8))</f>
        <v>0</v>
      </c>
      <c r="Q1677" s="46" t="s">
        <v>97</v>
      </c>
      <c r="R1677" s="46">
        <f>HEX2DEC(RIGHT(Table13232127[[#This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6" t="s">
        <v>97</v>
      </c>
      <c r="P1678" s="46">
        <f>HEX2DEC(RIGHT(Table13232127[[#This Row],[h1]],8))</f>
        <v>0</v>
      </c>
      <c r="Q1678" s="46" t="s">
        <v>97</v>
      </c>
      <c r="R1678" s="46">
        <f>HEX2DEC(RIGHT(Table13232127[[#This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6" t="s">
        <v>97</v>
      </c>
      <c r="P1679" s="46">
        <f>HEX2DEC(RIGHT(Table13232127[[#This Row],[h1]],8))</f>
        <v>0</v>
      </c>
      <c r="Q1679" s="46" t="s">
        <v>97</v>
      </c>
      <c r="R1679" s="46">
        <f>HEX2DEC(RIGHT(Table13232127[[#This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6" t="s">
        <v>97</v>
      </c>
      <c r="P1680" s="46">
        <f>HEX2DEC(RIGHT(Table13232127[[#This Row],[h1]],8))</f>
        <v>0</v>
      </c>
      <c r="Q1680" s="46" t="s">
        <v>97</v>
      </c>
      <c r="R1680" s="46">
        <f>HEX2DEC(RIGHT(Table13232127[[#This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6" t="s">
        <v>97</v>
      </c>
      <c r="P1681" s="46">
        <f>HEX2DEC(RIGHT(Table13232127[[#This Row],[h1]],8))</f>
        <v>0</v>
      </c>
      <c r="Q1681" s="46" t="s">
        <v>97</v>
      </c>
      <c r="R1681" s="46">
        <f>HEX2DEC(RIGHT(Table13232127[[#This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6" t="s">
        <v>97</v>
      </c>
      <c r="P1682" s="46">
        <f>HEX2DEC(RIGHT(Table13232127[[#This Row],[h1]],8))</f>
        <v>0</v>
      </c>
      <c r="Q1682" s="46" t="s">
        <v>97</v>
      </c>
      <c r="R1682" s="46">
        <f>HEX2DEC(RIGHT(Table13232127[[#This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6" t="s">
        <v>97</v>
      </c>
      <c r="P1683" s="46">
        <f>HEX2DEC(RIGHT(Table13232127[[#This Row],[h1]],8))</f>
        <v>0</v>
      </c>
      <c r="Q1683" s="46" t="s">
        <v>97</v>
      </c>
      <c r="R1683" s="46">
        <f>HEX2DEC(RIGHT(Table13232127[[#This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6" t="s">
        <v>97</v>
      </c>
      <c r="P1684" s="46">
        <f>HEX2DEC(RIGHT(Table13232127[[#This Row],[h1]],8))</f>
        <v>0</v>
      </c>
      <c r="Q1684" s="46" t="s">
        <v>97</v>
      </c>
      <c r="R1684" s="46">
        <f>HEX2DEC(RIGHT(Table13232127[[#This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6" t="s">
        <v>97</v>
      </c>
      <c r="P1685" s="46">
        <f>HEX2DEC(RIGHT(Table13232127[[#This Row],[h1]],8))</f>
        <v>0</v>
      </c>
      <c r="Q1685" s="46" t="s">
        <v>97</v>
      </c>
      <c r="R1685" s="46">
        <f>HEX2DEC(RIGHT(Table13232127[[#This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6" t="s">
        <v>97</v>
      </c>
      <c r="P1686" s="46">
        <f>HEX2DEC(RIGHT(Table13232127[[#This Row],[h1]],8))</f>
        <v>0</v>
      </c>
      <c r="Q1686" s="46" t="s">
        <v>97</v>
      </c>
      <c r="R1686" s="46">
        <f>HEX2DEC(RIGHT(Table13232127[[#This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6" t="s">
        <v>97</v>
      </c>
      <c r="P1687" s="46">
        <f>HEX2DEC(RIGHT(Table13232127[[#This Row],[h1]],8))</f>
        <v>0</v>
      </c>
      <c r="Q1687" s="46" t="s">
        <v>97</v>
      </c>
      <c r="R1687" s="46">
        <f>HEX2DEC(RIGHT(Table13232127[[#This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6" t="s">
        <v>97</v>
      </c>
      <c r="P1688" s="46">
        <f>HEX2DEC(RIGHT(Table13232127[[#This Row],[h1]],8))</f>
        <v>0</v>
      </c>
      <c r="Q1688" s="46" t="s">
        <v>97</v>
      </c>
      <c r="R1688" s="46">
        <f>HEX2DEC(RIGHT(Table13232127[[#This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6" t="s">
        <v>97</v>
      </c>
      <c r="P1689" s="46">
        <f>HEX2DEC(RIGHT(Table13232127[[#This Row],[h1]],8))</f>
        <v>0</v>
      </c>
      <c r="Q1689" s="46" t="s">
        <v>97</v>
      </c>
      <c r="R1689" s="46">
        <f>HEX2DEC(RIGHT(Table13232127[[#This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6" t="s">
        <v>97</v>
      </c>
      <c r="P1690" s="46">
        <f>HEX2DEC(RIGHT(Table13232127[[#This Row],[h1]],8))</f>
        <v>0</v>
      </c>
      <c r="Q1690" s="46" t="s">
        <v>97</v>
      </c>
      <c r="R1690" s="46">
        <f>HEX2DEC(RIGHT(Table13232127[[#This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6" t="s">
        <v>97</v>
      </c>
      <c r="P1691" s="46">
        <f>HEX2DEC(RIGHT(Table13232127[[#This Row],[h1]],8))</f>
        <v>0</v>
      </c>
      <c r="Q1691" s="46" t="s">
        <v>97</v>
      </c>
      <c r="R1691" s="46">
        <f>HEX2DEC(RIGHT(Table13232127[[#This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6" t="s">
        <v>97</v>
      </c>
      <c r="P1692" s="46">
        <f>HEX2DEC(RIGHT(Table13232127[[#This Row],[h1]],8))</f>
        <v>0</v>
      </c>
      <c r="Q1692" s="46" t="s">
        <v>97</v>
      </c>
      <c r="R1692" s="46">
        <f>HEX2DEC(RIGHT(Table13232127[[#This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6" t="s">
        <v>97</v>
      </c>
      <c r="P1693" s="46">
        <f>HEX2DEC(RIGHT(Table13232127[[#This Row],[h1]],8))</f>
        <v>0</v>
      </c>
      <c r="Q1693" s="46" t="s">
        <v>97</v>
      </c>
      <c r="R1693" s="46">
        <f>HEX2DEC(RIGHT(Table13232127[[#This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6" t="s">
        <v>97</v>
      </c>
      <c r="P1694" s="46">
        <f>HEX2DEC(RIGHT(Table13232127[[#This Row],[h1]],8))</f>
        <v>0</v>
      </c>
      <c r="Q1694" s="46" t="s">
        <v>97</v>
      </c>
      <c r="R1694" s="46">
        <f>HEX2DEC(RIGHT(Table13232127[[#This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6" t="s">
        <v>97</v>
      </c>
      <c r="P1695" s="46">
        <f>HEX2DEC(RIGHT(Table13232127[[#This Row],[h1]],8))</f>
        <v>0</v>
      </c>
      <c r="Q1695" s="46" t="s">
        <v>97</v>
      </c>
      <c r="R1695" s="46">
        <f>HEX2DEC(RIGHT(Table13232127[[#This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6" t="s">
        <v>97</v>
      </c>
      <c r="P1696" s="46">
        <f>HEX2DEC(RIGHT(Table13232127[[#This Row],[h1]],8))</f>
        <v>0</v>
      </c>
      <c r="Q1696" s="46" t="s">
        <v>97</v>
      </c>
      <c r="R1696" s="46">
        <f>HEX2DEC(RIGHT(Table13232127[[#This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6" t="s">
        <v>97</v>
      </c>
      <c r="P1697" s="46">
        <f>HEX2DEC(RIGHT(Table13232127[[#This Row],[h1]],8))</f>
        <v>0</v>
      </c>
      <c r="Q1697" s="46" t="s">
        <v>97</v>
      </c>
      <c r="R1697" s="46">
        <f>HEX2DEC(RIGHT(Table13232127[[#This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6" t="s">
        <v>97</v>
      </c>
      <c r="P1698" s="46">
        <f>HEX2DEC(RIGHT(Table13232127[[#This Row],[h1]],8))</f>
        <v>0</v>
      </c>
      <c r="Q1698" s="46" t="s">
        <v>97</v>
      </c>
      <c r="R1698" s="46">
        <f>HEX2DEC(RIGHT(Table13232127[[#This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6" t="s">
        <v>97</v>
      </c>
      <c r="P1699" s="46">
        <f>HEX2DEC(RIGHT(Table13232127[[#This Row],[h1]],8))</f>
        <v>0</v>
      </c>
      <c r="Q1699" s="46" t="s">
        <v>97</v>
      </c>
      <c r="R1699" s="46">
        <f>HEX2DEC(RIGHT(Table13232127[[#This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6" t="s">
        <v>97</v>
      </c>
      <c r="P1700" s="46">
        <f>HEX2DEC(RIGHT(Table13232127[[#This Row],[h1]],8))</f>
        <v>0</v>
      </c>
      <c r="Q1700" s="46" t="s">
        <v>97</v>
      </c>
      <c r="R1700" s="46">
        <f>HEX2DEC(RIGHT(Table13232127[[#This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6" t="s">
        <v>97</v>
      </c>
      <c r="P1701" s="46">
        <f>HEX2DEC(RIGHT(Table13232127[[#This Row],[h1]],8))</f>
        <v>0</v>
      </c>
      <c r="Q1701" s="46" t="s">
        <v>97</v>
      </c>
      <c r="R1701" s="46">
        <f>HEX2DEC(RIGHT(Table13232127[[#This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6" t="s">
        <v>97</v>
      </c>
      <c r="P1702" s="46">
        <f>HEX2DEC(RIGHT(Table13232127[[#This Row],[h1]],8))</f>
        <v>0</v>
      </c>
      <c r="Q1702" s="46" t="s">
        <v>97</v>
      </c>
      <c r="R1702" s="46">
        <f>HEX2DEC(RIGHT(Table13232127[[#This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6" t="s">
        <v>97</v>
      </c>
      <c r="P1703" s="46">
        <f>HEX2DEC(RIGHT(Table13232127[[#This Row],[h1]],8))</f>
        <v>0</v>
      </c>
      <c r="Q1703" s="46" t="s">
        <v>97</v>
      </c>
      <c r="R1703" s="46">
        <f>HEX2DEC(RIGHT(Table13232127[[#This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6" t="s">
        <v>97</v>
      </c>
      <c r="P1704" s="46">
        <f>HEX2DEC(RIGHT(Table13232127[[#This Row],[h1]],8))</f>
        <v>0</v>
      </c>
      <c r="Q1704" s="46" t="s">
        <v>97</v>
      </c>
      <c r="R1704" s="46">
        <f>HEX2DEC(RIGHT(Table13232127[[#This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6" t="s">
        <v>97</v>
      </c>
      <c r="P1705" s="46">
        <f>HEX2DEC(RIGHT(Table13232127[[#This Row],[h1]],8))</f>
        <v>0</v>
      </c>
      <c r="Q1705" s="46" t="s">
        <v>97</v>
      </c>
      <c r="R1705" s="46">
        <f>HEX2DEC(RIGHT(Table13232127[[#This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6" t="s">
        <v>97</v>
      </c>
      <c r="P1706" s="46">
        <f>HEX2DEC(RIGHT(Table13232127[[#This Row],[h1]],8))</f>
        <v>0</v>
      </c>
      <c r="Q1706" s="46" t="s">
        <v>97</v>
      </c>
      <c r="R1706" s="46">
        <f>HEX2DEC(RIGHT(Table13232127[[#This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6" t="s">
        <v>97</v>
      </c>
      <c r="P1707" s="46">
        <f>HEX2DEC(RIGHT(Table13232127[[#This Row],[h1]],8))</f>
        <v>0</v>
      </c>
      <c r="Q1707" s="46" t="s">
        <v>97</v>
      </c>
      <c r="R1707" s="46">
        <f>HEX2DEC(RIGHT(Table13232127[[#This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6" t="s">
        <v>97</v>
      </c>
      <c r="P1708" s="46">
        <f>HEX2DEC(RIGHT(Table13232127[[#This Row],[h1]],8))</f>
        <v>0</v>
      </c>
      <c r="Q1708" s="46" t="s">
        <v>97</v>
      </c>
      <c r="R1708" s="46">
        <f>HEX2DEC(RIGHT(Table13232127[[#This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6" t="s">
        <v>97</v>
      </c>
      <c r="P1709" s="46">
        <f>HEX2DEC(RIGHT(Table13232127[[#This Row],[h1]],8))</f>
        <v>0</v>
      </c>
      <c r="Q1709" s="46" t="s">
        <v>97</v>
      </c>
      <c r="R1709" s="46">
        <f>HEX2DEC(RIGHT(Table13232127[[#This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6" t="s">
        <v>97</v>
      </c>
      <c r="P1710" s="46">
        <f>HEX2DEC(RIGHT(Table13232127[[#This Row],[h1]],8))</f>
        <v>0</v>
      </c>
      <c r="Q1710" s="46" t="s">
        <v>97</v>
      </c>
      <c r="R1710" s="46">
        <f>HEX2DEC(RIGHT(Table13232127[[#This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6" t="s">
        <v>97</v>
      </c>
      <c r="P1711" s="46">
        <f>HEX2DEC(RIGHT(Table13232127[[#This Row],[h1]],8))</f>
        <v>0</v>
      </c>
      <c r="Q1711" s="46" t="s">
        <v>97</v>
      </c>
      <c r="R1711" s="46">
        <f>HEX2DEC(RIGHT(Table13232127[[#This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6" t="s">
        <v>97</v>
      </c>
      <c r="P1712" s="46">
        <f>HEX2DEC(RIGHT(Table13232127[[#This Row],[h1]],8))</f>
        <v>0</v>
      </c>
      <c r="Q1712" s="46" t="s">
        <v>97</v>
      </c>
      <c r="R1712" s="46">
        <f>HEX2DEC(RIGHT(Table13232127[[#This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6" t="s">
        <v>97</v>
      </c>
      <c r="P1713" s="46">
        <f>HEX2DEC(RIGHT(Table13232127[[#This Row],[h1]],8))</f>
        <v>0</v>
      </c>
      <c r="Q1713" s="46" t="s">
        <v>97</v>
      </c>
      <c r="R1713" s="46">
        <f>HEX2DEC(RIGHT(Table13232127[[#This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6" t="s">
        <v>97</v>
      </c>
      <c r="P1714" s="46">
        <f>HEX2DEC(RIGHT(Table13232127[[#This Row],[h1]],8))</f>
        <v>0</v>
      </c>
      <c r="Q1714" s="46" t="s">
        <v>97</v>
      </c>
      <c r="R1714" s="46">
        <f>HEX2DEC(RIGHT(Table13232127[[#This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6" t="s">
        <v>97</v>
      </c>
      <c r="P1715" s="46">
        <f>HEX2DEC(RIGHT(Table13232127[[#This Row],[h1]],8))</f>
        <v>0</v>
      </c>
      <c r="Q1715" s="46" t="s">
        <v>97</v>
      </c>
      <c r="R1715" s="46">
        <f>HEX2DEC(RIGHT(Table13232127[[#This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6" t="s">
        <v>97</v>
      </c>
      <c r="P1716" s="46">
        <f>HEX2DEC(RIGHT(Table13232127[[#This Row],[h1]],8))</f>
        <v>0</v>
      </c>
      <c r="Q1716" s="46" t="s">
        <v>97</v>
      </c>
      <c r="R1716" s="46">
        <f>HEX2DEC(RIGHT(Table13232127[[#This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6" t="s">
        <v>97</v>
      </c>
      <c r="P1717" s="46">
        <f>HEX2DEC(RIGHT(Table13232127[[#This Row],[h1]],8))</f>
        <v>0</v>
      </c>
      <c r="Q1717" s="46" t="s">
        <v>97</v>
      </c>
      <c r="R1717" s="46">
        <f>HEX2DEC(RIGHT(Table13232127[[#This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6" t="s">
        <v>97</v>
      </c>
      <c r="P1718" s="46">
        <f>HEX2DEC(RIGHT(Table13232127[[#This Row],[h1]],8))</f>
        <v>0</v>
      </c>
      <c r="Q1718" s="46" t="s">
        <v>97</v>
      </c>
      <c r="R1718" s="46">
        <f>HEX2DEC(RIGHT(Table13232127[[#This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6" t="s">
        <v>97</v>
      </c>
      <c r="P1719" s="46">
        <f>HEX2DEC(RIGHT(Table13232127[[#This Row],[h1]],8))</f>
        <v>0</v>
      </c>
      <c r="Q1719" s="46" t="s">
        <v>97</v>
      </c>
      <c r="R1719" s="46">
        <f>HEX2DEC(RIGHT(Table13232127[[#This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6" t="s">
        <v>97</v>
      </c>
      <c r="P1720" s="46">
        <f>HEX2DEC(RIGHT(Table13232127[[#This Row],[h1]],8))</f>
        <v>0</v>
      </c>
      <c r="Q1720" s="46" t="s">
        <v>97</v>
      </c>
      <c r="R1720" s="46">
        <f>HEX2DEC(RIGHT(Table13232127[[#This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6" t="s">
        <v>97</v>
      </c>
      <c r="P1721" s="46">
        <f>HEX2DEC(RIGHT(Table13232127[[#This Row],[h1]],8))</f>
        <v>0</v>
      </c>
      <c r="Q1721" s="46" t="s">
        <v>97</v>
      </c>
      <c r="R1721" s="46">
        <f>HEX2DEC(RIGHT(Table13232127[[#This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6" t="s">
        <v>97</v>
      </c>
      <c r="P1722" s="46">
        <f>HEX2DEC(RIGHT(Table13232127[[#This Row],[h1]],8))</f>
        <v>0</v>
      </c>
      <c r="Q1722" s="46" t="s">
        <v>97</v>
      </c>
      <c r="R1722" s="46">
        <f>HEX2DEC(RIGHT(Table13232127[[#This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6" t="s">
        <v>97</v>
      </c>
      <c r="P1723" s="46">
        <f>HEX2DEC(RIGHT(Table13232127[[#This Row],[h1]],8))</f>
        <v>0</v>
      </c>
      <c r="Q1723" s="46" t="s">
        <v>97</v>
      </c>
      <c r="R1723" s="46">
        <f>HEX2DEC(RIGHT(Table13232127[[#This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6" t="s">
        <v>97</v>
      </c>
      <c r="P1724" s="46">
        <f>HEX2DEC(RIGHT(Table13232127[[#This Row],[h1]],8))</f>
        <v>0</v>
      </c>
      <c r="Q1724" s="46" t="s">
        <v>97</v>
      </c>
      <c r="R1724" s="46">
        <f>HEX2DEC(RIGHT(Table13232127[[#This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6" t="s">
        <v>97</v>
      </c>
      <c r="P1725" s="46">
        <f>HEX2DEC(RIGHT(Table13232127[[#This Row],[h1]],8))</f>
        <v>0</v>
      </c>
      <c r="Q1725" s="46" t="s">
        <v>97</v>
      </c>
      <c r="R1725" s="46">
        <f>HEX2DEC(RIGHT(Table13232127[[#This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6" t="s">
        <v>97</v>
      </c>
      <c r="P1726" s="46">
        <f>HEX2DEC(RIGHT(Table13232127[[#This Row],[h1]],8))</f>
        <v>0</v>
      </c>
      <c r="Q1726" s="46" t="s">
        <v>97</v>
      </c>
      <c r="R1726" s="46">
        <f>HEX2DEC(RIGHT(Table13232127[[#This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6" t="s">
        <v>97</v>
      </c>
      <c r="P1727" s="46">
        <f>HEX2DEC(RIGHT(Table13232127[[#This Row],[h1]],8))</f>
        <v>0</v>
      </c>
      <c r="Q1727" s="46" t="s">
        <v>97</v>
      </c>
      <c r="R1727" s="46">
        <f>HEX2DEC(RIGHT(Table13232127[[#This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6" t="s">
        <v>97</v>
      </c>
      <c r="P1728" s="46">
        <f>HEX2DEC(RIGHT(Table13232127[[#This Row],[h1]],8))</f>
        <v>0</v>
      </c>
      <c r="Q1728" s="46" t="s">
        <v>97</v>
      </c>
      <c r="R1728" s="46">
        <f>HEX2DEC(RIGHT(Table13232127[[#This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6" t="s">
        <v>97</v>
      </c>
      <c r="P1729" s="46">
        <f>HEX2DEC(RIGHT(Table13232127[[#This Row],[h1]],8))</f>
        <v>0</v>
      </c>
      <c r="Q1729" s="46" t="s">
        <v>97</v>
      </c>
      <c r="R1729" s="46">
        <f>HEX2DEC(RIGHT(Table13232127[[#This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6" t="s">
        <v>97</v>
      </c>
      <c r="P1730" s="46">
        <f>HEX2DEC(RIGHT(Table13232127[[#This Row],[h1]],8))</f>
        <v>0</v>
      </c>
      <c r="Q1730" s="46" t="s">
        <v>97</v>
      </c>
      <c r="R1730" s="46">
        <f>HEX2DEC(RIGHT(Table13232127[[#This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6" t="s">
        <v>97</v>
      </c>
      <c r="P1731" s="46">
        <f>HEX2DEC(RIGHT(Table13232127[[#This Row],[h1]],8))</f>
        <v>0</v>
      </c>
      <c r="Q1731" s="46" t="s">
        <v>97</v>
      </c>
      <c r="R1731" s="46">
        <f>HEX2DEC(RIGHT(Table13232127[[#This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6" t="s">
        <v>97</v>
      </c>
      <c r="P1732" s="46">
        <f>HEX2DEC(RIGHT(Table13232127[[#This Row],[h1]],8))</f>
        <v>0</v>
      </c>
      <c r="Q1732" s="46" t="s">
        <v>97</v>
      </c>
      <c r="R1732" s="46">
        <f>HEX2DEC(RIGHT(Table13232127[[#This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6" t="s">
        <v>97</v>
      </c>
      <c r="P1733" s="46">
        <f>HEX2DEC(RIGHT(Table13232127[[#This Row],[h1]],8))</f>
        <v>0</v>
      </c>
      <c r="Q1733" s="46" t="s">
        <v>97</v>
      </c>
      <c r="R1733" s="46">
        <f>HEX2DEC(RIGHT(Table13232127[[#This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6" t="s">
        <v>97</v>
      </c>
      <c r="P1734" s="46">
        <f>HEX2DEC(RIGHT(Table13232127[[#This Row],[h1]],8))</f>
        <v>0</v>
      </c>
      <c r="Q1734" s="46" t="s">
        <v>97</v>
      </c>
      <c r="R1734" s="46">
        <f>HEX2DEC(RIGHT(Table13232127[[#This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6" t="s">
        <v>97</v>
      </c>
      <c r="P1735" s="46">
        <f>HEX2DEC(RIGHT(Table13232127[[#This Row],[h1]],8))</f>
        <v>0</v>
      </c>
      <c r="Q1735" s="46" t="s">
        <v>97</v>
      </c>
      <c r="R1735" s="46">
        <f>HEX2DEC(RIGHT(Table13232127[[#This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6" t="s">
        <v>97</v>
      </c>
      <c r="P1736" s="46">
        <f>HEX2DEC(RIGHT(Table13232127[[#This Row],[h1]],8))</f>
        <v>0</v>
      </c>
      <c r="Q1736" s="46" t="s">
        <v>97</v>
      </c>
      <c r="R1736" s="46">
        <f>HEX2DEC(RIGHT(Table13232127[[#This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6" t="s">
        <v>97</v>
      </c>
      <c r="P1737" s="46">
        <f>HEX2DEC(RIGHT(Table13232127[[#This Row],[h1]],8))</f>
        <v>0</v>
      </c>
      <c r="Q1737" s="46" t="s">
        <v>97</v>
      </c>
      <c r="R1737" s="46">
        <f>HEX2DEC(RIGHT(Table13232127[[#This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6" t="s">
        <v>97</v>
      </c>
      <c r="P1738" s="46">
        <f>HEX2DEC(RIGHT(Table13232127[[#This Row],[h1]],8))</f>
        <v>0</v>
      </c>
      <c r="Q1738" s="46" t="s">
        <v>97</v>
      </c>
      <c r="R1738" s="46">
        <f>HEX2DEC(RIGHT(Table13232127[[#This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6" t="s">
        <v>97</v>
      </c>
      <c r="P1739" s="46">
        <f>HEX2DEC(RIGHT(Table13232127[[#This Row],[h1]],8))</f>
        <v>0</v>
      </c>
      <c r="Q1739" s="46" t="s">
        <v>97</v>
      </c>
      <c r="R1739" s="46">
        <f>HEX2DEC(RIGHT(Table13232127[[#This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6" t="s">
        <v>97</v>
      </c>
      <c r="P1740" s="46">
        <f>HEX2DEC(RIGHT(Table13232127[[#This Row],[h1]],8))</f>
        <v>0</v>
      </c>
      <c r="Q1740" s="46" t="s">
        <v>97</v>
      </c>
      <c r="R1740" s="46">
        <f>HEX2DEC(RIGHT(Table13232127[[#This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6" t="s">
        <v>97</v>
      </c>
      <c r="P1741" s="46">
        <f>HEX2DEC(RIGHT(Table13232127[[#This Row],[h1]],8))</f>
        <v>0</v>
      </c>
      <c r="Q1741" s="46" t="s">
        <v>97</v>
      </c>
      <c r="R1741" s="46">
        <f>HEX2DEC(RIGHT(Table13232127[[#This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6" t="s">
        <v>97</v>
      </c>
      <c r="P1742" s="46">
        <f>HEX2DEC(RIGHT(Table13232127[[#This Row],[h1]],8))</f>
        <v>0</v>
      </c>
      <c r="Q1742" s="46" t="s">
        <v>97</v>
      </c>
      <c r="R1742" s="46">
        <f>HEX2DEC(RIGHT(Table13232127[[#This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6" t="s">
        <v>97</v>
      </c>
      <c r="P1743" s="46">
        <f>HEX2DEC(RIGHT(Table13232127[[#This Row],[h1]],8))</f>
        <v>0</v>
      </c>
      <c r="Q1743" s="46" t="s">
        <v>97</v>
      </c>
      <c r="R1743" s="46">
        <f>HEX2DEC(RIGHT(Table13232127[[#This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6" t="s">
        <v>97</v>
      </c>
      <c r="P1744" s="46">
        <f>HEX2DEC(RIGHT(Table13232127[[#This Row],[h1]],8))</f>
        <v>0</v>
      </c>
      <c r="Q1744" s="46" t="s">
        <v>97</v>
      </c>
      <c r="R1744" s="46">
        <f>HEX2DEC(RIGHT(Table13232127[[#This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6" t="s">
        <v>97</v>
      </c>
      <c r="P1745" s="46">
        <f>HEX2DEC(RIGHT(Table13232127[[#This Row],[h1]],8))</f>
        <v>0</v>
      </c>
      <c r="Q1745" s="46" t="s">
        <v>97</v>
      </c>
      <c r="R1745" s="46">
        <f>HEX2DEC(RIGHT(Table13232127[[#This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6" t="s">
        <v>97</v>
      </c>
      <c r="P1746" s="46">
        <f>HEX2DEC(RIGHT(Table13232127[[#This Row],[h1]],8))</f>
        <v>0</v>
      </c>
      <c r="Q1746" s="46" t="s">
        <v>97</v>
      </c>
      <c r="R1746" s="46">
        <f>HEX2DEC(RIGHT(Table13232127[[#This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6" t="s">
        <v>97</v>
      </c>
      <c r="P1747" s="46">
        <f>HEX2DEC(RIGHT(Table13232127[[#This Row],[h1]],8))</f>
        <v>0</v>
      </c>
      <c r="Q1747" s="46" t="s">
        <v>97</v>
      </c>
      <c r="R1747" s="46">
        <f>HEX2DEC(RIGHT(Table13232127[[#This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6" t="s">
        <v>97</v>
      </c>
      <c r="P1748" s="46">
        <f>HEX2DEC(RIGHT(Table13232127[[#This Row],[h1]],8))</f>
        <v>0</v>
      </c>
      <c r="Q1748" s="46" t="s">
        <v>97</v>
      </c>
      <c r="R1748" s="46">
        <f>HEX2DEC(RIGHT(Table13232127[[#This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6" t="s">
        <v>97</v>
      </c>
      <c r="P1749" s="46">
        <f>HEX2DEC(RIGHT(Table13232127[[#This Row],[h1]],8))</f>
        <v>0</v>
      </c>
      <c r="Q1749" s="46" t="s">
        <v>97</v>
      </c>
      <c r="R1749" s="46">
        <f>HEX2DEC(RIGHT(Table13232127[[#This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6" t="s">
        <v>97</v>
      </c>
      <c r="P1750" s="46">
        <f>HEX2DEC(RIGHT(Table13232127[[#This Row],[h1]],8))</f>
        <v>0</v>
      </c>
      <c r="Q1750" s="46" t="s">
        <v>97</v>
      </c>
      <c r="R1750" s="46">
        <f>HEX2DEC(RIGHT(Table13232127[[#This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6" t="s">
        <v>97</v>
      </c>
      <c r="P1751" s="46">
        <f>HEX2DEC(RIGHT(Table13232127[[#This Row],[h1]],8))</f>
        <v>0</v>
      </c>
      <c r="Q1751" s="46" t="s">
        <v>97</v>
      </c>
      <c r="R1751" s="46">
        <f>HEX2DEC(RIGHT(Table13232127[[#This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6" t="s">
        <v>97</v>
      </c>
      <c r="P1752" s="46">
        <f>HEX2DEC(RIGHT(Table13232127[[#This Row],[h1]],8))</f>
        <v>0</v>
      </c>
      <c r="Q1752" s="46" t="s">
        <v>97</v>
      </c>
      <c r="R1752" s="46">
        <f>HEX2DEC(RIGHT(Table13232127[[#This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6" t="s">
        <v>97</v>
      </c>
      <c r="P1753" s="46">
        <f>HEX2DEC(RIGHT(Table13232127[[#This Row],[h1]],8))</f>
        <v>0</v>
      </c>
      <c r="Q1753" s="46" t="s">
        <v>97</v>
      </c>
      <c r="R1753" s="46">
        <f>HEX2DEC(RIGHT(Table13232127[[#This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6" t="s">
        <v>97</v>
      </c>
      <c r="P1754" s="46">
        <f>HEX2DEC(RIGHT(Table13232127[[#This Row],[h1]],8))</f>
        <v>0</v>
      </c>
      <c r="Q1754" s="46" t="s">
        <v>97</v>
      </c>
      <c r="R1754" s="46">
        <f>HEX2DEC(RIGHT(Table13232127[[#This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6" t="s">
        <v>97</v>
      </c>
      <c r="P1755" s="46">
        <f>HEX2DEC(RIGHT(Table13232127[[#This Row],[h1]],8))</f>
        <v>0</v>
      </c>
      <c r="Q1755" s="46" t="s">
        <v>97</v>
      </c>
      <c r="R1755" s="46">
        <f>HEX2DEC(RIGHT(Table13232127[[#This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6" t="s">
        <v>97</v>
      </c>
      <c r="P1756" s="46">
        <f>HEX2DEC(RIGHT(Table13232127[[#This Row],[h1]],8))</f>
        <v>0</v>
      </c>
      <c r="Q1756" s="46" t="s">
        <v>97</v>
      </c>
      <c r="R1756" s="46">
        <f>HEX2DEC(RIGHT(Table13232127[[#This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6" t="s">
        <v>97</v>
      </c>
      <c r="P1757" s="46">
        <f>HEX2DEC(RIGHT(Table13232127[[#This Row],[h1]],8))</f>
        <v>0</v>
      </c>
      <c r="Q1757" s="46" t="s">
        <v>97</v>
      </c>
      <c r="R1757" s="46">
        <f>HEX2DEC(RIGHT(Table13232127[[#This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6" t="s">
        <v>97</v>
      </c>
      <c r="P1758" s="46">
        <f>HEX2DEC(RIGHT(Table13232127[[#This Row],[h1]],8))</f>
        <v>0</v>
      </c>
      <c r="Q1758" s="46" t="s">
        <v>97</v>
      </c>
      <c r="R1758" s="46">
        <f>HEX2DEC(RIGHT(Table13232127[[#This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6" t="s">
        <v>97</v>
      </c>
      <c r="P1759" s="46">
        <f>HEX2DEC(RIGHT(Table13232127[[#This Row],[h1]],8))</f>
        <v>0</v>
      </c>
      <c r="Q1759" s="46" t="s">
        <v>97</v>
      </c>
      <c r="R1759" s="46">
        <f>HEX2DEC(RIGHT(Table13232127[[#This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6" t="s">
        <v>97</v>
      </c>
      <c r="P1760" s="46">
        <f>HEX2DEC(RIGHT(Table13232127[[#This Row],[h1]],8))</f>
        <v>0</v>
      </c>
      <c r="Q1760" s="46" t="s">
        <v>97</v>
      </c>
      <c r="R1760" s="46">
        <f>HEX2DEC(RIGHT(Table13232127[[#This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6" t="s">
        <v>97</v>
      </c>
      <c r="P1761" s="46">
        <f>HEX2DEC(RIGHT(Table13232127[[#This Row],[h1]],8))</f>
        <v>0</v>
      </c>
      <c r="Q1761" s="46" t="s">
        <v>97</v>
      </c>
      <c r="R1761" s="46">
        <f>HEX2DEC(RIGHT(Table13232127[[#This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6" t="s">
        <v>97</v>
      </c>
      <c r="P1762" s="46">
        <f>HEX2DEC(RIGHT(Table13232127[[#This Row],[h1]],8))</f>
        <v>0</v>
      </c>
      <c r="Q1762" s="46" t="s">
        <v>97</v>
      </c>
      <c r="R1762" s="46">
        <f>HEX2DEC(RIGHT(Table13232127[[#This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6" t="s">
        <v>97</v>
      </c>
      <c r="P1763" s="46">
        <f>HEX2DEC(RIGHT(Table13232127[[#This Row],[h1]],8))</f>
        <v>0</v>
      </c>
      <c r="Q1763" s="46" t="s">
        <v>97</v>
      </c>
      <c r="R1763" s="46">
        <f>HEX2DEC(RIGHT(Table13232127[[#This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6" t="s">
        <v>97</v>
      </c>
      <c r="P1764" s="46">
        <f>HEX2DEC(RIGHT(Table13232127[[#This Row],[h1]],8))</f>
        <v>0</v>
      </c>
      <c r="Q1764" s="46" t="s">
        <v>97</v>
      </c>
      <c r="R1764" s="46">
        <f>HEX2DEC(RIGHT(Table13232127[[#This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6" t="s">
        <v>97</v>
      </c>
      <c r="P1765" s="46">
        <f>HEX2DEC(RIGHT(Table13232127[[#This Row],[h1]],8))</f>
        <v>0</v>
      </c>
      <c r="Q1765" s="46" t="s">
        <v>97</v>
      </c>
      <c r="R1765" s="46">
        <f>HEX2DEC(RIGHT(Table13232127[[#This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6" t="s">
        <v>97</v>
      </c>
      <c r="P1766" s="46">
        <f>HEX2DEC(RIGHT(Table13232127[[#This Row],[h1]],8))</f>
        <v>0</v>
      </c>
      <c r="Q1766" s="46" t="s">
        <v>97</v>
      </c>
      <c r="R1766" s="46">
        <f>HEX2DEC(RIGHT(Table13232127[[#This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6" t="s">
        <v>97</v>
      </c>
      <c r="P1767" s="46">
        <f>HEX2DEC(RIGHT(Table13232127[[#This Row],[h1]],8))</f>
        <v>0</v>
      </c>
      <c r="Q1767" s="46" t="s">
        <v>97</v>
      </c>
      <c r="R1767" s="46">
        <f>HEX2DEC(RIGHT(Table13232127[[#This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6" t="s">
        <v>97</v>
      </c>
      <c r="P1768" s="46">
        <f>HEX2DEC(RIGHT(Table13232127[[#This Row],[h1]],8))</f>
        <v>0</v>
      </c>
      <c r="Q1768" s="46" t="s">
        <v>97</v>
      </c>
      <c r="R1768" s="46">
        <f>HEX2DEC(RIGHT(Table13232127[[#This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6" t="s">
        <v>97</v>
      </c>
      <c r="P1769" s="46">
        <f>HEX2DEC(RIGHT(Table13232127[[#This Row],[h1]],8))</f>
        <v>0</v>
      </c>
      <c r="Q1769" s="46" t="s">
        <v>97</v>
      </c>
      <c r="R1769" s="46">
        <f>HEX2DEC(RIGHT(Table13232127[[#This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6" t="s">
        <v>97</v>
      </c>
      <c r="P1770" s="46">
        <f>HEX2DEC(RIGHT(Table13232127[[#This Row],[h1]],8))</f>
        <v>0</v>
      </c>
      <c r="Q1770" s="46" t="s">
        <v>97</v>
      </c>
      <c r="R1770" s="46">
        <f>HEX2DEC(RIGHT(Table13232127[[#This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6" t="s">
        <v>97</v>
      </c>
      <c r="P1771" s="46">
        <f>HEX2DEC(RIGHT(Table13232127[[#This Row],[h1]],8))</f>
        <v>0</v>
      </c>
      <c r="Q1771" s="46" t="s">
        <v>97</v>
      </c>
      <c r="R1771" s="46">
        <f>HEX2DEC(RIGHT(Table13232127[[#This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6" t="s">
        <v>97</v>
      </c>
      <c r="P1772" s="46">
        <f>HEX2DEC(RIGHT(Table13232127[[#This Row],[h1]],8))</f>
        <v>0</v>
      </c>
      <c r="Q1772" s="46" t="s">
        <v>97</v>
      </c>
      <c r="R1772" s="46">
        <f>HEX2DEC(RIGHT(Table13232127[[#This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6" t="s">
        <v>97</v>
      </c>
      <c r="P1773" s="46">
        <f>HEX2DEC(RIGHT(Table13232127[[#This Row],[h1]],8))</f>
        <v>0</v>
      </c>
      <c r="Q1773" s="46" t="s">
        <v>97</v>
      </c>
      <c r="R1773" s="46">
        <f>HEX2DEC(RIGHT(Table13232127[[#This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6" t="s">
        <v>97</v>
      </c>
      <c r="P1774" s="46">
        <f>HEX2DEC(RIGHT(Table13232127[[#This Row],[h1]],8))</f>
        <v>0</v>
      </c>
      <c r="Q1774" s="46" t="s">
        <v>97</v>
      </c>
      <c r="R1774" s="46">
        <f>HEX2DEC(RIGHT(Table13232127[[#This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6" t="s">
        <v>97</v>
      </c>
      <c r="P1775" s="46">
        <f>HEX2DEC(RIGHT(Table13232127[[#This Row],[h1]],8))</f>
        <v>0</v>
      </c>
      <c r="Q1775" s="46" t="s">
        <v>97</v>
      </c>
      <c r="R1775" s="46">
        <f>HEX2DEC(RIGHT(Table13232127[[#This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6" t="s">
        <v>97</v>
      </c>
      <c r="P1776" s="46">
        <f>HEX2DEC(RIGHT(Table13232127[[#This Row],[h1]],8))</f>
        <v>0</v>
      </c>
      <c r="Q1776" s="46" t="s">
        <v>97</v>
      </c>
      <c r="R1776" s="46">
        <f>HEX2DEC(RIGHT(Table13232127[[#This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6" t="s">
        <v>97</v>
      </c>
      <c r="P1777" s="46">
        <f>HEX2DEC(RIGHT(Table13232127[[#This Row],[h1]],8))</f>
        <v>0</v>
      </c>
      <c r="Q1777" s="46" t="s">
        <v>97</v>
      </c>
      <c r="R1777" s="46">
        <f>HEX2DEC(RIGHT(Table13232127[[#This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6" t="s">
        <v>97</v>
      </c>
      <c r="P1778" s="46">
        <f>HEX2DEC(RIGHT(Table13232127[[#This Row],[h1]],8))</f>
        <v>0</v>
      </c>
      <c r="Q1778" s="46" t="s">
        <v>97</v>
      </c>
      <c r="R1778" s="46">
        <f>HEX2DEC(RIGHT(Table13232127[[#This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6" t="s">
        <v>97</v>
      </c>
      <c r="P1779" s="46">
        <f>HEX2DEC(RIGHT(Table13232127[[#This Row],[h1]],8))</f>
        <v>0</v>
      </c>
      <c r="Q1779" s="46" t="s">
        <v>97</v>
      </c>
      <c r="R1779" s="46">
        <f>HEX2DEC(RIGHT(Table13232127[[#This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6" t="s">
        <v>97</v>
      </c>
      <c r="P1780" s="46">
        <f>HEX2DEC(RIGHT(Table13232127[[#This Row],[h1]],8))</f>
        <v>0</v>
      </c>
      <c r="Q1780" s="46" t="s">
        <v>97</v>
      </c>
      <c r="R1780" s="46">
        <f>HEX2DEC(RIGHT(Table13232127[[#This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6" t="s">
        <v>97</v>
      </c>
      <c r="P1781" s="46">
        <f>HEX2DEC(RIGHT(Table13232127[[#This Row],[h1]],8))</f>
        <v>0</v>
      </c>
      <c r="Q1781" s="46" t="s">
        <v>97</v>
      </c>
      <c r="R1781" s="46">
        <f>HEX2DEC(RIGHT(Table13232127[[#This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6" t="s">
        <v>97</v>
      </c>
      <c r="P1782" s="46">
        <f>HEX2DEC(RIGHT(Table13232127[[#This Row],[h1]],8))</f>
        <v>0</v>
      </c>
      <c r="Q1782" s="46" t="s">
        <v>97</v>
      </c>
      <c r="R1782" s="46">
        <f>HEX2DEC(RIGHT(Table13232127[[#This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6" t="s">
        <v>97</v>
      </c>
      <c r="P1783" s="46">
        <f>HEX2DEC(RIGHT(Table13232127[[#This Row],[h1]],8))</f>
        <v>0</v>
      </c>
      <c r="Q1783" s="46" t="s">
        <v>97</v>
      </c>
      <c r="R1783" s="46">
        <f>HEX2DEC(RIGHT(Table13232127[[#This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6" t="s">
        <v>97</v>
      </c>
      <c r="P1784" s="46">
        <f>HEX2DEC(RIGHT(Table13232127[[#This Row],[h1]],8))</f>
        <v>0</v>
      </c>
      <c r="Q1784" s="46" t="s">
        <v>97</v>
      </c>
      <c r="R1784" s="46">
        <f>HEX2DEC(RIGHT(Table13232127[[#This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6" t="s">
        <v>97</v>
      </c>
      <c r="P1785" s="46">
        <f>HEX2DEC(RIGHT(Table13232127[[#This Row],[h1]],8))</f>
        <v>0</v>
      </c>
      <c r="Q1785" s="46" t="s">
        <v>97</v>
      </c>
      <c r="R1785" s="46">
        <f>HEX2DEC(RIGHT(Table13232127[[#This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6" t="s">
        <v>97</v>
      </c>
      <c r="P1786" s="46">
        <f>HEX2DEC(RIGHT(Table13232127[[#This Row],[h1]],8))</f>
        <v>0</v>
      </c>
      <c r="Q1786" s="46" t="s">
        <v>97</v>
      </c>
      <c r="R1786" s="46">
        <f>HEX2DEC(RIGHT(Table13232127[[#This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6" t="s">
        <v>97</v>
      </c>
      <c r="P1787" s="46">
        <f>HEX2DEC(RIGHT(Table13232127[[#This Row],[h1]],8))</f>
        <v>0</v>
      </c>
      <c r="Q1787" s="46" t="s">
        <v>97</v>
      </c>
      <c r="R1787" s="46">
        <f>HEX2DEC(RIGHT(Table13232127[[#This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6" t="s">
        <v>97</v>
      </c>
      <c r="P1788" s="46">
        <f>HEX2DEC(RIGHT(Table13232127[[#This Row],[h1]],8))</f>
        <v>0</v>
      </c>
      <c r="Q1788" s="46" t="s">
        <v>97</v>
      </c>
      <c r="R1788" s="46">
        <f>HEX2DEC(RIGHT(Table13232127[[#This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6" t="s">
        <v>97</v>
      </c>
      <c r="P1789" s="46">
        <f>HEX2DEC(RIGHT(Table13232127[[#This Row],[h1]],8))</f>
        <v>0</v>
      </c>
      <c r="Q1789" s="46" t="s">
        <v>97</v>
      </c>
      <c r="R1789" s="46">
        <f>HEX2DEC(RIGHT(Table13232127[[#This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6" t="s">
        <v>97</v>
      </c>
      <c r="P1790" s="46">
        <f>HEX2DEC(RIGHT(Table13232127[[#This Row],[h1]],8))</f>
        <v>0</v>
      </c>
      <c r="Q1790" s="46" t="s">
        <v>97</v>
      </c>
      <c r="R1790" s="46">
        <f>HEX2DEC(RIGHT(Table13232127[[#This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6" t="s">
        <v>97</v>
      </c>
      <c r="P1791" s="46">
        <f>HEX2DEC(RIGHT(Table13232127[[#This Row],[h1]],8))</f>
        <v>0</v>
      </c>
      <c r="Q1791" s="46" t="s">
        <v>97</v>
      </c>
      <c r="R1791" s="46">
        <f>HEX2DEC(RIGHT(Table13232127[[#This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6" t="s">
        <v>97</v>
      </c>
      <c r="P1792" s="46">
        <f>HEX2DEC(RIGHT(Table13232127[[#This Row],[h1]],8))</f>
        <v>0</v>
      </c>
      <c r="Q1792" s="46" t="s">
        <v>97</v>
      </c>
      <c r="R1792" s="46">
        <f>HEX2DEC(RIGHT(Table13232127[[#This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6" t="s">
        <v>97</v>
      </c>
      <c r="P1793" s="46">
        <f>HEX2DEC(RIGHT(Table13232127[[#This Row],[h1]],8))</f>
        <v>0</v>
      </c>
      <c r="Q1793" s="46" t="s">
        <v>97</v>
      </c>
      <c r="R1793" s="46">
        <f>HEX2DEC(RIGHT(Table13232127[[#This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6" t="s">
        <v>97</v>
      </c>
      <c r="P1794" s="46">
        <f>HEX2DEC(RIGHT(Table13232127[[#This Row],[h1]],8))</f>
        <v>0</v>
      </c>
      <c r="Q1794" s="46" t="s">
        <v>97</v>
      </c>
      <c r="R1794" s="46">
        <f>HEX2DEC(RIGHT(Table13232127[[#This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6" t="s">
        <v>97</v>
      </c>
      <c r="P1795" s="46">
        <f>HEX2DEC(RIGHT(Table13232127[[#This Row],[h1]],8))</f>
        <v>0</v>
      </c>
      <c r="Q1795" s="46" t="s">
        <v>97</v>
      </c>
      <c r="R1795" s="46">
        <f>HEX2DEC(RIGHT(Table13232127[[#This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6" t="s">
        <v>97</v>
      </c>
      <c r="P1796" s="46">
        <f>HEX2DEC(RIGHT(Table13232127[[#This Row],[h1]],8))</f>
        <v>0</v>
      </c>
      <c r="Q1796" s="46" t="s">
        <v>97</v>
      </c>
      <c r="R1796" s="46">
        <f>HEX2DEC(RIGHT(Table13232127[[#This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6" t="s">
        <v>97</v>
      </c>
      <c r="P1797" s="46">
        <f>HEX2DEC(RIGHT(Table13232127[[#This Row],[h1]],8))</f>
        <v>0</v>
      </c>
      <c r="Q1797" s="46" t="s">
        <v>97</v>
      </c>
      <c r="R1797" s="46">
        <f>HEX2DEC(RIGHT(Table13232127[[#This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6" t="s">
        <v>97</v>
      </c>
      <c r="P1798" s="46">
        <f>HEX2DEC(RIGHT(Table13232127[[#This Row],[h1]],8))</f>
        <v>0</v>
      </c>
      <c r="Q1798" s="46" t="s">
        <v>97</v>
      </c>
      <c r="R1798" s="46">
        <f>HEX2DEC(RIGHT(Table13232127[[#This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6" t="s">
        <v>97</v>
      </c>
      <c r="P1799" s="46">
        <f>HEX2DEC(RIGHT(Table13232127[[#This Row],[h1]],8))</f>
        <v>0</v>
      </c>
      <c r="Q1799" s="46" t="s">
        <v>97</v>
      </c>
      <c r="R1799" s="46">
        <f>HEX2DEC(RIGHT(Table13232127[[#This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6" t="s">
        <v>97</v>
      </c>
      <c r="P1800" s="46">
        <f>HEX2DEC(RIGHT(Table13232127[[#This Row],[h1]],8))</f>
        <v>0</v>
      </c>
      <c r="Q1800" s="46" t="s">
        <v>97</v>
      </c>
      <c r="R1800" s="46">
        <f>HEX2DEC(RIGHT(Table13232127[[#This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6" t="s">
        <v>97</v>
      </c>
      <c r="P1801" s="46">
        <f>HEX2DEC(RIGHT(Table13232127[[#This Row],[h1]],8))</f>
        <v>0</v>
      </c>
      <c r="Q1801" s="46" t="s">
        <v>97</v>
      </c>
      <c r="R1801" s="46">
        <f>HEX2DEC(RIGHT(Table13232127[[#This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6" t="s">
        <v>97</v>
      </c>
      <c r="P1802" s="46">
        <f>HEX2DEC(RIGHT(Table13232127[[#This Row],[h1]],8))</f>
        <v>0</v>
      </c>
      <c r="Q1802" s="46" t="s">
        <v>97</v>
      </c>
      <c r="R1802" s="46">
        <f>HEX2DEC(RIGHT(Table13232127[[#This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6" t="s">
        <v>97</v>
      </c>
      <c r="P1803" s="46">
        <f>HEX2DEC(RIGHT(Table13232127[[#This Row],[h1]],8))</f>
        <v>0</v>
      </c>
      <c r="Q1803" s="46" t="s">
        <v>97</v>
      </c>
      <c r="R1803" s="46">
        <f>HEX2DEC(RIGHT(Table13232127[[#This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6" t="s">
        <v>97</v>
      </c>
      <c r="P1804" s="46">
        <f>HEX2DEC(RIGHT(Table13232127[[#This Row],[h1]],8))</f>
        <v>0</v>
      </c>
      <c r="Q1804" s="46" t="s">
        <v>97</v>
      </c>
      <c r="R1804" s="46">
        <f>HEX2DEC(RIGHT(Table13232127[[#This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6" t="s">
        <v>97</v>
      </c>
      <c r="P1805" s="46">
        <f>HEX2DEC(RIGHT(Table13232127[[#This Row],[h1]],8))</f>
        <v>0</v>
      </c>
      <c r="Q1805" s="46" t="s">
        <v>97</v>
      </c>
      <c r="R1805" s="46">
        <f>HEX2DEC(RIGHT(Table13232127[[#This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6" t="s">
        <v>97</v>
      </c>
      <c r="P1806" s="46">
        <f>HEX2DEC(RIGHT(Table13232127[[#This Row],[h1]],8))</f>
        <v>0</v>
      </c>
      <c r="Q1806" s="46" t="s">
        <v>97</v>
      </c>
      <c r="R1806" s="46">
        <f>HEX2DEC(RIGHT(Table13232127[[#This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6" t="s">
        <v>97</v>
      </c>
      <c r="P1807" s="46">
        <f>HEX2DEC(RIGHT(Table13232127[[#This Row],[h1]],8))</f>
        <v>0</v>
      </c>
      <c r="Q1807" s="46" t="s">
        <v>97</v>
      </c>
      <c r="R1807" s="46">
        <f>HEX2DEC(RIGHT(Table13232127[[#This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6" t="s">
        <v>97</v>
      </c>
      <c r="P1808" s="46">
        <f>HEX2DEC(RIGHT(Table13232127[[#This Row],[h1]],8))</f>
        <v>0</v>
      </c>
      <c r="Q1808" s="46" t="s">
        <v>97</v>
      </c>
      <c r="R1808" s="46">
        <f>HEX2DEC(RIGHT(Table13232127[[#This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6" t="s">
        <v>97</v>
      </c>
      <c r="P1809" s="46">
        <f>HEX2DEC(RIGHT(Table13232127[[#This Row],[h1]],8))</f>
        <v>0</v>
      </c>
      <c r="Q1809" s="46" t="s">
        <v>97</v>
      </c>
      <c r="R1809" s="46">
        <f>HEX2DEC(RIGHT(Table13232127[[#This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6" t="s">
        <v>97</v>
      </c>
      <c r="P1810" s="46">
        <f>HEX2DEC(RIGHT(Table13232127[[#This Row],[h1]],8))</f>
        <v>0</v>
      </c>
      <c r="Q1810" s="46" t="s">
        <v>97</v>
      </c>
      <c r="R1810" s="46">
        <f>HEX2DEC(RIGHT(Table13232127[[#This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6" t="s">
        <v>97</v>
      </c>
      <c r="P1811" s="46">
        <f>HEX2DEC(RIGHT(Table13232127[[#This Row],[h1]],8))</f>
        <v>0</v>
      </c>
      <c r="Q1811" s="46" t="s">
        <v>97</v>
      </c>
      <c r="R1811" s="46">
        <f>HEX2DEC(RIGHT(Table13232127[[#This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6" t="s">
        <v>97</v>
      </c>
      <c r="P1812" s="46">
        <f>HEX2DEC(RIGHT(Table13232127[[#This Row],[h1]],8))</f>
        <v>0</v>
      </c>
      <c r="Q1812" s="46" t="s">
        <v>97</v>
      </c>
      <c r="R1812" s="46">
        <f>HEX2DEC(RIGHT(Table13232127[[#This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6" t="s">
        <v>97</v>
      </c>
      <c r="P1813" s="46">
        <f>HEX2DEC(RIGHT(Table13232127[[#This Row],[h1]],8))</f>
        <v>0</v>
      </c>
      <c r="Q1813" s="46" t="s">
        <v>97</v>
      </c>
      <c r="R1813" s="46">
        <f>HEX2DEC(RIGHT(Table13232127[[#This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6" t="s">
        <v>97</v>
      </c>
      <c r="P1814" s="46">
        <f>HEX2DEC(RIGHT(Table13232127[[#This Row],[h1]],8))</f>
        <v>0</v>
      </c>
      <c r="Q1814" s="46" t="s">
        <v>97</v>
      </c>
      <c r="R1814" s="46">
        <f>HEX2DEC(RIGHT(Table13232127[[#This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6" t="s">
        <v>97</v>
      </c>
      <c r="P1815" s="46">
        <f>HEX2DEC(RIGHT(Table13232127[[#This Row],[h1]],8))</f>
        <v>0</v>
      </c>
      <c r="Q1815" s="46" t="s">
        <v>97</v>
      </c>
      <c r="R1815" s="46">
        <f>HEX2DEC(RIGHT(Table13232127[[#This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6" t="s">
        <v>97</v>
      </c>
      <c r="P1816" s="46">
        <f>HEX2DEC(RIGHT(Table13232127[[#This Row],[h1]],8))</f>
        <v>0</v>
      </c>
      <c r="Q1816" s="46" t="s">
        <v>97</v>
      </c>
      <c r="R1816" s="46">
        <f>HEX2DEC(RIGHT(Table13232127[[#This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6" t="s">
        <v>97</v>
      </c>
      <c r="P1817" s="46">
        <f>HEX2DEC(RIGHT(Table13232127[[#This Row],[h1]],8))</f>
        <v>0</v>
      </c>
      <c r="Q1817" s="46" t="s">
        <v>97</v>
      </c>
      <c r="R1817" s="46">
        <f>HEX2DEC(RIGHT(Table13232127[[#This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6" t="s">
        <v>97</v>
      </c>
      <c r="P1818" s="46">
        <f>HEX2DEC(RIGHT(Table13232127[[#This Row],[h1]],8))</f>
        <v>0</v>
      </c>
      <c r="Q1818" s="46" t="s">
        <v>97</v>
      </c>
      <c r="R1818" s="46">
        <f>HEX2DEC(RIGHT(Table13232127[[#This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6" t="s">
        <v>97</v>
      </c>
      <c r="P1819" s="46">
        <f>HEX2DEC(RIGHT(Table13232127[[#This Row],[h1]],8))</f>
        <v>0</v>
      </c>
      <c r="Q1819" s="46" t="s">
        <v>97</v>
      </c>
      <c r="R1819" s="46">
        <f>HEX2DEC(RIGHT(Table13232127[[#This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6" t="s">
        <v>97</v>
      </c>
      <c r="P1820" s="46">
        <f>HEX2DEC(RIGHT(Table13232127[[#This Row],[h1]],8))</f>
        <v>0</v>
      </c>
      <c r="Q1820" s="46" t="s">
        <v>97</v>
      </c>
      <c r="R1820" s="46">
        <f>HEX2DEC(RIGHT(Table13232127[[#This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6" t="s">
        <v>97</v>
      </c>
      <c r="P1821" s="46">
        <f>HEX2DEC(RIGHT(Table13232127[[#This Row],[h1]],8))</f>
        <v>0</v>
      </c>
      <c r="Q1821" s="46" t="s">
        <v>97</v>
      </c>
      <c r="R1821" s="46">
        <f>HEX2DEC(RIGHT(Table13232127[[#This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6" t="s">
        <v>97</v>
      </c>
      <c r="P1822" s="46">
        <f>HEX2DEC(RIGHT(Table13232127[[#This Row],[h1]],8))</f>
        <v>0</v>
      </c>
      <c r="Q1822" s="46" t="s">
        <v>97</v>
      </c>
      <c r="R1822" s="46">
        <f>HEX2DEC(RIGHT(Table13232127[[#This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6" t="s">
        <v>97</v>
      </c>
      <c r="P1823" s="46">
        <f>HEX2DEC(RIGHT(Table13232127[[#This Row],[h1]],8))</f>
        <v>0</v>
      </c>
      <c r="Q1823" s="46" t="s">
        <v>97</v>
      </c>
      <c r="R1823" s="46">
        <f>HEX2DEC(RIGHT(Table13232127[[#This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6" t="s">
        <v>97</v>
      </c>
      <c r="P1824" s="46">
        <f>HEX2DEC(RIGHT(Table13232127[[#This Row],[h1]],8))</f>
        <v>0</v>
      </c>
      <c r="Q1824" s="46" t="s">
        <v>97</v>
      </c>
      <c r="R1824" s="46">
        <f>HEX2DEC(RIGHT(Table13232127[[#This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6" t="s">
        <v>97</v>
      </c>
      <c r="P1825" s="46">
        <f>HEX2DEC(RIGHT(Table13232127[[#This Row],[h1]],8))</f>
        <v>0</v>
      </c>
      <c r="Q1825" s="46" t="s">
        <v>97</v>
      </c>
      <c r="R1825" s="46">
        <f>HEX2DEC(RIGHT(Table13232127[[#This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6" t="s">
        <v>97</v>
      </c>
      <c r="P1826" s="46">
        <f>HEX2DEC(RIGHT(Table13232127[[#This Row],[h1]],8))</f>
        <v>0</v>
      </c>
      <c r="Q1826" s="46" t="s">
        <v>97</v>
      </c>
      <c r="R1826" s="46">
        <f>HEX2DEC(RIGHT(Table13232127[[#This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6" t="s">
        <v>97</v>
      </c>
      <c r="P1827" s="46">
        <f>HEX2DEC(RIGHT(Table13232127[[#This Row],[h1]],8))</f>
        <v>0</v>
      </c>
      <c r="Q1827" s="46" t="s">
        <v>97</v>
      </c>
      <c r="R1827" s="46">
        <f>HEX2DEC(RIGHT(Table13232127[[#This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6" t="s">
        <v>97</v>
      </c>
      <c r="P1828" s="46">
        <f>HEX2DEC(RIGHT(Table13232127[[#This Row],[h1]],8))</f>
        <v>0</v>
      </c>
      <c r="Q1828" s="46" t="s">
        <v>97</v>
      </c>
      <c r="R1828" s="46">
        <f>HEX2DEC(RIGHT(Table13232127[[#This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6" t="s">
        <v>97</v>
      </c>
      <c r="P1829" s="46">
        <f>HEX2DEC(RIGHT(Table13232127[[#This Row],[h1]],8))</f>
        <v>0</v>
      </c>
      <c r="Q1829" s="46" t="s">
        <v>97</v>
      </c>
      <c r="R1829" s="46">
        <f>HEX2DEC(RIGHT(Table13232127[[#This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6" t="s">
        <v>97</v>
      </c>
      <c r="P1830" s="46">
        <f>HEX2DEC(RIGHT(Table13232127[[#This Row],[h1]],8))</f>
        <v>0</v>
      </c>
      <c r="Q1830" s="46" t="s">
        <v>97</v>
      </c>
      <c r="R1830" s="46">
        <f>HEX2DEC(RIGHT(Table13232127[[#This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6" t="s">
        <v>97</v>
      </c>
      <c r="P1831" s="46">
        <f>HEX2DEC(RIGHT(Table13232127[[#This Row],[h1]],8))</f>
        <v>0</v>
      </c>
      <c r="Q1831" s="46" t="s">
        <v>97</v>
      </c>
      <c r="R1831" s="46">
        <f>HEX2DEC(RIGHT(Table13232127[[#This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6" t="s">
        <v>97</v>
      </c>
      <c r="P1832" s="46">
        <f>HEX2DEC(RIGHT(Table13232127[[#This Row],[h1]],8))</f>
        <v>0</v>
      </c>
      <c r="Q1832" s="46" t="s">
        <v>97</v>
      </c>
      <c r="R1832" s="46">
        <f>HEX2DEC(RIGHT(Table13232127[[#This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6" t="s">
        <v>97</v>
      </c>
      <c r="P1833" s="46">
        <f>HEX2DEC(RIGHT(Table13232127[[#This Row],[h1]],8))</f>
        <v>0</v>
      </c>
      <c r="Q1833" s="46" t="s">
        <v>97</v>
      </c>
      <c r="R1833" s="46">
        <f>HEX2DEC(RIGHT(Table13232127[[#This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6" t="s">
        <v>97</v>
      </c>
      <c r="P1834" s="46">
        <f>HEX2DEC(RIGHT(Table13232127[[#This Row],[h1]],8))</f>
        <v>0</v>
      </c>
      <c r="Q1834" s="46" t="s">
        <v>97</v>
      </c>
      <c r="R1834" s="46">
        <f>HEX2DEC(RIGHT(Table13232127[[#This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6" t="s">
        <v>97</v>
      </c>
      <c r="P1835" s="46">
        <f>HEX2DEC(RIGHT(Table13232127[[#This Row],[h1]],8))</f>
        <v>0</v>
      </c>
      <c r="Q1835" s="46" t="s">
        <v>97</v>
      </c>
      <c r="R1835" s="46">
        <f>HEX2DEC(RIGHT(Table13232127[[#This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6" t="s">
        <v>97</v>
      </c>
      <c r="P1836" s="46">
        <f>HEX2DEC(RIGHT(Table13232127[[#This Row],[h1]],8))</f>
        <v>0</v>
      </c>
      <c r="Q1836" s="46" t="s">
        <v>97</v>
      </c>
      <c r="R1836" s="46">
        <f>HEX2DEC(RIGHT(Table13232127[[#This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6" t="s">
        <v>97</v>
      </c>
      <c r="P1837" s="46">
        <f>HEX2DEC(RIGHT(Table13232127[[#This Row],[h1]],8))</f>
        <v>0</v>
      </c>
      <c r="Q1837" s="46" t="s">
        <v>97</v>
      </c>
      <c r="R1837" s="46">
        <f>HEX2DEC(RIGHT(Table13232127[[#This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6" t="s">
        <v>97</v>
      </c>
      <c r="P1838" s="46">
        <f>HEX2DEC(RIGHT(Table13232127[[#This Row],[h1]],8))</f>
        <v>0</v>
      </c>
      <c r="Q1838" s="46" t="s">
        <v>97</v>
      </c>
      <c r="R1838" s="46">
        <f>HEX2DEC(RIGHT(Table13232127[[#This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6" t="s">
        <v>97</v>
      </c>
      <c r="P1839" s="46">
        <f>HEX2DEC(RIGHT(Table13232127[[#This Row],[h1]],8))</f>
        <v>0</v>
      </c>
      <c r="Q1839" s="46" t="s">
        <v>97</v>
      </c>
      <c r="R1839" s="46">
        <f>HEX2DEC(RIGHT(Table13232127[[#This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6" t="s">
        <v>97</v>
      </c>
      <c r="P1840" s="46">
        <f>HEX2DEC(RIGHT(Table13232127[[#This Row],[h1]],8))</f>
        <v>0</v>
      </c>
      <c r="Q1840" s="46" t="s">
        <v>97</v>
      </c>
      <c r="R1840" s="46">
        <f>HEX2DEC(RIGHT(Table13232127[[#This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6" t="s">
        <v>97</v>
      </c>
      <c r="P1841" s="46">
        <f>HEX2DEC(RIGHT(Table13232127[[#This Row],[h1]],8))</f>
        <v>0</v>
      </c>
      <c r="Q1841" s="46" t="s">
        <v>97</v>
      </c>
      <c r="R1841" s="46">
        <f>HEX2DEC(RIGHT(Table13232127[[#This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6" t="s">
        <v>97</v>
      </c>
      <c r="P1842" s="46">
        <f>HEX2DEC(RIGHT(Table13232127[[#This Row],[h1]],8))</f>
        <v>0</v>
      </c>
      <c r="Q1842" s="46" t="s">
        <v>97</v>
      </c>
      <c r="R1842" s="46">
        <f>HEX2DEC(RIGHT(Table13232127[[#This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6" t="s">
        <v>97</v>
      </c>
      <c r="P1843" s="46">
        <f>HEX2DEC(RIGHT(Table13232127[[#This Row],[h1]],8))</f>
        <v>0</v>
      </c>
      <c r="Q1843" s="46" t="s">
        <v>97</v>
      </c>
      <c r="R1843" s="46">
        <f>HEX2DEC(RIGHT(Table13232127[[#This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6" t="s">
        <v>97</v>
      </c>
      <c r="P1844" s="46">
        <f>HEX2DEC(RIGHT(Table13232127[[#This Row],[h1]],8))</f>
        <v>0</v>
      </c>
      <c r="Q1844" s="46" t="s">
        <v>97</v>
      </c>
      <c r="R1844" s="46">
        <f>HEX2DEC(RIGHT(Table13232127[[#This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6" t="s">
        <v>97</v>
      </c>
      <c r="P1845" s="46">
        <f>HEX2DEC(RIGHT(Table13232127[[#This Row],[h1]],8))</f>
        <v>0</v>
      </c>
      <c r="Q1845" s="46" t="s">
        <v>97</v>
      </c>
      <c r="R1845" s="46">
        <f>HEX2DEC(RIGHT(Table13232127[[#This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6" t="s">
        <v>97</v>
      </c>
      <c r="P1846" s="46">
        <f>HEX2DEC(RIGHT(Table13232127[[#This Row],[h1]],8))</f>
        <v>0</v>
      </c>
      <c r="Q1846" s="46" t="s">
        <v>97</v>
      </c>
      <c r="R1846" s="46">
        <f>HEX2DEC(RIGHT(Table13232127[[#This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6" t="s">
        <v>97</v>
      </c>
      <c r="P1847" s="46">
        <f>HEX2DEC(RIGHT(Table13232127[[#This Row],[h1]],8))</f>
        <v>0</v>
      </c>
      <c r="Q1847" s="46" t="s">
        <v>97</v>
      </c>
      <c r="R1847" s="46">
        <f>HEX2DEC(RIGHT(Table13232127[[#This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6" t="s">
        <v>97</v>
      </c>
      <c r="P1848" s="46">
        <f>HEX2DEC(RIGHT(Table13232127[[#This Row],[h1]],8))</f>
        <v>0</v>
      </c>
      <c r="Q1848" s="46" t="s">
        <v>97</v>
      </c>
      <c r="R1848" s="46">
        <f>HEX2DEC(RIGHT(Table13232127[[#This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6" t="s">
        <v>97</v>
      </c>
      <c r="P1849" s="46">
        <f>HEX2DEC(RIGHT(Table13232127[[#This Row],[h1]],8))</f>
        <v>0</v>
      </c>
      <c r="Q1849" s="46" t="s">
        <v>97</v>
      </c>
      <c r="R1849" s="46">
        <f>HEX2DEC(RIGHT(Table13232127[[#This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6" t="s">
        <v>97</v>
      </c>
      <c r="P1850" s="46">
        <f>HEX2DEC(RIGHT(Table13232127[[#This Row],[h1]],8))</f>
        <v>0</v>
      </c>
      <c r="Q1850" s="46" t="s">
        <v>97</v>
      </c>
      <c r="R1850" s="46">
        <f>HEX2DEC(RIGHT(Table13232127[[#This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6" t="s">
        <v>97</v>
      </c>
      <c r="P1851" s="46">
        <f>HEX2DEC(RIGHT(Table13232127[[#This Row],[h1]],8))</f>
        <v>0</v>
      </c>
      <c r="Q1851" s="46" t="s">
        <v>97</v>
      </c>
      <c r="R1851" s="46">
        <f>HEX2DEC(RIGHT(Table13232127[[#This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6" t="s">
        <v>97</v>
      </c>
      <c r="P1852" s="46">
        <f>HEX2DEC(RIGHT(Table13232127[[#This Row],[h1]],8))</f>
        <v>0</v>
      </c>
      <c r="Q1852" s="46" t="s">
        <v>97</v>
      </c>
      <c r="R1852" s="46">
        <f>HEX2DEC(RIGHT(Table13232127[[#This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6" t="s">
        <v>97</v>
      </c>
      <c r="P1853" s="46">
        <f>HEX2DEC(RIGHT(Table13232127[[#This Row],[h1]],8))</f>
        <v>0</v>
      </c>
      <c r="Q1853" s="46" t="s">
        <v>97</v>
      </c>
      <c r="R1853" s="46">
        <f>HEX2DEC(RIGHT(Table13232127[[#This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6" t="s">
        <v>97</v>
      </c>
      <c r="P1854" s="46">
        <f>HEX2DEC(RIGHT(Table13232127[[#This Row],[h1]],8))</f>
        <v>0</v>
      </c>
      <c r="Q1854" s="46" t="s">
        <v>97</v>
      </c>
      <c r="R1854" s="46">
        <f>HEX2DEC(RIGHT(Table13232127[[#This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6" t="s">
        <v>97</v>
      </c>
      <c r="P1855" s="46">
        <f>HEX2DEC(RIGHT(Table13232127[[#This Row],[h1]],8))</f>
        <v>0</v>
      </c>
      <c r="Q1855" s="46" t="s">
        <v>97</v>
      </c>
      <c r="R1855" s="46">
        <f>HEX2DEC(RIGHT(Table13232127[[#This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6" t="s">
        <v>97</v>
      </c>
      <c r="P1856" s="46">
        <f>HEX2DEC(RIGHT(Table13232127[[#This Row],[h1]],8))</f>
        <v>0</v>
      </c>
      <c r="Q1856" s="46" t="s">
        <v>97</v>
      </c>
      <c r="R1856" s="46">
        <f>HEX2DEC(RIGHT(Table13232127[[#This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6" t="s">
        <v>97</v>
      </c>
      <c r="P1857" s="46">
        <f>HEX2DEC(RIGHT(Table13232127[[#This Row],[h1]],8))</f>
        <v>0</v>
      </c>
      <c r="Q1857" s="46" t="s">
        <v>97</v>
      </c>
      <c r="R1857" s="46">
        <f>HEX2DEC(RIGHT(Table13232127[[#This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6" t="s">
        <v>97</v>
      </c>
      <c r="P1858" s="46">
        <f>HEX2DEC(RIGHT(Table13232127[[#This Row],[h1]],8))</f>
        <v>0</v>
      </c>
      <c r="Q1858" s="46" t="s">
        <v>97</v>
      </c>
      <c r="R1858" s="46">
        <f>HEX2DEC(RIGHT(Table13232127[[#This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6" t="s">
        <v>97</v>
      </c>
      <c r="P1859" s="46">
        <f>HEX2DEC(RIGHT(Table13232127[[#This Row],[h1]],8))</f>
        <v>0</v>
      </c>
      <c r="Q1859" s="46" t="s">
        <v>97</v>
      </c>
      <c r="R1859" s="46">
        <f>HEX2DEC(RIGHT(Table13232127[[#This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6" t="s">
        <v>97</v>
      </c>
      <c r="P1860" s="46">
        <f>HEX2DEC(RIGHT(Table13232127[[#This Row],[h1]],8))</f>
        <v>0</v>
      </c>
      <c r="Q1860" s="46" t="s">
        <v>97</v>
      </c>
      <c r="R1860" s="46">
        <f>HEX2DEC(RIGHT(Table13232127[[#This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6" t="s">
        <v>97</v>
      </c>
      <c r="P1861" s="46">
        <f>HEX2DEC(RIGHT(Table13232127[[#This Row],[h1]],8))</f>
        <v>0</v>
      </c>
      <c r="Q1861" s="46" t="s">
        <v>97</v>
      </c>
      <c r="R1861" s="46">
        <f>HEX2DEC(RIGHT(Table13232127[[#This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6" t="s">
        <v>97</v>
      </c>
      <c r="P1862" s="46">
        <f>HEX2DEC(RIGHT(Table13232127[[#This Row],[h1]],8))</f>
        <v>0</v>
      </c>
      <c r="Q1862" s="46" t="s">
        <v>97</v>
      </c>
      <c r="R1862" s="46">
        <f>HEX2DEC(RIGHT(Table13232127[[#This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6" t="s">
        <v>97</v>
      </c>
      <c r="P1863" s="46">
        <f>HEX2DEC(RIGHT(Table13232127[[#This Row],[h1]],8))</f>
        <v>0</v>
      </c>
      <c r="Q1863" s="46" t="s">
        <v>97</v>
      </c>
      <c r="R1863" s="46">
        <f>HEX2DEC(RIGHT(Table13232127[[#This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6" t="s">
        <v>97</v>
      </c>
      <c r="P1864" s="46">
        <f>HEX2DEC(RIGHT(Table13232127[[#This Row],[h1]],8))</f>
        <v>0</v>
      </c>
      <c r="Q1864" s="46" t="s">
        <v>97</v>
      </c>
      <c r="R1864" s="46">
        <f>HEX2DEC(RIGHT(Table13232127[[#This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6" t="s">
        <v>97</v>
      </c>
      <c r="P1865" s="46">
        <f>HEX2DEC(RIGHT(Table13232127[[#This Row],[h1]],8))</f>
        <v>0</v>
      </c>
      <c r="Q1865" s="46" t="s">
        <v>97</v>
      </c>
      <c r="R1865" s="46">
        <f>HEX2DEC(RIGHT(Table13232127[[#This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6" t="s">
        <v>97</v>
      </c>
      <c r="P1866" s="46">
        <f>HEX2DEC(RIGHT(Table13232127[[#This Row],[h1]],8))</f>
        <v>0</v>
      </c>
      <c r="Q1866" s="46" t="s">
        <v>97</v>
      </c>
      <c r="R1866" s="46">
        <f>HEX2DEC(RIGHT(Table13232127[[#This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6" t="s">
        <v>97</v>
      </c>
      <c r="P1867" s="46">
        <f>HEX2DEC(RIGHT(Table13232127[[#This Row],[h1]],8))</f>
        <v>0</v>
      </c>
      <c r="Q1867" s="46" t="s">
        <v>97</v>
      </c>
      <c r="R1867" s="46">
        <f>HEX2DEC(RIGHT(Table13232127[[#This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6" t="s">
        <v>97</v>
      </c>
      <c r="P1868" s="46">
        <f>HEX2DEC(RIGHT(Table13232127[[#This Row],[h1]],8))</f>
        <v>0</v>
      </c>
      <c r="Q1868" s="46" t="s">
        <v>97</v>
      </c>
      <c r="R1868" s="46">
        <f>HEX2DEC(RIGHT(Table13232127[[#This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6" t="s">
        <v>97</v>
      </c>
      <c r="P1869" s="46">
        <f>HEX2DEC(RIGHT(Table13232127[[#This Row],[h1]],8))</f>
        <v>0</v>
      </c>
      <c r="Q1869" s="46" t="s">
        <v>97</v>
      </c>
      <c r="R1869" s="46">
        <f>HEX2DEC(RIGHT(Table13232127[[#This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6" t="s">
        <v>97</v>
      </c>
      <c r="P1870" s="46">
        <f>HEX2DEC(RIGHT(Table13232127[[#This Row],[h1]],8))</f>
        <v>0</v>
      </c>
      <c r="Q1870" s="46" t="s">
        <v>97</v>
      </c>
      <c r="R1870" s="46">
        <f>HEX2DEC(RIGHT(Table13232127[[#This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6" t="s">
        <v>97</v>
      </c>
      <c r="P1871" s="46">
        <f>HEX2DEC(RIGHT(Table13232127[[#This Row],[h1]],8))</f>
        <v>0</v>
      </c>
      <c r="Q1871" s="46" t="s">
        <v>97</v>
      </c>
      <c r="R1871" s="46">
        <f>HEX2DEC(RIGHT(Table13232127[[#This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6" t="s">
        <v>97</v>
      </c>
      <c r="P1872" s="46">
        <f>HEX2DEC(RIGHT(Table13232127[[#This Row],[h1]],8))</f>
        <v>0</v>
      </c>
      <c r="Q1872" s="46" t="s">
        <v>97</v>
      </c>
      <c r="R1872" s="46">
        <f>HEX2DEC(RIGHT(Table13232127[[#This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6" t="s">
        <v>97</v>
      </c>
      <c r="P1873" s="46">
        <f>HEX2DEC(RIGHT(Table13232127[[#This Row],[h1]],8))</f>
        <v>0</v>
      </c>
      <c r="Q1873" s="46" t="s">
        <v>97</v>
      </c>
      <c r="R1873" s="46">
        <f>HEX2DEC(RIGHT(Table13232127[[#This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6" t="s">
        <v>97</v>
      </c>
      <c r="P1874" s="46">
        <f>HEX2DEC(RIGHT(Table13232127[[#This Row],[h1]],8))</f>
        <v>0</v>
      </c>
      <c r="Q1874" s="46" t="s">
        <v>97</v>
      </c>
      <c r="R1874" s="46">
        <f>HEX2DEC(RIGHT(Table13232127[[#This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6" t="s">
        <v>97</v>
      </c>
      <c r="P1875" s="46">
        <f>HEX2DEC(RIGHT(Table13232127[[#This Row],[h1]],8))</f>
        <v>0</v>
      </c>
      <c r="Q1875" s="46" t="s">
        <v>97</v>
      </c>
      <c r="R1875" s="46">
        <f>HEX2DEC(RIGHT(Table13232127[[#This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6" t="s">
        <v>97</v>
      </c>
      <c r="P1876" s="46">
        <f>HEX2DEC(RIGHT(Table13232127[[#This Row],[h1]],8))</f>
        <v>0</v>
      </c>
      <c r="Q1876" s="46" t="s">
        <v>97</v>
      </c>
      <c r="R1876" s="46">
        <f>HEX2DEC(RIGHT(Table13232127[[#This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6" t="s">
        <v>97</v>
      </c>
      <c r="P1877" s="46">
        <f>HEX2DEC(RIGHT(Table13232127[[#This Row],[h1]],8))</f>
        <v>0</v>
      </c>
      <c r="Q1877" s="46" t="s">
        <v>97</v>
      </c>
      <c r="R1877" s="46">
        <f>HEX2DEC(RIGHT(Table13232127[[#This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6" t="s">
        <v>97</v>
      </c>
      <c r="P1878" s="46">
        <f>HEX2DEC(RIGHT(Table13232127[[#This Row],[h1]],8))</f>
        <v>0</v>
      </c>
      <c r="Q1878" s="46" t="s">
        <v>97</v>
      </c>
      <c r="R1878" s="46">
        <f>HEX2DEC(RIGHT(Table13232127[[#This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6" t="s">
        <v>97</v>
      </c>
      <c r="P1879" s="46">
        <f>HEX2DEC(RIGHT(Table13232127[[#This Row],[h1]],8))</f>
        <v>0</v>
      </c>
      <c r="Q1879" s="46" t="s">
        <v>97</v>
      </c>
      <c r="R1879" s="46">
        <f>HEX2DEC(RIGHT(Table13232127[[#This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6" t="s">
        <v>97</v>
      </c>
      <c r="P1880" s="46">
        <f>HEX2DEC(RIGHT(Table13232127[[#This Row],[h1]],8))</f>
        <v>0</v>
      </c>
      <c r="Q1880" s="46" t="s">
        <v>97</v>
      </c>
      <c r="R1880" s="46">
        <f>HEX2DEC(RIGHT(Table13232127[[#This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6" t="s">
        <v>97</v>
      </c>
      <c r="P1881" s="46">
        <f>HEX2DEC(RIGHT(Table13232127[[#This Row],[h1]],8))</f>
        <v>0</v>
      </c>
      <c r="Q1881" s="46" t="s">
        <v>97</v>
      </c>
      <c r="R1881" s="46">
        <f>HEX2DEC(RIGHT(Table13232127[[#This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6" t="s">
        <v>97</v>
      </c>
      <c r="P1882" s="46">
        <f>HEX2DEC(RIGHT(Table13232127[[#This Row],[h1]],8))</f>
        <v>0</v>
      </c>
      <c r="Q1882" s="46" t="s">
        <v>97</v>
      </c>
      <c r="R1882" s="46">
        <f>HEX2DEC(RIGHT(Table13232127[[#This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6" t="s">
        <v>97</v>
      </c>
      <c r="P1883" s="46">
        <f>HEX2DEC(RIGHT(Table13232127[[#This Row],[h1]],8))</f>
        <v>0</v>
      </c>
      <c r="Q1883" s="46" t="s">
        <v>97</v>
      </c>
      <c r="R1883" s="46">
        <f>HEX2DEC(RIGHT(Table13232127[[#This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6" t="s">
        <v>97</v>
      </c>
      <c r="P1884" s="46">
        <f>HEX2DEC(RIGHT(Table13232127[[#This Row],[h1]],8))</f>
        <v>0</v>
      </c>
      <c r="Q1884" s="46" t="s">
        <v>97</v>
      </c>
      <c r="R1884" s="46">
        <f>HEX2DEC(RIGHT(Table13232127[[#This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6" t="s">
        <v>97</v>
      </c>
      <c r="P1885" s="46">
        <f>HEX2DEC(RIGHT(Table13232127[[#This Row],[h1]],8))</f>
        <v>0</v>
      </c>
      <c r="Q1885" s="46" t="s">
        <v>97</v>
      </c>
      <c r="R1885" s="46">
        <f>HEX2DEC(RIGHT(Table13232127[[#This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6" t="s">
        <v>97</v>
      </c>
      <c r="P1886" s="46">
        <f>HEX2DEC(RIGHT(Table13232127[[#This Row],[h1]],8))</f>
        <v>0</v>
      </c>
      <c r="Q1886" s="46" t="s">
        <v>97</v>
      </c>
      <c r="R1886" s="46">
        <f>HEX2DEC(RIGHT(Table13232127[[#This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6" t="s">
        <v>97</v>
      </c>
      <c r="P1887" s="46">
        <f>HEX2DEC(RIGHT(Table13232127[[#This Row],[h1]],8))</f>
        <v>0</v>
      </c>
      <c r="Q1887" s="46" t="s">
        <v>97</v>
      </c>
      <c r="R1887" s="46">
        <f>HEX2DEC(RIGHT(Table13232127[[#This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6" t="s">
        <v>97</v>
      </c>
      <c r="P1888" s="46">
        <f>HEX2DEC(RIGHT(Table13232127[[#This Row],[h1]],8))</f>
        <v>0</v>
      </c>
      <c r="Q1888" s="46" t="s">
        <v>97</v>
      </c>
      <c r="R1888" s="46">
        <f>HEX2DEC(RIGHT(Table13232127[[#This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6" t="s">
        <v>97</v>
      </c>
      <c r="P1889" s="46">
        <f>HEX2DEC(RIGHT(Table13232127[[#This Row],[h1]],8))</f>
        <v>0</v>
      </c>
      <c r="Q1889" s="46" t="s">
        <v>97</v>
      </c>
      <c r="R1889" s="46">
        <f>HEX2DEC(RIGHT(Table13232127[[#This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6" t="s">
        <v>97</v>
      </c>
      <c r="P1890" s="46">
        <f>HEX2DEC(RIGHT(Table13232127[[#This Row],[h1]],8))</f>
        <v>0</v>
      </c>
      <c r="Q1890" s="46" t="s">
        <v>97</v>
      </c>
      <c r="R1890" s="46">
        <f>HEX2DEC(RIGHT(Table13232127[[#This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6" t="s">
        <v>97</v>
      </c>
      <c r="P1891" s="46">
        <f>HEX2DEC(RIGHT(Table13232127[[#This Row],[h1]],8))</f>
        <v>0</v>
      </c>
      <c r="Q1891" s="46" t="s">
        <v>97</v>
      </c>
      <c r="R1891" s="46">
        <f>HEX2DEC(RIGHT(Table13232127[[#This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6" t="s">
        <v>97</v>
      </c>
      <c r="P1892" s="46">
        <f>HEX2DEC(RIGHT(Table13232127[[#This Row],[h1]],8))</f>
        <v>0</v>
      </c>
      <c r="Q1892" s="46" t="s">
        <v>97</v>
      </c>
      <c r="R1892" s="46">
        <f>HEX2DEC(RIGHT(Table13232127[[#This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6" t="s">
        <v>97</v>
      </c>
      <c r="P1893" s="46">
        <f>HEX2DEC(RIGHT(Table13232127[[#This Row],[h1]],8))</f>
        <v>0</v>
      </c>
      <c r="Q1893" s="46" t="s">
        <v>97</v>
      </c>
      <c r="R1893" s="46">
        <f>HEX2DEC(RIGHT(Table13232127[[#This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6" t="s">
        <v>97</v>
      </c>
      <c r="P1894" s="46">
        <f>HEX2DEC(RIGHT(Table13232127[[#This Row],[h1]],8))</f>
        <v>0</v>
      </c>
      <c r="Q1894" s="46" t="s">
        <v>97</v>
      </c>
      <c r="R1894" s="46">
        <f>HEX2DEC(RIGHT(Table13232127[[#This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6" t="s">
        <v>97</v>
      </c>
      <c r="P1895" s="46">
        <f>HEX2DEC(RIGHT(Table13232127[[#This Row],[h1]],8))</f>
        <v>0</v>
      </c>
      <c r="Q1895" s="46" t="s">
        <v>97</v>
      </c>
      <c r="R1895" s="46">
        <f>HEX2DEC(RIGHT(Table13232127[[#This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6" t="s">
        <v>97</v>
      </c>
      <c r="P1896" s="46">
        <f>HEX2DEC(RIGHT(Table13232127[[#This Row],[h1]],8))</f>
        <v>0</v>
      </c>
      <c r="Q1896" s="46" t="s">
        <v>97</v>
      </c>
      <c r="R1896" s="46">
        <f>HEX2DEC(RIGHT(Table13232127[[#This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6" t="s">
        <v>97</v>
      </c>
      <c r="P1897" s="46">
        <f>HEX2DEC(RIGHT(Table13232127[[#This Row],[h1]],8))</f>
        <v>0</v>
      </c>
      <c r="Q1897" s="46" t="s">
        <v>97</v>
      </c>
      <c r="R1897" s="46">
        <f>HEX2DEC(RIGHT(Table13232127[[#This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6" t="s">
        <v>97</v>
      </c>
      <c r="P1898" s="46">
        <f>HEX2DEC(RIGHT(Table13232127[[#This Row],[h1]],8))</f>
        <v>0</v>
      </c>
      <c r="Q1898" s="46" t="s">
        <v>97</v>
      </c>
      <c r="R1898" s="46">
        <f>HEX2DEC(RIGHT(Table13232127[[#This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6" t="s">
        <v>97</v>
      </c>
      <c r="P1899" s="46">
        <f>HEX2DEC(RIGHT(Table13232127[[#This Row],[h1]],8))</f>
        <v>0</v>
      </c>
      <c r="Q1899" s="46" t="s">
        <v>97</v>
      </c>
      <c r="R1899" s="46">
        <f>HEX2DEC(RIGHT(Table13232127[[#This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6" t="s">
        <v>97</v>
      </c>
      <c r="P1900" s="46">
        <f>HEX2DEC(RIGHT(Table13232127[[#This Row],[h1]],8))</f>
        <v>0</v>
      </c>
      <c r="Q1900" s="46" t="s">
        <v>97</v>
      </c>
      <c r="R1900" s="46">
        <f>HEX2DEC(RIGHT(Table13232127[[#This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6" t="s">
        <v>97</v>
      </c>
      <c r="P1901" s="46">
        <f>HEX2DEC(RIGHT(Table13232127[[#This Row],[h1]],8))</f>
        <v>0</v>
      </c>
      <c r="Q1901" s="46" t="s">
        <v>97</v>
      </c>
      <c r="R1901" s="46">
        <f>HEX2DEC(RIGHT(Table13232127[[#This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6" t="s">
        <v>97</v>
      </c>
      <c r="P1902" s="46">
        <f>HEX2DEC(RIGHT(Table13232127[[#This Row],[h1]],8))</f>
        <v>0</v>
      </c>
      <c r="Q1902" s="46" t="s">
        <v>97</v>
      </c>
      <c r="R1902" s="46">
        <f>HEX2DEC(RIGHT(Table13232127[[#This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6" t="s">
        <v>97</v>
      </c>
      <c r="P1903" s="46">
        <f>HEX2DEC(RIGHT(Table13232127[[#This Row],[h1]],8))</f>
        <v>0</v>
      </c>
      <c r="Q1903" s="46" t="s">
        <v>97</v>
      </c>
      <c r="R1903" s="46">
        <f>HEX2DEC(RIGHT(Table13232127[[#This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6" t="s">
        <v>97</v>
      </c>
      <c r="P1904" s="46">
        <f>HEX2DEC(RIGHT(Table13232127[[#This Row],[h1]],8))</f>
        <v>0</v>
      </c>
      <c r="Q1904" s="46" t="s">
        <v>97</v>
      </c>
      <c r="R1904" s="46">
        <f>HEX2DEC(RIGHT(Table13232127[[#This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6" t="s">
        <v>97</v>
      </c>
      <c r="P1905" s="46">
        <f>HEX2DEC(RIGHT(Table13232127[[#This Row],[h1]],8))</f>
        <v>0</v>
      </c>
      <c r="Q1905" s="46" t="s">
        <v>97</v>
      </c>
      <c r="R1905" s="46">
        <f>HEX2DEC(RIGHT(Table13232127[[#This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6" t="s">
        <v>97</v>
      </c>
      <c r="P1906" s="46">
        <f>HEX2DEC(RIGHT(Table13232127[[#This Row],[h1]],8))</f>
        <v>0</v>
      </c>
      <c r="Q1906" s="46" t="s">
        <v>97</v>
      </c>
      <c r="R1906" s="46">
        <f>HEX2DEC(RIGHT(Table13232127[[#This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6" t="s">
        <v>97</v>
      </c>
      <c r="P1907" s="46">
        <f>HEX2DEC(RIGHT(Table13232127[[#This Row],[h1]],8))</f>
        <v>0</v>
      </c>
      <c r="Q1907" s="46" t="s">
        <v>97</v>
      </c>
      <c r="R1907" s="46">
        <f>HEX2DEC(RIGHT(Table13232127[[#This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6" t="s">
        <v>97</v>
      </c>
      <c r="P1908" s="46">
        <f>HEX2DEC(RIGHT(Table13232127[[#This Row],[h1]],8))</f>
        <v>0</v>
      </c>
      <c r="Q1908" s="46" t="s">
        <v>97</v>
      </c>
      <c r="R1908" s="46">
        <f>HEX2DEC(RIGHT(Table13232127[[#This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6" t="s">
        <v>97</v>
      </c>
      <c r="P1909" s="46">
        <f>HEX2DEC(RIGHT(Table13232127[[#This Row],[h1]],8))</f>
        <v>0</v>
      </c>
      <c r="Q1909" s="46" t="s">
        <v>97</v>
      </c>
      <c r="R1909" s="46">
        <f>HEX2DEC(RIGHT(Table13232127[[#This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6" t="s">
        <v>97</v>
      </c>
      <c r="P1910" s="46">
        <f>HEX2DEC(RIGHT(Table13232127[[#This Row],[h1]],8))</f>
        <v>0</v>
      </c>
      <c r="Q1910" s="46" t="s">
        <v>97</v>
      </c>
      <c r="R1910" s="46">
        <f>HEX2DEC(RIGHT(Table13232127[[#This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6" t="s">
        <v>97</v>
      </c>
      <c r="P1911" s="46">
        <f>HEX2DEC(RIGHT(Table13232127[[#This Row],[h1]],8))</f>
        <v>0</v>
      </c>
      <c r="Q1911" s="46" t="s">
        <v>97</v>
      </c>
      <c r="R1911" s="46">
        <f>HEX2DEC(RIGHT(Table13232127[[#This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6" t="s">
        <v>97</v>
      </c>
      <c r="P1912" s="46">
        <f>HEX2DEC(RIGHT(Table13232127[[#This Row],[h1]],8))</f>
        <v>0</v>
      </c>
      <c r="Q1912" s="46" t="s">
        <v>97</v>
      </c>
      <c r="R1912" s="46">
        <f>HEX2DEC(RIGHT(Table13232127[[#This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6" t="s">
        <v>97</v>
      </c>
      <c r="P1913" s="46">
        <f>HEX2DEC(RIGHT(Table13232127[[#This Row],[h1]],8))</f>
        <v>0</v>
      </c>
      <c r="Q1913" s="46" t="s">
        <v>97</v>
      </c>
      <c r="R1913" s="46">
        <f>HEX2DEC(RIGHT(Table13232127[[#This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6" t="s">
        <v>97</v>
      </c>
      <c r="P1914" s="46">
        <f>HEX2DEC(RIGHT(Table13232127[[#This Row],[h1]],8))</f>
        <v>0</v>
      </c>
      <c r="Q1914" s="46" t="s">
        <v>97</v>
      </c>
      <c r="R1914" s="46">
        <f>HEX2DEC(RIGHT(Table13232127[[#This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6" t="s">
        <v>97</v>
      </c>
      <c r="P1915" s="46">
        <f>HEX2DEC(RIGHT(Table13232127[[#This Row],[h1]],8))</f>
        <v>0</v>
      </c>
      <c r="Q1915" s="46" t="s">
        <v>97</v>
      </c>
      <c r="R1915" s="46">
        <f>HEX2DEC(RIGHT(Table13232127[[#This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6" t="s">
        <v>97</v>
      </c>
      <c r="P1916" s="46">
        <f>HEX2DEC(RIGHT(Table13232127[[#This Row],[h1]],8))</f>
        <v>0</v>
      </c>
      <c r="Q1916" s="46" t="s">
        <v>97</v>
      </c>
      <c r="R1916" s="46">
        <f>HEX2DEC(RIGHT(Table13232127[[#This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6" t="s">
        <v>97</v>
      </c>
      <c r="P1917" s="46">
        <f>HEX2DEC(RIGHT(Table13232127[[#This Row],[h1]],8))</f>
        <v>0</v>
      </c>
      <c r="Q1917" s="46" t="s">
        <v>97</v>
      </c>
      <c r="R1917" s="46">
        <f>HEX2DEC(RIGHT(Table13232127[[#This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6" t="s">
        <v>97</v>
      </c>
      <c r="P1918" s="46">
        <f>HEX2DEC(RIGHT(Table13232127[[#This Row],[h1]],8))</f>
        <v>0</v>
      </c>
      <c r="Q1918" s="46" t="s">
        <v>97</v>
      </c>
      <c r="R1918" s="46">
        <f>HEX2DEC(RIGHT(Table13232127[[#This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6" t="s">
        <v>97</v>
      </c>
      <c r="P1919" s="46">
        <f>HEX2DEC(RIGHT(Table13232127[[#This Row],[h1]],8))</f>
        <v>0</v>
      </c>
      <c r="Q1919" s="46" t="s">
        <v>97</v>
      </c>
      <c r="R1919" s="46">
        <f>HEX2DEC(RIGHT(Table13232127[[#This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6" t="s">
        <v>97</v>
      </c>
      <c r="P1920" s="46">
        <f>HEX2DEC(RIGHT(Table13232127[[#This Row],[h1]],8))</f>
        <v>0</v>
      </c>
      <c r="Q1920" s="46" t="s">
        <v>97</v>
      </c>
      <c r="R1920" s="46">
        <f>HEX2DEC(RIGHT(Table13232127[[#This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6" t="s">
        <v>97</v>
      </c>
      <c r="P1921" s="46">
        <f>HEX2DEC(RIGHT(Table13232127[[#This Row],[h1]],8))</f>
        <v>0</v>
      </c>
      <c r="Q1921" s="46" t="s">
        <v>97</v>
      </c>
      <c r="R1921" s="46">
        <f>HEX2DEC(RIGHT(Table13232127[[#This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6" t="s">
        <v>97</v>
      </c>
      <c r="P1922" s="46">
        <f>HEX2DEC(RIGHT(Table13232127[[#This Row],[h1]],8))</f>
        <v>0</v>
      </c>
      <c r="Q1922" s="46" t="s">
        <v>97</v>
      </c>
      <c r="R1922" s="46">
        <f>HEX2DEC(RIGHT(Table13232127[[#This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6" t="s">
        <v>97</v>
      </c>
      <c r="P1923" s="46">
        <f>HEX2DEC(RIGHT(Table13232127[[#This Row],[h1]],8))</f>
        <v>0</v>
      </c>
      <c r="Q1923" s="46" t="s">
        <v>97</v>
      </c>
      <c r="R1923" s="46">
        <f>HEX2DEC(RIGHT(Table13232127[[#This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6" t="s">
        <v>97</v>
      </c>
      <c r="P1924" s="46">
        <f>HEX2DEC(RIGHT(Table13232127[[#This Row],[h1]],8))</f>
        <v>0</v>
      </c>
      <c r="Q1924" s="46" t="s">
        <v>97</v>
      </c>
      <c r="R1924" s="46">
        <f>HEX2DEC(RIGHT(Table13232127[[#This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6" t="s">
        <v>97</v>
      </c>
      <c r="P1925" s="46">
        <f>HEX2DEC(RIGHT(Table13232127[[#This Row],[h1]],8))</f>
        <v>0</v>
      </c>
      <c r="Q1925" s="46" t="s">
        <v>97</v>
      </c>
      <c r="R1925" s="46">
        <f>HEX2DEC(RIGHT(Table13232127[[#This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6" t="s">
        <v>97</v>
      </c>
      <c r="P1926" s="46">
        <f>HEX2DEC(RIGHT(Table13232127[[#This Row],[h1]],8))</f>
        <v>0</v>
      </c>
      <c r="Q1926" s="46" t="s">
        <v>97</v>
      </c>
      <c r="R1926" s="46">
        <f>HEX2DEC(RIGHT(Table13232127[[#This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6" t="s">
        <v>97</v>
      </c>
      <c r="P1927" s="46">
        <f>HEX2DEC(RIGHT(Table13232127[[#This Row],[h1]],8))</f>
        <v>0</v>
      </c>
      <c r="Q1927" s="46" t="s">
        <v>97</v>
      </c>
      <c r="R1927" s="46">
        <f>HEX2DEC(RIGHT(Table13232127[[#This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6" t="s">
        <v>97</v>
      </c>
      <c r="P1928" s="46">
        <f>HEX2DEC(RIGHT(Table13232127[[#This Row],[h1]],8))</f>
        <v>0</v>
      </c>
      <c r="Q1928" s="46" t="s">
        <v>97</v>
      </c>
      <c r="R1928" s="46">
        <f>HEX2DEC(RIGHT(Table13232127[[#This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6" t="s">
        <v>97</v>
      </c>
      <c r="P1929" s="46">
        <f>HEX2DEC(RIGHT(Table13232127[[#This Row],[h1]],8))</f>
        <v>0</v>
      </c>
      <c r="Q1929" s="46" t="s">
        <v>97</v>
      </c>
      <c r="R1929" s="46">
        <f>HEX2DEC(RIGHT(Table13232127[[#This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6" t="s">
        <v>97</v>
      </c>
      <c r="P1930" s="46">
        <f>HEX2DEC(RIGHT(Table13232127[[#This Row],[h1]],8))</f>
        <v>0</v>
      </c>
      <c r="Q1930" s="46" t="s">
        <v>97</v>
      </c>
      <c r="R1930" s="46">
        <f>HEX2DEC(RIGHT(Table13232127[[#This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6" t="s">
        <v>97</v>
      </c>
      <c r="P1931" s="46">
        <f>HEX2DEC(RIGHT(Table13232127[[#This Row],[h1]],8))</f>
        <v>0</v>
      </c>
      <c r="Q1931" s="46" t="s">
        <v>97</v>
      </c>
      <c r="R1931" s="46">
        <f>HEX2DEC(RIGHT(Table13232127[[#This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6" t="s">
        <v>97</v>
      </c>
      <c r="P1932" s="46">
        <f>HEX2DEC(RIGHT(Table13232127[[#This Row],[h1]],8))</f>
        <v>0</v>
      </c>
      <c r="Q1932" s="46" t="s">
        <v>97</v>
      </c>
      <c r="R1932" s="46">
        <f>HEX2DEC(RIGHT(Table13232127[[#This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6" t="s">
        <v>97</v>
      </c>
      <c r="P1933" s="46">
        <f>HEX2DEC(RIGHT(Table13232127[[#This Row],[h1]],8))</f>
        <v>0</v>
      </c>
      <c r="Q1933" s="46" t="s">
        <v>97</v>
      </c>
      <c r="R1933" s="46">
        <f>HEX2DEC(RIGHT(Table13232127[[#This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6" t="s">
        <v>97</v>
      </c>
      <c r="P1934" s="46">
        <f>HEX2DEC(RIGHT(Table13232127[[#This Row],[h1]],8))</f>
        <v>0</v>
      </c>
      <c r="Q1934" s="46" t="s">
        <v>97</v>
      </c>
      <c r="R1934" s="46">
        <f>HEX2DEC(RIGHT(Table13232127[[#This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6" t="s">
        <v>97</v>
      </c>
      <c r="P1935" s="46">
        <f>HEX2DEC(RIGHT(Table13232127[[#This Row],[h1]],8))</f>
        <v>0</v>
      </c>
      <c r="Q1935" s="46" t="s">
        <v>97</v>
      </c>
      <c r="R1935" s="46">
        <f>HEX2DEC(RIGHT(Table13232127[[#This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6" t="s">
        <v>97</v>
      </c>
      <c r="P1936" s="46">
        <f>HEX2DEC(RIGHT(Table13232127[[#This Row],[h1]],8))</f>
        <v>0</v>
      </c>
      <c r="Q1936" s="46" t="s">
        <v>97</v>
      </c>
      <c r="R1936" s="46">
        <f>HEX2DEC(RIGHT(Table13232127[[#This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6" t="s">
        <v>97</v>
      </c>
      <c r="P1937" s="46">
        <f>HEX2DEC(RIGHT(Table13232127[[#This Row],[h1]],8))</f>
        <v>0</v>
      </c>
      <c r="Q1937" s="46" t="s">
        <v>97</v>
      </c>
      <c r="R1937" s="46">
        <f>HEX2DEC(RIGHT(Table13232127[[#This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6" t="s">
        <v>97</v>
      </c>
      <c r="P1938" s="46">
        <f>HEX2DEC(RIGHT(Table13232127[[#This Row],[h1]],8))</f>
        <v>0</v>
      </c>
      <c r="Q1938" s="46" t="s">
        <v>97</v>
      </c>
      <c r="R1938" s="46">
        <f>HEX2DEC(RIGHT(Table13232127[[#This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6" t="s">
        <v>97</v>
      </c>
      <c r="P1939" s="46">
        <f>HEX2DEC(RIGHT(Table13232127[[#This Row],[h1]],8))</f>
        <v>0</v>
      </c>
      <c r="Q1939" s="46" t="s">
        <v>97</v>
      </c>
      <c r="R1939" s="46">
        <f>HEX2DEC(RIGHT(Table13232127[[#This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6" t="s">
        <v>97</v>
      </c>
      <c r="P1940" s="46">
        <f>HEX2DEC(RIGHT(Table13232127[[#This Row],[h1]],8))</f>
        <v>0</v>
      </c>
      <c r="Q1940" s="46" t="s">
        <v>97</v>
      </c>
      <c r="R1940" s="46">
        <f>HEX2DEC(RIGHT(Table13232127[[#This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6" t="s">
        <v>97</v>
      </c>
      <c r="P1941" s="46">
        <f>HEX2DEC(RIGHT(Table13232127[[#This Row],[h1]],8))</f>
        <v>0</v>
      </c>
      <c r="Q1941" s="46" t="s">
        <v>97</v>
      </c>
      <c r="R1941" s="46">
        <f>HEX2DEC(RIGHT(Table13232127[[#This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6" t="s">
        <v>97</v>
      </c>
      <c r="P1942" s="46">
        <f>HEX2DEC(RIGHT(Table13232127[[#This Row],[h1]],8))</f>
        <v>0</v>
      </c>
      <c r="Q1942" s="46" t="s">
        <v>97</v>
      </c>
      <c r="R1942" s="46">
        <f>HEX2DEC(RIGHT(Table13232127[[#This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6" t="s">
        <v>97</v>
      </c>
      <c r="P1943" s="46">
        <f>HEX2DEC(RIGHT(Table13232127[[#This Row],[h1]],8))</f>
        <v>0</v>
      </c>
      <c r="Q1943" s="46" t="s">
        <v>97</v>
      </c>
      <c r="R1943" s="46">
        <f>HEX2DEC(RIGHT(Table13232127[[#This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6" t="s">
        <v>97</v>
      </c>
      <c r="P1944" s="46">
        <f>HEX2DEC(RIGHT(Table13232127[[#This Row],[h1]],8))</f>
        <v>0</v>
      </c>
      <c r="Q1944" s="46" t="s">
        <v>97</v>
      </c>
      <c r="R1944" s="46">
        <f>HEX2DEC(RIGHT(Table13232127[[#This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6" t="s">
        <v>97</v>
      </c>
      <c r="P1945" s="46">
        <f>HEX2DEC(RIGHT(Table13232127[[#This Row],[h1]],8))</f>
        <v>0</v>
      </c>
      <c r="Q1945" s="46" t="s">
        <v>97</v>
      </c>
      <c r="R1945" s="46">
        <f>HEX2DEC(RIGHT(Table13232127[[#This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6" t="s">
        <v>97</v>
      </c>
      <c r="P1946" s="46">
        <f>HEX2DEC(RIGHT(Table13232127[[#This Row],[h1]],8))</f>
        <v>0</v>
      </c>
      <c r="Q1946" s="46" t="s">
        <v>97</v>
      </c>
      <c r="R1946" s="46">
        <f>HEX2DEC(RIGHT(Table13232127[[#This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6" t="s">
        <v>97</v>
      </c>
      <c r="P1947" s="46">
        <f>HEX2DEC(RIGHT(Table13232127[[#This Row],[h1]],8))</f>
        <v>0</v>
      </c>
      <c r="Q1947" s="46" t="s">
        <v>97</v>
      </c>
      <c r="R1947" s="46">
        <f>HEX2DEC(RIGHT(Table13232127[[#This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6" t="s">
        <v>97</v>
      </c>
      <c r="P1948" s="46">
        <f>HEX2DEC(RIGHT(Table13232127[[#This Row],[h1]],8))</f>
        <v>0</v>
      </c>
      <c r="Q1948" s="46" t="s">
        <v>97</v>
      </c>
      <c r="R1948" s="46">
        <f>HEX2DEC(RIGHT(Table13232127[[#This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6" t="s">
        <v>97</v>
      </c>
      <c r="P1949" s="46">
        <f>HEX2DEC(RIGHT(Table13232127[[#This Row],[h1]],8))</f>
        <v>0</v>
      </c>
      <c r="Q1949" s="46" t="s">
        <v>97</v>
      </c>
      <c r="R1949" s="46">
        <f>HEX2DEC(RIGHT(Table13232127[[#This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6" t="s">
        <v>97</v>
      </c>
      <c r="P1950" s="46">
        <f>HEX2DEC(RIGHT(Table13232127[[#This Row],[h1]],8))</f>
        <v>0</v>
      </c>
      <c r="Q1950" s="46" t="s">
        <v>97</v>
      </c>
      <c r="R1950" s="46">
        <f>HEX2DEC(RIGHT(Table13232127[[#This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6" t="s">
        <v>97</v>
      </c>
      <c r="P1951" s="46">
        <f>HEX2DEC(RIGHT(Table13232127[[#This Row],[h1]],8))</f>
        <v>0</v>
      </c>
      <c r="Q1951" s="46" t="s">
        <v>97</v>
      </c>
      <c r="R1951" s="46">
        <f>HEX2DEC(RIGHT(Table13232127[[#This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6" t="s">
        <v>97</v>
      </c>
      <c r="P1952" s="46">
        <f>HEX2DEC(RIGHT(Table13232127[[#This Row],[h1]],8))</f>
        <v>0</v>
      </c>
      <c r="Q1952" s="46" t="s">
        <v>97</v>
      </c>
      <c r="R1952" s="46">
        <f>HEX2DEC(RIGHT(Table13232127[[#This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6" t="s">
        <v>97</v>
      </c>
      <c r="P1953" s="46">
        <f>HEX2DEC(RIGHT(Table13232127[[#This Row],[h1]],8))</f>
        <v>0</v>
      </c>
      <c r="Q1953" s="46" t="s">
        <v>97</v>
      </c>
      <c r="R1953" s="46">
        <f>HEX2DEC(RIGHT(Table13232127[[#This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6" t="s">
        <v>97</v>
      </c>
      <c r="P1954" s="46">
        <f>HEX2DEC(RIGHT(Table13232127[[#This Row],[h1]],8))</f>
        <v>0</v>
      </c>
      <c r="Q1954" s="46" t="s">
        <v>97</v>
      </c>
      <c r="R1954" s="46">
        <f>HEX2DEC(RIGHT(Table13232127[[#This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6" t="s">
        <v>97</v>
      </c>
      <c r="P1955" s="46">
        <f>HEX2DEC(RIGHT(Table13232127[[#This Row],[h1]],8))</f>
        <v>0</v>
      </c>
      <c r="Q1955" s="46" t="s">
        <v>97</v>
      </c>
      <c r="R1955" s="46">
        <f>HEX2DEC(RIGHT(Table13232127[[#This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6" t="s">
        <v>97</v>
      </c>
      <c r="P1956" s="46">
        <f>HEX2DEC(RIGHT(Table13232127[[#This Row],[h1]],8))</f>
        <v>0</v>
      </c>
      <c r="Q1956" s="46" t="s">
        <v>97</v>
      </c>
      <c r="R1956" s="46">
        <f>HEX2DEC(RIGHT(Table13232127[[#This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6" t="s">
        <v>97</v>
      </c>
      <c r="P1957" s="46">
        <f>HEX2DEC(RIGHT(Table13232127[[#This Row],[h1]],8))</f>
        <v>0</v>
      </c>
      <c r="Q1957" s="46" t="s">
        <v>97</v>
      </c>
      <c r="R1957" s="46">
        <f>HEX2DEC(RIGHT(Table13232127[[#This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6" t="s">
        <v>97</v>
      </c>
      <c r="P1958" s="46">
        <f>HEX2DEC(RIGHT(Table13232127[[#This Row],[h1]],8))</f>
        <v>0</v>
      </c>
      <c r="Q1958" s="46" t="s">
        <v>97</v>
      </c>
      <c r="R1958" s="46">
        <f>HEX2DEC(RIGHT(Table13232127[[#This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6" t="s">
        <v>97</v>
      </c>
      <c r="P1959" s="46">
        <f>HEX2DEC(RIGHT(Table13232127[[#This Row],[h1]],8))</f>
        <v>0</v>
      </c>
      <c r="Q1959" s="46" t="s">
        <v>97</v>
      </c>
      <c r="R1959" s="46">
        <f>HEX2DEC(RIGHT(Table13232127[[#This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6" t="s">
        <v>97</v>
      </c>
      <c r="P1960" s="46">
        <f>HEX2DEC(RIGHT(Table13232127[[#This Row],[h1]],8))</f>
        <v>0</v>
      </c>
      <c r="Q1960" s="46" t="s">
        <v>97</v>
      </c>
      <c r="R1960" s="46">
        <f>HEX2DEC(RIGHT(Table13232127[[#This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6" t="s">
        <v>97</v>
      </c>
      <c r="P1961" s="46">
        <f>HEX2DEC(RIGHT(Table13232127[[#This Row],[h1]],8))</f>
        <v>0</v>
      </c>
      <c r="Q1961" s="46" t="s">
        <v>97</v>
      </c>
      <c r="R1961" s="46">
        <f>HEX2DEC(RIGHT(Table13232127[[#This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6" t="s">
        <v>97</v>
      </c>
      <c r="P1962" s="46">
        <f>HEX2DEC(RIGHT(Table13232127[[#This Row],[h1]],8))</f>
        <v>0</v>
      </c>
      <c r="Q1962" s="46" t="s">
        <v>97</v>
      </c>
      <c r="R1962" s="46">
        <f>HEX2DEC(RIGHT(Table13232127[[#This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6" t="s">
        <v>97</v>
      </c>
      <c r="P1963" s="46">
        <f>HEX2DEC(RIGHT(Table13232127[[#This Row],[h1]],8))</f>
        <v>0</v>
      </c>
      <c r="Q1963" s="46" t="s">
        <v>97</v>
      </c>
      <c r="R1963" s="46">
        <f>HEX2DEC(RIGHT(Table13232127[[#This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6" t="s">
        <v>97</v>
      </c>
      <c r="P1964" s="46">
        <f>HEX2DEC(RIGHT(Table13232127[[#This Row],[h1]],8))</f>
        <v>0</v>
      </c>
      <c r="Q1964" s="46" t="s">
        <v>97</v>
      </c>
      <c r="R1964" s="46">
        <f>HEX2DEC(RIGHT(Table13232127[[#This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6" t="s">
        <v>97</v>
      </c>
      <c r="P1965" s="46">
        <f>HEX2DEC(RIGHT(Table13232127[[#This Row],[h1]],8))</f>
        <v>0</v>
      </c>
      <c r="Q1965" s="46" t="s">
        <v>97</v>
      </c>
      <c r="R1965" s="46">
        <f>HEX2DEC(RIGHT(Table13232127[[#This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6" t="s">
        <v>97</v>
      </c>
      <c r="P1966" s="46">
        <f>HEX2DEC(RIGHT(Table13232127[[#This Row],[h1]],8))</f>
        <v>0</v>
      </c>
      <c r="Q1966" s="46" t="s">
        <v>97</v>
      </c>
      <c r="R1966" s="46">
        <f>HEX2DEC(RIGHT(Table13232127[[#This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6" t="s">
        <v>97</v>
      </c>
      <c r="P1967" s="46">
        <f>HEX2DEC(RIGHT(Table13232127[[#This Row],[h1]],8))</f>
        <v>0</v>
      </c>
      <c r="Q1967" s="46" t="s">
        <v>97</v>
      </c>
      <c r="R1967" s="46">
        <f>HEX2DEC(RIGHT(Table13232127[[#This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6" t="s">
        <v>97</v>
      </c>
      <c r="P1968" s="46">
        <f>HEX2DEC(RIGHT(Table13232127[[#This Row],[h1]],8))</f>
        <v>0</v>
      </c>
      <c r="Q1968" s="46" t="s">
        <v>97</v>
      </c>
      <c r="R1968" s="46">
        <f>HEX2DEC(RIGHT(Table13232127[[#This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6" t="s">
        <v>97</v>
      </c>
      <c r="P1969" s="46">
        <f>HEX2DEC(RIGHT(Table13232127[[#This Row],[h1]],8))</f>
        <v>0</v>
      </c>
      <c r="Q1969" s="46" t="s">
        <v>97</v>
      </c>
      <c r="R1969" s="46">
        <f>HEX2DEC(RIGHT(Table13232127[[#This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6" t="s">
        <v>97</v>
      </c>
      <c r="P1970" s="46">
        <f>HEX2DEC(RIGHT(Table13232127[[#This Row],[h1]],8))</f>
        <v>0</v>
      </c>
      <c r="Q1970" s="46" t="s">
        <v>97</v>
      </c>
      <c r="R1970" s="46">
        <f>HEX2DEC(RIGHT(Table13232127[[#This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6" t="s">
        <v>97</v>
      </c>
      <c r="P1971" s="46">
        <f>HEX2DEC(RIGHT(Table13232127[[#This Row],[h1]],8))</f>
        <v>0</v>
      </c>
      <c r="Q1971" s="46" t="s">
        <v>97</v>
      </c>
      <c r="R1971" s="46">
        <f>HEX2DEC(RIGHT(Table13232127[[#This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6" t="s">
        <v>97</v>
      </c>
      <c r="P1972" s="46">
        <f>HEX2DEC(RIGHT(Table13232127[[#This Row],[h1]],8))</f>
        <v>0</v>
      </c>
      <c r="Q1972" s="46" t="s">
        <v>97</v>
      </c>
      <c r="R1972" s="46">
        <f>HEX2DEC(RIGHT(Table13232127[[#This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6" t="s">
        <v>97</v>
      </c>
      <c r="P1973" s="46">
        <f>HEX2DEC(RIGHT(Table13232127[[#This Row],[h1]],8))</f>
        <v>0</v>
      </c>
      <c r="Q1973" s="46" t="s">
        <v>97</v>
      </c>
      <c r="R1973" s="46">
        <f>HEX2DEC(RIGHT(Table13232127[[#This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6" t="s">
        <v>97</v>
      </c>
      <c r="P1974" s="46">
        <f>HEX2DEC(RIGHT(Table13232127[[#This Row],[h1]],8))</f>
        <v>0</v>
      </c>
      <c r="Q1974" s="46" t="s">
        <v>97</v>
      </c>
      <c r="R1974" s="46">
        <f>HEX2DEC(RIGHT(Table13232127[[#This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6" t="s">
        <v>97</v>
      </c>
      <c r="P1975" s="46">
        <f>HEX2DEC(RIGHT(Table13232127[[#This Row],[h1]],8))</f>
        <v>0</v>
      </c>
      <c r="Q1975" s="46" t="s">
        <v>97</v>
      </c>
      <c r="R1975" s="46">
        <f>HEX2DEC(RIGHT(Table13232127[[#This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6" t="s">
        <v>97</v>
      </c>
      <c r="P1976" s="46">
        <f>HEX2DEC(RIGHT(Table13232127[[#This Row],[h1]],8))</f>
        <v>0</v>
      </c>
      <c r="Q1976" s="46" t="s">
        <v>97</v>
      </c>
      <c r="R1976" s="46">
        <f>HEX2DEC(RIGHT(Table13232127[[#This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6" t="s">
        <v>97</v>
      </c>
      <c r="P1977" s="46">
        <f>HEX2DEC(RIGHT(Table13232127[[#This Row],[h1]],8))</f>
        <v>0</v>
      </c>
      <c r="Q1977" s="46" t="s">
        <v>97</v>
      </c>
      <c r="R1977" s="46">
        <f>HEX2DEC(RIGHT(Table13232127[[#This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6" t="s">
        <v>97</v>
      </c>
      <c r="P1978" s="46">
        <f>HEX2DEC(RIGHT(Table13232127[[#This Row],[h1]],8))</f>
        <v>0</v>
      </c>
      <c r="Q1978" s="46" t="s">
        <v>97</v>
      </c>
      <c r="R1978" s="46">
        <f>HEX2DEC(RIGHT(Table13232127[[#This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6" t="s">
        <v>97</v>
      </c>
      <c r="P1979" s="46">
        <f>HEX2DEC(RIGHT(Table13232127[[#This Row],[h1]],8))</f>
        <v>0</v>
      </c>
      <c r="Q1979" s="46" t="s">
        <v>97</v>
      </c>
      <c r="R1979" s="46">
        <f>HEX2DEC(RIGHT(Table13232127[[#This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6" t="s">
        <v>97</v>
      </c>
      <c r="P1980" s="46">
        <f>HEX2DEC(RIGHT(Table13232127[[#This Row],[h1]],8))</f>
        <v>0</v>
      </c>
      <c r="Q1980" s="46" t="s">
        <v>97</v>
      </c>
      <c r="R1980" s="46">
        <f>HEX2DEC(RIGHT(Table13232127[[#This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6" t="s">
        <v>97</v>
      </c>
      <c r="P1981" s="46">
        <f>HEX2DEC(RIGHT(Table13232127[[#This Row],[h1]],8))</f>
        <v>0</v>
      </c>
      <c r="Q1981" s="46" t="s">
        <v>97</v>
      </c>
      <c r="R1981" s="46">
        <f>HEX2DEC(RIGHT(Table13232127[[#This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6" t="s">
        <v>97</v>
      </c>
      <c r="P1982" s="46">
        <f>HEX2DEC(RIGHT(Table13232127[[#This Row],[h1]],8))</f>
        <v>0</v>
      </c>
      <c r="Q1982" s="46" t="s">
        <v>97</v>
      </c>
      <c r="R1982" s="46">
        <f>HEX2DEC(RIGHT(Table13232127[[#This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6" t="s">
        <v>97</v>
      </c>
      <c r="P1983" s="46">
        <f>HEX2DEC(RIGHT(Table13232127[[#This Row],[h1]],8))</f>
        <v>0</v>
      </c>
      <c r="Q1983" s="46" t="s">
        <v>97</v>
      </c>
      <c r="R1983" s="46">
        <f>HEX2DEC(RIGHT(Table13232127[[#This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6" t="s">
        <v>97</v>
      </c>
      <c r="P1984" s="46">
        <f>HEX2DEC(RIGHT(Table13232127[[#This Row],[h1]],8))</f>
        <v>0</v>
      </c>
      <c r="Q1984" s="46" t="s">
        <v>97</v>
      </c>
      <c r="R1984" s="46">
        <f>HEX2DEC(RIGHT(Table13232127[[#This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6" t="s">
        <v>97</v>
      </c>
      <c r="P1985" s="46">
        <f>HEX2DEC(RIGHT(Table13232127[[#This Row],[h1]],8))</f>
        <v>0</v>
      </c>
      <c r="Q1985" s="46" t="s">
        <v>97</v>
      </c>
      <c r="R1985" s="46">
        <f>HEX2DEC(RIGHT(Table13232127[[#This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6" t="s">
        <v>97</v>
      </c>
      <c r="P1986" s="46">
        <f>HEX2DEC(RIGHT(Table13232127[[#This Row],[h1]],8))</f>
        <v>0</v>
      </c>
      <c r="Q1986" s="46" t="s">
        <v>97</v>
      </c>
      <c r="R1986" s="46">
        <f>HEX2DEC(RIGHT(Table13232127[[#This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6" t="s">
        <v>97</v>
      </c>
      <c r="P1987" s="46">
        <f>HEX2DEC(RIGHT(Table13232127[[#This Row],[h1]],8))</f>
        <v>0</v>
      </c>
      <c r="Q1987" s="46" t="s">
        <v>97</v>
      </c>
      <c r="R1987" s="46">
        <f>HEX2DEC(RIGHT(Table13232127[[#This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6" t="s">
        <v>97</v>
      </c>
      <c r="P1988" s="46">
        <f>HEX2DEC(RIGHT(Table13232127[[#This Row],[h1]],8))</f>
        <v>0</v>
      </c>
      <c r="Q1988" s="46" t="s">
        <v>97</v>
      </c>
      <c r="R1988" s="46">
        <f>HEX2DEC(RIGHT(Table13232127[[#This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6" t="s">
        <v>97</v>
      </c>
      <c r="P1989" s="46">
        <f>HEX2DEC(RIGHT(Table13232127[[#This Row],[h1]],8))</f>
        <v>0</v>
      </c>
      <c r="Q1989" s="46" t="s">
        <v>97</v>
      </c>
      <c r="R1989" s="46">
        <f>HEX2DEC(RIGHT(Table13232127[[#This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6" t="s">
        <v>97</v>
      </c>
      <c r="P1990" s="46">
        <f>HEX2DEC(RIGHT(Table13232127[[#This Row],[h1]],8))</f>
        <v>0</v>
      </c>
      <c r="Q1990" s="46" t="s">
        <v>97</v>
      </c>
      <c r="R1990" s="46">
        <f>HEX2DEC(RIGHT(Table13232127[[#This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6" t="s">
        <v>97</v>
      </c>
      <c r="P1991" s="46">
        <f>HEX2DEC(RIGHT(Table13232127[[#This Row],[h1]],8))</f>
        <v>0</v>
      </c>
      <c r="Q1991" s="46" t="s">
        <v>97</v>
      </c>
      <c r="R1991" s="46">
        <f>HEX2DEC(RIGHT(Table13232127[[#This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6" t="s">
        <v>97</v>
      </c>
      <c r="P1992" s="46">
        <f>HEX2DEC(RIGHT(Table13232127[[#This Row],[h1]],8))</f>
        <v>0</v>
      </c>
      <c r="Q1992" s="46" t="s">
        <v>97</v>
      </c>
      <c r="R1992" s="46">
        <f>HEX2DEC(RIGHT(Table13232127[[#This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6" t="s">
        <v>97</v>
      </c>
      <c r="P1993" s="46">
        <f>HEX2DEC(RIGHT(Table13232127[[#This Row],[h1]],8))</f>
        <v>0</v>
      </c>
      <c r="Q1993" s="46" t="s">
        <v>97</v>
      </c>
      <c r="R1993" s="46">
        <f>HEX2DEC(RIGHT(Table13232127[[#This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6" t="s">
        <v>97</v>
      </c>
      <c r="P1994" s="46">
        <f>HEX2DEC(RIGHT(Table13232127[[#This Row],[h1]],8))</f>
        <v>0</v>
      </c>
      <c r="Q1994" s="46" t="s">
        <v>97</v>
      </c>
      <c r="R1994" s="46">
        <f>HEX2DEC(RIGHT(Table13232127[[#This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6" t="s">
        <v>97</v>
      </c>
      <c r="P1995" s="46">
        <f>HEX2DEC(RIGHT(Table13232127[[#This Row],[h1]],8))</f>
        <v>0</v>
      </c>
      <c r="Q1995" s="46" t="s">
        <v>97</v>
      </c>
      <c r="R1995" s="46">
        <f>HEX2DEC(RIGHT(Table13232127[[#This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6" t="s">
        <v>97</v>
      </c>
      <c r="P1996" s="46">
        <f>HEX2DEC(RIGHT(Table13232127[[#This Row],[h1]],8))</f>
        <v>0</v>
      </c>
      <c r="Q1996" s="46" t="s">
        <v>97</v>
      </c>
      <c r="R1996" s="46">
        <f>HEX2DEC(RIGHT(Table13232127[[#This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6" t="s">
        <v>97</v>
      </c>
      <c r="P1997" s="46">
        <f>HEX2DEC(RIGHT(Table13232127[[#This Row],[h1]],8))</f>
        <v>0</v>
      </c>
      <c r="Q1997" s="46" t="s">
        <v>97</v>
      </c>
      <c r="R1997" s="46">
        <f>HEX2DEC(RIGHT(Table13232127[[#This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6" t="s">
        <v>97</v>
      </c>
      <c r="P1998" s="46">
        <f>HEX2DEC(RIGHT(Table13232127[[#This Row],[h1]],8))</f>
        <v>0</v>
      </c>
      <c r="Q1998" s="46" t="s">
        <v>97</v>
      </c>
      <c r="R1998" s="46">
        <f>HEX2DEC(RIGHT(Table13232127[[#This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6" t="s">
        <v>97</v>
      </c>
      <c r="P1999" s="46">
        <f>HEX2DEC(RIGHT(Table13232127[[#This Row],[h1]],8))</f>
        <v>0</v>
      </c>
      <c r="Q1999" s="46" t="s">
        <v>97</v>
      </c>
      <c r="R1999" s="46">
        <f>HEX2DEC(RIGHT(Table13232127[[#This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6" t="s">
        <v>97</v>
      </c>
      <c r="P2000" s="46">
        <f>HEX2DEC(RIGHT(Table13232127[[#This Row],[h1]],8))</f>
        <v>0</v>
      </c>
      <c r="Q2000" s="46" t="s">
        <v>97</v>
      </c>
      <c r="R2000" s="46">
        <f>HEX2DEC(RIGHT(Table13232127[[#This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6" t="s">
        <v>97</v>
      </c>
      <c r="P2001" s="46">
        <f>HEX2DEC(RIGHT(Table13232127[[#This Row],[h1]],8))</f>
        <v>0</v>
      </c>
      <c r="Q2001" s="46" t="s">
        <v>97</v>
      </c>
      <c r="R2001" s="46">
        <f>HEX2DEC(RIGHT(Table13232127[[#This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6" t="s">
        <v>97</v>
      </c>
      <c r="P2002" s="46">
        <f>HEX2DEC(RIGHT(Table13232127[[#This Row],[h1]],8))</f>
        <v>0</v>
      </c>
      <c r="Q2002" s="46" t="s">
        <v>97</v>
      </c>
      <c r="R2002" s="46">
        <f>HEX2DEC(RIGHT(Table13232127[[#This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6" t="s">
        <v>97</v>
      </c>
      <c r="P2003" s="46">
        <f>HEX2DEC(RIGHT(Table13232127[[#This Row],[h1]],8))</f>
        <v>0</v>
      </c>
      <c r="Q2003" s="46" t="s">
        <v>97</v>
      </c>
      <c r="R2003" s="46">
        <f>HEX2DEC(RIGHT(Table13232127[[#This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6" t="s">
        <v>97</v>
      </c>
      <c r="P2004" s="46">
        <f>HEX2DEC(RIGHT(Table13232127[[#This Row],[h1]],8))</f>
        <v>0</v>
      </c>
      <c r="Q2004" s="46" t="s">
        <v>97</v>
      </c>
      <c r="R2004" s="46">
        <f>HEX2DEC(RIGHT(Table13232127[[#This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6" t="s">
        <v>97</v>
      </c>
      <c r="P2005" s="46">
        <f>HEX2DEC(RIGHT(Table13232127[[#This Row],[h1]],8))</f>
        <v>0</v>
      </c>
      <c r="Q2005" s="46" t="s">
        <v>97</v>
      </c>
      <c r="R2005" s="46">
        <f>HEX2DEC(RIGHT(Table13232127[[#This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6" t="s">
        <v>97</v>
      </c>
      <c r="P2006" s="46">
        <f>HEX2DEC(RIGHT(Table13232127[[#This Row],[h1]],8))</f>
        <v>0</v>
      </c>
      <c r="Q2006" s="46" t="s">
        <v>97</v>
      </c>
      <c r="R2006" s="46">
        <f>HEX2DEC(RIGHT(Table13232127[[#This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6" t="s">
        <v>97</v>
      </c>
      <c r="P2007" s="46">
        <f>HEX2DEC(RIGHT(Table13232127[[#This Row],[h1]],8))</f>
        <v>0</v>
      </c>
      <c r="Q2007" s="46" t="s">
        <v>97</v>
      </c>
      <c r="R2007" s="46">
        <f>HEX2DEC(RIGHT(Table13232127[[#This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6" t="s">
        <v>97</v>
      </c>
      <c r="P2008" s="46">
        <f>HEX2DEC(RIGHT(Table13232127[[#This Row],[h1]],8))</f>
        <v>0</v>
      </c>
      <c r="Q2008" s="46" t="s">
        <v>97</v>
      </c>
      <c r="R2008" s="46">
        <f>HEX2DEC(RIGHT(Table13232127[[#This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6" t="s">
        <v>97</v>
      </c>
      <c r="P2009" s="46">
        <f>HEX2DEC(RIGHT(Table13232127[[#This Row],[h1]],8))</f>
        <v>0</v>
      </c>
      <c r="Q2009" s="46" t="s">
        <v>97</v>
      </c>
      <c r="R2009" s="46">
        <f>HEX2DEC(RIGHT(Table13232127[[#This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6" t="s">
        <v>97</v>
      </c>
      <c r="P2010" s="46">
        <f>HEX2DEC(RIGHT(Table13232127[[#This Row],[h1]],8))</f>
        <v>0</v>
      </c>
      <c r="Q2010" s="46" t="s">
        <v>97</v>
      </c>
      <c r="R2010" s="46">
        <f>HEX2DEC(RIGHT(Table13232127[[#This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6" t="s">
        <v>97</v>
      </c>
      <c r="P2011" s="46">
        <f>HEX2DEC(RIGHT(Table13232127[[#This Row],[h1]],8))</f>
        <v>0</v>
      </c>
      <c r="Q2011" s="46" t="s">
        <v>97</v>
      </c>
      <c r="R2011" s="46">
        <f>HEX2DEC(RIGHT(Table13232127[[#This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6" t="s">
        <v>97</v>
      </c>
      <c r="P2012" s="46">
        <f>HEX2DEC(RIGHT(Table13232127[[#This Row],[h1]],8))</f>
        <v>0</v>
      </c>
      <c r="Q2012" s="46" t="s">
        <v>97</v>
      </c>
      <c r="R2012" s="46">
        <f>HEX2DEC(RIGHT(Table13232127[[#This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6" t="s">
        <v>97</v>
      </c>
      <c r="P2013" s="46">
        <f>HEX2DEC(RIGHT(Table13232127[[#This Row],[h1]],8))</f>
        <v>0</v>
      </c>
      <c r="Q2013" s="46" t="s">
        <v>97</v>
      </c>
      <c r="R2013" s="46">
        <f>HEX2DEC(RIGHT(Table13232127[[#This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6" t="s">
        <v>97</v>
      </c>
      <c r="P2014" s="46">
        <f>HEX2DEC(RIGHT(Table13232127[[#This Row],[h1]],8))</f>
        <v>0</v>
      </c>
      <c r="Q2014" s="46" t="s">
        <v>97</v>
      </c>
      <c r="R2014" s="46">
        <f>HEX2DEC(RIGHT(Table13232127[[#This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6" t="s">
        <v>97</v>
      </c>
      <c r="P2015" s="46">
        <f>HEX2DEC(RIGHT(Table13232127[[#This Row],[h1]],8))</f>
        <v>0</v>
      </c>
      <c r="Q2015" s="46" t="s">
        <v>97</v>
      </c>
      <c r="R2015" s="46">
        <f>HEX2DEC(RIGHT(Table13232127[[#This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6" t="s">
        <v>97</v>
      </c>
      <c r="P2016" s="46">
        <f>HEX2DEC(RIGHT(Table13232127[[#This Row],[h1]],8))</f>
        <v>0</v>
      </c>
      <c r="Q2016" s="46" t="s">
        <v>97</v>
      </c>
      <c r="R2016" s="46">
        <f>HEX2DEC(RIGHT(Table13232127[[#This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6" t="s">
        <v>97</v>
      </c>
      <c r="P2017" s="46">
        <f>HEX2DEC(RIGHT(Table13232127[[#This Row],[h1]],8))</f>
        <v>0</v>
      </c>
      <c r="Q2017" s="46" t="s">
        <v>97</v>
      </c>
      <c r="R2017" s="46">
        <f>HEX2DEC(RIGHT(Table13232127[[#This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6" t="s">
        <v>97</v>
      </c>
      <c r="P2018" s="46">
        <f>HEX2DEC(RIGHT(Table13232127[[#This Row],[h1]],8))</f>
        <v>0</v>
      </c>
      <c r="Q2018" s="46" t="s">
        <v>97</v>
      </c>
      <c r="R2018" s="46">
        <f>HEX2DEC(RIGHT(Table13232127[[#This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6" t="s">
        <v>97</v>
      </c>
      <c r="P2019" s="46">
        <f>HEX2DEC(RIGHT(Table13232127[[#This Row],[h1]],8))</f>
        <v>0</v>
      </c>
      <c r="Q2019" s="46" t="s">
        <v>97</v>
      </c>
      <c r="R2019" s="46">
        <f>HEX2DEC(RIGHT(Table13232127[[#This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6" t="s">
        <v>97</v>
      </c>
      <c r="P2020" s="46">
        <f>HEX2DEC(RIGHT(Table13232127[[#This Row],[h1]],8))</f>
        <v>0</v>
      </c>
      <c r="Q2020" s="46" t="s">
        <v>97</v>
      </c>
      <c r="R2020" s="46">
        <f>HEX2DEC(RIGHT(Table13232127[[#This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6" t="s">
        <v>97</v>
      </c>
      <c r="P2021" s="46">
        <f>HEX2DEC(RIGHT(Table13232127[[#This Row],[h1]],8))</f>
        <v>0</v>
      </c>
      <c r="Q2021" s="46" t="s">
        <v>97</v>
      </c>
      <c r="R2021" s="46">
        <f>HEX2DEC(RIGHT(Table13232127[[#This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6" t="s">
        <v>97</v>
      </c>
      <c r="P2022" s="46">
        <f>HEX2DEC(RIGHT(Table13232127[[#This Row],[h1]],8))</f>
        <v>0</v>
      </c>
      <c r="Q2022" s="46" t="s">
        <v>97</v>
      </c>
      <c r="R2022" s="46">
        <f>HEX2DEC(RIGHT(Table13232127[[#This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6" t="s">
        <v>97</v>
      </c>
      <c r="P2023" s="46">
        <f>HEX2DEC(RIGHT(Table13232127[[#This Row],[h1]],8))</f>
        <v>0</v>
      </c>
      <c r="Q2023" s="46" t="s">
        <v>97</v>
      </c>
      <c r="R2023" s="46">
        <f>HEX2DEC(RIGHT(Table13232127[[#This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6" t="s">
        <v>97</v>
      </c>
      <c r="P2024" s="46">
        <f>HEX2DEC(RIGHT(Table13232127[[#This Row],[h1]],8))</f>
        <v>0</v>
      </c>
      <c r="Q2024" s="46" t="s">
        <v>97</v>
      </c>
      <c r="R2024" s="46">
        <f>HEX2DEC(RIGHT(Table13232127[[#This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6" t="s">
        <v>97</v>
      </c>
      <c r="P2025" s="46">
        <f>HEX2DEC(RIGHT(Table13232127[[#This Row],[h1]],8))</f>
        <v>0</v>
      </c>
      <c r="Q2025" s="46" t="s">
        <v>97</v>
      </c>
      <c r="R2025" s="46">
        <f>HEX2DEC(RIGHT(Table13232127[[#This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6" t="s">
        <v>97</v>
      </c>
      <c r="P2026" s="46">
        <f>HEX2DEC(RIGHT(Table13232127[[#This Row],[h1]],8))</f>
        <v>0</v>
      </c>
      <c r="Q2026" s="46" t="s">
        <v>97</v>
      </c>
      <c r="R2026" s="46">
        <f>HEX2DEC(RIGHT(Table13232127[[#This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6" t="s">
        <v>97</v>
      </c>
      <c r="P2027" s="46">
        <f>HEX2DEC(RIGHT(Table13232127[[#This Row],[h1]],8))</f>
        <v>0</v>
      </c>
      <c r="Q2027" s="46" t="s">
        <v>97</v>
      </c>
      <c r="R2027" s="46">
        <f>HEX2DEC(RIGHT(Table13232127[[#This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6" t="s">
        <v>97</v>
      </c>
      <c r="P2028" s="46">
        <f>HEX2DEC(RIGHT(Table13232127[[#This Row],[h1]],8))</f>
        <v>0</v>
      </c>
      <c r="Q2028" s="46" t="s">
        <v>97</v>
      </c>
      <c r="R2028" s="46">
        <f>HEX2DEC(RIGHT(Table13232127[[#This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6" t="s">
        <v>97</v>
      </c>
      <c r="P2029" s="46">
        <f>HEX2DEC(RIGHT(Table13232127[[#This Row],[h1]],8))</f>
        <v>0</v>
      </c>
      <c r="Q2029" s="46" t="s">
        <v>97</v>
      </c>
      <c r="R2029" s="46">
        <f>HEX2DEC(RIGHT(Table13232127[[#This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6" t="s">
        <v>97</v>
      </c>
      <c r="P2030" s="46">
        <f>HEX2DEC(RIGHT(Table13232127[[#This Row],[h1]],8))</f>
        <v>0</v>
      </c>
      <c r="Q2030" s="46" t="s">
        <v>97</v>
      </c>
      <c r="R2030" s="46">
        <f>HEX2DEC(RIGHT(Table13232127[[#This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6" t="s">
        <v>97</v>
      </c>
      <c r="P2031" s="46">
        <f>HEX2DEC(RIGHT(Table13232127[[#This Row],[h1]],8))</f>
        <v>0</v>
      </c>
      <c r="Q2031" s="46" t="s">
        <v>97</v>
      </c>
      <c r="R2031" s="46">
        <f>HEX2DEC(RIGHT(Table13232127[[#This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6" t="s">
        <v>97</v>
      </c>
      <c r="P2032" s="46">
        <f>HEX2DEC(RIGHT(Table13232127[[#This Row],[h1]],8))</f>
        <v>0</v>
      </c>
      <c r="Q2032" s="46" t="s">
        <v>97</v>
      </c>
      <c r="R2032" s="46">
        <f>HEX2DEC(RIGHT(Table13232127[[#This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6" t="s">
        <v>97</v>
      </c>
      <c r="P2033" s="46">
        <f>HEX2DEC(RIGHT(Table13232127[[#This Row],[h1]],8))</f>
        <v>0</v>
      </c>
      <c r="Q2033" s="46" t="s">
        <v>97</v>
      </c>
      <c r="R2033" s="46">
        <f>HEX2DEC(RIGHT(Table13232127[[#This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6" t="s">
        <v>97</v>
      </c>
      <c r="P2034" s="46">
        <f>HEX2DEC(RIGHT(Table13232127[[#This Row],[h1]],8))</f>
        <v>0</v>
      </c>
      <c r="Q2034" s="46" t="s">
        <v>97</v>
      </c>
      <c r="R2034" s="46">
        <f>HEX2DEC(RIGHT(Table13232127[[#This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6" t="s">
        <v>97</v>
      </c>
      <c r="P2035" s="46">
        <f>HEX2DEC(RIGHT(Table13232127[[#This Row],[h1]],8))</f>
        <v>0</v>
      </c>
      <c r="Q2035" s="46" t="s">
        <v>97</v>
      </c>
      <c r="R2035" s="46">
        <f>HEX2DEC(RIGHT(Table13232127[[#This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6" t="s">
        <v>97</v>
      </c>
      <c r="P2036" s="46">
        <f>HEX2DEC(RIGHT(Table13232127[[#This Row],[h1]],8))</f>
        <v>0</v>
      </c>
      <c r="Q2036" s="46" t="s">
        <v>97</v>
      </c>
      <c r="R2036" s="46">
        <f>HEX2DEC(RIGHT(Table13232127[[#This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6" t="s">
        <v>97</v>
      </c>
      <c r="P2037" s="46">
        <f>HEX2DEC(RIGHT(Table13232127[[#This Row],[h1]],8))</f>
        <v>0</v>
      </c>
      <c r="Q2037" s="46" t="s">
        <v>97</v>
      </c>
      <c r="R2037" s="46">
        <f>HEX2DEC(RIGHT(Table13232127[[#This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6" t="s">
        <v>97</v>
      </c>
      <c r="P2038" s="46">
        <f>HEX2DEC(RIGHT(Table13232127[[#This Row],[h1]],8))</f>
        <v>0</v>
      </c>
      <c r="Q2038" s="46" t="s">
        <v>97</v>
      </c>
      <c r="R2038" s="46">
        <f>HEX2DEC(RIGHT(Table13232127[[#This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6" t="s">
        <v>97</v>
      </c>
      <c r="P2039" s="46">
        <f>HEX2DEC(RIGHT(Table13232127[[#This Row],[h1]],8))</f>
        <v>0</v>
      </c>
      <c r="Q2039" s="46" t="s">
        <v>97</v>
      </c>
      <c r="R2039" s="46">
        <f>HEX2DEC(RIGHT(Table13232127[[#This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6" t="s">
        <v>97</v>
      </c>
      <c r="P2040" s="46">
        <f>HEX2DEC(RIGHT(Table13232127[[#This Row],[h1]],8))</f>
        <v>0</v>
      </c>
      <c r="Q2040" s="46" t="s">
        <v>97</v>
      </c>
      <c r="R2040" s="46">
        <f>HEX2DEC(RIGHT(Table13232127[[#This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6" t="s">
        <v>97</v>
      </c>
      <c r="P2041" s="46">
        <f>HEX2DEC(RIGHT(Table13232127[[#This Row],[h1]],8))</f>
        <v>0</v>
      </c>
      <c r="Q2041" s="46" t="s">
        <v>97</v>
      </c>
      <c r="R2041" s="46">
        <f>HEX2DEC(RIGHT(Table13232127[[#This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6" t="s">
        <v>27</v>
      </c>
      <c r="Q2042" s="4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3" spans="3:7" x14ac:dyDescent="0.3">
      <c r="C2093" s="42"/>
      <c r="F2093" s="22"/>
      <c r="G2093" s="22"/>
    </row>
    <row r="2094" spans="3:7" x14ac:dyDescent="0.3">
      <c r="C2094" s="42"/>
      <c r="F2094" s="22"/>
      <c r="G2094" s="22"/>
    </row>
    <row r="2095" spans="3:7" x14ac:dyDescent="0.3">
      <c r="C2095" s="42"/>
      <c r="F2095" s="22"/>
      <c r="G2095" s="22"/>
    </row>
    <row r="2096" spans="3:7" x14ac:dyDescent="0.3">
      <c r="C2096" s="42"/>
      <c r="F2096" s="22"/>
      <c r="G2096" s="22"/>
    </row>
    <row r="2097" spans="3:7" x14ac:dyDescent="0.3">
      <c r="C2097" s="42"/>
      <c r="F2097" s="22"/>
      <c r="G2097" s="22"/>
    </row>
    <row r="2098" spans="3:7" x14ac:dyDescent="0.3">
      <c r="C2098" s="42"/>
      <c r="F2098" s="22"/>
      <c r="G2098" s="22"/>
    </row>
    <row r="2099" spans="3:7" x14ac:dyDescent="0.3">
      <c r="C2099" s="42"/>
      <c r="F2099" s="22"/>
      <c r="G2099" s="22"/>
    </row>
    <row r="2100" spans="3:7" x14ac:dyDescent="0.3">
      <c r="C2100" s="42"/>
      <c r="F2100" s="22"/>
      <c r="G2100" s="22"/>
    </row>
    <row r="2101" spans="3:7" x14ac:dyDescent="0.3">
      <c r="C2101" s="42"/>
      <c r="F2101" s="22"/>
      <c r="G2101" s="22"/>
    </row>
    <row r="2102" spans="3:7" x14ac:dyDescent="0.3">
      <c r="C2102" s="42"/>
      <c r="F2102" s="22"/>
      <c r="G2102" s="22"/>
    </row>
    <row r="2103" spans="3:7" x14ac:dyDescent="0.3">
      <c r="C2103" s="42"/>
      <c r="F2103" s="22"/>
      <c r="G2103" s="22"/>
    </row>
    <row r="2104" spans="3:7" x14ac:dyDescent="0.3">
      <c r="C2104" s="42"/>
      <c r="F2104" s="22"/>
      <c r="G2104" s="22"/>
    </row>
    <row r="2105" spans="3:7" x14ac:dyDescent="0.3">
      <c r="C2105" s="42"/>
      <c r="F2105" s="22"/>
      <c r="G2105" s="22"/>
    </row>
    <row r="2106" spans="3:7" x14ac:dyDescent="0.3">
      <c r="C2106" s="42"/>
      <c r="D2106" s="15" t="s">
        <v>88</v>
      </c>
      <c r="F2106" s="22"/>
      <c r="G2106" s="22"/>
    </row>
    <row r="2107" spans="3:7" x14ac:dyDescent="0.3">
      <c r="C2107" s="42"/>
      <c r="F2107" s="22"/>
      <c r="G2107" s="22"/>
    </row>
    <row r="2108" spans="3:7" x14ac:dyDescent="0.3">
      <c r="C2108" s="42"/>
      <c r="F2108" s="22"/>
      <c r="G2108" s="22"/>
    </row>
    <row r="2109" spans="3:7" x14ac:dyDescent="0.3">
      <c r="C2109" s="42"/>
      <c r="F2109" s="22"/>
      <c r="G2109" s="22"/>
    </row>
    <row r="2110" spans="3:7" x14ac:dyDescent="0.3">
      <c r="C2110" s="42"/>
      <c r="F2110" s="22"/>
      <c r="G2110" s="22"/>
    </row>
    <row r="2111" spans="3:7" x14ac:dyDescent="0.3">
      <c r="C2111" s="42"/>
      <c r="F2111" s="22"/>
      <c r="G2111" s="22"/>
    </row>
    <row r="2112" spans="3:7" x14ac:dyDescent="0.3">
      <c r="C2112" s="42"/>
      <c r="F2112" s="22"/>
      <c r="G2112" s="22"/>
    </row>
    <row r="2113" spans="3:7" x14ac:dyDescent="0.3">
      <c r="C2113" s="42"/>
      <c r="F2113" s="22"/>
      <c r="G2113" s="22"/>
    </row>
    <row r="2115" spans="3:7" x14ac:dyDescent="0.3">
      <c r="D2115" s="27"/>
      <c r="E2115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 O2061:R2064 S2059:S2062 D2110:E2113 G229:G230 T2061:U2064</xm:sqref>
        </x14:dataValidation>
        <x14:dataValidation type="list" allowBlank="1" showInputMessage="1" showErrorMessage="1">
          <x14:formula1>
            <xm:f>org!$B$11:$B$22</xm:f>
          </x14:formula1>
          <xm:sqref>E182:E189 G182:G189 F2110:F2113 I2062:I2064 G191:G221 E191:E221 L2061:L2064 V2061:V2064 F6</xm:sqref>
        </x14:dataValidation>
        <x14:dataValidation type="list" allowBlank="1" showInputMessage="1" showErrorMessage="1">
          <x14:formula1>
            <xm:f>org!$B$48:$B$56</xm:f>
          </x14:formula1>
          <xm:sqref>G122:G153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2094"/>
  <sheetViews>
    <sheetView zoomScaleNormal="100" workbookViewId="0">
      <pane xSplit="3" ySplit="6" topLeftCell="D76" activePane="bottomRight" state="frozen"/>
      <selection pane="topRight" activeCell="C1" sqref="C1"/>
      <selection pane="bottomLeft" activeCell="A7" sqref="A7"/>
      <selection pane="bottomRight" activeCell="J134" sqref="J134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56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6" bestFit="1" customWidth="1"/>
    <col min="16" max="16" width="12.25" style="56" customWidth="1"/>
    <col min="17" max="17" width="14.125" style="56" bestFit="1" customWidth="1"/>
    <col min="18" max="18" width="14.125" style="56" customWidth="1"/>
    <col min="19" max="19" width="1.75" style="56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6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6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6" customFormat="1" x14ac:dyDescent="0.3">
      <c r="A3" s="12" t="s">
        <v>32</v>
      </c>
      <c r="C3" s="56" t="s">
        <v>23</v>
      </c>
      <c r="D3" s="56" t="s">
        <v>9</v>
      </c>
      <c r="E3" s="56" t="s">
        <v>10</v>
      </c>
      <c r="F3" s="56" t="s">
        <v>11</v>
      </c>
      <c r="G3" s="56" t="s">
        <v>105</v>
      </c>
      <c r="I3" s="56" t="s">
        <v>6</v>
      </c>
      <c r="J3" s="56" t="s">
        <v>7</v>
      </c>
      <c r="L3" s="56" t="s">
        <v>6</v>
      </c>
      <c r="M3" s="56" t="s">
        <v>7</v>
      </c>
      <c r="O3" s="56" t="s">
        <v>98</v>
      </c>
      <c r="P3" s="34" t="s">
        <v>99</v>
      </c>
      <c r="Q3" s="56" t="s">
        <v>100</v>
      </c>
      <c r="R3" s="56" t="s">
        <v>101</v>
      </c>
      <c r="T3" s="56" t="s">
        <v>5</v>
      </c>
      <c r="U3" s="56" t="s">
        <v>6</v>
      </c>
      <c r="V3" s="56" t="s">
        <v>8</v>
      </c>
      <c r="W3" s="56" t="s">
        <v>7</v>
      </c>
    </row>
    <row r="4" spans="1:23" s="56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6" customFormat="1" x14ac:dyDescent="0.3">
      <c r="A5" s="12" t="s">
        <v>512</v>
      </c>
      <c r="B5" s="56" t="str">
        <f>A3&amp;"."&amp;A4&amp;"."&amp;A5&amp;A6&amp;"."</f>
        <v>SCL3.TS.EVG001.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6" customFormat="1" x14ac:dyDescent="0.3">
      <c r="A6" s="12" t="s">
        <v>41</v>
      </c>
      <c r="B6" s="56" t="str">
        <f>A3&amp;":"&amp;A4&amp;":"&amp;A5&amp;A6&amp;":"</f>
        <v>SCL3:TS:EVG001: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6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6"/>
      <c r="I8" s="20">
        <v>32768</v>
      </c>
      <c r="J8" s="21">
        <v>10</v>
      </c>
      <c r="K8" s="56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6"/>
      <c r="I9" s="20">
        <v>0</v>
      </c>
      <c r="J9" s="21">
        <v>10</v>
      </c>
      <c r="K9" s="56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6"/>
      <c r="I10" s="24">
        <v>30</v>
      </c>
      <c r="J10" s="24">
        <v>249999</v>
      </c>
      <c r="K10" s="56"/>
      <c r="L10" s="24">
        <v>30</v>
      </c>
      <c r="M10" s="24">
        <v>249999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6"/>
      <c r="I11" s="24">
        <v>31</v>
      </c>
      <c r="J11" s="24">
        <v>249999</v>
      </c>
      <c r="K11" s="56"/>
      <c r="L11" s="24">
        <v>31</v>
      </c>
      <c r="M11" s="24">
        <v>249999</v>
      </c>
      <c r="O11" s="56" t="s">
        <v>670</v>
      </c>
      <c r="P11" s="56">
        <f>HEX2DEC(RIGHT(Table1323212737[[#This Row],[h1]],8))</f>
        <v>0</v>
      </c>
      <c r="Q11" s="56" t="s">
        <v>97</v>
      </c>
      <c r="R11" s="56">
        <f>HEX2DEC(RIGHT(Table1323212737[[#This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6"/>
      <c r="I12" s="24">
        <v>32</v>
      </c>
      <c r="J12" s="24">
        <v>249999</v>
      </c>
      <c r="K12" s="56"/>
      <c r="L12" s="24">
        <v>32</v>
      </c>
      <c r="M12" s="24">
        <v>249999</v>
      </c>
      <c r="O12" s="56" t="s">
        <v>670</v>
      </c>
      <c r="P12" s="56">
        <f>HEX2DEC(RIGHT(Table1323212737[[#This Row],[h1]],8))</f>
        <v>0</v>
      </c>
      <c r="Q12" s="56" t="s">
        <v>97</v>
      </c>
      <c r="R12" s="56">
        <f>HEX2DEC(RIGHT(Table1323212737[[#This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6"/>
      <c r="I13" s="20">
        <v>33</v>
      </c>
      <c r="J13" s="24">
        <v>249999</v>
      </c>
      <c r="K13" s="56"/>
      <c r="L13" s="20">
        <v>33</v>
      </c>
      <c r="M13" s="24">
        <v>249999</v>
      </c>
      <c r="O13" s="56" t="s">
        <v>670</v>
      </c>
      <c r="P13" s="56">
        <f>HEX2DEC(RIGHT(Table1323212737[[#This Row],[h1]],8))</f>
        <v>0</v>
      </c>
      <c r="Q13" s="56" t="s">
        <v>97</v>
      </c>
      <c r="R13" s="56">
        <f>HEX2DEC(RIGHT(Table1323212737[[#This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6"/>
      <c r="I14" s="20">
        <v>34</v>
      </c>
      <c r="J14" s="24">
        <v>249999</v>
      </c>
      <c r="K14" s="56"/>
      <c r="L14" s="20">
        <v>34</v>
      </c>
      <c r="M14" s="24">
        <v>249999</v>
      </c>
      <c r="O14" s="56" t="s">
        <v>670</v>
      </c>
      <c r="P14" s="56">
        <f>HEX2DEC(RIGHT(Table1323212737[[#This Row],[h1]],8))</f>
        <v>0</v>
      </c>
      <c r="Q14" s="56" t="s">
        <v>97</v>
      </c>
      <c r="R14" s="56">
        <f>HEX2DEC(RIGHT(Table1323212737[[#This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6"/>
      <c r="I15" s="24" t="s">
        <v>27</v>
      </c>
      <c r="J15" s="24">
        <v>249999</v>
      </c>
      <c r="K15" s="56"/>
      <c r="L15" s="24" t="s">
        <v>88</v>
      </c>
      <c r="M15" s="24">
        <v>249999</v>
      </c>
      <c r="O15" s="56" t="s">
        <v>681</v>
      </c>
      <c r="P15" s="56">
        <f>HEX2DEC(RIGHT(Table1323212737[[#This Row],[h1]],8))</f>
        <v>1022</v>
      </c>
      <c r="Q15" s="56" t="s">
        <v>97</v>
      </c>
      <c r="R15" s="56">
        <f>HEX2DEC(RIGHT(Table1323212737[[#This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6"/>
      <c r="J16" s="24">
        <v>50000</v>
      </c>
      <c r="K16" s="56"/>
      <c r="L16" s="24">
        <v>16</v>
      </c>
      <c r="M16" s="24">
        <v>50000</v>
      </c>
      <c r="O16" s="56" t="s">
        <v>670</v>
      </c>
      <c r="P16" s="56">
        <f>HEX2DEC(RIGHT(Table1323212737[[#This Row],[h1]],8))</f>
        <v>0</v>
      </c>
      <c r="Q16" s="56" t="s">
        <v>97</v>
      </c>
      <c r="R16" s="56">
        <f>HEX2DEC(RIGHT(Table1323212737[[#This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6"/>
      <c r="J17" s="24">
        <v>50000</v>
      </c>
      <c r="K17" s="56"/>
      <c r="L17" s="24">
        <v>17</v>
      </c>
      <c r="M17" s="24">
        <v>50000</v>
      </c>
      <c r="O17" s="56" t="s">
        <v>670</v>
      </c>
      <c r="P17" s="56">
        <f>HEX2DEC(RIGHT(Table1323212737[[#This Row],[h1]],8))</f>
        <v>0</v>
      </c>
      <c r="Q17" s="56" t="s">
        <v>97</v>
      </c>
      <c r="R17" s="56">
        <f>HEX2DEC(RIGHT(Table1323212737[[#This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6"/>
      <c r="J18" s="24">
        <v>50000</v>
      </c>
      <c r="K18" s="56"/>
      <c r="L18" s="24">
        <v>18</v>
      </c>
      <c r="M18" s="24">
        <v>50000</v>
      </c>
      <c r="O18" s="56" t="s">
        <v>670</v>
      </c>
      <c r="P18" s="56">
        <f>HEX2DEC(RIGHT(Table1323212737[[#This Row],[h1]],8))</f>
        <v>0</v>
      </c>
      <c r="Q18" s="56" t="s">
        <v>97</v>
      </c>
      <c r="R18" s="56">
        <f>HEX2DEC(RIGHT(Table1323212737[[#This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6"/>
      <c r="J19" s="24">
        <v>50000</v>
      </c>
      <c r="K19" s="56"/>
      <c r="L19" s="24">
        <v>19</v>
      </c>
      <c r="M19" s="24">
        <v>50000</v>
      </c>
      <c r="O19" s="56" t="s">
        <v>670</v>
      </c>
      <c r="P19" s="56">
        <f>HEX2DEC(RIGHT(Table1323212737[[#This Row],[h1]],8))</f>
        <v>0</v>
      </c>
      <c r="Q19" s="56" t="s">
        <v>97</v>
      </c>
      <c r="R19" s="56">
        <f>HEX2DEC(RIGHT(Table1323212737[[#This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6"/>
      <c r="J20" s="24">
        <v>50000</v>
      </c>
      <c r="K20" s="56"/>
      <c r="L20" s="24">
        <v>20</v>
      </c>
      <c r="M20" s="24">
        <v>50000</v>
      </c>
      <c r="O20" s="56" t="s">
        <v>670</v>
      </c>
      <c r="P20" s="56">
        <f>HEX2DEC(RIGHT(Table1323212737[[#This Row],[h1]],8))</f>
        <v>0</v>
      </c>
      <c r="Q20" s="56" t="s">
        <v>97</v>
      </c>
      <c r="R20" s="56">
        <f>HEX2DEC(RIGHT(Table1323212737[[#This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6"/>
      <c r="J21" s="24">
        <v>50000</v>
      </c>
      <c r="K21" s="56"/>
      <c r="L21" s="24">
        <v>21</v>
      </c>
      <c r="M21" s="24">
        <v>50000</v>
      </c>
      <c r="O21" s="56" t="s">
        <v>682</v>
      </c>
      <c r="P21" s="56">
        <f>HEX2DEC(RIGHT(Table1323212737[[#This Row],[h1]],8))</f>
        <v>1047552</v>
      </c>
      <c r="Q21" s="56" t="s">
        <v>97</v>
      </c>
      <c r="R21" s="56">
        <f>HEX2DEC(RIGHT(Table1323212737[[#This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6"/>
      <c r="J22" s="24">
        <v>50000</v>
      </c>
      <c r="K22" s="56"/>
      <c r="L22" s="24">
        <v>22</v>
      </c>
      <c r="M22" s="24">
        <v>50000</v>
      </c>
      <c r="O22" s="56" t="s">
        <v>683</v>
      </c>
      <c r="P22" s="56">
        <f>HEX2DEC(RIGHT(Table1323212737[[#This Row],[h1]],8))</f>
        <v>4293918720</v>
      </c>
      <c r="Q22" s="56" t="s">
        <v>97</v>
      </c>
      <c r="R22" s="56">
        <f>HEX2DEC(RIGHT(Table1323212737[[#This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6"/>
      <c r="J23" s="24">
        <v>50000</v>
      </c>
      <c r="K23" s="56"/>
      <c r="L23" s="24">
        <v>23</v>
      </c>
      <c r="M23" s="24">
        <v>50000</v>
      </c>
      <c r="O23" s="56" t="s">
        <v>670</v>
      </c>
      <c r="P23" s="56">
        <f>HEX2DEC(RIGHT(Table1323212737[[#This Row],[h1]],8))</f>
        <v>0</v>
      </c>
      <c r="Q23" s="56" t="s">
        <v>97</v>
      </c>
      <c r="R23" s="56">
        <f>HEX2DEC(RIGHT(Table1323212737[[#This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6"/>
      <c r="J24" s="24">
        <v>50000</v>
      </c>
      <c r="K24" s="56"/>
      <c r="L24" s="24">
        <v>24</v>
      </c>
      <c r="M24" s="24">
        <v>50000</v>
      </c>
      <c r="O24" s="56" t="s">
        <v>670</v>
      </c>
      <c r="P24" s="56">
        <f>HEX2DEC(RIGHT(Table1323212737[[#This Row],[h1]],8))</f>
        <v>0</v>
      </c>
      <c r="Q24" s="56" t="s">
        <v>97</v>
      </c>
      <c r="R24" s="56">
        <f>HEX2DEC(RIGHT(Table1323212737[[#This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6"/>
      <c r="J25" s="24">
        <v>50000</v>
      </c>
      <c r="K25" s="56"/>
      <c r="L25" s="24">
        <v>25</v>
      </c>
      <c r="M25" s="24">
        <v>50000</v>
      </c>
      <c r="O25" s="56" t="s">
        <v>670</v>
      </c>
      <c r="P25" s="56">
        <f>HEX2DEC(RIGHT(Table1323212737[[#This Row],[h1]],8))</f>
        <v>0</v>
      </c>
      <c r="Q25" s="56" t="s">
        <v>97</v>
      </c>
      <c r="R25" s="56">
        <f>HEX2DEC(RIGHT(Table1323212737[[#This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6"/>
      <c r="J26" s="24">
        <v>50000</v>
      </c>
      <c r="K26" s="56"/>
      <c r="L26" s="24">
        <v>26</v>
      </c>
      <c r="M26" s="24">
        <v>50000</v>
      </c>
      <c r="O26" s="56" t="s">
        <v>670</v>
      </c>
      <c r="P26" s="56">
        <f>HEX2DEC(RIGHT(Table1323212737[[#This Row],[h1]],8))</f>
        <v>0</v>
      </c>
      <c r="Q26" s="56" t="s">
        <v>97</v>
      </c>
      <c r="R26" s="56">
        <f>HEX2DEC(RIGHT(Table1323212737[[#This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6"/>
      <c r="J27" s="24">
        <v>50000</v>
      </c>
      <c r="K27" s="56"/>
      <c r="L27" s="24">
        <v>27</v>
      </c>
      <c r="M27" s="24">
        <v>50000</v>
      </c>
      <c r="O27" s="56" t="s">
        <v>670</v>
      </c>
      <c r="P27" s="56">
        <f>HEX2DEC(RIGHT(Table1323212737[[#This Row],[h1]],8))</f>
        <v>0</v>
      </c>
      <c r="Q27" s="56" t="s">
        <v>97</v>
      </c>
      <c r="R27" s="56">
        <f>HEX2DEC(RIGHT(Table1323212737[[#This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6"/>
      <c r="J28" s="24">
        <v>50000</v>
      </c>
      <c r="K28" s="56"/>
      <c r="L28" s="24">
        <v>28</v>
      </c>
      <c r="M28" s="24">
        <v>50000</v>
      </c>
      <c r="O28" s="56" t="s">
        <v>670</v>
      </c>
      <c r="P28" s="56">
        <f>HEX2DEC(RIGHT(Table1323212737[[#This Row],[h1]],8))</f>
        <v>0</v>
      </c>
      <c r="Q28" s="56" t="s">
        <v>97</v>
      </c>
      <c r="R28" s="56">
        <f>HEX2DEC(RIGHT(Table1323212737[[#This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6"/>
      <c r="J29" s="24">
        <v>50000</v>
      </c>
      <c r="K29" s="56"/>
      <c r="L29" s="24">
        <v>29</v>
      </c>
      <c r="M29" s="24">
        <v>50000</v>
      </c>
      <c r="O29" s="56" t="s">
        <v>670</v>
      </c>
      <c r="P29" s="56">
        <f>HEX2DEC(RIGHT(Table1323212737[[#This Row],[h1]],8))</f>
        <v>0</v>
      </c>
      <c r="Q29" s="56" t="s">
        <v>97</v>
      </c>
      <c r="R29" s="56">
        <f>HEX2DEC(RIGHT(Table1323212737[[#This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6"/>
      <c r="J30" s="24">
        <v>50000</v>
      </c>
      <c r="K30" s="56"/>
      <c r="L30" s="24">
        <v>30</v>
      </c>
      <c r="M30" s="24">
        <v>50000</v>
      </c>
      <c r="O30" s="56" t="s">
        <v>670</v>
      </c>
      <c r="P30" s="56">
        <f>HEX2DEC(RIGHT(Table1323212737[[#This Row],[h1]],8))</f>
        <v>0</v>
      </c>
      <c r="Q30" s="56" t="s">
        <v>97</v>
      </c>
      <c r="R30" s="56">
        <f>HEX2DEC(RIGHT(Table1323212737[[#This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6"/>
      <c r="J31" s="24">
        <v>50000</v>
      </c>
      <c r="K31" s="56"/>
      <c r="L31" s="20"/>
      <c r="M31" s="24">
        <v>50000</v>
      </c>
      <c r="O31" s="56" t="s">
        <v>670</v>
      </c>
      <c r="P31" s="56">
        <f>HEX2DEC(RIGHT(Table1323212737[[#This Row],[h1]],8))</f>
        <v>0</v>
      </c>
      <c r="Q31" s="56" t="s">
        <v>97</v>
      </c>
      <c r="R31" s="56">
        <f>HEX2DEC(RIGHT(Table1323212737[[#This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6"/>
      <c r="J32" s="24">
        <v>50000</v>
      </c>
      <c r="K32" s="56"/>
      <c r="M32" s="24">
        <v>50000</v>
      </c>
      <c r="O32" s="56" t="s">
        <v>670</v>
      </c>
      <c r="P32" s="56">
        <f>HEX2DEC(RIGHT(Table1323212737[[#This Row],[h1]],8))</f>
        <v>0</v>
      </c>
      <c r="Q32" s="56" t="s">
        <v>97</v>
      </c>
      <c r="R32" s="56">
        <f>HEX2DEC(RIGHT(Table1323212737[[#This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6"/>
      <c r="J33" s="24">
        <v>50000</v>
      </c>
      <c r="K33" s="56"/>
      <c r="M33" s="24">
        <v>50000</v>
      </c>
      <c r="O33" s="56" t="s">
        <v>670</v>
      </c>
      <c r="P33" s="56">
        <f>HEX2DEC(RIGHT(Table1323212737[[#This Row],[h1]],8))</f>
        <v>0</v>
      </c>
      <c r="Q33" s="56" t="s">
        <v>97</v>
      </c>
      <c r="R33" s="56">
        <f>HEX2DEC(RIGHT(Table1323212737[[#This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6"/>
      <c r="J34" s="24">
        <v>50000</v>
      </c>
      <c r="K34" s="56"/>
      <c r="M34" s="24">
        <v>50000</v>
      </c>
      <c r="O34" s="56" t="s">
        <v>670</v>
      </c>
      <c r="P34" s="56">
        <f>HEX2DEC(RIGHT(Table1323212737[[#This Row],[h1]],8))</f>
        <v>0</v>
      </c>
      <c r="Q34" s="56" t="s">
        <v>97</v>
      </c>
      <c r="R34" s="56">
        <f>HEX2DEC(RIGHT(Table1323212737[[#This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6"/>
      <c r="J35" s="24">
        <v>50000</v>
      </c>
      <c r="K35" s="56"/>
      <c r="M35" s="24">
        <v>50000</v>
      </c>
      <c r="O35" s="56" t="s">
        <v>670</v>
      </c>
      <c r="P35" s="56">
        <f>HEX2DEC(RIGHT(Table1323212737[[#This Row],[h1]],8))</f>
        <v>0</v>
      </c>
      <c r="Q35" s="56" t="s">
        <v>97</v>
      </c>
      <c r="R35" s="56">
        <f>HEX2DEC(RIGHT(Table1323212737[[#This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6"/>
      <c r="J36" s="24">
        <v>50000</v>
      </c>
      <c r="K36" s="56"/>
      <c r="M36" s="24">
        <v>50000</v>
      </c>
      <c r="O36" s="56" t="s">
        <v>670</v>
      </c>
      <c r="P36" s="56">
        <f>HEX2DEC(RIGHT(Table1323212737[[#This Row],[h1]],8))</f>
        <v>0</v>
      </c>
      <c r="Q36" s="56" t="s">
        <v>97</v>
      </c>
      <c r="R36" s="56">
        <f>HEX2DEC(RIGHT(Table1323212737[[#This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6"/>
      <c r="J37" s="24">
        <v>50000</v>
      </c>
      <c r="K37" s="56"/>
      <c r="M37" s="24">
        <v>50000</v>
      </c>
      <c r="O37" s="56" t="s">
        <v>670</v>
      </c>
      <c r="P37" s="56">
        <f>HEX2DEC(RIGHT(Table1323212737[[#This Row],[h1]],8))</f>
        <v>0</v>
      </c>
      <c r="Q37" s="56" t="s">
        <v>97</v>
      </c>
      <c r="R37" s="56">
        <f>HEX2DEC(RIGHT(Table1323212737[[#This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6"/>
      <c r="J38" s="24">
        <v>50000</v>
      </c>
      <c r="K38" s="56"/>
      <c r="L38" s="20" t="s">
        <v>88</v>
      </c>
      <c r="M38" s="24">
        <v>50000</v>
      </c>
      <c r="O38" s="56" t="s">
        <v>670</v>
      </c>
      <c r="P38" s="56">
        <f>HEX2DEC(RIGHT(Table1323212737[[#This Row],[h1]],8))</f>
        <v>0</v>
      </c>
      <c r="Q38" s="56" t="s">
        <v>97</v>
      </c>
      <c r="R38" s="56">
        <f>HEX2DEC(RIGHT(Table1323212737[[#This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6"/>
      <c r="J39" s="24">
        <v>50000</v>
      </c>
      <c r="K39" s="56"/>
      <c r="M39" s="24">
        <v>50000</v>
      </c>
      <c r="O39" s="56" t="s">
        <v>670</v>
      </c>
      <c r="P39" s="56">
        <f>HEX2DEC(RIGHT(Table1323212737[[#This Row],[h1]],8))</f>
        <v>0</v>
      </c>
      <c r="Q39" s="56" t="s">
        <v>97</v>
      </c>
      <c r="R39" s="56">
        <f>HEX2DEC(RIGHT(Table1323212737[[#This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6"/>
      <c r="J40" s="24">
        <v>50000</v>
      </c>
      <c r="K40" s="56"/>
      <c r="M40" s="24">
        <v>50000</v>
      </c>
      <c r="O40" s="56" t="s">
        <v>670</v>
      </c>
      <c r="P40" s="56">
        <f>HEX2DEC(RIGHT(Table1323212737[[#This Row],[h1]],8))</f>
        <v>0</v>
      </c>
      <c r="Q40" s="56" t="s">
        <v>97</v>
      </c>
      <c r="R40" s="56">
        <f>HEX2DEC(RIGHT(Table1323212737[[#This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6"/>
      <c r="J41" s="24">
        <v>50000</v>
      </c>
      <c r="K41" s="56"/>
      <c r="M41" s="24">
        <v>50000</v>
      </c>
      <c r="O41" s="56" t="s">
        <v>670</v>
      </c>
      <c r="P41" s="56">
        <f>HEX2DEC(RIGHT(Table1323212737[[#This Row],[h1]],8))</f>
        <v>0</v>
      </c>
      <c r="Q41" s="56" t="s">
        <v>97</v>
      </c>
      <c r="R41" s="56">
        <f>HEX2DEC(RIGHT(Table1323212737[[#This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6"/>
      <c r="J42" s="24">
        <v>50000</v>
      </c>
      <c r="K42" s="56"/>
      <c r="M42" s="24">
        <v>50000</v>
      </c>
      <c r="O42" s="56" t="s">
        <v>670</v>
      </c>
      <c r="P42" s="56">
        <f>HEX2DEC(RIGHT(Table1323212737[[#This Row],[h1]],8))</f>
        <v>0</v>
      </c>
      <c r="Q42" s="56" t="s">
        <v>97</v>
      </c>
      <c r="R42" s="56">
        <f>HEX2DEC(RIGHT(Table1323212737[[#This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6"/>
      <c r="J43" s="24">
        <v>50000</v>
      </c>
      <c r="K43" s="56"/>
      <c r="M43" s="24">
        <v>50000</v>
      </c>
      <c r="O43" s="56" t="s">
        <v>670</v>
      </c>
      <c r="P43" s="56">
        <f>HEX2DEC(RIGHT(Table1323212737[[#This Row],[h1]],8))</f>
        <v>0</v>
      </c>
      <c r="Q43" s="56" t="s">
        <v>97</v>
      </c>
      <c r="R43" s="56">
        <f>HEX2DEC(RIGHT(Table1323212737[[#This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6"/>
      <c r="J44" s="24">
        <v>50000</v>
      </c>
      <c r="K44" s="56"/>
      <c r="M44" s="24">
        <v>50000</v>
      </c>
      <c r="O44" s="56" t="s">
        <v>670</v>
      </c>
      <c r="P44" s="56">
        <f>HEX2DEC(RIGHT(Table1323212737[[#This Row],[h1]],8))</f>
        <v>0</v>
      </c>
      <c r="Q44" s="56" t="s">
        <v>97</v>
      </c>
      <c r="R44" s="56">
        <f>HEX2DEC(RIGHT(Table1323212737[[#This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6"/>
      <c r="J45" s="24">
        <v>50000</v>
      </c>
      <c r="K45" s="56"/>
      <c r="M45" s="24">
        <v>50000</v>
      </c>
      <c r="O45" s="56" t="s">
        <v>670</v>
      </c>
      <c r="P45" s="56">
        <f>HEX2DEC(RIGHT(Table1323212737[[#This Row],[h1]],8))</f>
        <v>0</v>
      </c>
      <c r="Q45" s="56" t="s">
        <v>97</v>
      </c>
      <c r="R45" s="56">
        <f>HEX2DEC(RIGHT(Table1323212737[[#This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6"/>
      <c r="I46" s="20" t="s">
        <v>88</v>
      </c>
      <c r="J46" s="24">
        <v>50000</v>
      </c>
      <c r="K46" s="56"/>
      <c r="M46" s="24">
        <v>50000</v>
      </c>
      <c r="O46" s="56" t="s">
        <v>670</v>
      </c>
      <c r="P46" s="56">
        <f>HEX2DEC(RIGHT(Table1323212737[[#This Row],[h1]],8))</f>
        <v>0</v>
      </c>
      <c r="Q46" s="56" t="s">
        <v>97</v>
      </c>
      <c r="R46" s="56">
        <f>HEX2DEC(RIGHT(Table1323212737[[#This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6"/>
      <c r="J47" s="24">
        <v>50000</v>
      </c>
      <c r="K47" s="56"/>
      <c r="M47" s="24">
        <v>50000</v>
      </c>
      <c r="O47" s="56" t="s">
        <v>670</v>
      </c>
      <c r="P47" s="56">
        <f>HEX2DEC(RIGHT(Table1323212737[[#This Row],[h1]],8))</f>
        <v>0</v>
      </c>
      <c r="Q47" s="56" t="s">
        <v>97</v>
      </c>
      <c r="R47" s="56">
        <f>HEX2DEC(RIGHT(Table1323212737[[#This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6"/>
      <c r="J48" s="24">
        <v>50000</v>
      </c>
      <c r="K48" s="56"/>
      <c r="M48" s="24">
        <v>50000</v>
      </c>
      <c r="O48" s="56" t="s">
        <v>97</v>
      </c>
      <c r="P48" s="56">
        <f>HEX2DEC(RIGHT(Table1323212737[[#This Row],[h1]],8))</f>
        <v>0</v>
      </c>
      <c r="Q48" s="56" t="s">
        <v>97</v>
      </c>
      <c r="R48" s="56">
        <f>HEX2DEC(RIGHT(Table1323212737[[#This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6"/>
      <c r="J49" s="24">
        <v>50000</v>
      </c>
      <c r="K49" s="56"/>
      <c r="M49" s="24">
        <v>50000</v>
      </c>
      <c r="O49" s="56" t="s">
        <v>97</v>
      </c>
      <c r="P49" s="56">
        <f>HEX2DEC(RIGHT(Table1323212737[[#This Row],[h1]],8))</f>
        <v>0</v>
      </c>
      <c r="Q49" s="56" t="s">
        <v>97</v>
      </c>
      <c r="R49" s="56">
        <f>HEX2DEC(RIGHT(Table1323212737[[#This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6"/>
      <c r="J50" s="24">
        <v>50000</v>
      </c>
      <c r="K50" s="56"/>
      <c r="M50" s="24">
        <v>50000</v>
      </c>
      <c r="O50" s="56" t="s">
        <v>97</v>
      </c>
      <c r="P50" s="56">
        <f>HEX2DEC(RIGHT(Table1323212737[[#This Row],[h1]],8))</f>
        <v>0</v>
      </c>
      <c r="Q50" s="56" t="s">
        <v>97</v>
      </c>
      <c r="R50" s="56">
        <f>HEX2DEC(RIGHT(Table1323212737[[#This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6"/>
      <c r="J51" s="24">
        <v>50000</v>
      </c>
      <c r="K51" s="56"/>
      <c r="M51" s="24">
        <v>50000</v>
      </c>
      <c r="O51" s="56" t="s">
        <v>97</v>
      </c>
      <c r="P51" s="56">
        <f>HEX2DEC(RIGHT(Table1323212737[[#This Row],[h1]],8))</f>
        <v>0</v>
      </c>
      <c r="Q51" s="56" t="s">
        <v>97</v>
      </c>
      <c r="R51" s="56">
        <f>HEX2DEC(RIGHT(Table1323212737[[#This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6"/>
      <c r="J52" s="24">
        <v>50000</v>
      </c>
      <c r="K52" s="56"/>
      <c r="M52" s="24">
        <v>50000</v>
      </c>
      <c r="O52" s="56" t="s">
        <v>97</v>
      </c>
      <c r="P52" s="56">
        <f>HEX2DEC(RIGHT(Table1323212737[[#This Row],[h1]],8))</f>
        <v>0</v>
      </c>
      <c r="Q52" s="56" t="s">
        <v>97</v>
      </c>
      <c r="R52" s="56">
        <f>HEX2DEC(RIGHT(Table1323212737[[#This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6"/>
      <c r="J53" s="24">
        <v>50000</v>
      </c>
      <c r="K53" s="56"/>
      <c r="M53" s="24">
        <v>50000</v>
      </c>
      <c r="O53" s="56" t="s">
        <v>97</v>
      </c>
      <c r="P53" s="56">
        <f>HEX2DEC(RIGHT(Table1323212737[[#This Row],[h1]],8))</f>
        <v>0</v>
      </c>
      <c r="Q53" s="56" t="s">
        <v>97</v>
      </c>
      <c r="R53" s="56">
        <f>HEX2DEC(RIGHT(Table1323212737[[#This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6"/>
      <c r="J54" s="24">
        <v>50000</v>
      </c>
      <c r="K54" s="56"/>
      <c r="M54" s="24">
        <v>50000</v>
      </c>
      <c r="O54" s="56" t="s">
        <v>97</v>
      </c>
      <c r="P54" s="56">
        <f>HEX2DEC(RIGHT(Table1323212737[[#This Row],[h1]],8))</f>
        <v>0</v>
      </c>
      <c r="Q54" s="56" t="s">
        <v>97</v>
      </c>
      <c r="R54" s="56">
        <f>HEX2DEC(RIGHT(Table1323212737[[#This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6"/>
      <c r="J55" s="24">
        <v>50000</v>
      </c>
      <c r="K55" s="56"/>
      <c r="M55" s="24">
        <v>50000</v>
      </c>
      <c r="O55" s="56" t="s">
        <v>97</v>
      </c>
      <c r="P55" s="56">
        <f>HEX2DEC(RIGHT(Table1323212737[[#This Row],[h1]],8))</f>
        <v>0</v>
      </c>
      <c r="Q55" s="56" t="s">
        <v>97</v>
      </c>
      <c r="R55" s="56">
        <f>HEX2DEC(RIGHT(Table1323212737[[#This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6"/>
      <c r="J56" s="24">
        <v>50000</v>
      </c>
      <c r="K56" s="56"/>
      <c r="M56" s="24">
        <v>50000</v>
      </c>
      <c r="O56" s="56" t="s">
        <v>97</v>
      </c>
      <c r="P56" s="56">
        <f>HEX2DEC(RIGHT(Table1323212737[[#This Row],[h1]],8))</f>
        <v>0</v>
      </c>
      <c r="Q56" s="56" t="s">
        <v>97</v>
      </c>
      <c r="R56" s="56">
        <f>HEX2DEC(RIGHT(Table1323212737[[#This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6"/>
      <c r="J57" s="24">
        <v>50000</v>
      </c>
      <c r="K57" s="56"/>
      <c r="M57" s="24">
        <v>50000</v>
      </c>
      <c r="O57" s="56" t="s">
        <v>97</v>
      </c>
      <c r="P57" s="56">
        <f>HEX2DEC(RIGHT(Table1323212737[[#This Row],[h1]],8))</f>
        <v>0</v>
      </c>
      <c r="Q57" s="56" t="s">
        <v>97</v>
      </c>
      <c r="R57" s="56">
        <f>HEX2DEC(RIGHT(Table1323212737[[#This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6"/>
      <c r="J58" s="24">
        <v>50000</v>
      </c>
      <c r="K58" s="56"/>
      <c r="M58" s="24">
        <v>50000</v>
      </c>
      <c r="O58" s="56" t="s">
        <v>97</v>
      </c>
      <c r="P58" s="56">
        <f>HEX2DEC(RIGHT(Table1323212737[[#This Row],[h1]],8))</f>
        <v>0</v>
      </c>
      <c r="Q58" s="56" t="s">
        <v>97</v>
      </c>
      <c r="R58" s="56">
        <f>HEX2DEC(RIGHT(Table1323212737[[#This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6"/>
      <c r="J59" s="24">
        <v>50000</v>
      </c>
      <c r="K59" s="56"/>
      <c r="M59" s="24">
        <v>50000</v>
      </c>
      <c r="O59" s="56" t="s">
        <v>97</v>
      </c>
      <c r="P59" s="56">
        <f>HEX2DEC(RIGHT(Table1323212737[[#This Row],[h1]],8))</f>
        <v>0</v>
      </c>
      <c r="Q59" s="56" t="s">
        <v>97</v>
      </c>
      <c r="R59" s="56">
        <f>HEX2DEC(RIGHT(Table1323212737[[#This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6"/>
      <c r="J60" s="24">
        <v>50000</v>
      </c>
      <c r="K60" s="56"/>
      <c r="M60" s="24">
        <v>50000</v>
      </c>
      <c r="O60" s="56" t="s">
        <v>97</v>
      </c>
      <c r="P60" s="56">
        <f>HEX2DEC(RIGHT(Table1323212737[[#This Row],[h1]],8))</f>
        <v>0</v>
      </c>
      <c r="Q60" s="56" t="s">
        <v>97</v>
      </c>
      <c r="R60" s="56">
        <f>HEX2DEC(RIGHT(Table1323212737[[#This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6"/>
      <c r="J61" s="24">
        <v>50000</v>
      </c>
      <c r="K61" s="56"/>
      <c r="M61" s="24">
        <v>50000</v>
      </c>
      <c r="O61" s="56" t="s">
        <v>97</v>
      </c>
      <c r="P61" s="56">
        <f>HEX2DEC(RIGHT(Table1323212737[[#This Row],[h1]],8))</f>
        <v>0</v>
      </c>
      <c r="Q61" s="56" t="s">
        <v>97</v>
      </c>
      <c r="R61" s="56">
        <f>HEX2DEC(RIGHT(Table1323212737[[#This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56">
        <f>HEX2DEC(RIGHT(Table1323212737[[#This Row],[h1]],8))</f>
        <v>0</v>
      </c>
      <c r="Q62" s="56" t="s">
        <v>97</v>
      </c>
      <c r="R62" s="56">
        <f>HEX2DEC(RIGHT(Table1323212737[[#This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56">
        <f>HEX2DEC(RIGHT(Table1323212737[[#This Row],[h1]],8))</f>
        <v>0</v>
      </c>
      <c r="Q63" s="56" t="s">
        <v>97</v>
      </c>
      <c r="R63" s="56">
        <f>HEX2DEC(RIGHT(Table1323212737[[#This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56">
        <f>HEX2DEC(RIGHT(Table1323212737[[#This Row],[h1]],8))</f>
        <v>0</v>
      </c>
      <c r="Q64" s="56" t="s">
        <v>97</v>
      </c>
      <c r="R64" s="56">
        <f>HEX2DEC(RIGHT(Table1323212737[[#This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56">
        <f>HEX2DEC(RIGHT(Table1323212737[[#This Row],[h1]],8))</f>
        <v>0</v>
      </c>
      <c r="Q65" s="56" t="s">
        <v>97</v>
      </c>
      <c r="R65" s="56">
        <f>HEX2DEC(RIGHT(Table1323212737[[#This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56">
        <f>HEX2DEC(RIGHT(Table1323212737[[#This Row],[h1]],8))</f>
        <v>0</v>
      </c>
      <c r="Q66" s="56" t="s">
        <v>97</v>
      </c>
      <c r="R66" s="56">
        <f>HEX2DEC(RIGHT(Table1323212737[[#This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56">
        <f>HEX2DEC(RIGHT(Table1323212737[[#This Row],[h1]],8))</f>
        <v>0</v>
      </c>
      <c r="Q67" s="56" t="s">
        <v>97</v>
      </c>
      <c r="R67" s="56">
        <f>HEX2DEC(RIGHT(Table1323212737[[#This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56">
        <f>HEX2DEC(RIGHT(Table1323212737[[#This Row],[h1]],8))</f>
        <v>0</v>
      </c>
      <c r="Q68" s="56" t="s">
        <v>97</v>
      </c>
      <c r="R68" s="56">
        <f>HEX2DEC(RIGHT(Table1323212737[[#This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56">
        <f>HEX2DEC(RIGHT(Table1323212737[[#This Row],[h1]],8))</f>
        <v>0</v>
      </c>
      <c r="Q69" s="56" t="s">
        <v>97</v>
      </c>
      <c r="R69" s="56">
        <f>HEX2DEC(RIGHT(Table1323212737[[#This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56">
        <f>HEX2DEC(RIGHT(Table1323212737[[#This Row],[h1]],8))</f>
        <v>0</v>
      </c>
      <c r="Q70" s="56" t="s">
        <v>97</v>
      </c>
      <c r="R70" s="56">
        <f>HEX2DEC(RIGHT(Table1323212737[[#This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6" t="s">
        <v>97</v>
      </c>
      <c r="P71" s="56">
        <f>HEX2DEC(RIGHT(Table1323212737[[#This Row],[h1]],8))</f>
        <v>0</v>
      </c>
      <c r="Q71" s="56" t="s">
        <v>97</v>
      </c>
      <c r="R71" s="56">
        <f>HEX2DEC(RIGHT(Table1323212737[[#This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6" t="s">
        <v>97</v>
      </c>
      <c r="P72" s="56">
        <f>HEX2DEC(RIGHT(Table1323212737[[#This Row],[h1]],8))</f>
        <v>0</v>
      </c>
      <c r="Q72" s="56" t="s">
        <v>97</v>
      </c>
      <c r="R72" s="56">
        <f>HEX2DEC(RIGHT(Table1323212737[[#This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6" t="s">
        <v>97</v>
      </c>
      <c r="P73" s="56">
        <f>HEX2DEC(RIGHT(Table1323212737[[#This Row],[h1]],8))</f>
        <v>0</v>
      </c>
      <c r="Q73" s="56" t="s">
        <v>97</v>
      </c>
      <c r="R73" s="56">
        <f>HEX2DEC(RIGHT(Table1323212737[[#This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6" t="s">
        <v>97</v>
      </c>
      <c r="P74" s="56">
        <f>HEX2DEC(RIGHT(Table1323212737[[#This Row],[h1]],8))</f>
        <v>0</v>
      </c>
      <c r="Q74" s="56" t="s">
        <v>97</v>
      </c>
      <c r="R74" s="56">
        <f>HEX2DEC(RIGHT(Table1323212737[[#This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6" t="s">
        <v>97</v>
      </c>
      <c r="P75" s="56">
        <f>HEX2DEC(RIGHT(Table1323212737[[#This Row],[h1]],8))</f>
        <v>0</v>
      </c>
      <c r="Q75" s="56" t="s">
        <v>97</v>
      </c>
      <c r="R75" s="56">
        <f>HEX2DEC(RIGHT(Table1323212737[[#This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6" t="s">
        <v>97</v>
      </c>
      <c r="P76" s="56">
        <f>HEX2DEC(RIGHT(Table1323212737[[#This Row],[h1]],8))</f>
        <v>0</v>
      </c>
      <c r="Q76" s="56" t="s">
        <v>97</v>
      </c>
      <c r="R76" s="56">
        <f>HEX2DEC(RIGHT(Table1323212737[[#This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6" t="s">
        <v>97</v>
      </c>
      <c r="P77" s="56">
        <f>HEX2DEC(RIGHT(Table1323212737[[#This Row],[h1]],8))</f>
        <v>0</v>
      </c>
      <c r="Q77" s="56" t="s">
        <v>97</v>
      </c>
      <c r="R77" s="56">
        <f>HEX2DEC(RIGHT(Table1323212737[[#This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6" t="s">
        <v>97</v>
      </c>
      <c r="P78" s="56">
        <f>HEX2DEC(RIGHT(Table1323212737[[#This Row],[h1]],8))</f>
        <v>0</v>
      </c>
      <c r="Q78" s="56" t="s">
        <v>97</v>
      </c>
      <c r="R78" s="56">
        <f>HEX2DEC(RIGHT(Table1323212737[[#This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6" t="s">
        <v>97</v>
      </c>
      <c r="P79" s="56">
        <f>HEX2DEC(RIGHT(Table1323212737[[#This Row],[h1]],8))</f>
        <v>0</v>
      </c>
      <c r="Q79" s="56" t="s">
        <v>97</v>
      </c>
      <c r="R79" s="56">
        <f>HEX2DEC(RIGHT(Table1323212737[[#This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6" t="s">
        <v>97</v>
      </c>
      <c r="P80" s="56">
        <f>HEX2DEC(RIGHT(Table1323212737[[#This Row],[h1]],8))</f>
        <v>0</v>
      </c>
      <c r="Q80" s="56" t="s">
        <v>97</v>
      </c>
      <c r="R80" s="56">
        <f>HEX2DEC(RIGHT(Table1323212737[[#This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6" t="s">
        <v>97</v>
      </c>
      <c r="P81" s="56">
        <f>HEX2DEC(RIGHT(Table1323212737[[#This Row],[h1]],8))</f>
        <v>0</v>
      </c>
      <c r="Q81" s="56" t="s">
        <v>97</v>
      </c>
      <c r="R81" s="56">
        <f>HEX2DEC(RIGHT(Table1323212737[[#This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6" t="s">
        <v>97</v>
      </c>
      <c r="P82" s="56">
        <f>HEX2DEC(RIGHT(Table1323212737[[#This Row],[h1]],8))</f>
        <v>0</v>
      </c>
      <c r="Q82" s="56" t="s">
        <v>97</v>
      </c>
      <c r="R82" s="56">
        <f>HEX2DEC(RIGHT(Table1323212737[[#This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6" t="s">
        <v>97</v>
      </c>
      <c r="P83" s="56">
        <f>HEX2DEC(RIGHT(Table1323212737[[#This Row],[h1]],8))</f>
        <v>0</v>
      </c>
      <c r="Q83" s="56" t="s">
        <v>97</v>
      </c>
      <c r="R83" s="56">
        <f>HEX2DEC(RIGHT(Table1323212737[[#This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6" t="s">
        <v>97</v>
      </c>
      <c r="P84" s="56">
        <f>HEX2DEC(RIGHT(Table1323212737[[#This Row],[h1]],8))</f>
        <v>0</v>
      </c>
      <c r="Q84" s="56" t="s">
        <v>97</v>
      </c>
      <c r="R84" s="56">
        <f>HEX2DEC(RIGHT(Table1323212737[[#This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6" t="s">
        <v>97</v>
      </c>
      <c r="P85" s="56">
        <f>HEX2DEC(RIGHT(Table1323212737[[#This Row],[h1]],8))</f>
        <v>0</v>
      </c>
      <c r="Q85" s="56" t="s">
        <v>97</v>
      </c>
      <c r="R85" s="56">
        <f>HEX2DEC(RIGHT(Table1323212737[[#This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6" t="s">
        <v>97</v>
      </c>
      <c r="P86" s="56">
        <f>HEX2DEC(RIGHT(Table1323212737[[#This Row],[h1]],8))</f>
        <v>0</v>
      </c>
      <c r="Q86" s="56" t="s">
        <v>97</v>
      </c>
      <c r="R86" s="56">
        <f>HEX2DEC(RIGHT(Table1323212737[[#This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6" t="s">
        <v>97</v>
      </c>
      <c r="P87" s="56">
        <f>HEX2DEC(RIGHT(Table1323212737[[#This Row],[h1]],8))</f>
        <v>0</v>
      </c>
      <c r="Q87" s="56" t="s">
        <v>97</v>
      </c>
      <c r="R87" s="56">
        <f>HEX2DEC(RIGHT(Table1323212737[[#This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6" t="s">
        <v>97</v>
      </c>
      <c r="P88" s="56">
        <f>HEX2DEC(RIGHT(Table1323212737[[#This Row],[h1]],8))</f>
        <v>0</v>
      </c>
      <c r="Q88" s="56" t="s">
        <v>97</v>
      </c>
      <c r="R88" s="56">
        <f>HEX2DEC(RIGHT(Table1323212737[[#This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6" t="s">
        <v>97</v>
      </c>
      <c r="P89" s="56">
        <f>HEX2DEC(RIGHT(Table1323212737[[#This Row],[h1]],8))</f>
        <v>0</v>
      </c>
      <c r="Q89" s="56" t="s">
        <v>97</v>
      </c>
      <c r="R89" s="56">
        <f>HEX2DEC(RIGHT(Table1323212737[[#This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6" t="s">
        <v>97</v>
      </c>
      <c r="P90" s="56">
        <f>HEX2DEC(RIGHT(Table1323212737[[#This Row],[h1]],8))</f>
        <v>0</v>
      </c>
      <c r="Q90" s="56" t="s">
        <v>97</v>
      </c>
      <c r="R90" s="56">
        <f>HEX2DEC(RIGHT(Table1323212737[[#This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6" t="s">
        <v>97</v>
      </c>
      <c r="P91" s="56">
        <f>HEX2DEC(RIGHT(Table1323212737[[#This Row],[h1]],8))</f>
        <v>0</v>
      </c>
      <c r="Q91" s="56" t="s">
        <v>97</v>
      </c>
      <c r="R91" s="56">
        <f>HEX2DEC(RIGHT(Table1323212737[[#This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6" t="s">
        <v>97</v>
      </c>
      <c r="P92" s="56">
        <f>HEX2DEC(RIGHT(Table1323212737[[#This Row],[h1]],8))</f>
        <v>0</v>
      </c>
      <c r="Q92" s="56" t="s">
        <v>97</v>
      </c>
      <c r="R92" s="56">
        <f>HEX2DEC(RIGHT(Table1323212737[[#This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6" t="s">
        <v>97</v>
      </c>
      <c r="P93" s="56">
        <f>HEX2DEC(RIGHT(Table1323212737[[#This Row],[h1]],8))</f>
        <v>0</v>
      </c>
      <c r="Q93" s="56" t="s">
        <v>97</v>
      </c>
      <c r="R93" s="56">
        <f>HEX2DEC(RIGHT(Table1323212737[[#This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6" t="s">
        <v>97</v>
      </c>
      <c r="P94" s="56">
        <f>HEX2DEC(RIGHT(Table1323212737[[#This Row],[h1]],8))</f>
        <v>0</v>
      </c>
      <c r="Q94" s="56" t="s">
        <v>97</v>
      </c>
      <c r="R94" s="56">
        <f>HEX2DEC(RIGHT(Table1323212737[[#This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6" t="s">
        <v>97</v>
      </c>
      <c r="P95" s="56">
        <f>HEX2DEC(RIGHT(Table1323212737[[#This Row],[h1]],8))</f>
        <v>0</v>
      </c>
      <c r="Q95" s="56" t="s">
        <v>97</v>
      </c>
      <c r="R95" s="56">
        <f>HEX2DEC(RIGHT(Table1323212737[[#This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6" t="s">
        <v>97</v>
      </c>
      <c r="P96" s="56">
        <f>HEX2DEC(RIGHT(Table1323212737[[#This Row],[h1]],8))</f>
        <v>0</v>
      </c>
      <c r="Q96" s="56" t="s">
        <v>97</v>
      </c>
      <c r="R96" s="56">
        <f>HEX2DEC(RIGHT(Table1323212737[[#This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6" t="s">
        <v>97</v>
      </c>
      <c r="P97" s="56">
        <f>HEX2DEC(RIGHT(Table1323212737[[#This Row],[h1]],8))</f>
        <v>0</v>
      </c>
      <c r="Q97" s="56" t="s">
        <v>97</v>
      </c>
      <c r="R97" s="56">
        <f>HEX2DEC(RIGHT(Table1323212737[[#This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6" t="s">
        <v>97</v>
      </c>
      <c r="P98" s="56">
        <f>HEX2DEC(RIGHT(Table1323212737[[#This Row],[h1]],8))</f>
        <v>0</v>
      </c>
      <c r="Q98" s="56" t="s">
        <v>97</v>
      </c>
      <c r="R98" s="56">
        <f>HEX2DEC(RIGHT(Table1323212737[[#This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6" t="s">
        <v>97</v>
      </c>
      <c r="P99" s="56">
        <f>HEX2DEC(RIGHT(Table1323212737[[#This Row],[h1]],8))</f>
        <v>0</v>
      </c>
      <c r="Q99" s="56" t="s">
        <v>97</v>
      </c>
      <c r="R99" s="56">
        <f>HEX2DEC(RIGHT(Table1323212737[[#This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6" t="s">
        <v>97</v>
      </c>
      <c r="P100" s="56">
        <f>HEX2DEC(RIGHT(Table1323212737[[#This Row],[h1]],8))</f>
        <v>0</v>
      </c>
      <c r="Q100" s="56" t="s">
        <v>97</v>
      </c>
      <c r="R100" s="56">
        <f>HEX2DEC(RIGHT(Table1323212737[[#This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6" t="s">
        <v>97</v>
      </c>
      <c r="P101" s="56">
        <f>HEX2DEC(RIGHT(Table1323212737[[#This Row],[h1]],8))</f>
        <v>0</v>
      </c>
      <c r="Q101" s="56" t="s">
        <v>97</v>
      </c>
      <c r="R101" s="56">
        <f>HEX2DEC(RIGHT(Table1323212737[[#This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6" t="s">
        <v>97</v>
      </c>
      <c r="P102" s="56">
        <f>HEX2DEC(RIGHT(Table1323212737[[#This Row],[h1]],8))</f>
        <v>0</v>
      </c>
      <c r="Q102" s="56" t="s">
        <v>97</v>
      </c>
      <c r="R102" s="56">
        <f>HEX2DEC(RIGHT(Table1323212737[[#This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6" t="s">
        <v>97</v>
      </c>
      <c r="P103" s="56">
        <f>HEX2DEC(RIGHT(Table1323212737[[#This Row],[h1]],8))</f>
        <v>0</v>
      </c>
      <c r="Q103" s="56" t="s">
        <v>97</v>
      </c>
      <c r="R103" s="56">
        <f>HEX2DEC(RIGHT(Table1323212737[[#This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6" t="s">
        <v>97</v>
      </c>
      <c r="P104" s="56">
        <f>HEX2DEC(RIGHT(Table1323212737[[#This Row],[h1]],8))</f>
        <v>0</v>
      </c>
      <c r="Q104" s="56" t="s">
        <v>97</v>
      </c>
      <c r="R104" s="56">
        <f>HEX2DEC(RIGHT(Table1323212737[[#This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6" t="s">
        <v>97</v>
      </c>
      <c r="P105" s="56">
        <f>HEX2DEC(RIGHT(Table1323212737[[#This Row],[h1]],8))</f>
        <v>0</v>
      </c>
      <c r="Q105" s="56" t="s">
        <v>97</v>
      </c>
      <c r="R105" s="56">
        <f>HEX2DEC(RIGHT(Table1323212737[[#This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6" t="s">
        <v>97</v>
      </c>
      <c r="P106" s="56">
        <f>HEX2DEC(RIGHT(Table1323212737[[#This Row],[h1]],8))</f>
        <v>0</v>
      </c>
      <c r="Q106" s="56" t="s">
        <v>97</v>
      </c>
      <c r="R106" s="56">
        <f>HEX2DEC(RIGHT(Table1323212737[[#This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56" t="s">
        <v>97</v>
      </c>
      <c r="P107" s="56">
        <f>HEX2DEC(RIGHT(Table1323212737[[#This Row],[h1]],8))</f>
        <v>0</v>
      </c>
      <c r="Q107" s="56" t="s">
        <v>97</v>
      </c>
      <c r="R107" s="56">
        <f>HEX2DEC(RIGHT(Table1323212737[[#This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56" t="s">
        <v>97</v>
      </c>
      <c r="P108" s="56">
        <f>HEX2DEC(RIGHT(Table1323212737[[#This Row],[h1]],8))</f>
        <v>0</v>
      </c>
      <c r="Q108" s="56" t="s">
        <v>97</v>
      </c>
      <c r="R108" s="56">
        <f>HEX2DEC(RIGHT(Table1323212737[[#This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56" t="s">
        <v>97</v>
      </c>
      <c r="P109" s="56">
        <f>HEX2DEC(RIGHT(Table1323212737[[#This Row],[h1]],8))</f>
        <v>0</v>
      </c>
      <c r="Q109" s="56" t="s">
        <v>97</v>
      </c>
      <c r="R109" s="56">
        <f>HEX2DEC(RIGHT(Table1323212737[[#This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56" t="s">
        <v>97</v>
      </c>
      <c r="P110" s="56">
        <f>HEX2DEC(RIGHT(Table1323212737[[#This Row],[h1]],8))</f>
        <v>0</v>
      </c>
      <c r="Q110" s="56" t="s">
        <v>97</v>
      </c>
      <c r="R110" s="56">
        <f>HEX2DEC(RIGHT(Table1323212737[[#This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56" t="s">
        <v>97</v>
      </c>
      <c r="P111" s="56">
        <f>HEX2DEC(RIGHT(Table1323212737[[#This Row],[h1]],8))</f>
        <v>0</v>
      </c>
      <c r="Q111" s="56" t="s">
        <v>97</v>
      </c>
      <c r="R111" s="56">
        <f>HEX2DEC(RIGHT(Table1323212737[[#This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56" t="s">
        <v>97</v>
      </c>
      <c r="P112" s="56">
        <f>HEX2DEC(RIGHT(Table1323212737[[#This Row],[h1]],8))</f>
        <v>0</v>
      </c>
      <c r="Q112" s="56" t="s">
        <v>97</v>
      </c>
      <c r="R112" s="56">
        <f>HEX2DEC(RIGHT(Table1323212737[[#This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56" t="s">
        <v>97</v>
      </c>
      <c r="P113" s="56">
        <f>HEX2DEC(RIGHT(Table1323212737[[#This Row],[h1]],8))</f>
        <v>0</v>
      </c>
      <c r="Q113" s="56" t="s">
        <v>97</v>
      </c>
      <c r="R113" s="56">
        <f>HEX2DEC(RIGHT(Table1323212737[[#This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56" t="s">
        <v>97</v>
      </c>
      <c r="P114" s="56">
        <f>HEX2DEC(RIGHT(Table1323212737[[#This Row],[h1]],8))</f>
        <v>0</v>
      </c>
      <c r="Q114" s="56" t="s">
        <v>97</v>
      </c>
      <c r="R114" s="56">
        <f>HEX2DEC(RIGHT(Table1323212737[[#This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56" t="s">
        <v>97</v>
      </c>
      <c r="P115" s="56">
        <f>HEX2DEC(RIGHT(Table1323212737[[#This Row],[h1]],8))</f>
        <v>0</v>
      </c>
      <c r="Q115" s="56" t="s">
        <v>97</v>
      </c>
      <c r="R115" s="56">
        <f>HEX2DEC(RIGHT(Table1323212737[[#This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56" t="s">
        <v>97</v>
      </c>
      <c r="P116" s="56">
        <f>HEX2DEC(RIGHT(Table1323212737[[#This Row],[h1]],8))</f>
        <v>0</v>
      </c>
      <c r="Q116" s="56" t="s">
        <v>97</v>
      </c>
      <c r="R116" s="56">
        <f>HEX2DEC(RIGHT(Table1323212737[[#This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56" t="s">
        <v>97</v>
      </c>
      <c r="P117" s="56">
        <f>HEX2DEC(RIGHT(Table1323212737[[#This Row],[h1]],8))</f>
        <v>0</v>
      </c>
      <c r="Q117" s="56" t="s">
        <v>97</v>
      </c>
      <c r="R117" s="56">
        <f>HEX2DEC(RIGHT(Table1323212737[[#This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56" t="s">
        <v>97</v>
      </c>
      <c r="P118" s="56">
        <f>HEX2DEC(RIGHT(Table1323212737[[#This Row],[h1]],8))</f>
        <v>0</v>
      </c>
      <c r="Q118" s="56" t="s">
        <v>97</v>
      </c>
      <c r="R118" s="56">
        <f>HEX2DEC(RIGHT(Table1323212737[[#This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56" t="s">
        <v>97</v>
      </c>
      <c r="P119" s="56">
        <f>HEX2DEC(RIGHT(Table1323212737[[#This Row],[h1]],8))</f>
        <v>0</v>
      </c>
      <c r="Q119" s="56" t="s">
        <v>97</v>
      </c>
      <c r="R119" s="56">
        <f>HEX2DEC(RIGHT(Table1323212737[[#This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56" t="s">
        <v>97</v>
      </c>
      <c r="P120" s="56">
        <f>HEX2DEC(RIGHT(Table1323212737[[#This Row],[h1]],8))</f>
        <v>0</v>
      </c>
      <c r="Q120" s="56" t="s">
        <v>97</v>
      </c>
      <c r="R120" s="56">
        <f>HEX2DEC(RIGHT(Table1323212737[[#This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56" t="s">
        <v>97</v>
      </c>
      <c r="P121" s="56">
        <f>HEX2DEC(RIGHT(Table1323212737[[#This Row],[h1]],8))</f>
        <v>0</v>
      </c>
      <c r="Q121" s="56" t="s">
        <v>97</v>
      </c>
      <c r="R121" s="56">
        <f>HEX2DEC(RIGHT(Table1323212737[[#This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56" t="s">
        <v>97</v>
      </c>
      <c r="P122" s="56">
        <f>HEX2DEC(RIGHT(Table1323212737[[#This Row],[h1]],8))</f>
        <v>0</v>
      </c>
      <c r="Q122" s="56" t="s">
        <v>97</v>
      </c>
      <c r="R122" s="56">
        <f>HEX2DEC(RIGHT(Table1323212737[[#This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56" t="s">
        <v>97</v>
      </c>
      <c r="P123" s="56">
        <f>HEX2DEC(RIGHT(Table1323212737[[#This Row],[h1]],8))</f>
        <v>0</v>
      </c>
      <c r="Q123" s="56" t="s">
        <v>97</v>
      </c>
      <c r="R123" s="56">
        <f>HEX2DEC(RIGHT(Table1323212737[[#This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56" t="s">
        <v>97</v>
      </c>
      <c r="P124" s="56">
        <f>HEX2DEC(RIGHT(Table1323212737[[#This Row],[h1]],8))</f>
        <v>0</v>
      </c>
      <c r="Q124" s="56" t="s">
        <v>97</v>
      </c>
      <c r="R124" s="56">
        <f>HEX2DEC(RIGHT(Table1323212737[[#This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56" t="s">
        <v>97</v>
      </c>
      <c r="P125" s="56">
        <f>HEX2DEC(RIGHT(Table1323212737[[#This Row],[h1]],8))</f>
        <v>0</v>
      </c>
      <c r="Q125" s="56" t="s">
        <v>97</v>
      </c>
      <c r="R125" s="56">
        <f>HEX2DEC(RIGHT(Table1323212737[[#This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56" t="s">
        <v>97</v>
      </c>
      <c r="P126" s="56">
        <f>HEX2DEC(RIGHT(Table1323212737[[#This Row],[h1]],8))</f>
        <v>0</v>
      </c>
      <c r="Q126" s="56" t="s">
        <v>97</v>
      </c>
      <c r="R126" s="56">
        <f>HEX2DEC(RIGHT(Table1323212737[[#This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56" t="s">
        <v>97</v>
      </c>
      <c r="P127" s="56">
        <f>HEX2DEC(RIGHT(Table1323212737[[#This Row],[h1]],8))</f>
        <v>0</v>
      </c>
      <c r="Q127" s="56" t="s">
        <v>97</v>
      </c>
      <c r="R127" s="56">
        <f>HEX2DEC(RIGHT(Table1323212737[[#This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56" t="s">
        <v>97</v>
      </c>
      <c r="P128" s="56">
        <f>HEX2DEC(RIGHT(Table1323212737[[#This Row],[h1]],8))</f>
        <v>0</v>
      </c>
      <c r="Q128" s="56" t="s">
        <v>97</v>
      </c>
      <c r="R128" s="56">
        <f>HEX2DEC(RIGHT(Table1323212737[[#This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56" t="s">
        <v>97</v>
      </c>
      <c r="P129" s="56">
        <f>HEX2DEC(RIGHT(Table1323212737[[#This Row],[h1]],8))</f>
        <v>0</v>
      </c>
      <c r="Q129" s="56" t="s">
        <v>97</v>
      </c>
      <c r="R129" s="56">
        <f>HEX2DEC(RIGHT(Table1323212737[[#This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56" t="s">
        <v>97</v>
      </c>
      <c r="P130" s="56">
        <f>HEX2DEC(RIGHT(Table1323212737[[#This Row],[h1]],8))</f>
        <v>0</v>
      </c>
      <c r="Q130" s="56" t="s">
        <v>97</v>
      </c>
      <c r="R130" s="56">
        <f>HEX2DEC(RIGHT(Table1323212737[[#This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56" t="s">
        <v>97</v>
      </c>
      <c r="P131" s="56">
        <f>HEX2DEC(RIGHT(Table1323212737[[#This Row],[h1]],8))</f>
        <v>0</v>
      </c>
      <c r="Q131" s="56" t="s">
        <v>97</v>
      </c>
      <c r="R131" s="56">
        <f>HEX2DEC(RIGHT(Table1323212737[[#This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56" t="s">
        <v>97</v>
      </c>
      <c r="P132" s="56">
        <f>HEX2DEC(RIGHT(Table1323212737[[#This Row],[h1]],8))</f>
        <v>0</v>
      </c>
      <c r="Q132" s="56" t="s">
        <v>97</v>
      </c>
      <c r="R132" s="56">
        <f>HEX2DEC(RIGHT(Table1323212737[[#This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56" t="s">
        <v>97</v>
      </c>
      <c r="P133" s="56">
        <f>HEX2DEC(RIGHT(Table1323212737[[#This Row],[h1]],8))</f>
        <v>0</v>
      </c>
      <c r="Q133" s="56" t="s">
        <v>97</v>
      </c>
      <c r="R133" s="56">
        <f>HEX2DEC(RIGHT(Table1323212737[[#This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56" t="s">
        <v>97</v>
      </c>
      <c r="P134" s="56">
        <f>HEX2DEC(RIGHT(Table1323212737[[#This Row],[h1]],8))</f>
        <v>0</v>
      </c>
      <c r="Q134" s="56" t="s">
        <v>97</v>
      </c>
      <c r="R134" s="56">
        <f>HEX2DEC(RIGHT(Table1323212737[[#This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56" t="s">
        <v>97</v>
      </c>
      <c r="P135" s="56">
        <f>HEX2DEC(RIGHT(Table1323212737[[#This Row],[h1]],8))</f>
        <v>0</v>
      </c>
      <c r="Q135" s="56" t="s">
        <v>97</v>
      </c>
      <c r="R135" s="56">
        <f>HEX2DEC(RIGHT(Table1323212737[[#This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56" t="s">
        <v>97</v>
      </c>
      <c r="P136" s="56">
        <f>HEX2DEC(RIGHT(Table1323212737[[#This Row],[h1]],8))</f>
        <v>0</v>
      </c>
      <c r="Q136" s="56" t="s">
        <v>97</v>
      </c>
      <c r="R136" s="56">
        <f>HEX2DEC(RIGHT(Table1323212737[[#This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56" t="s">
        <v>97</v>
      </c>
      <c r="P137" s="56">
        <f>HEX2DEC(RIGHT(Table1323212737[[#This Row],[h1]],8))</f>
        <v>0</v>
      </c>
      <c r="Q137" s="56" t="s">
        <v>97</v>
      </c>
      <c r="R137" s="56">
        <f>HEX2DEC(RIGHT(Table1323212737[[#This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56" t="s">
        <v>97</v>
      </c>
      <c r="P138" s="56">
        <f>HEX2DEC(RIGHT(Table1323212737[[#This Row],[h1]],8))</f>
        <v>0</v>
      </c>
      <c r="Q138" s="56" t="s">
        <v>97</v>
      </c>
      <c r="R138" s="56">
        <f>HEX2DEC(RIGHT(Table1323212737[[#This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6" t="s">
        <v>97</v>
      </c>
      <c r="P139" s="56">
        <f>HEX2DEC(RIGHT(Table1323212737[[#This Row],[h1]],8))</f>
        <v>0</v>
      </c>
      <c r="Q139" s="56" t="s">
        <v>97</v>
      </c>
      <c r="R139" s="56">
        <f>HEX2DEC(RIGHT(Table1323212737[[#This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6" t="s">
        <v>97</v>
      </c>
      <c r="P140" s="56">
        <f>HEX2DEC(RIGHT(Table1323212737[[#This Row],[h1]],8))</f>
        <v>0</v>
      </c>
      <c r="Q140" s="56" t="s">
        <v>97</v>
      </c>
      <c r="R140" s="56">
        <f>HEX2DEC(RIGHT(Table1323212737[[#This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6" t="s">
        <v>97</v>
      </c>
      <c r="P141" s="56">
        <f>HEX2DEC(RIGHT(Table1323212737[[#This Row],[h1]],8))</f>
        <v>0</v>
      </c>
      <c r="Q141" s="56" t="s">
        <v>97</v>
      </c>
      <c r="R141" s="56">
        <f>HEX2DEC(RIGHT(Table1323212737[[#This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6" t="s">
        <v>97</v>
      </c>
      <c r="P142" s="56">
        <f>HEX2DEC(RIGHT(Table1323212737[[#This Row],[h1]],8))</f>
        <v>0</v>
      </c>
      <c r="Q142" s="56" t="s">
        <v>97</v>
      </c>
      <c r="R142" s="56">
        <f>HEX2DEC(RIGHT(Table1323212737[[#This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6" t="s">
        <v>97</v>
      </c>
      <c r="P143" s="56">
        <f>HEX2DEC(RIGHT(Table1323212737[[#This Row],[h1]],8))</f>
        <v>0</v>
      </c>
      <c r="Q143" s="56" t="s">
        <v>97</v>
      </c>
      <c r="R143" s="56">
        <f>HEX2DEC(RIGHT(Table1323212737[[#This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6" t="s">
        <v>97</v>
      </c>
      <c r="P144" s="56">
        <f>HEX2DEC(RIGHT(Table1323212737[[#This Row],[h1]],8))</f>
        <v>0</v>
      </c>
      <c r="Q144" s="56" t="s">
        <v>97</v>
      </c>
      <c r="R144" s="56">
        <f>HEX2DEC(RIGHT(Table1323212737[[#This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6" t="s">
        <v>97</v>
      </c>
      <c r="P145" s="56">
        <f>HEX2DEC(RIGHT(Table1323212737[[#This Row],[h1]],8))</f>
        <v>0</v>
      </c>
      <c r="Q145" s="56" t="s">
        <v>97</v>
      </c>
      <c r="R145" s="56">
        <f>HEX2DEC(RIGHT(Table1323212737[[#This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6" t="s">
        <v>97</v>
      </c>
      <c r="P146" s="56">
        <f>HEX2DEC(RIGHT(Table1323212737[[#This Row],[h1]],8))</f>
        <v>0</v>
      </c>
      <c r="Q146" s="56" t="s">
        <v>97</v>
      </c>
      <c r="R146" s="56">
        <f>HEX2DEC(RIGHT(Table1323212737[[#This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6" t="s">
        <v>97</v>
      </c>
      <c r="P147" s="56">
        <f>HEX2DEC(RIGHT(Table1323212737[[#This Row],[h1]],8))</f>
        <v>0</v>
      </c>
      <c r="Q147" s="56" t="s">
        <v>97</v>
      </c>
      <c r="R147" s="56">
        <f>HEX2DEC(RIGHT(Table1323212737[[#This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6" t="s">
        <v>97</v>
      </c>
      <c r="P148" s="56">
        <f>HEX2DEC(RIGHT(Table1323212737[[#This Row],[h1]],8))</f>
        <v>0</v>
      </c>
      <c r="Q148" s="56" t="s">
        <v>97</v>
      </c>
      <c r="R148" s="56">
        <f>HEX2DEC(RIGHT(Table1323212737[[#This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6" t="s">
        <v>97</v>
      </c>
      <c r="P149" s="56">
        <f>HEX2DEC(RIGHT(Table1323212737[[#This Row],[h1]],8))</f>
        <v>0</v>
      </c>
      <c r="Q149" s="56" t="s">
        <v>97</v>
      </c>
      <c r="R149" s="56">
        <f>HEX2DEC(RIGHT(Table1323212737[[#This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646</v>
      </c>
      <c r="F150" s="22"/>
      <c r="G150" s="32">
        <v>1</v>
      </c>
      <c r="J150" s="24">
        <v>50000</v>
      </c>
      <c r="M150" s="24">
        <v>50000</v>
      </c>
      <c r="O150" s="56" t="s">
        <v>97</v>
      </c>
      <c r="P150" s="56">
        <f>HEX2DEC(RIGHT(Table1323212737[[#This Row],[h1]],8))</f>
        <v>0</v>
      </c>
      <c r="Q150" s="56" t="s">
        <v>97</v>
      </c>
      <c r="R150" s="56">
        <f>HEX2DEC(RIGHT(Table1323212737[[#This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6" t="s">
        <v>97</v>
      </c>
      <c r="P151" s="56">
        <f>HEX2DEC(RIGHT(Table1323212737[[#This Row],[h1]],8))</f>
        <v>0</v>
      </c>
      <c r="Q151" s="56" t="s">
        <v>97</v>
      </c>
      <c r="R151" s="56">
        <f>HEX2DEC(RIGHT(Table1323212737[[#This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/>
      <c r="F152" s="53">
        <v>15</v>
      </c>
      <c r="G15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15</v>
      </c>
      <c r="J152" s="24">
        <v>50000</v>
      </c>
      <c r="M152" s="24">
        <v>50000</v>
      </c>
      <c r="O152" s="56" t="s">
        <v>97</v>
      </c>
      <c r="P152" s="56">
        <f>HEX2DEC(RIGHT(Table1323212737[[#This Row],[h1]],8))</f>
        <v>0</v>
      </c>
      <c r="Q152" s="56" t="s">
        <v>97</v>
      </c>
      <c r="R152" s="56">
        <f>HEX2DEC(RIGHT(Table1323212737[[#This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/>
      <c r="F153" s="53">
        <v>555</v>
      </c>
      <c r="G15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555</v>
      </c>
      <c r="J153" s="24">
        <v>50000</v>
      </c>
      <c r="M153" s="24">
        <v>50000</v>
      </c>
      <c r="O153" s="56" t="s">
        <v>97</v>
      </c>
      <c r="P153" s="56">
        <f>HEX2DEC(RIGHT(Table1323212737[[#This Row],[h1]],8))</f>
        <v>0</v>
      </c>
      <c r="Q153" s="56" t="s">
        <v>97</v>
      </c>
      <c r="R153" s="56">
        <f>HEX2DEC(RIGHT(Table1323212737[[#This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/>
      <c r="F154" s="53">
        <v>10552</v>
      </c>
      <c r="G15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10552</v>
      </c>
      <c r="J154" s="24">
        <v>50000</v>
      </c>
      <c r="M154" s="24">
        <v>50000</v>
      </c>
      <c r="O154" s="56" t="s">
        <v>97</v>
      </c>
      <c r="P154" s="56">
        <f>HEX2DEC(RIGHT(Table1323212737[[#This Row],[h1]],8))</f>
        <v>0</v>
      </c>
      <c r="Q154" s="56" t="s">
        <v>97</v>
      </c>
      <c r="R154" s="56">
        <f>HEX2DEC(RIGHT(Table1323212737[[#This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/>
      <c r="F155" s="53">
        <v>9</v>
      </c>
      <c r="G15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9</v>
      </c>
      <c r="J155" s="24">
        <v>50000</v>
      </c>
      <c r="M155" s="24">
        <v>50000</v>
      </c>
      <c r="O155" s="56" t="s">
        <v>97</v>
      </c>
      <c r="P155" s="56">
        <f>HEX2DEC(RIGHT(Table1323212737[[#This Row],[h1]],8))</f>
        <v>0</v>
      </c>
      <c r="Q155" s="56" t="s">
        <v>97</v>
      </c>
      <c r="R155" s="56">
        <f>HEX2DEC(RIGHT(Table1323212737[[#This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/>
      <c r="F156" s="53">
        <v>37</v>
      </c>
      <c r="G156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37</v>
      </c>
      <c r="J156" s="24">
        <v>50000</v>
      </c>
      <c r="M156" s="24">
        <v>50000</v>
      </c>
      <c r="O156" s="56" t="s">
        <v>97</v>
      </c>
      <c r="P156" s="56">
        <f>HEX2DEC(RIGHT(Table1323212737[[#This Row],[h1]],8))</f>
        <v>0</v>
      </c>
      <c r="Q156" s="56" t="s">
        <v>97</v>
      </c>
      <c r="R156" s="56">
        <f>HEX2DEC(RIGHT(Table1323212737[[#This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</v>
      </c>
      <c r="F157" s="53">
        <v>5</v>
      </c>
      <c r="G157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7" s="24">
        <v>50000</v>
      </c>
      <c r="M157" s="24">
        <v>50000</v>
      </c>
      <c r="O157" s="56" t="s">
        <v>97</v>
      </c>
      <c r="P157" s="56">
        <f>HEX2DEC(RIGHT(Table1323212737[[#This Row],[h1]],8))</f>
        <v>0</v>
      </c>
      <c r="Q157" s="56" t="s">
        <v>97</v>
      </c>
      <c r="R157" s="56">
        <f>HEX2DEC(RIGHT(Table1323212737[[#This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1</v>
      </c>
      <c r="F158" s="53">
        <v>6</v>
      </c>
      <c r="G158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8" s="24">
        <v>50000</v>
      </c>
      <c r="M158" s="24">
        <v>50000</v>
      </c>
      <c r="O158" s="56" t="s">
        <v>97</v>
      </c>
      <c r="P158" s="56">
        <f>HEX2DEC(RIGHT(Table1323212737[[#This Row],[h1]],8))</f>
        <v>0</v>
      </c>
      <c r="Q158" s="56" t="s">
        <v>97</v>
      </c>
      <c r="R158" s="56">
        <f>HEX2DEC(RIGHT(Table1323212737[[#This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1</v>
      </c>
      <c r="F159" s="53">
        <v>7</v>
      </c>
      <c r="G159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59" s="24">
        <v>50000</v>
      </c>
      <c r="M159" s="24">
        <v>50000</v>
      </c>
      <c r="O159" s="56" t="s">
        <v>97</v>
      </c>
      <c r="P159" s="56">
        <f>HEX2DEC(RIGHT(Table1323212737[[#This Row],[h1]],8))</f>
        <v>0</v>
      </c>
      <c r="Q159" s="56" t="s">
        <v>97</v>
      </c>
      <c r="R159" s="56">
        <f>HEX2DEC(RIGHT(Table1323212737[[#This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1</v>
      </c>
      <c r="F160" s="53">
        <v>8</v>
      </c>
      <c r="G160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0" s="24">
        <v>50000</v>
      </c>
      <c r="M160" s="24">
        <v>50000</v>
      </c>
      <c r="O160" s="56" t="s">
        <v>97</v>
      </c>
      <c r="P160" s="56">
        <f>HEX2DEC(RIGHT(Table1323212737[[#This Row],[h1]],8))</f>
        <v>0</v>
      </c>
      <c r="Q160" s="56" t="s">
        <v>97</v>
      </c>
      <c r="R160" s="56">
        <f>HEX2DEC(RIGHT(Table1323212737[[#This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1</v>
      </c>
      <c r="F161" s="53">
        <v>9</v>
      </c>
      <c r="G161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1" s="24">
        <v>50000</v>
      </c>
      <c r="M161" s="24">
        <v>50000</v>
      </c>
      <c r="O161" s="56" t="s">
        <v>97</v>
      </c>
      <c r="P161" s="56">
        <f>HEX2DEC(RIGHT(Table1323212737[[#This Row],[h1]],8))</f>
        <v>0</v>
      </c>
      <c r="Q161" s="56" t="s">
        <v>97</v>
      </c>
      <c r="R161" s="56">
        <f>HEX2DEC(RIGHT(Table1323212737[[#This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1</v>
      </c>
      <c r="F162" s="53">
        <v>10</v>
      </c>
      <c r="G162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2" s="24">
        <v>50000</v>
      </c>
      <c r="M162" s="24">
        <v>50000</v>
      </c>
      <c r="O162" s="56" t="s">
        <v>97</v>
      </c>
      <c r="P162" s="56">
        <f>HEX2DEC(RIGHT(Table1323212737[[#This Row],[h1]],8))</f>
        <v>0</v>
      </c>
      <c r="Q162" s="56" t="s">
        <v>97</v>
      </c>
      <c r="R162" s="56">
        <f>HEX2DEC(RIGHT(Table1323212737[[#This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1</v>
      </c>
      <c r="F163" s="53">
        <v>11</v>
      </c>
      <c r="G163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3" s="24">
        <v>50000</v>
      </c>
      <c r="M163" s="24">
        <v>50000</v>
      </c>
      <c r="O163" s="56" t="s">
        <v>97</v>
      </c>
      <c r="P163" s="56">
        <f>HEX2DEC(RIGHT(Table1323212737[[#This Row],[h1]],8))</f>
        <v>0</v>
      </c>
      <c r="Q163" s="56" t="s">
        <v>97</v>
      </c>
      <c r="R163" s="56">
        <f>HEX2DEC(RIGHT(Table1323212737[[#This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1</v>
      </c>
      <c r="F164" s="53">
        <v>12</v>
      </c>
      <c r="G164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4" s="24">
        <v>50000</v>
      </c>
      <c r="M164" s="24">
        <v>50000</v>
      </c>
      <c r="O164" s="56" t="s">
        <v>97</v>
      </c>
      <c r="P164" s="56">
        <f>HEX2DEC(RIGHT(Table1323212737[[#This Row],[h1]],8))</f>
        <v>0</v>
      </c>
      <c r="Q164" s="56" t="s">
        <v>97</v>
      </c>
      <c r="R164" s="56">
        <f>HEX2DEC(RIGHT(Table1323212737[[#This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1</v>
      </c>
      <c r="F165" s="53">
        <v>13</v>
      </c>
      <c r="G165" s="54">
        <f>IF(IF(Table13192535[[#This Row],[value]]="",Table13192535[[#This Row],[dec val]],1/(2*Table13192535[[#This Row],[value]])*$E$151-1)&lt;0,0,IF(Table13192535[[#This Row],[value]]="",Table13192535[[#This Row],[dec val]],1/(2*Table13192535[[#This Row],[value]])*$E$151-1))</f>
        <v>62499999</v>
      </c>
      <c r="J165" s="24">
        <v>50000</v>
      </c>
      <c r="M165" s="24">
        <v>50000</v>
      </c>
      <c r="O165" s="56" t="s">
        <v>97</v>
      </c>
      <c r="P165" s="56">
        <f>HEX2DEC(RIGHT(Table1323212737[[#This Row],[h1]],8))</f>
        <v>0</v>
      </c>
      <c r="Q165" s="56" t="s">
        <v>97</v>
      </c>
      <c r="R165" s="56">
        <f>HEX2DEC(RIGHT(Table1323212737[[#This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6" t="s">
        <v>97</v>
      </c>
      <c r="P166" s="56">
        <f>HEX2DEC(RIGHT(Table1323212737[[#This Row],[h1]],8))</f>
        <v>0</v>
      </c>
      <c r="Q166" s="56" t="s">
        <v>97</v>
      </c>
      <c r="R166" s="56">
        <f>HEX2DEC(RIGHT(Table1323212737[[#This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6" t="s">
        <v>42</v>
      </c>
      <c r="J167" s="24">
        <v>50000</v>
      </c>
      <c r="M167" s="24">
        <v>50000</v>
      </c>
      <c r="O167" s="56" t="s">
        <v>97</v>
      </c>
      <c r="P167" s="56">
        <f>HEX2DEC(RIGHT(Table1323212737[[#This Row],[h1]],8))</f>
        <v>0</v>
      </c>
      <c r="Q167" s="56" t="s">
        <v>97</v>
      </c>
      <c r="R167" s="56">
        <f>HEX2DEC(RIGHT(Table1323212737[[#This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6" t="s">
        <v>12</v>
      </c>
      <c r="J168" s="24">
        <v>50000</v>
      </c>
      <c r="M168" s="24">
        <v>50000</v>
      </c>
      <c r="O168" s="56" t="s">
        <v>97</v>
      </c>
      <c r="P168" s="56">
        <f>HEX2DEC(RIGHT(Table1323212737[[#This Row],[h1]],8))</f>
        <v>0</v>
      </c>
      <c r="Q168" s="56" t="s">
        <v>97</v>
      </c>
      <c r="R168" s="56">
        <f>HEX2DEC(RIGHT(Table1323212737[[#This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6" t="s">
        <v>19</v>
      </c>
      <c r="J169" s="24">
        <v>50000</v>
      </c>
      <c r="M169" s="24">
        <v>50000</v>
      </c>
      <c r="O169" s="56" t="s">
        <v>97</v>
      </c>
      <c r="P169" s="56">
        <f>HEX2DEC(RIGHT(Table1323212737[[#This Row],[h1]],8))</f>
        <v>0</v>
      </c>
      <c r="Q169" s="56" t="s">
        <v>97</v>
      </c>
      <c r="R169" s="56">
        <f>HEX2DEC(RIGHT(Table1323212737[[#This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6" t="s">
        <v>675</v>
      </c>
      <c r="J170" s="24">
        <v>50000</v>
      </c>
      <c r="M170" s="24">
        <v>50000</v>
      </c>
      <c r="O170" s="56" t="s">
        <v>97</v>
      </c>
      <c r="P170" s="56">
        <f>HEX2DEC(RIGHT(Table1323212737[[#This Row],[h1]],8))</f>
        <v>0</v>
      </c>
      <c r="Q170" s="56" t="s">
        <v>97</v>
      </c>
      <c r="R170" s="56">
        <f>HEX2DEC(RIGHT(Table1323212737[[#This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6" t="s">
        <v>676</v>
      </c>
      <c r="J171" s="24">
        <v>50000</v>
      </c>
      <c r="M171" s="24">
        <v>50000</v>
      </c>
      <c r="O171" s="56" t="s">
        <v>97</v>
      </c>
      <c r="P171" s="56">
        <f>HEX2DEC(RIGHT(Table1323212737[[#This Row],[h1]],8))</f>
        <v>0</v>
      </c>
      <c r="Q171" s="56" t="s">
        <v>97</v>
      </c>
      <c r="R171" s="56">
        <f>HEX2DEC(RIGHT(Table1323212737[[#This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6" t="s">
        <v>677</v>
      </c>
      <c r="J172" s="24">
        <v>50000</v>
      </c>
      <c r="M172" s="24">
        <v>50000</v>
      </c>
      <c r="O172" s="56" t="s">
        <v>97</v>
      </c>
      <c r="P172" s="56">
        <f>HEX2DEC(RIGHT(Table1323212737[[#This Row],[h1]],8))</f>
        <v>0</v>
      </c>
      <c r="Q172" s="56" t="s">
        <v>97</v>
      </c>
      <c r="R172" s="56">
        <f>HEX2DEC(RIGHT(Table1323212737[[#This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6" t="s">
        <v>678</v>
      </c>
      <c r="J173" s="24">
        <v>50000</v>
      </c>
      <c r="M173" s="24">
        <v>50000</v>
      </c>
      <c r="O173" s="56" t="s">
        <v>97</v>
      </c>
      <c r="P173" s="56">
        <f>HEX2DEC(RIGHT(Table1323212737[[#This Row],[h1]],8))</f>
        <v>0</v>
      </c>
      <c r="Q173" s="56" t="s">
        <v>97</v>
      </c>
      <c r="R173" s="56">
        <f>HEX2DEC(RIGHT(Table1323212737[[#This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6" t="s">
        <v>679</v>
      </c>
      <c r="J174" s="24">
        <v>50000</v>
      </c>
      <c r="M174" s="24">
        <v>50000</v>
      </c>
      <c r="O174" s="56" t="s">
        <v>97</v>
      </c>
      <c r="P174" s="56">
        <f>HEX2DEC(RIGHT(Table1323212737[[#This Row],[h1]],8))</f>
        <v>0</v>
      </c>
      <c r="Q174" s="56" t="s">
        <v>97</v>
      </c>
      <c r="R174" s="56">
        <f>HEX2DEC(RIGHT(Table1323212737[[#This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6"/>
      <c r="J175" s="24">
        <v>50000</v>
      </c>
      <c r="M175" s="24">
        <v>50000</v>
      </c>
      <c r="O175" s="56" t="s">
        <v>97</v>
      </c>
      <c r="P175" s="56">
        <f>HEX2DEC(RIGHT(Table1323212737[[#This Row],[h1]],8))</f>
        <v>0</v>
      </c>
      <c r="Q175" s="56" t="s">
        <v>97</v>
      </c>
      <c r="R175" s="56">
        <f>HEX2DEC(RIGHT(Table1323212737[[#This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6" t="s">
        <v>13</v>
      </c>
      <c r="J176" s="24">
        <v>50000</v>
      </c>
      <c r="M176" s="24">
        <v>50000</v>
      </c>
      <c r="O176" s="56" t="s">
        <v>97</v>
      </c>
      <c r="P176" s="56">
        <f>HEX2DEC(RIGHT(Table1323212737[[#This Row],[h1]],8))</f>
        <v>0</v>
      </c>
      <c r="Q176" s="56" t="s">
        <v>97</v>
      </c>
      <c r="R176" s="56">
        <f>HEX2DEC(RIGHT(Table1323212737[[#This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6" t="s">
        <v>14</v>
      </c>
      <c r="J177" s="24">
        <v>50000</v>
      </c>
      <c r="M177" s="24">
        <v>50000</v>
      </c>
      <c r="O177" s="56" t="s">
        <v>97</v>
      </c>
      <c r="P177" s="56">
        <f>HEX2DEC(RIGHT(Table1323212737[[#This Row],[h1]],8))</f>
        <v>0</v>
      </c>
      <c r="Q177" s="56" t="s">
        <v>97</v>
      </c>
      <c r="R177" s="56">
        <f>HEX2DEC(RIGHT(Table1323212737[[#This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6" t="s">
        <v>15</v>
      </c>
      <c r="J178" s="24">
        <v>50000</v>
      </c>
      <c r="M178" s="24">
        <v>50000</v>
      </c>
      <c r="O178" s="56" t="s">
        <v>97</v>
      </c>
      <c r="P178" s="56">
        <f>HEX2DEC(RIGHT(Table1323212737[[#This Row],[h1]],8))</f>
        <v>0</v>
      </c>
      <c r="Q178" s="56" t="s">
        <v>97</v>
      </c>
      <c r="R178" s="56">
        <f>HEX2DEC(RIGHT(Table1323212737[[#This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6" t="s">
        <v>16</v>
      </c>
      <c r="J179" s="24">
        <v>50000</v>
      </c>
      <c r="M179" s="24">
        <v>50000</v>
      </c>
      <c r="O179" s="56" t="s">
        <v>97</v>
      </c>
      <c r="P179" s="56">
        <f>HEX2DEC(RIGHT(Table1323212737[[#This Row],[h1]],8))</f>
        <v>0</v>
      </c>
      <c r="Q179" s="56" t="s">
        <v>97</v>
      </c>
      <c r="R179" s="56">
        <f>HEX2DEC(RIGHT(Table1323212737[[#This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6" t="s">
        <v>12</v>
      </c>
      <c r="J180" s="24">
        <v>50000</v>
      </c>
      <c r="M180" s="24">
        <v>50000</v>
      </c>
      <c r="O180" s="56" t="s">
        <v>97</v>
      </c>
      <c r="P180" s="56">
        <f>HEX2DEC(RIGHT(Table1323212737[[#This Row],[h1]],8))</f>
        <v>0</v>
      </c>
      <c r="Q180" s="56" t="s">
        <v>97</v>
      </c>
      <c r="R180" s="56">
        <f>HEX2DEC(RIGHT(Table1323212737[[#This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6" t="s">
        <v>42</v>
      </c>
      <c r="J181" s="24">
        <v>50000</v>
      </c>
      <c r="M181" s="24">
        <v>50000</v>
      </c>
      <c r="O181" s="56" t="s">
        <v>97</v>
      </c>
      <c r="P181" s="56">
        <f>HEX2DEC(RIGHT(Table1323212737[[#This Row],[h1]],8))</f>
        <v>0</v>
      </c>
      <c r="Q181" s="56" t="s">
        <v>97</v>
      </c>
      <c r="R181" s="56">
        <f>HEX2DEC(RIGHT(Table1323212737[[#This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6" t="s">
        <v>42</v>
      </c>
      <c r="J182" s="24">
        <v>50000</v>
      </c>
      <c r="M182" s="24">
        <v>50000</v>
      </c>
      <c r="O182" s="56" t="s">
        <v>97</v>
      </c>
      <c r="P182" s="56">
        <f>HEX2DEC(RIGHT(Table1323212737[[#This Row],[h1]],8))</f>
        <v>0</v>
      </c>
      <c r="Q182" s="56" t="s">
        <v>97</v>
      </c>
      <c r="R182" s="56">
        <f>HEX2DEC(RIGHT(Table1323212737[[#This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6" t="s">
        <v>42</v>
      </c>
      <c r="J183" s="24">
        <v>50000</v>
      </c>
      <c r="M183" s="24">
        <v>50000</v>
      </c>
      <c r="O183" s="56" t="s">
        <v>97</v>
      </c>
      <c r="P183" s="56">
        <f>HEX2DEC(RIGHT(Table1323212737[[#This Row],[h1]],8))</f>
        <v>0</v>
      </c>
      <c r="Q183" s="56" t="s">
        <v>97</v>
      </c>
      <c r="R183" s="56">
        <f>HEX2DEC(RIGHT(Table1323212737[[#This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6" t="s">
        <v>42</v>
      </c>
      <c r="J184" s="24">
        <v>50000</v>
      </c>
      <c r="M184" s="24">
        <v>50000</v>
      </c>
      <c r="O184" s="56" t="s">
        <v>97</v>
      </c>
      <c r="P184" s="56">
        <f>HEX2DEC(RIGHT(Table1323212737[[#This Row],[h1]],8))</f>
        <v>0</v>
      </c>
      <c r="Q184" s="56" t="s">
        <v>97</v>
      </c>
      <c r="R184" s="56">
        <f>HEX2DEC(RIGHT(Table1323212737[[#This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6" t="s">
        <v>42</v>
      </c>
      <c r="J185" s="24">
        <v>50000</v>
      </c>
      <c r="M185" s="24">
        <v>50000</v>
      </c>
      <c r="O185" s="56" t="s">
        <v>97</v>
      </c>
      <c r="P185" s="56">
        <f>HEX2DEC(RIGHT(Table1323212737[[#This Row],[h1]],8))</f>
        <v>0</v>
      </c>
      <c r="Q185" s="56" t="s">
        <v>97</v>
      </c>
      <c r="R185" s="56">
        <f>HEX2DEC(RIGHT(Table1323212737[[#This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6" t="s">
        <v>675</v>
      </c>
      <c r="J186" s="24">
        <v>50000</v>
      </c>
      <c r="M186" s="24">
        <v>50000</v>
      </c>
      <c r="O186" s="56" t="s">
        <v>97</v>
      </c>
      <c r="P186" s="56">
        <f>HEX2DEC(RIGHT(Table1323212737[[#This Row],[h1]],8))</f>
        <v>0</v>
      </c>
      <c r="Q186" s="56" t="s">
        <v>97</v>
      </c>
      <c r="R186" s="56">
        <f>HEX2DEC(RIGHT(Table1323212737[[#This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6" t="s">
        <v>676</v>
      </c>
      <c r="J187" s="24">
        <v>50000</v>
      </c>
      <c r="M187" s="24">
        <v>50000</v>
      </c>
      <c r="O187" s="56" t="s">
        <v>97</v>
      </c>
      <c r="P187" s="56">
        <f>HEX2DEC(RIGHT(Table1323212737[[#This Row],[h1]],8))</f>
        <v>0</v>
      </c>
      <c r="Q187" s="56" t="s">
        <v>97</v>
      </c>
      <c r="R187" s="56">
        <f>HEX2DEC(RIGHT(Table1323212737[[#This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6" t="s">
        <v>677</v>
      </c>
      <c r="J188" s="24">
        <v>50000</v>
      </c>
      <c r="M188" s="24">
        <v>50000</v>
      </c>
      <c r="O188" s="56" t="s">
        <v>97</v>
      </c>
      <c r="P188" s="56">
        <f>HEX2DEC(RIGHT(Table1323212737[[#This Row],[h1]],8))</f>
        <v>0</v>
      </c>
      <c r="Q188" s="56" t="s">
        <v>97</v>
      </c>
      <c r="R188" s="56">
        <f>HEX2DEC(RIGHT(Table1323212737[[#This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6" t="s">
        <v>678</v>
      </c>
      <c r="J189" s="24">
        <v>50000</v>
      </c>
      <c r="M189" s="24">
        <v>50000</v>
      </c>
      <c r="O189" s="56" t="s">
        <v>97</v>
      </c>
      <c r="P189" s="56">
        <f>HEX2DEC(RIGHT(Table1323212737[[#This Row],[h1]],8))</f>
        <v>0</v>
      </c>
      <c r="Q189" s="56" t="s">
        <v>97</v>
      </c>
      <c r="R189" s="56">
        <f>HEX2DEC(RIGHT(Table1323212737[[#This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6" t="s">
        <v>679</v>
      </c>
      <c r="J190" s="24">
        <v>50000</v>
      </c>
      <c r="M190" s="24">
        <v>50000</v>
      </c>
      <c r="O190" s="56" t="s">
        <v>97</v>
      </c>
      <c r="P190" s="56">
        <f>HEX2DEC(RIGHT(Table1323212737[[#This Row],[h1]],8))</f>
        <v>0</v>
      </c>
      <c r="Q190" s="56" t="s">
        <v>97</v>
      </c>
      <c r="R190" s="56">
        <f>HEX2DEC(RIGHT(Table1323212737[[#This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6" t="s">
        <v>42</v>
      </c>
      <c r="J191" s="24">
        <v>50000</v>
      </c>
      <c r="M191" s="24">
        <v>50000</v>
      </c>
      <c r="O191" s="56" t="s">
        <v>97</v>
      </c>
      <c r="P191" s="56">
        <f>HEX2DEC(RIGHT(Table1323212737[[#This Row],[h1]],8))</f>
        <v>0</v>
      </c>
      <c r="Q191" s="56" t="s">
        <v>97</v>
      </c>
      <c r="R191" s="56">
        <f>HEX2DEC(RIGHT(Table1323212737[[#This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6" t="s">
        <v>42</v>
      </c>
      <c r="J192" s="24">
        <v>50000</v>
      </c>
      <c r="M192" s="24">
        <v>50000</v>
      </c>
      <c r="O192" s="56" t="s">
        <v>97</v>
      </c>
      <c r="P192" s="56">
        <f>HEX2DEC(RIGHT(Table1323212737[[#This Row],[h1]],8))</f>
        <v>0</v>
      </c>
      <c r="Q192" s="56" t="s">
        <v>97</v>
      </c>
      <c r="R192" s="56">
        <f>HEX2DEC(RIGHT(Table1323212737[[#This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6" t="s">
        <v>42</v>
      </c>
      <c r="J193" s="24">
        <v>50000</v>
      </c>
      <c r="M193" s="24">
        <v>50000</v>
      </c>
      <c r="O193" s="56" t="s">
        <v>97</v>
      </c>
      <c r="P193" s="56">
        <f>HEX2DEC(RIGHT(Table1323212737[[#This Row],[h1]],8))</f>
        <v>0</v>
      </c>
      <c r="Q193" s="56" t="s">
        <v>97</v>
      </c>
      <c r="R193" s="56">
        <f>HEX2DEC(RIGHT(Table1323212737[[#This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6" t="s">
        <v>42</v>
      </c>
      <c r="J194" s="24">
        <v>50000</v>
      </c>
      <c r="M194" s="24">
        <v>50000</v>
      </c>
      <c r="O194" s="56" t="s">
        <v>97</v>
      </c>
      <c r="P194" s="56">
        <f>HEX2DEC(RIGHT(Table1323212737[[#This Row],[h1]],8))</f>
        <v>0</v>
      </c>
      <c r="Q194" s="56" t="s">
        <v>97</v>
      </c>
      <c r="R194" s="56">
        <f>HEX2DEC(RIGHT(Table1323212737[[#This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6" t="s">
        <v>42</v>
      </c>
      <c r="J195" s="24">
        <v>50000</v>
      </c>
      <c r="M195" s="24">
        <v>50000</v>
      </c>
      <c r="O195" s="56" t="s">
        <v>97</v>
      </c>
      <c r="P195" s="56">
        <f>HEX2DEC(RIGHT(Table1323212737[[#This Row],[h1]],8))</f>
        <v>0</v>
      </c>
      <c r="Q195" s="56" t="s">
        <v>97</v>
      </c>
      <c r="R195" s="56">
        <f>HEX2DEC(RIGHT(Table1323212737[[#This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6" t="s">
        <v>42</v>
      </c>
      <c r="J196" s="24">
        <v>50000</v>
      </c>
      <c r="M196" s="24">
        <v>50000</v>
      </c>
      <c r="O196" s="56" t="s">
        <v>97</v>
      </c>
      <c r="P196" s="56">
        <f>HEX2DEC(RIGHT(Table1323212737[[#This Row],[h1]],8))</f>
        <v>0</v>
      </c>
      <c r="Q196" s="56" t="s">
        <v>97</v>
      </c>
      <c r="R196" s="56">
        <f>HEX2DEC(RIGHT(Table1323212737[[#This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6" t="s">
        <v>42</v>
      </c>
      <c r="J197" s="24">
        <v>50000</v>
      </c>
      <c r="M197" s="24">
        <v>50000</v>
      </c>
      <c r="O197" s="56" t="s">
        <v>97</v>
      </c>
      <c r="P197" s="56">
        <f>HEX2DEC(RIGHT(Table1323212737[[#This Row],[h1]],8))</f>
        <v>0</v>
      </c>
      <c r="Q197" s="56" t="s">
        <v>97</v>
      </c>
      <c r="R197" s="56">
        <f>HEX2DEC(RIGHT(Table1323212737[[#This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6" t="s">
        <v>42</v>
      </c>
      <c r="J198" s="24">
        <v>50000</v>
      </c>
      <c r="M198" s="24">
        <v>50000</v>
      </c>
      <c r="O198" s="56" t="s">
        <v>97</v>
      </c>
      <c r="P198" s="56">
        <f>HEX2DEC(RIGHT(Table1323212737[[#This Row],[h1]],8))</f>
        <v>0</v>
      </c>
      <c r="Q198" s="56" t="s">
        <v>97</v>
      </c>
      <c r="R198" s="56">
        <f>HEX2DEC(RIGHT(Table1323212737[[#This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6" t="s">
        <v>42</v>
      </c>
      <c r="J199" s="24">
        <v>50000</v>
      </c>
      <c r="M199" s="24">
        <v>50000</v>
      </c>
      <c r="O199" s="56" t="s">
        <v>97</v>
      </c>
      <c r="P199" s="56">
        <f>HEX2DEC(RIGHT(Table1323212737[[#This Row],[h1]],8))</f>
        <v>0</v>
      </c>
      <c r="Q199" s="56" t="s">
        <v>97</v>
      </c>
      <c r="R199" s="56">
        <f>HEX2DEC(RIGHT(Table1323212737[[#This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6" t="s">
        <v>42</v>
      </c>
      <c r="J200" s="24">
        <v>50000</v>
      </c>
      <c r="M200" s="24">
        <v>50000</v>
      </c>
      <c r="O200" s="56" t="s">
        <v>97</v>
      </c>
      <c r="P200" s="56">
        <f>HEX2DEC(RIGHT(Table1323212737[[#This Row],[h1]],8))</f>
        <v>0</v>
      </c>
      <c r="Q200" s="56" t="s">
        <v>97</v>
      </c>
      <c r="R200" s="56">
        <f>HEX2DEC(RIGHT(Table1323212737[[#This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6" t="s">
        <v>42</v>
      </c>
      <c r="J201" s="24">
        <v>50000</v>
      </c>
      <c r="M201" s="24">
        <v>50000</v>
      </c>
      <c r="O201" s="56" t="s">
        <v>97</v>
      </c>
      <c r="P201" s="56">
        <f>HEX2DEC(RIGHT(Table1323212737[[#This Row],[h1]],8))</f>
        <v>0</v>
      </c>
      <c r="Q201" s="56" t="s">
        <v>97</v>
      </c>
      <c r="R201" s="56">
        <f>HEX2DEC(RIGHT(Table1323212737[[#This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6" t="s">
        <v>42</v>
      </c>
      <c r="J202" s="24">
        <v>50000</v>
      </c>
      <c r="M202" s="24">
        <v>50000</v>
      </c>
      <c r="O202" s="56" t="s">
        <v>97</v>
      </c>
      <c r="P202" s="56">
        <f>HEX2DEC(RIGHT(Table1323212737[[#This Row],[h1]],8))</f>
        <v>0</v>
      </c>
      <c r="Q202" s="56" t="s">
        <v>97</v>
      </c>
      <c r="R202" s="56">
        <f>HEX2DEC(RIGHT(Table1323212737[[#This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6" t="s">
        <v>42</v>
      </c>
      <c r="J203" s="24">
        <v>50000</v>
      </c>
      <c r="M203" s="24">
        <v>50000</v>
      </c>
      <c r="O203" s="56" t="s">
        <v>97</v>
      </c>
      <c r="P203" s="56">
        <f>HEX2DEC(RIGHT(Table1323212737[[#This Row],[h1]],8))</f>
        <v>0</v>
      </c>
      <c r="Q203" s="56" t="s">
        <v>97</v>
      </c>
      <c r="R203" s="56">
        <f>HEX2DEC(RIGHT(Table1323212737[[#This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6" t="s">
        <v>42</v>
      </c>
      <c r="J204" s="24">
        <v>50000</v>
      </c>
      <c r="M204" s="24">
        <v>50000</v>
      </c>
      <c r="O204" s="56" t="s">
        <v>97</v>
      </c>
      <c r="P204" s="56">
        <f>HEX2DEC(RIGHT(Table1323212737[[#This Row],[h1]],8))</f>
        <v>0</v>
      </c>
      <c r="Q204" s="56" t="s">
        <v>97</v>
      </c>
      <c r="R204" s="56">
        <f>HEX2DEC(RIGHT(Table1323212737[[#This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6" t="s">
        <v>42</v>
      </c>
      <c r="J205" s="24">
        <v>50000</v>
      </c>
      <c r="M205" s="24">
        <v>50000</v>
      </c>
      <c r="O205" s="56" t="s">
        <v>97</v>
      </c>
      <c r="P205" s="56">
        <f>HEX2DEC(RIGHT(Table1323212737[[#This Row],[h1]],8))</f>
        <v>0</v>
      </c>
      <c r="Q205" s="56" t="s">
        <v>97</v>
      </c>
      <c r="R205" s="56">
        <f>HEX2DEC(RIGHT(Table1323212737[[#This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6" t="s">
        <v>42</v>
      </c>
      <c r="J206" s="24">
        <v>50000</v>
      </c>
      <c r="M206" s="24">
        <v>50000</v>
      </c>
      <c r="O206" s="56" t="s">
        <v>97</v>
      </c>
      <c r="P206" s="56">
        <f>HEX2DEC(RIGHT(Table1323212737[[#This Row],[h1]],8))</f>
        <v>0</v>
      </c>
      <c r="Q206" s="56" t="s">
        <v>97</v>
      </c>
      <c r="R206" s="56">
        <f>HEX2DEC(RIGHT(Table1323212737[[#This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6" t="s">
        <v>97</v>
      </c>
      <c r="P207" s="56">
        <f>HEX2DEC(RIGHT(Table1323212737[[#This Row],[h1]],8))</f>
        <v>0</v>
      </c>
      <c r="Q207" s="56" t="s">
        <v>97</v>
      </c>
      <c r="R207" s="56">
        <f>HEX2DEC(RIGHT(Table1323212737[[#This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6">
        <v>1</v>
      </c>
      <c r="J208" s="24">
        <v>50000</v>
      </c>
      <c r="M208" s="24">
        <v>50000</v>
      </c>
      <c r="O208" s="56" t="s">
        <v>97</v>
      </c>
      <c r="P208" s="56">
        <f>HEX2DEC(RIGHT(Table1323212737[[#This Row],[h1]],8))</f>
        <v>0</v>
      </c>
      <c r="Q208" s="56" t="s">
        <v>97</v>
      </c>
      <c r="R208" s="56">
        <f>HEX2DEC(RIGHT(Table1323212737[[#This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6">
        <v>2</v>
      </c>
      <c r="J209" s="24">
        <v>50000</v>
      </c>
      <c r="M209" s="24">
        <v>50000</v>
      </c>
      <c r="O209" s="56" t="s">
        <v>97</v>
      </c>
      <c r="P209" s="56">
        <f>HEX2DEC(RIGHT(Table1323212737[[#This Row],[h1]],8))</f>
        <v>0</v>
      </c>
      <c r="Q209" s="56" t="s">
        <v>97</v>
      </c>
      <c r="R209" s="56">
        <f>HEX2DEC(RIGHT(Table1323212737[[#This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6">
        <v>3</v>
      </c>
      <c r="J210" s="24">
        <v>50000</v>
      </c>
      <c r="M210" s="24">
        <v>50000</v>
      </c>
      <c r="O210" s="56" t="s">
        <v>97</v>
      </c>
      <c r="P210" s="56">
        <f>HEX2DEC(RIGHT(Table1323212737[[#This Row],[h1]],8))</f>
        <v>0</v>
      </c>
      <c r="Q210" s="56" t="s">
        <v>97</v>
      </c>
      <c r="R210" s="56">
        <f>HEX2DEC(RIGHT(Table1323212737[[#This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6">
        <v>4</v>
      </c>
      <c r="J211" s="24">
        <v>50000</v>
      </c>
      <c r="M211" s="24">
        <v>50000</v>
      </c>
      <c r="O211" s="56" t="s">
        <v>97</v>
      </c>
      <c r="P211" s="56">
        <f>HEX2DEC(RIGHT(Table1323212737[[#This Row],[h1]],8))</f>
        <v>0</v>
      </c>
      <c r="Q211" s="56" t="s">
        <v>97</v>
      </c>
      <c r="R211" s="56">
        <f>HEX2DEC(RIGHT(Table1323212737[[#This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6">
        <v>5</v>
      </c>
      <c r="J212" s="24">
        <v>50000</v>
      </c>
      <c r="M212" s="24">
        <v>50000</v>
      </c>
      <c r="O212" s="56" t="s">
        <v>97</v>
      </c>
      <c r="P212" s="56">
        <f>HEX2DEC(RIGHT(Table1323212737[[#This Row],[h1]],8))</f>
        <v>0</v>
      </c>
      <c r="Q212" s="56" t="s">
        <v>97</v>
      </c>
      <c r="R212" s="56">
        <f>HEX2DEC(RIGHT(Table1323212737[[#This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6">
        <v>6</v>
      </c>
      <c r="J213" s="24">
        <v>50000</v>
      </c>
      <c r="M213" s="24">
        <v>50000</v>
      </c>
      <c r="O213" s="56" t="s">
        <v>97</v>
      </c>
      <c r="P213" s="56">
        <f>HEX2DEC(RIGHT(Table1323212737[[#This Row],[h1]],8))</f>
        <v>0</v>
      </c>
      <c r="Q213" s="56" t="s">
        <v>97</v>
      </c>
      <c r="R213" s="56">
        <f>HEX2DEC(RIGHT(Table1323212737[[#This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6">
        <v>7</v>
      </c>
      <c r="J214" s="24">
        <v>50000</v>
      </c>
      <c r="M214" s="24">
        <v>50000</v>
      </c>
      <c r="O214" s="56" t="s">
        <v>97</v>
      </c>
      <c r="P214" s="56">
        <f>HEX2DEC(RIGHT(Table1323212737[[#This Row],[h1]],8))</f>
        <v>0</v>
      </c>
      <c r="Q214" s="56" t="s">
        <v>97</v>
      </c>
      <c r="R214" s="56">
        <f>HEX2DEC(RIGHT(Table1323212737[[#This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6">
        <v>8</v>
      </c>
      <c r="J215" s="24">
        <v>50000</v>
      </c>
      <c r="M215" s="24">
        <v>50000</v>
      </c>
      <c r="O215" s="56" t="s">
        <v>97</v>
      </c>
      <c r="P215" s="56">
        <f>HEX2DEC(RIGHT(Table1323212737[[#This Row],[h1]],8))</f>
        <v>0</v>
      </c>
      <c r="Q215" s="56" t="s">
        <v>97</v>
      </c>
      <c r="R215" s="56">
        <f>HEX2DEC(RIGHT(Table1323212737[[#This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6">
        <v>9</v>
      </c>
      <c r="J216" s="24">
        <v>50000</v>
      </c>
      <c r="M216" s="24">
        <v>50000</v>
      </c>
      <c r="O216" s="56" t="s">
        <v>97</v>
      </c>
      <c r="P216" s="56">
        <f>HEX2DEC(RIGHT(Table1323212737[[#This Row],[h1]],8))</f>
        <v>0</v>
      </c>
      <c r="Q216" s="56" t="s">
        <v>97</v>
      </c>
      <c r="R216" s="56">
        <f>HEX2DEC(RIGHT(Table1323212737[[#This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6">
        <v>10</v>
      </c>
      <c r="J217" s="24">
        <v>50000</v>
      </c>
      <c r="M217" s="24">
        <v>50000</v>
      </c>
      <c r="O217" s="56" t="s">
        <v>97</v>
      </c>
      <c r="P217" s="56">
        <f>HEX2DEC(RIGHT(Table1323212737[[#This Row],[h1]],8))</f>
        <v>0</v>
      </c>
      <c r="Q217" s="56" t="s">
        <v>97</v>
      </c>
      <c r="R217" s="56">
        <f>HEX2DEC(RIGHT(Table1323212737[[#This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6">
        <v>11</v>
      </c>
      <c r="J218" s="24">
        <v>50000</v>
      </c>
      <c r="M218" s="24">
        <v>50000</v>
      </c>
      <c r="O218" s="56" t="s">
        <v>97</v>
      </c>
      <c r="P218" s="56">
        <f>HEX2DEC(RIGHT(Table1323212737[[#This Row],[h1]],8))</f>
        <v>0</v>
      </c>
      <c r="Q218" s="56" t="s">
        <v>97</v>
      </c>
      <c r="R218" s="56">
        <f>HEX2DEC(RIGHT(Table1323212737[[#This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6">
        <v>12</v>
      </c>
      <c r="J219" s="24">
        <v>50000</v>
      </c>
      <c r="M219" s="24">
        <v>50000</v>
      </c>
      <c r="O219" s="56" t="s">
        <v>97</v>
      </c>
      <c r="P219" s="56">
        <f>HEX2DEC(RIGHT(Table1323212737[[#This Row],[h1]],8))</f>
        <v>0</v>
      </c>
      <c r="Q219" s="56" t="s">
        <v>97</v>
      </c>
      <c r="R219" s="56">
        <f>HEX2DEC(RIGHT(Table1323212737[[#This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6">
        <v>13</v>
      </c>
      <c r="J220" s="24">
        <v>50000</v>
      </c>
      <c r="M220" s="24">
        <v>50000</v>
      </c>
      <c r="O220" s="56" t="s">
        <v>97</v>
      </c>
      <c r="P220" s="56">
        <f>HEX2DEC(RIGHT(Table1323212737[[#This Row],[h1]],8))</f>
        <v>0</v>
      </c>
      <c r="Q220" s="56" t="s">
        <v>97</v>
      </c>
      <c r="R220" s="56">
        <f>HEX2DEC(RIGHT(Table1323212737[[#This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6">
        <v>14</v>
      </c>
      <c r="J221" s="24">
        <v>50000</v>
      </c>
      <c r="M221" s="24">
        <v>50000</v>
      </c>
      <c r="O221" s="56" t="s">
        <v>97</v>
      </c>
      <c r="P221" s="56">
        <f>HEX2DEC(RIGHT(Table1323212737[[#This Row],[h1]],8))</f>
        <v>0</v>
      </c>
      <c r="Q221" s="56" t="s">
        <v>97</v>
      </c>
      <c r="R221" s="56">
        <f>HEX2DEC(RIGHT(Table1323212737[[#This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6">
        <v>15</v>
      </c>
      <c r="J222" s="24">
        <v>50000</v>
      </c>
      <c r="M222" s="24">
        <v>50000</v>
      </c>
      <c r="O222" s="56" t="s">
        <v>97</v>
      </c>
      <c r="P222" s="56">
        <f>HEX2DEC(RIGHT(Table1323212737[[#This Row],[h1]],8))</f>
        <v>0</v>
      </c>
      <c r="Q222" s="56" t="s">
        <v>97</v>
      </c>
      <c r="R222" s="56">
        <f>HEX2DEC(RIGHT(Table1323212737[[#This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6">
        <v>0</v>
      </c>
      <c r="J223" s="24">
        <v>50000</v>
      </c>
      <c r="M223" s="24">
        <v>50000</v>
      </c>
      <c r="O223" s="56" t="s">
        <v>97</v>
      </c>
      <c r="P223" s="56">
        <f>HEX2DEC(RIGHT(Table1323212737[[#This Row],[h1]],8))</f>
        <v>0</v>
      </c>
      <c r="Q223" s="56" t="s">
        <v>97</v>
      </c>
      <c r="R223" s="56">
        <f>HEX2DEC(RIGHT(Table1323212737[[#This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6">
        <v>16</v>
      </c>
      <c r="J224" s="24">
        <v>50000</v>
      </c>
      <c r="M224" s="24">
        <v>50000</v>
      </c>
      <c r="O224" s="56" t="s">
        <v>97</v>
      </c>
      <c r="P224" s="56">
        <f>HEX2DEC(RIGHT(Table1323212737[[#This Row],[h1]],8))</f>
        <v>0</v>
      </c>
      <c r="Q224" s="56" t="s">
        <v>97</v>
      </c>
      <c r="R224" s="56">
        <f>HEX2DEC(RIGHT(Table1323212737[[#This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6">
        <v>0</v>
      </c>
      <c r="J225" s="24">
        <v>50000</v>
      </c>
      <c r="M225" s="24">
        <v>50000</v>
      </c>
      <c r="O225" s="56" t="s">
        <v>97</v>
      </c>
      <c r="P225" s="56">
        <f>HEX2DEC(RIGHT(Table1323212737[[#This Row],[h1]],8))</f>
        <v>0</v>
      </c>
      <c r="Q225" s="56" t="s">
        <v>97</v>
      </c>
      <c r="R225" s="56">
        <f>HEX2DEC(RIGHT(Table1323212737[[#This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6">
        <v>0</v>
      </c>
      <c r="J226" s="24">
        <v>50000</v>
      </c>
      <c r="M226" s="24">
        <v>50000</v>
      </c>
      <c r="O226" s="56" t="s">
        <v>97</v>
      </c>
      <c r="P226" s="56">
        <f>HEX2DEC(RIGHT(Table1323212737[[#This Row],[h1]],8))</f>
        <v>0</v>
      </c>
      <c r="Q226" s="56" t="s">
        <v>97</v>
      </c>
      <c r="R226" s="56">
        <f>HEX2DEC(RIGHT(Table1323212737[[#This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6">
        <v>0</v>
      </c>
      <c r="J227" s="24">
        <v>50000</v>
      </c>
      <c r="M227" s="24">
        <v>50000</v>
      </c>
      <c r="O227" s="56" t="s">
        <v>97</v>
      </c>
      <c r="P227" s="56">
        <f>HEX2DEC(RIGHT(Table1323212737[[#This Row],[h1]],8))</f>
        <v>0</v>
      </c>
      <c r="Q227" s="56" t="s">
        <v>97</v>
      </c>
      <c r="R227" s="56">
        <f>HEX2DEC(RIGHT(Table1323212737[[#This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6">
        <v>0</v>
      </c>
      <c r="J228" s="24">
        <v>50000</v>
      </c>
      <c r="M228" s="24">
        <v>50000</v>
      </c>
      <c r="O228" s="56" t="s">
        <v>97</v>
      </c>
      <c r="P228" s="56">
        <f>HEX2DEC(RIGHT(Table1323212737[[#This Row],[h1]],8))</f>
        <v>0</v>
      </c>
      <c r="Q228" s="56" t="s">
        <v>97</v>
      </c>
      <c r="R228" s="56">
        <f>HEX2DEC(RIGHT(Table1323212737[[#This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6">
        <v>0</v>
      </c>
      <c r="J229" s="24">
        <v>50000</v>
      </c>
      <c r="M229" s="24">
        <v>50000</v>
      </c>
      <c r="O229" s="56" t="s">
        <v>97</v>
      </c>
      <c r="P229" s="56">
        <f>HEX2DEC(RIGHT(Table1323212737[[#This Row],[h1]],8))</f>
        <v>0</v>
      </c>
      <c r="Q229" s="56" t="s">
        <v>97</v>
      </c>
      <c r="R229" s="56">
        <f>HEX2DEC(RIGHT(Table1323212737[[#This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6">
        <v>0</v>
      </c>
      <c r="J230" s="24">
        <v>50000</v>
      </c>
      <c r="M230" s="24">
        <v>50000</v>
      </c>
      <c r="O230" s="56" t="s">
        <v>97</v>
      </c>
      <c r="P230" s="56">
        <f>HEX2DEC(RIGHT(Table1323212737[[#This Row],[h1]],8))</f>
        <v>0</v>
      </c>
      <c r="Q230" s="56" t="s">
        <v>97</v>
      </c>
      <c r="R230" s="56">
        <f>HEX2DEC(RIGHT(Table1323212737[[#This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6">
        <v>0</v>
      </c>
      <c r="J231" s="24">
        <v>50000</v>
      </c>
      <c r="M231" s="24">
        <v>50000</v>
      </c>
      <c r="O231" s="56" t="s">
        <v>97</v>
      </c>
      <c r="P231" s="56">
        <f>HEX2DEC(RIGHT(Table1323212737[[#This Row],[h1]],8))</f>
        <v>0</v>
      </c>
      <c r="Q231" s="56" t="s">
        <v>97</v>
      </c>
      <c r="R231" s="56">
        <f>HEX2DEC(RIGHT(Table1323212737[[#This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6">
        <v>0</v>
      </c>
      <c r="J232" s="24">
        <v>50000</v>
      </c>
      <c r="M232" s="24">
        <v>50000</v>
      </c>
      <c r="O232" s="56" t="s">
        <v>97</v>
      </c>
      <c r="P232" s="56">
        <f>HEX2DEC(RIGHT(Table1323212737[[#This Row],[h1]],8))</f>
        <v>0</v>
      </c>
      <c r="Q232" s="56" t="s">
        <v>97</v>
      </c>
      <c r="R232" s="56">
        <f>HEX2DEC(RIGHT(Table1323212737[[#This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6">
        <v>0</v>
      </c>
      <c r="J233" s="24">
        <v>50000</v>
      </c>
      <c r="M233" s="24">
        <v>50000</v>
      </c>
      <c r="O233" s="56" t="s">
        <v>97</v>
      </c>
      <c r="P233" s="56">
        <f>HEX2DEC(RIGHT(Table1323212737[[#This Row],[h1]],8))</f>
        <v>0</v>
      </c>
      <c r="Q233" s="56" t="s">
        <v>97</v>
      </c>
      <c r="R233" s="56">
        <f>HEX2DEC(RIGHT(Table1323212737[[#This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6">
        <v>0</v>
      </c>
      <c r="J234" s="24">
        <v>50000</v>
      </c>
      <c r="M234" s="24">
        <v>50000</v>
      </c>
      <c r="O234" s="56" t="s">
        <v>97</v>
      </c>
      <c r="P234" s="56">
        <f>HEX2DEC(RIGHT(Table1323212737[[#This Row],[h1]],8))</f>
        <v>0</v>
      </c>
      <c r="Q234" s="56" t="s">
        <v>97</v>
      </c>
      <c r="R234" s="56">
        <f>HEX2DEC(RIGHT(Table1323212737[[#This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6">
        <v>0</v>
      </c>
      <c r="J235" s="24">
        <v>50000</v>
      </c>
      <c r="M235" s="24">
        <v>50000</v>
      </c>
      <c r="O235" s="56" t="s">
        <v>97</v>
      </c>
      <c r="P235" s="56">
        <f>HEX2DEC(RIGHT(Table1323212737[[#This Row],[h1]],8))</f>
        <v>0</v>
      </c>
      <c r="Q235" s="56" t="s">
        <v>97</v>
      </c>
      <c r="R235" s="56">
        <f>HEX2DEC(RIGHT(Table1323212737[[#This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6">
        <v>0</v>
      </c>
      <c r="J236" s="24">
        <v>50000</v>
      </c>
      <c r="M236" s="24">
        <v>50000</v>
      </c>
      <c r="O236" s="56" t="s">
        <v>97</v>
      </c>
      <c r="P236" s="56">
        <f>HEX2DEC(RIGHT(Table1323212737[[#This Row],[h1]],8))</f>
        <v>0</v>
      </c>
      <c r="Q236" s="56" t="s">
        <v>97</v>
      </c>
      <c r="R236" s="56">
        <f>HEX2DEC(RIGHT(Table1323212737[[#This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6">
        <v>0</v>
      </c>
      <c r="J237" s="24">
        <v>50000</v>
      </c>
      <c r="M237" s="24">
        <v>50000</v>
      </c>
      <c r="O237" s="56" t="s">
        <v>97</v>
      </c>
      <c r="P237" s="56">
        <f>HEX2DEC(RIGHT(Table1323212737[[#This Row],[h1]],8))</f>
        <v>0</v>
      </c>
      <c r="Q237" s="56" t="s">
        <v>97</v>
      </c>
      <c r="R237" s="56">
        <f>HEX2DEC(RIGHT(Table1323212737[[#This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6">
        <v>0</v>
      </c>
      <c r="J238" s="24">
        <v>50000</v>
      </c>
      <c r="M238" s="24">
        <v>50000</v>
      </c>
      <c r="O238" s="56" t="s">
        <v>97</v>
      </c>
      <c r="P238" s="56">
        <f>HEX2DEC(RIGHT(Table1323212737[[#This Row],[h1]],8))</f>
        <v>0</v>
      </c>
      <c r="Q238" s="56" t="s">
        <v>97</v>
      </c>
      <c r="R238" s="56">
        <f>HEX2DEC(RIGHT(Table1323212737[[#This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6" t="s">
        <v>97</v>
      </c>
      <c r="P239" s="56">
        <f>HEX2DEC(RIGHT(Table1323212737[[#This Row],[h1]],8))</f>
        <v>0</v>
      </c>
      <c r="Q239" s="56" t="s">
        <v>97</v>
      </c>
      <c r="R239" s="56">
        <f>HEX2DEC(RIGHT(Table1323212737[[#This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6" t="s">
        <v>97</v>
      </c>
      <c r="P240" s="56">
        <f>HEX2DEC(RIGHT(Table1323212737[[#This Row],[h1]],8))</f>
        <v>0</v>
      </c>
      <c r="Q240" s="56" t="s">
        <v>97</v>
      </c>
      <c r="R240" s="56">
        <f>HEX2DEC(RIGHT(Table1323212737[[#This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6" t="s">
        <v>97</v>
      </c>
      <c r="P241" s="56">
        <f>HEX2DEC(RIGHT(Table1323212737[[#This Row],[h1]],8))</f>
        <v>0</v>
      </c>
      <c r="Q241" s="56" t="s">
        <v>97</v>
      </c>
      <c r="R241" s="56">
        <f>HEX2DEC(RIGHT(Table1323212737[[#This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6" t="s">
        <v>97</v>
      </c>
      <c r="P242" s="56">
        <f>HEX2DEC(RIGHT(Table1323212737[[#This Row],[h1]],8))</f>
        <v>0</v>
      </c>
      <c r="Q242" s="56" t="s">
        <v>97</v>
      </c>
      <c r="R242" s="56">
        <f>HEX2DEC(RIGHT(Table1323212737[[#This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6" t="s">
        <v>97</v>
      </c>
      <c r="P243" s="56">
        <f>HEX2DEC(RIGHT(Table1323212737[[#This Row],[h1]],8))</f>
        <v>0</v>
      </c>
      <c r="Q243" s="56" t="s">
        <v>97</v>
      </c>
      <c r="R243" s="56">
        <f>HEX2DEC(RIGHT(Table1323212737[[#This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6" t="s">
        <v>97</v>
      </c>
      <c r="P244" s="56">
        <f>HEX2DEC(RIGHT(Table1323212737[[#This Row],[h1]],8))</f>
        <v>0</v>
      </c>
      <c r="Q244" s="56" t="s">
        <v>97</v>
      </c>
      <c r="R244" s="56">
        <f>HEX2DEC(RIGHT(Table1323212737[[#This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6" t="s">
        <v>97</v>
      </c>
      <c r="P245" s="56">
        <f>HEX2DEC(RIGHT(Table1323212737[[#This Row],[h1]],8))</f>
        <v>0</v>
      </c>
      <c r="Q245" s="56" t="s">
        <v>97</v>
      </c>
      <c r="R245" s="56">
        <f>HEX2DEC(RIGHT(Table1323212737[[#This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6" t="s">
        <v>97</v>
      </c>
      <c r="P246" s="56">
        <f>HEX2DEC(RIGHT(Table1323212737[[#This Row],[h1]],8))</f>
        <v>0</v>
      </c>
      <c r="Q246" s="56" t="s">
        <v>97</v>
      </c>
      <c r="R246" s="56">
        <f>HEX2DEC(RIGHT(Table1323212737[[#This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6" t="s">
        <v>97</v>
      </c>
      <c r="P247" s="56">
        <f>HEX2DEC(RIGHT(Table1323212737[[#This Row],[h1]],8))</f>
        <v>0</v>
      </c>
      <c r="Q247" s="56" t="s">
        <v>97</v>
      </c>
      <c r="R247" s="56">
        <f>HEX2DEC(RIGHT(Table1323212737[[#This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6" t="s">
        <v>97</v>
      </c>
      <c r="P248" s="56">
        <f>HEX2DEC(RIGHT(Table1323212737[[#This Row],[h1]],8))</f>
        <v>0</v>
      </c>
      <c r="Q248" s="56" t="s">
        <v>97</v>
      </c>
      <c r="R248" s="56">
        <f>HEX2DEC(RIGHT(Table1323212737[[#This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6" t="s">
        <v>97</v>
      </c>
      <c r="P249" s="56">
        <f>HEX2DEC(RIGHT(Table1323212737[[#This Row],[h1]],8))</f>
        <v>0</v>
      </c>
      <c r="Q249" s="56" t="s">
        <v>97</v>
      </c>
      <c r="R249" s="56">
        <f>HEX2DEC(RIGHT(Table1323212737[[#This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6" t="s">
        <v>97</v>
      </c>
      <c r="P250" s="56">
        <f>HEX2DEC(RIGHT(Table1323212737[[#This Row],[h1]],8))</f>
        <v>0</v>
      </c>
      <c r="Q250" s="56" t="s">
        <v>97</v>
      </c>
      <c r="R250" s="56">
        <f>HEX2DEC(RIGHT(Table1323212737[[#This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6" t="s">
        <v>97</v>
      </c>
      <c r="P251" s="56">
        <f>HEX2DEC(RIGHT(Table1323212737[[#This Row],[h1]],8))</f>
        <v>0</v>
      </c>
      <c r="Q251" s="56" t="s">
        <v>97</v>
      </c>
      <c r="R251" s="56">
        <f>HEX2DEC(RIGHT(Table1323212737[[#This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IF(Table13192535[[#This Row],[dec val]]="",0,1)</f>
        <v>0</v>
      </c>
      <c r="J252" s="24">
        <v>50000</v>
      </c>
      <c r="M252" s="24">
        <v>50000</v>
      </c>
      <c r="O252" s="56" t="s">
        <v>97</v>
      </c>
      <c r="P252" s="56">
        <f>HEX2DEC(RIGHT(Table1323212737[[#This Row],[h1]],8))</f>
        <v>0</v>
      </c>
      <c r="Q252" s="56" t="s">
        <v>97</v>
      </c>
      <c r="R252" s="56">
        <f>HEX2DEC(RIGHT(Table1323212737[[#This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IF(Table13192535[[#This Row],[dec val]]="",0,1)</f>
        <v>0</v>
      </c>
      <c r="J253" s="24">
        <v>50000</v>
      </c>
      <c r="M253" s="24">
        <v>50000</v>
      </c>
      <c r="O253" s="56" t="s">
        <v>97</v>
      </c>
      <c r="P253" s="56">
        <f>HEX2DEC(RIGHT(Table1323212737[[#This Row],[h1]],8))</f>
        <v>0</v>
      </c>
      <c r="Q253" s="56" t="s">
        <v>97</v>
      </c>
      <c r="R253" s="56">
        <f>HEX2DEC(RIGHT(Table1323212737[[#This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IF(Table13192535[[#This Row],[dec val]]="",0,1)</f>
        <v>0</v>
      </c>
      <c r="J254" s="24">
        <v>50000</v>
      </c>
      <c r="M254" s="24">
        <v>50000</v>
      </c>
      <c r="O254" s="56" t="s">
        <v>97</v>
      </c>
      <c r="P254" s="56">
        <f>HEX2DEC(RIGHT(Table1323212737[[#This Row],[h1]],8))</f>
        <v>0</v>
      </c>
      <c r="Q254" s="56" t="s">
        <v>97</v>
      </c>
      <c r="R254" s="56">
        <f>HEX2DEC(RIGHT(Table1323212737[[#This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IF(Table13192535[[#This Row],[dec val]]="",0,1)</f>
        <v>0</v>
      </c>
      <c r="J255" s="24">
        <v>50000</v>
      </c>
      <c r="M255" s="24">
        <v>50000</v>
      </c>
      <c r="O255" s="56" t="s">
        <v>97</v>
      </c>
      <c r="P255" s="56">
        <f>HEX2DEC(RIGHT(Table1323212737[[#This Row],[h1]],8))</f>
        <v>0</v>
      </c>
      <c r="Q255" s="56" t="s">
        <v>97</v>
      </c>
      <c r="R255" s="56">
        <f>HEX2DEC(RIGHT(Table1323212737[[#This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IF(Table13192535[[#This Row],[dec val]]="",0,1)</f>
        <v>0</v>
      </c>
      <c r="J256" s="24">
        <v>50000</v>
      </c>
      <c r="M256" s="24">
        <v>50000</v>
      </c>
      <c r="O256" s="56" t="s">
        <v>97</v>
      </c>
      <c r="P256" s="56">
        <f>HEX2DEC(RIGHT(Table1323212737[[#This Row],[h1]],8))</f>
        <v>0</v>
      </c>
      <c r="Q256" s="56" t="s">
        <v>97</v>
      </c>
      <c r="R256" s="56">
        <f>HEX2DEC(RIGHT(Table1323212737[[#This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IF(Table13192535[[#This Row],[dec val]]="",0,1)</f>
        <v>0</v>
      </c>
      <c r="J257" s="24">
        <v>50000</v>
      </c>
      <c r="M257" s="24">
        <v>50000</v>
      </c>
      <c r="O257" s="56" t="s">
        <v>97</v>
      </c>
      <c r="P257" s="56">
        <f>HEX2DEC(RIGHT(Table1323212737[[#This Row],[h1]],8))</f>
        <v>0</v>
      </c>
      <c r="Q257" s="56" t="s">
        <v>97</v>
      </c>
      <c r="R257" s="56">
        <f>HEX2DEC(RIGHT(Table1323212737[[#This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IF(Table13192535[[#This Row],[dec val]]="",0,1)</f>
        <v>0</v>
      </c>
      <c r="J258" s="24">
        <v>50000</v>
      </c>
      <c r="M258" s="24">
        <v>50000</v>
      </c>
      <c r="O258" s="56" t="s">
        <v>97</v>
      </c>
      <c r="P258" s="56">
        <f>HEX2DEC(RIGHT(Table1323212737[[#This Row],[h1]],8))</f>
        <v>0</v>
      </c>
      <c r="Q258" s="56" t="s">
        <v>97</v>
      </c>
      <c r="R258" s="56">
        <f>HEX2DEC(RIGHT(Table1323212737[[#This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IF(Table13192535[[#This Row],[dec val]]="",0,1)</f>
        <v>0</v>
      </c>
      <c r="J259" s="24">
        <v>50000</v>
      </c>
      <c r="M259" s="24">
        <v>50000</v>
      </c>
      <c r="O259" s="56" t="s">
        <v>97</v>
      </c>
      <c r="P259" s="56">
        <f>HEX2DEC(RIGHT(Table1323212737[[#This Row],[h1]],8))</f>
        <v>0</v>
      </c>
      <c r="Q259" s="56" t="s">
        <v>97</v>
      </c>
      <c r="R259" s="56">
        <f>HEX2DEC(RIGHT(Table1323212737[[#This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IF(Table13192535[[#This Row],[dec val]]="",0,1)</f>
        <v>0</v>
      </c>
      <c r="J260" s="24">
        <v>50000</v>
      </c>
      <c r="M260" s="24">
        <v>50000</v>
      </c>
      <c r="O260" s="56" t="s">
        <v>97</v>
      </c>
      <c r="P260" s="56">
        <f>HEX2DEC(RIGHT(Table1323212737[[#This Row],[h1]],8))</f>
        <v>0</v>
      </c>
      <c r="Q260" s="56" t="s">
        <v>97</v>
      </c>
      <c r="R260" s="56">
        <f>HEX2DEC(RIGHT(Table1323212737[[#This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IF(Table13192535[[#This Row],[dec val]]="",0,1)</f>
        <v>0</v>
      </c>
      <c r="J261" s="24">
        <v>50000</v>
      </c>
      <c r="M261" s="24">
        <v>50000</v>
      </c>
      <c r="O261" s="56" t="s">
        <v>97</v>
      </c>
      <c r="P261" s="56">
        <f>HEX2DEC(RIGHT(Table1323212737[[#This Row],[h1]],8))</f>
        <v>0</v>
      </c>
      <c r="Q261" s="56" t="s">
        <v>97</v>
      </c>
      <c r="R261" s="56">
        <f>HEX2DEC(RIGHT(Table1323212737[[#This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IF(Table13192535[[#This Row],[dec val]]="",0,1)</f>
        <v>0</v>
      </c>
      <c r="J262" s="24">
        <v>50000</v>
      </c>
      <c r="M262" s="24">
        <v>50000</v>
      </c>
      <c r="O262" s="56" t="s">
        <v>97</v>
      </c>
      <c r="P262" s="56">
        <f>HEX2DEC(RIGHT(Table1323212737[[#This Row],[h1]],8))</f>
        <v>0</v>
      </c>
      <c r="Q262" s="56" t="s">
        <v>97</v>
      </c>
      <c r="R262" s="56">
        <f>HEX2DEC(RIGHT(Table1323212737[[#This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IF(Table13192535[[#This Row],[dec val]]="",0,1)</f>
        <v>0</v>
      </c>
      <c r="J263" s="24">
        <v>50000</v>
      </c>
      <c r="M263" s="24">
        <v>50000</v>
      </c>
      <c r="O263" s="56" t="s">
        <v>97</v>
      </c>
      <c r="P263" s="56">
        <f>HEX2DEC(RIGHT(Table1323212737[[#This Row],[h1]],8))</f>
        <v>0</v>
      </c>
      <c r="Q263" s="56" t="s">
        <v>97</v>
      </c>
      <c r="R263" s="56">
        <f>HEX2DEC(RIGHT(Table1323212737[[#This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IF(Table13192535[[#This Row],[dec val]]="",0,1)</f>
        <v>0</v>
      </c>
      <c r="J264" s="24">
        <v>50000</v>
      </c>
      <c r="M264" s="24">
        <v>50000</v>
      </c>
      <c r="O264" s="56" t="s">
        <v>97</v>
      </c>
      <c r="P264" s="56">
        <f>HEX2DEC(RIGHT(Table1323212737[[#This Row],[h1]],8))</f>
        <v>0</v>
      </c>
      <c r="Q264" s="56" t="s">
        <v>97</v>
      </c>
      <c r="R264" s="56">
        <f>HEX2DEC(RIGHT(Table1323212737[[#This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IF(Table13192535[[#This Row],[dec val]]="",0,1)</f>
        <v>0</v>
      </c>
      <c r="J265" s="24">
        <v>50000</v>
      </c>
      <c r="M265" s="24">
        <v>50000</v>
      </c>
      <c r="O265" s="56" t="s">
        <v>97</v>
      </c>
      <c r="P265" s="56">
        <f>HEX2DEC(RIGHT(Table1323212737[[#This Row],[h1]],8))</f>
        <v>0</v>
      </c>
      <c r="Q265" s="56" t="s">
        <v>97</v>
      </c>
      <c r="R265" s="56">
        <f>HEX2DEC(RIGHT(Table1323212737[[#This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IF(Table13192535[[#This Row],[dec val]]="",0,1)</f>
        <v>0</v>
      </c>
      <c r="J266" s="24">
        <v>50000</v>
      </c>
      <c r="M266" s="24">
        <v>50000</v>
      </c>
      <c r="O266" s="56" t="s">
        <v>97</v>
      </c>
      <c r="P266" s="56">
        <f>HEX2DEC(RIGHT(Table1323212737[[#This Row],[h1]],8))</f>
        <v>0</v>
      </c>
      <c r="Q266" s="56" t="s">
        <v>97</v>
      </c>
      <c r="R266" s="56">
        <f>HEX2DEC(RIGHT(Table1323212737[[#This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v>1</v>
      </c>
      <c r="J267" s="24">
        <v>50000</v>
      </c>
      <c r="M267" s="24">
        <v>50000</v>
      </c>
      <c r="O267" s="56" t="s">
        <v>97</v>
      </c>
      <c r="P267" s="56">
        <f>HEX2DEC(RIGHT(Table1323212737[[#This Row],[h1]],8))</f>
        <v>0</v>
      </c>
      <c r="Q267" s="56" t="s">
        <v>97</v>
      </c>
      <c r="R267" s="56">
        <f>HEX2DEC(RIGHT(Table1323212737[[#This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IF(Table13192535[[#This Row],[dec val]]="",0,1)</f>
        <v>0</v>
      </c>
      <c r="J268" s="24">
        <v>50000</v>
      </c>
      <c r="M268" s="24">
        <v>50000</v>
      </c>
      <c r="O268" s="56" t="s">
        <v>97</v>
      </c>
      <c r="P268" s="56">
        <f>HEX2DEC(RIGHT(Table1323212737[[#This Row],[h1]],8))</f>
        <v>0</v>
      </c>
      <c r="Q268" s="56" t="s">
        <v>97</v>
      </c>
      <c r="R268" s="56">
        <f>HEX2DEC(RIGHT(Table1323212737[[#This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IF(Table13192535[[#This Row],[dec val]]="",0,1)</f>
        <v>0</v>
      </c>
      <c r="J269" s="24">
        <v>50000</v>
      </c>
      <c r="M269" s="24">
        <v>50000</v>
      </c>
      <c r="O269" s="56" t="s">
        <v>97</v>
      </c>
      <c r="P269" s="56">
        <f>HEX2DEC(RIGHT(Table1323212737[[#This Row],[h1]],8))</f>
        <v>0</v>
      </c>
      <c r="Q269" s="56" t="s">
        <v>97</v>
      </c>
      <c r="R269" s="56">
        <f>HEX2DEC(RIGHT(Table1323212737[[#This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IF(Table13192535[[#This Row],[dec val]]="",0,1)</f>
        <v>0</v>
      </c>
      <c r="J270" s="24">
        <v>50000</v>
      </c>
      <c r="M270" s="24">
        <v>50000</v>
      </c>
      <c r="O270" s="56" t="s">
        <v>97</v>
      </c>
      <c r="P270" s="56">
        <f>HEX2DEC(RIGHT(Table1323212737[[#This Row],[h1]],8))</f>
        <v>0</v>
      </c>
      <c r="Q270" s="56" t="s">
        <v>97</v>
      </c>
      <c r="R270" s="56">
        <f>HEX2DEC(RIGHT(Table1323212737[[#This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IF(Table13192535[[#This Row],[dec val]]="",0,1)</f>
        <v>0</v>
      </c>
      <c r="J271" s="24">
        <v>50000</v>
      </c>
      <c r="M271" s="24">
        <v>50000</v>
      </c>
      <c r="O271" s="56" t="s">
        <v>97</v>
      </c>
      <c r="P271" s="56">
        <f>HEX2DEC(RIGHT(Table1323212737[[#This Row],[h1]],8))</f>
        <v>0</v>
      </c>
      <c r="Q271" s="56" t="s">
        <v>97</v>
      </c>
      <c r="R271" s="56">
        <f>HEX2DEC(RIGHT(Table1323212737[[#This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IF(Table13192535[[#This Row],[dec val]]="",0,1)</f>
        <v>0</v>
      </c>
      <c r="J272" s="24">
        <v>50000</v>
      </c>
      <c r="M272" s="24">
        <v>50000</v>
      </c>
      <c r="O272" s="56" t="s">
        <v>97</v>
      </c>
      <c r="P272" s="56">
        <f>HEX2DEC(RIGHT(Table1323212737[[#This Row],[h1]],8))</f>
        <v>0</v>
      </c>
      <c r="Q272" s="56" t="s">
        <v>97</v>
      </c>
      <c r="R272" s="56">
        <f>HEX2DEC(RIGHT(Table1323212737[[#This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IF(Table13192535[[#This Row],[dec val]]="",0,1)</f>
        <v>0</v>
      </c>
      <c r="J273" s="24">
        <v>50000</v>
      </c>
      <c r="M273" s="24">
        <v>50000</v>
      </c>
      <c r="O273" s="56" t="s">
        <v>97</v>
      </c>
      <c r="P273" s="56">
        <f>HEX2DEC(RIGHT(Table1323212737[[#This Row],[h1]],8))</f>
        <v>0</v>
      </c>
      <c r="Q273" s="56" t="s">
        <v>97</v>
      </c>
      <c r="R273" s="56">
        <f>HEX2DEC(RIGHT(Table1323212737[[#This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IF(Table13192535[[#This Row],[dec val]]="",0,1)</f>
        <v>0</v>
      </c>
      <c r="J274" s="24">
        <v>50000</v>
      </c>
      <c r="M274" s="24">
        <v>50000</v>
      </c>
      <c r="O274" s="56" t="s">
        <v>97</v>
      </c>
      <c r="P274" s="56">
        <f>HEX2DEC(RIGHT(Table1323212737[[#This Row],[h1]],8))</f>
        <v>0</v>
      </c>
      <c r="Q274" s="56" t="s">
        <v>97</v>
      </c>
      <c r="R274" s="56">
        <f>HEX2DEC(RIGHT(Table1323212737[[#This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IF(Table13192535[[#This Row],[dec val]]="",0,1)</f>
        <v>0</v>
      </c>
      <c r="J275" s="24">
        <v>50000</v>
      </c>
      <c r="M275" s="24">
        <v>50000</v>
      </c>
      <c r="O275" s="56" t="s">
        <v>97</v>
      </c>
      <c r="P275" s="56">
        <f>HEX2DEC(RIGHT(Table1323212737[[#This Row],[h1]],8))</f>
        <v>0</v>
      </c>
      <c r="Q275" s="56" t="s">
        <v>97</v>
      </c>
      <c r="R275" s="56">
        <f>HEX2DEC(RIGHT(Table1323212737[[#This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IF(Table13192535[[#This Row],[dec val]]="",0,1)</f>
        <v>0</v>
      </c>
      <c r="J276" s="24">
        <v>50000</v>
      </c>
      <c r="M276" s="24">
        <v>50000</v>
      </c>
      <c r="O276" s="56" t="s">
        <v>97</v>
      </c>
      <c r="P276" s="56">
        <f>HEX2DEC(RIGHT(Table1323212737[[#This Row],[h1]],8))</f>
        <v>0</v>
      </c>
      <c r="Q276" s="56" t="s">
        <v>97</v>
      </c>
      <c r="R276" s="56">
        <f>HEX2DEC(RIGHT(Table1323212737[[#This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IF(Table13192535[[#This Row],[dec val]]="",0,1)</f>
        <v>0</v>
      </c>
      <c r="J277" s="24">
        <v>50000</v>
      </c>
      <c r="M277" s="24">
        <v>50000</v>
      </c>
      <c r="O277" s="56" t="s">
        <v>97</v>
      </c>
      <c r="P277" s="56">
        <f>HEX2DEC(RIGHT(Table1323212737[[#This Row],[h1]],8))</f>
        <v>0</v>
      </c>
      <c r="Q277" s="56" t="s">
        <v>97</v>
      </c>
      <c r="R277" s="56">
        <f>HEX2DEC(RIGHT(Table1323212737[[#This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IF(Table13192535[[#This Row],[dec val]]="",0,1)</f>
        <v>0</v>
      </c>
      <c r="J278" s="24">
        <v>50000</v>
      </c>
      <c r="M278" s="24">
        <v>50000</v>
      </c>
      <c r="O278" s="56" t="s">
        <v>97</v>
      </c>
      <c r="P278" s="56">
        <f>HEX2DEC(RIGHT(Table1323212737[[#This Row],[h1]],8))</f>
        <v>0</v>
      </c>
      <c r="Q278" s="56" t="s">
        <v>97</v>
      </c>
      <c r="R278" s="56">
        <f>HEX2DEC(RIGHT(Table1323212737[[#This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IF(Table13192535[[#This Row],[dec val]]="",0,1)</f>
        <v>0</v>
      </c>
      <c r="J279" s="24">
        <v>50000</v>
      </c>
      <c r="M279" s="24">
        <v>50000</v>
      </c>
      <c r="O279" s="56" t="s">
        <v>97</v>
      </c>
      <c r="P279" s="56">
        <f>HEX2DEC(RIGHT(Table1323212737[[#This Row],[h1]],8))</f>
        <v>0</v>
      </c>
      <c r="Q279" s="56" t="s">
        <v>97</v>
      </c>
      <c r="R279" s="56">
        <f>HEX2DEC(RIGHT(Table1323212737[[#This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IF(Table13192535[[#This Row],[dec val]]="",0,1)</f>
        <v>0</v>
      </c>
      <c r="J280" s="24">
        <v>50000</v>
      </c>
      <c r="M280" s="24">
        <v>50000</v>
      </c>
      <c r="O280" s="56" t="s">
        <v>97</v>
      </c>
      <c r="P280" s="56">
        <f>HEX2DEC(RIGHT(Table1323212737[[#This Row],[h1]],8))</f>
        <v>0</v>
      </c>
      <c r="Q280" s="56" t="s">
        <v>97</v>
      </c>
      <c r="R280" s="56">
        <f>HEX2DEC(RIGHT(Table1323212737[[#This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IF(Table13192535[[#This Row],[dec val]]="",0,1)</f>
        <v>0</v>
      </c>
      <c r="J281" s="24">
        <v>50000</v>
      </c>
      <c r="M281" s="24">
        <v>50000</v>
      </c>
      <c r="O281" s="56" t="s">
        <v>97</v>
      </c>
      <c r="P281" s="56">
        <f>HEX2DEC(RIGHT(Table1323212737[[#This Row],[h1]],8))</f>
        <v>0</v>
      </c>
      <c r="Q281" s="56" t="s">
        <v>97</v>
      </c>
      <c r="R281" s="56">
        <f>HEX2DEC(RIGHT(Table1323212737[[#This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IF(Table13192535[[#This Row],[dec val]]="",0,1)</f>
        <v>0</v>
      </c>
      <c r="J282" s="24">
        <v>50000</v>
      </c>
      <c r="M282" s="24">
        <v>50000</v>
      </c>
      <c r="O282" s="56" t="s">
        <v>97</v>
      </c>
      <c r="P282" s="56">
        <f>HEX2DEC(RIGHT(Table1323212737[[#This Row],[h1]],8))</f>
        <v>0</v>
      </c>
      <c r="Q282" s="56" t="s">
        <v>97</v>
      </c>
      <c r="R282" s="56">
        <f>HEX2DEC(RIGHT(Table1323212737[[#This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6" t="s">
        <v>97</v>
      </c>
      <c r="P283" s="56">
        <f>HEX2DEC(RIGHT(Table1323212737[[#This Row],[h1]],8))</f>
        <v>0</v>
      </c>
      <c r="Q283" s="56" t="s">
        <v>97</v>
      </c>
      <c r="R283" s="56">
        <f>HEX2DEC(RIGHT(Table1323212737[[#This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IF(Table13192535[[#This Row],[dec val]]="",0,1)</f>
        <v>0</v>
      </c>
      <c r="J284" s="24">
        <v>50000</v>
      </c>
      <c r="M284" s="24">
        <v>50000</v>
      </c>
      <c r="O284" s="56" t="s">
        <v>97</v>
      </c>
      <c r="P284" s="56">
        <f>HEX2DEC(RIGHT(Table1323212737[[#This Row],[h1]],8))</f>
        <v>0</v>
      </c>
      <c r="Q284" s="56" t="s">
        <v>97</v>
      </c>
      <c r="R284" s="56">
        <f>HEX2DEC(RIGHT(Table1323212737[[#This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IF(Table13192535[[#This Row],[dec val]]="",0,1)</f>
        <v>0</v>
      </c>
      <c r="J285" s="24">
        <v>50000</v>
      </c>
      <c r="M285" s="24">
        <v>50000</v>
      </c>
      <c r="O285" s="56" t="s">
        <v>97</v>
      </c>
      <c r="P285" s="56">
        <f>HEX2DEC(RIGHT(Table1323212737[[#This Row],[h1]],8))</f>
        <v>0</v>
      </c>
      <c r="Q285" s="56" t="s">
        <v>97</v>
      </c>
      <c r="R285" s="56">
        <f>HEX2DEC(RIGHT(Table1323212737[[#This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IF(Table13192535[[#This Row],[dec val]]="",0,1)</f>
        <v>0</v>
      </c>
      <c r="J286" s="24">
        <v>50000</v>
      </c>
      <c r="M286" s="24">
        <v>50000</v>
      </c>
      <c r="O286" s="56" t="s">
        <v>97</v>
      </c>
      <c r="P286" s="56">
        <f>HEX2DEC(RIGHT(Table1323212737[[#This Row],[h1]],8))</f>
        <v>0</v>
      </c>
      <c r="Q286" s="56" t="s">
        <v>97</v>
      </c>
      <c r="R286" s="56">
        <f>HEX2DEC(RIGHT(Table1323212737[[#This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IF(Table13192535[[#This Row],[dec val]]="",0,1)</f>
        <v>0</v>
      </c>
      <c r="J287" s="24">
        <v>50000</v>
      </c>
      <c r="M287" s="24">
        <v>50000</v>
      </c>
      <c r="O287" s="56" t="s">
        <v>97</v>
      </c>
      <c r="P287" s="56">
        <f>HEX2DEC(RIGHT(Table1323212737[[#This Row],[h1]],8))</f>
        <v>0</v>
      </c>
      <c r="Q287" s="56" t="s">
        <v>97</v>
      </c>
      <c r="R287" s="56">
        <f>HEX2DEC(RIGHT(Table1323212737[[#This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IF(Table13192535[[#This Row],[dec val]]="",0,1)</f>
        <v>0</v>
      </c>
      <c r="J288" s="24">
        <v>50000</v>
      </c>
      <c r="M288" s="24">
        <v>50000</v>
      </c>
      <c r="O288" s="56" t="s">
        <v>97</v>
      </c>
      <c r="P288" s="56">
        <f>HEX2DEC(RIGHT(Table1323212737[[#This Row],[h1]],8))</f>
        <v>0</v>
      </c>
      <c r="Q288" s="56" t="s">
        <v>97</v>
      </c>
      <c r="R288" s="56">
        <f>HEX2DEC(RIGHT(Table1323212737[[#This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IF(Table13192535[[#This Row],[dec val]]="",0,1)</f>
        <v>0</v>
      </c>
      <c r="J289" s="24">
        <v>50000</v>
      </c>
      <c r="M289" s="24">
        <v>50000</v>
      </c>
      <c r="O289" s="56" t="s">
        <v>97</v>
      </c>
      <c r="P289" s="56">
        <f>HEX2DEC(RIGHT(Table1323212737[[#This Row],[h1]],8))</f>
        <v>0</v>
      </c>
      <c r="Q289" s="56" t="s">
        <v>97</v>
      </c>
      <c r="R289" s="56">
        <f>HEX2DEC(RIGHT(Table1323212737[[#This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IF(Table13192535[[#This Row],[dec val]]="",0,1)</f>
        <v>0</v>
      </c>
      <c r="J290" s="24">
        <v>50000</v>
      </c>
      <c r="M290" s="24">
        <v>50000</v>
      </c>
      <c r="O290" s="56" t="s">
        <v>97</v>
      </c>
      <c r="P290" s="56">
        <f>HEX2DEC(RIGHT(Table1323212737[[#This Row],[h1]],8))</f>
        <v>0</v>
      </c>
      <c r="Q290" s="56" t="s">
        <v>97</v>
      </c>
      <c r="R290" s="56">
        <f>HEX2DEC(RIGHT(Table1323212737[[#This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IF(Table13192535[[#This Row],[dec val]]="",0,1)</f>
        <v>0</v>
      </c>
      <c r="J291" s="24">
        <v>50000</v>
      </c>
      <c r="M291" s="24">
        <v>50000</v>
      </c>
      <c r="O291" s="56" t="s">
        <v>97</v>
      </c>
      <c r="P291" s="56">
        <f>HEX2DEC(RIGHT(Table1323212737[[#This Row],[h1]],8))</f>
        <v>0</v>
      </c>
      <c r="Q291" s="56" t="s">
        <v>97</v>
      </c>
      <c r="R291" s="56">
        <f>HEX2DEC(RIGHT(Table1323212737[[#This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IF(Table13192535[[#This Row],[dec val]]="",0,1)</f>
        <v>0</v>
      </c>
      <c r="J292" s="24">
        <v>50000</v>
      </c>
      <c r="M292" s="24">
        <v>50000</v>
      </c>
      <c r="O292" s="56" t="s">
        <v>97</v>
      </c>
      <c r="P292" s="56">
        <f>HEX2DEC(RIGHT(Table1323212737[[#This Row],[h1]],8))</f>
        <v>0</v>
      </c>
      <c r="Q292" s="56" t="s">
        <v>97</v>
      </c>
      <c r="R292" s="56">
        <f>HEX2DEC(RIGHT(Table1323212737[[#This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IF(Table13192535[[#This Row],[dec val]]="",0,1)</f>
        <v>0</v>
      </c>
      <c r="J293" s="24">
        <v>50000</v>
      </c>
      <c r="M293" s="24">
        <v>50000</v>
      </c>
      <c r="O293" s="56" t="s">
        <v>97</v>
      </c>
      <c r="P293" s="56">
        <f>HEX2DEC(RIGHT(Table1323212737[[#This Row],[h1]],8))</f>
        <v>0</v>
      </c>
      <c r="Q293" s="56" t="s">
        <v>97</v>
      </c>
      <c r="R293" s="56">
        <f>HEX2DEC(RIGHT(Table1323212737[[#This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IF(Table13192535[[#This Row],[dec val]]="",0,1)</f>
        <v>0</v>
      </c>
      <c r="J294" s="24">
        <v>50000</v>
      </c>
      <c r="M294" s="24">
        <v>50000</v>
      </c>
      <c r="O294" s="56" t="s">
        <v>97</v>
      </c>
      <c r="P294" s="56">
        <f>HEX2DEC(RIGHT(Table1323212737[[#This Row],[h1]],8))</f>
        <v>0</v>
      </c>
      <c r="Q294" s="56" t="s">
        <v>97</v>
      </c>
      <c r="R294" s="56">
        <f>HEX2DEC(RIGHT(Table1323212737[[#This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IF(Table13192535[[#This Row],[dec val]]="",0,1)</f>
        <v>0</v>
      </c>
      <c r="J295" s="24">
        <v>50000</v>
      </c>
      <c r="M295" s="24">
        <v>50000</v>
      </c>
      <c r="O295" s="56" t="s">
        <v>97</v>
      </c>
      <c r="P295" s="56">
        <f>HEX2DEC(RIGHT(Table1323212737[[#This Row],[h1]],8))</f>
        <v>0</v>
      </c>
      <c r="Q295" s="56" t="s">
        <v>97</v>
      </c>
      <c r="R295" s="56">
        <f>HEX2DEC(RIGHT(Table1323212737[[#This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IF(Table13192535[[#This Row],[dec val]]="",0,1)</f>
        <v>0</v>
      </c>
      <c r="J296" s="24">
        <v>50000</v>
      </c>
      <c r="M296" s="24">
        <v>50000</v>
      </c>
      <c r="O296" s="56" t="s">
        <v>97</v>
      </c>
      <c r="P296" s="56">
        <f>HEX2DEC(RIGHT(Table1323212737[[#This Row],[h1]],8))</f>
        <v>0</v>
      </c>
      <c r="Q296" s="56" t="s">
        <v>97</v>
      </c>
      <c r="R296" s="56">
        <f>HEX2DEC(RIGHT(Table1323212737[[#This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IF(Table13192535[[#This Row],[dec val]]="",0,1)</f>
        <v>0</v>
      </c>
      <c r="J297" s="24">
        <v>50000</v>
      </c>
      <c r="M297" s="24">
        <v>50000</v>
      </c>
      <c r="O297" s="56" t="s">
        <v>97</v>
      </c>
      <c r="P297" s="56">
        <f>HEX2DEC(RIGHT(Table1323212737[[#This Row],[h1]],8))</f>
        <v>0</v>
      </c>
      <c r="Q297" s="56" t="s">
        <v>97</v>
      </c>
      <c r="R297" s="56">
        <f>HEX2DEC(RIGHT(Table1323212737[[#This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IF(Table13192535[[#This Row],[dec val]]="",0,1)</f>
        <v>0</v>
      </c>
      <c r="J298" s="24">
        <v>50000</v>
      </c>
      <c r="M298" s="24">
        <v>50000</v>
      </c>
      <c r="O298" s="56" t="s">
        <v>97</v>
      </c>
      <c r="P298" s="56">
        <f>HEX2DEC(RIGHT(Table1323212737[[#This Row],[h1]],8))</f>
        <v>0</v>
      </c>
      <c r="Q298" s="56" t="s">
        <v>97</v>
      </c>
      <c r="R298" s="56">
        <f>HEX2DEC(RIGHT(Table1323212737[[#This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IF(Table13192535[[#This Row],[dec val]]="",0,1)</f>
        <v>0</v>
      </c>
      <c r="J299" s="24">
        <v>50000</v>
      </c>
      <c r="M299" s="24">
        <v>50000</v>
      </c>
      <c r="O299" s="56" t="s">
        <v>97</v>
      </c>
      <c r="P299" s="56">
        <f>HEX2DEC(RIGHT(Table1323212737[[#This Row],[h1]],8))</f>
        <v>0</v>
      </c>
      <c r="Q299" s="56" t="s">
        <v>97</v>
      </c>
      <c r="R299" s="56">
        <f>HEX2DEC(RIGHT(Table1323212737[[#This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IF(Table13192535[[#This Row],[dec val]]="",0,1)</f>
        <v>0</v>
      </c>
      <c r="J300" s="24">
        <v>50000</v>
      </c>
      <c r="M300" s="24">
        <v>50000</v>
      </c>
      <c r="O300" s="56" t="s">
        <v>97</v>
      </c>
      <c r="P300" s="56">
        <f>HEX2DEC(RIGHT(Table1323212737[[#This Row],[h1]],8))</f>
        <v>0</v>
      </c>
      <c r="Q300" s="56" t="s">
        <v>97</v>
      </c>
      <c r="R300" s="56">
        <f>HEX2DEC(RIGHT(Table1323212737[[#This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IF(Table13192535[[#This Row],[dec val]]="",0,1)</f>
        <v>0</v>
      </c>
      <c r="J301" s="24">
        <v>50000</v>
      </c>
      <c r="M301" s="24">
        <v>50000</v>
      </c>
      <c r="O301" s="56" t="s">
        <v>97</v>
      </c>
      <c r="P301" s="56">
        <f>HEX2DEC(RIGHT(Table1323212737[[#This Row],[h1]],8))</f>
        <v>0</v>
      </c>
      <c r="Q301" s="56" t="s">
        <v>97</v>
      </c>
      <c r="R301" s="56">
        <f>HEX2DEC(RIGHT(Table1323212737[[#This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IF(Table13192535[[#This Row],[dec val]]="",0,1)</f>
        <v>0</v>
      </c>
      <c r="J302" s="24">
        <v>50000</v>
      </c>
      <c r="M302" s="24">
        <v>50000</v>
      </c>
      <c r="O302" s="56" t="s">
        <v>97</v>
      </c>
      <c r="P302" s="56">
        <f>HEX2DEC(RIGHT(Table1323212737[[#This Row],[h1]],8))</f>
        <v>0</v>
      </c>
      <c r="Q302" s="56" t="s">
        <v>97</v>
      </c>
      <c r="R302" s="56">
        <f>HEX2DEC(RIGHT(Table1323212737[[#This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IF(Table13192535[[#This Row],[dec val]]="",0,1)</f>
        <v>0</v>
      </c>
      <c r="J303" s="24">
        <v>50000</v>
      </c>
      <c r="M303" s="24">
        <v>50000</v>
      </c>
      <c r="O303" s="56" t="s">
        <v>97</v>
      </c>
      <c r="P303" s="56">
        <f>HEX2DEC(RIGHT(Table1323212737[[#This Row],[h1]],8))</f>
        <v>0</v>
      </c>
      <c r="Q303" s="56" t="s">
        <v>97</v>
      </c>
      <c r="R303" s="56">
        <f>HEX2DEC(RIGHT(Table1323212737[[#This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IF(Table13192535[[#This Row],[dec val]]="",0,1)</f>
        <v>0</v>
      </c>
      <c r="J304" s="24">
        <v>50000</v>
      </c>
      <c r="M304" s="24">
        <v>50000</v>
      </c>
      <c r="O304" s="56" t="s">
        <v>97</v>
      </c>
      <c r="P304" s="56">
        <f>HEX2DEC(RIGHT(Table1323212737[[#This Row],[h1]],8))</f>
        <v>0</v>
      </c>
      <c r="Q304" s="56" t="s">
        <v>97</v>
      </c>
      <c r="R304" s="56">
        <f>HEX2DEC(RIGHT(Table1323212737[[#This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IF(Table13192535[[#This Row],[dec val]]="",0,1)</f>
        <v>0</v>
      </c>
      <c r="J305" s="24">
        <v>50000</v>
      </c>
      <c r="M305" s="24">
        <v>50000</v>
      </c>
      <c r="O305" s="56" t="s">
        <v>97</v>
      </c>
      <c r="P305" s="56">
        <f>HEX2DEC(RIGHT(Table1323212737[[#This Row],[h1]],8))</f>
        <v>0</v>
      </c>
      <c r="Q305" s="56" t="s">
        <v>97</v>
      </c>
      <c r="R305" s="56">
        <f>HEX2DEC(RIGHT(Table1323212737[[#This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IF(Table13192535[[#This Row],[dec val]]="",0,1)</f>
        <v>0</v>
      </c>
      <c r="J306" s="24">
        <v>50000</v>
      </c>
      <c r="M306" s="24">
        <v>50000</v>
      </c>
      <c r="O306" s="56" t="s">
        <v>97</v>
      </c>
      <c r="P306" s="56">
        <f>HEX2DEC(RIGHT(Table1323212737[[#This Row],[h1]],8))</f>
        <v>0</v>
      </c>
      <c r="Q306" s="56" t="s">
        <v>97</v>
      </c>
      <c r="R306" s="56">
        <f>HEX2DEC(RIGHT(Table1323212737[[#This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IF(Table13192535[[#This Row],[dec val]]="",0,1)</f>
        <v>0</v>
      </c>
      <c r="J307" s="24">
        <v>50000</v>
      </c>
      <c r="M307" s="24">
        <v>50000</v>
      </c>
      <c r="O307" s="56" t="s">
        <v>97</v>
      </c>
      <c r="P307" s="56">
        <f>HEX2DEC(RIGHT(Table1323212737[[#This Row],[h1]],8))</f>
        <v>0</v>
      </c>
      <c r="Q307" s="56" t="s">
        <v>97</v>
      </c>
      <c r="R307" s="56">
        <f>HEX2DEC(RIGHT(Table1323212737[[#This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IF(Table13192535[[#This Row],[dec val]]="",0,1)</f>
        <v>0</v>
      </c>
      <c r="J308" s="24">
        <v>50000</v>
      </c>
      <c r="M308" s="24">
        <v>50000</v>
      </c>
      <c r="O308" s="56" t="s">
        <v>97</v>
      </c>
      <c r="P308" s="56">
        <f>HEX2DEC(RIGHT(Table1323212737[[#This Row],[h1]],8))</f>
        <v>0</v>
      </c>
      <c r="Q308" s="56" t="s">
        <v>97</v>
      </c>
      <c r="R308" s="56">
        <f>HEX2DEC(RIGHT(Table1323212737[[#This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IF(Table13192535[[#This Row],[dec val]]="",0,1)</f>
        <v>0</v>
      </c>
      <c r="J309" s="24">
        <v>50000</v>
      </c>
      <c r="M309" s="24">
        <v>50000</v>
      </c>
      <c r="O309" s="56" t="s">
        <v>97</v>
      </c>
      <c r="P309" s="56">
        <f>HEX2DEC(RIGHT(Table1323212737[[#This Row],[h1]],8))</f>
        <v>0</v>
      </c>
      <c r="Q309" s="56" t="s">
        <v>97</v>
      </c>
      <c r="R309" s="56">
        <f>HEX2DEC(RIGHT(Table1323212737[[#This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IF(Table13192535[[#This Row],[dec val]]="",0,1)</f>
        <v>0</v>
      </c>
      <c r="J310" s="24">
        <v>50000</v>
      </c>
      <c r="M310" s="24">
        <v>50000</v>
      </c>
      <c r="O310" s="56" t="s">
        <v>97</v>
      </c>
      <c r="P310" s="56">
        <f>HEX2DEC(RIGHT(Table1323212737[[#This Row],[h1]],8))</f>
        <v>0</v>
      </c>
      <c r="Q310" s="56" t="s">
        <v>97</v>
      </c>
      <c r="R310" s="56">
        <f>HEX2DEC(RIGHT(Table1323212737[[#This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IF(Table13192535[[#This Row],[dec val]]="",0,1)</f>
        <v>0</v>
      </c>
      <c r="J311" s="24">
        <v>50000</v>
      </c>
      <c r="M311" s="24">
        <v>50000</v>
      </c>
      <c r="O311" s="56" t="s">
        <v>97</v>
      </c>
      <c r="P311" s="56">
        <f>HEX2DEC(RIGHT(Table1323212737[[#This Row],[h1]],8))</f>
        <v>0</v>
      </c>
      <c r="Q311" s="56" t="s">
        <v>97</v>
      </c>
      <c r="R311" s="56">
        <f>HEX2DEC(RIGHT(Table1323212737[[#This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IF(Table13192535[[#This Row],[dec val]]="",0,1)</f>
        <v>0</v>
      </c>
      <c r="J312" s="24">
        <v>50000</v>
      </c>
      <c r="M312" s="24">
        <v>50000</v>
      </c>
      <c r="O312" s="56" t="s">
        <v>97</v>
      </c>
      <c r="P312" s="56">
        <f>HEX2DEC(RIGHT(Table1323212737[[#This Row],[h1]],8))</f>
        <v>0</v>
      </c>
      <c r="Q312" s="56" t="s">
        <v>97</v>
      </c>
      <c r="R312" s="56">
        <f>HEX2DEC(RIGHT(Table1323212737[[#This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IF(Table13192535[[#This Row],[dec val]]="",0,1)</f>
        <v>0</v>
      </c>
      <c r="J313" s="24">
        <v>50000</v>
      </c>
      <c r="M313" s="24">
        <v>50000</v>
      </c>
      <c r="O313" s="56" t="s">
        <v>97</v>
      </c>
      <c r="P313" s="56">
        <f>HEX2DEC(RIGHT(Table1323212737[[#This Row],[h1]],8))</f>
        <v>0</v>
      </c>
      <c r="Q313" s="56" t="s">
        <v>97</v>
      </c>
      <c r="R313" s="56">
        <f>HEX2DEC(RIGHT(Table1323212737[[#This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IF(Table13192535[[#This Row],[dec val]]="",0,1)</f>
        <v>0</v>
      </c>
      <c r="J314" s="24">
        <v>50000</v>
      </c>
      <c r="M314" s="24">
        <v>50000</v>
      </c>
      <c r="O314" s="56" t="s">
        <v>97</v>
      </c>
      <c r="P314" s="56">
        <f>HEX2DEC(RIGHT(Table1323212737[[#This Row],[h1]],8))</f>
        <v>0</v>
      </c>
      <c r="Q314" s="56" t="s">
        <v>97</v>
      </c>
      <c r="R314" s="56">
        <f>HEX2DEC(RIGHT(Table1323212737[[#This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6" t="s">
        <v>97</v>
      </c>
      <c r="P315" s="56">
        <f>HEX2DEC(RIGHT(Table1323212737[[#This Row],[h1]],8))</f>
        <v>0</v>
      </c>
      <c r="Q315" s="56" t="s">
        <v>97</v>
      </c>
      <c r="R315" s="56">
        <f>HEX2DEC(RIGHT(Table1323212737[[#This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IF(Table13192535[[#This Row],[dec val]]="",0,1)</f>
        <v>0</v>
      </c>
      <c r="J316" s="24">
        <v>50000</v>
      </c>
      <c r="M316" s="24">
        <v>50000</v>
      </c>
      <c r="O316" s="56" t="s">
        <v>97</v>
      </c>
      <c r="P316" s="56">
        <f>HEX2DEC(RIGHT(Table1323212737[[#This Row],[h1]],8))</f>
        <v>0</v>
      </c>
      <c r="Q316" s="56" t="s">
        <v>97</v>
      </c>
      <c r="R316" s="56">
        <f>HEX2DEC(RIGHT(Table1323212737[[#This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IF(Table13192535[[#This Row],[dec val]]="",0,1)</f>
        <v>0</v>
      </c>
      <c r="J317" s="24">
        <v>50000</v>
      </c>
      <c r="M317" s="24">
        <v>50000</v>
      </c>
      <c r="O317" s="56" t="s">
        <v>97</v>
      </c>
      <c r="P317" s="56">
        <f>HEX2DEC(RIGHT(Table1323212737[[#This Row],[h1]],8))</f>
        <v>0</v>
      </c>
      <c r="Q317" s="56" t="s">
        <v>97</v>
      </c>
      <c r="R317" s="56">
        <f>HEX2DEC(RIGHT(Table1323212737[[#This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IF(Table13192535[[#This Row],[dec val]]="",0,1)</f>
        <v>0</v>
      </c>
      <c r="J318" s="24">
        <v>50000</v>
      </c>
      <c r="M318" s="24">
        <v>50000</v>
      </c>
      <c r="O318" s="56" t="s">
        <v>97</v>
      </c>
      <c r="P318" s="56">
        <f>HEX2DEC(RIGHT(Table1323212737[[#This Row],[h1]],8))</f>
        <v>0</v>
      </c>
      <c r="Q318" s="56" t="s">
        <v>97</v>
      </c>
      <c r="R318" s="56">
        <f>HEX2DEC(RIGHT(Table1323212737[[#This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IF(Table13192535[[#This Row],[dec val]]="",0,1)</f>
        <v>0</v>
      </c>
      <c r="J319" s="24">
        <v>50000</v>
      </c>
      <c r="M319" s="24">
        <v>50000</v>
      </c>
      <c r="O319" s="56" t="s">
        <v>97</v>
      </c>
      <c r="P319" s="56">
        <f>HEX2DEC(RIGHT(Table1323212737[[#This Row],[h1]],8))</f>
        <v>0</v>
      </c>
      <c r="Q319" s="56" t="s">
        <v>97</v>
      </c>
      <c r="R319" s="56">
        <f>HEX2DEC(RIGHT(Table1323212737[[#This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IF(Table13192535[[#This Row],[dec val]]="",0,1)</f>
        <v>0</v>
      </c>
      <c r="J320" s="24">
        <v>50000</v>
      </c>
      <c r="M320" s="24">
        <v>50000</v>
      </c>
      <c r="O320" s="56" t="s">
        <v>97</v>
      </c>
      <c r="P320" s="56">
        <f>HEX2DEC(RIGHT(Table1323212737[[#This Row],[h1]],8))</f>
        <v>0</v>
      </c>
      <c r="Q320" s="56" t="s">
        <v>97</v>
      </c>
      <c r="R320" s="56">
        <f>HEX2DEC(RIGHT(Table1323212737[[#This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IF(Table13192535[[#This Row],[dec val]]="",0,1)</f>
        <v>0</v>
      </c>
      <c r="J321" s="24">
        <v>50000</v>
      </c>
      <c r="M321" s="24">
        <v>50000</v>
      </c>
      <c r="O321" s="56" t="s">
        <v>97</v>
      </c>
      <c r="P321" s="56">
        <f>HEX2DEC(RIGHT(Table1323212737[[#This Row],[h1]],8))</f>
        <v>0</v>
      </c>
      <c r="Q321" s="56" t="s">
        <v>97</v>
      </c>
      <c r="R321" s="56">
        <f>HEX2DEC(RIGHT(Table1323212737[[#This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IF(Table13192535[[#This Row],[dec val]]="",0,1)</f>
        <v>0</v>
      </c>
      <c r="J322" s="24">
        <v>50000</v>
      </c>
      <c r="M322" s="24">
        <v>50000</v>
      </c>
      <c r="O322" s="56" t="s">
        <v>97</v>
      </c>
      <c r="P322" s="56">
        <f>HEX2DEC(RIGHT(Table1323212737[[#This Row],[h1]],8))</f>
        <v>0</v>
      </c>
      <c r="Q322" s="56" t="s">
        <v>97</v>
      </c>
      <c r="R322" s="56">
        <f>HEX2DEC(RIGHT(Table1323212737[[#This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IF(Table13192535[[#This Row],[dec val]]="",0,1)</f>
        <v>0</v>
      </c>
      <c r="J323" s="24">
        <v>50000</v>
      </c>
      <c r="M323" s="24">
        <v>50000</v>
      </c>
      <c r="O323" s="56" t="s">
        <v>97</v>
      </c>
      <c r="P323" s="56">
        <f>HEX2DEC(RIGHT(Table1323212737[[#This Row],[h1]],8))</f>
        <v>0</v>
      </c>
      <c r="Q323" s="56" t="s">
        <v>97</v>
      </c>
      <c r="R323" s="56">
        <f>HEX2DEC(RIGHT(Table1323212737[[#This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IF(Table13192535[[#This Row],[dec val]]="",0,1)</f>
        <v>0</v>
      </c>
      <c r="J324" s="24">
        <v>50000</v>
      </c>
      <c r="M324" s="24">
        <v>50000</v>
      </c>
      <c r="O324" s="56" t="s">
        <v>97</v>
      </c>
      <c r="P324" s="56">
        <f>HEX2DEC(RIGHT(Table1323212737[[#This Row],[h1]],8))</f>
        <v>0</v>
      </c>
      <c r="Q324" s="56" t="s">
        <v>97</v>
      </c>
      <c r="R324" s="56">
        <f>HEX2DEC(RIGHT(Table1323212737[[#This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IF(Table13192535[[#This Row],[dec val]]="",0,1)</f>
        <v>0</v>
      </c>
      <c r="J325" s="24">
        <v>50000</v>
      </c>
      <c r="M325" s="24">
        <v>50000</v>
      </c>
      <c r="O325" s="56" t="s">
        <v>97</v>
      </c>
      <c r="P325" s="56">
        <f>HEX2DEC(RIGHT(Table1323212737[[#This Row],[h1]],8))</f>
        <v>0</v>
      </c>
      <c r="Q325" s="56" t="s">
        <v>97</v>
      </c>
      <c r="R325" s="56">
        <f>HEX2DEC(RIGHT(Table1323212737[[#This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IF(Table13192535[[#This Row],[dec val]]="",0,1)</f>
        <v>0</v>
      </c>
      <c r="J326" s="24">
        <v>50000</v>
      </c>
      <c r="M326" s="24">
        <v>50000</v>
      </c>
      <c r="O326" s="56" t="s">
        <v>97</v>
      </c>
      <c r="P326" s="56">
        <f>HEX2DEC(RIGHT(Table1323212737[[#This Row],[h1]],8))</f>
        <v>0</v>
      </c>
      <c r="Q326" s="56" t="s">
        <v>97</v>
      </c>
      <c r="R326" s="56">
        <f>HEX2DEC(RIGHT(Table1323212737[[#This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IF(Table13192535[[#This Row],[dec val]]="",0,1)</f>
        <v>0</v>
      </c>
      <c r="J327" s="24">
        <v>50000</v>
      </c>
      <c r="M327" s="24">
        <v>50000</v>
      </c>
      <c r="O327" s="56" t="s">
        <v>97</v>
      </c>
      <c r="P327" s="56">
        <f>HEX2DEC(RIGHT(Table1323212737[[#This Row],[h1]],8))</f>
        <v>0</v>
      </c>
      <c r="Q327" s="56" t="s">
        <v>97</v>
      </c>
      <c r="R327" s="56">
        <f>HEX2DEC(RIGHT(Table1323212737[[#This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IF(Table13192535[[#This Row],[dec val]]="",0,1)</f>
        <v>0</v>
      </c>
      <c r="J328" s="24">
        <v>50000</v>
      </c>
      <c r="M328" s="24">
        <v>50000</v>
      </c>
      <c r="O328" s="56" t="s">
        <v>97</v>
      </c>
      <c r="P328" s="56">
        <f>HEX2DEC(RIGHT(Table1323212737[[#This Row],[h1]],8))</f>
        <v>0</v>
      </c>
      <c r="Q328" s="56" t="s">
        <v>97</v>
      </c>
      <c r="R328" s="56">
        <f>HEX2DEC(RIGHT(Table1323212737[[#This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IF(Table13192535[[#This Row],[dec val]]="",0,1)</f>
        <v>0</v>
      </c>
      <c r="J329" s="24">
        <v>50000</v>
      </c>
      <c r="M329" s="24">
        <v>50000</v>
      </c>
      <c r="O329" s="56" t="s">
        <v>97</v>
      </c>
      <c r="P329" s="56">
        <f>HEX2DEC(RIGHT(Table1323212737[[#This Row],[h1]],8))</f>
        <v>0</v>
      </c>
      <c r="Q329" s="56" t="s">
        <v>97</v>
      </c>
      <c r="R329" s="56">
        <f>HEX2DEC(RIGHT(Table1323212737[[#This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IF(Table13192535[[#This Row],[dec val]]="",0,1)</f>
        <v>0</v>
      </c>
      <c r="J330" s="24">
        <v>50000</v>
      </c>
      <c r="M330" s="24">
        <v>50000</v>
      </c>
      <c r="O330" s="56" t="s">
        <v>97</v>
      </c>
      <c r="P330" s="56">
        <f>HEX2DEC(RIGHT(Table1323212737[[#This Row],[h1]],8))</f>
        <v>0</v>
      </c>
      <c r="Q330" s="56" t="s">
        <v>97</v>
      </c>
      <c r="R330" s="56">
        <f>HEX2DEC(RIGHT(Table1323212737[[#This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IF(Table13192535[[#This Row],[dec val]]="",0,1)</f>
        <v>0</v>
      </c>
      <c r="J331" s="24">
        <v>50000</v>
      </c>
      <c r="M331" s="24">
        <v>50000</v>
      </c>
      <c r="O331" s="56" t="s">
        <v>97</v>
      </c>
      <c r="P331" s="56">
        <f>HEX2DEC(RIGHT(Table1323212737[[#This Row],[h1]],8))</f>
        <v>0</v>
      </c>
      <c r="Q331" s="56" t="s">
        <v>97</v>
      </c>
      <c r="R331" s="56">
        <f>HEX2DEC(RIGHT(Table1323212737[[#This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IF(Table13192535[[#This Row],[dec val]]="",0,1)</f>
        <v>0</v>
      </c>
      <c r="J332" s="24">
        <v>50000</v>
      </c>
      <c r="M332" s="24">
        <v>50000</v>
      </c>
      <c r="O332" s="56" t="s">
        <v>97</v>
      </c>
      <c r="P332" s="56">
        <f>HEX2DEC(RIGHT(Table1323212737[[#This Row],[h1]],8))</f>
        <v>0</v>
      </c>
      <c r="Q332" s="56" t="s">
        <v>97</v>
      </c>
      <c r="R332" s="56">
        <f>HEX2DEC(RIGHT(Table1323212737[[#This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IF(Table13192535[[#This Row],[dec val]]="",0,1)</f>
        <v>0</v>
      </c>
      <c r="J333" s="24">
        <v>50000</v>
      </c>
      <c r="M333" s="24">
        <v>50000</v>
      </c>
      <c r="O333" s="56" t="s">
        <v>97</v>
      </c>
      <c r="P333" s="56">
        <f>HEX2DEC(RIGHT(Table1323212737[[#This Row],[h1]],8))</f>
        <v>0</v>
      </c>
      <c r="Q333" s="56" t="s">
        <v>97</v>
      </c>
      <c r="R333" s="56">
        <f>HEX2DEC(RIGHT(Table1323212737[[#This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IF(Table13192535[[#This Row],[dec val]]="",0,1)</f>
        <v>0</v>
      </c>
      <c r="J334" s="24">
        <v>50000</v>
      </c>
      <c r="M334" s="24">
        <v>50000</v>
      </c>
      <c r="O334" s="56" t="s">
        <v>97</v>
      </c>
      <c r="P334" s="56">
        <f>HEX2DEC(RIGHT(Table1323212737[[#This Row],[h1]],8))</f>
        <v>0</v>
      </c>
      <c r="Q334" s="56" t="s">
        <v>97</v>
      </c>
      <c r="R334" s="56">
        <f>HEX2DEC(RIGHT(Table1323212737[[#This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IF(Table13192535[[#This Row],[dec val]]="",0,1)</f>
        <v>0</v>
      </c>
      <c r="J335" s="24">
        <v>50000</v>
      </c>
      <c r="M335" s="24">
        <v>50000</v>
      </c>
      <c r="O335" s="56" t="s">
        <v>97</v>
      </c>
      <c r="P335" s="56">
        <f>HEX2DEC(RIGHT(Table1323212737[[#This Row],[h1]],8))</f>
        <v>0</v>
      </c>
      <c r="Q335" s="56" t="s">
        <v>97</v>
      </c>
      <c r="R335" s="56">
        <f>HEX2DEC(RIGHT(Table1323212737[[#This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IF(Table13192535[[#This Row],[dec val]]="",0,1)</f>
        <v>0</v>
      </c>
      <c r="J336" s="24">
        <v>50000</v>
      </c>
      <c r="M336" s="24">
        <v>50000</v>
      </c>
      <c r="O336" s="56" t="s">
        <v>97</v>
      </c>
      <c r="P336" s="56">
        <f>HEX2DEC(RIGHT(Table1323212737[[#This Row],[h1]],8))</f>
        <v>0</v>
      </c>
      <c r="Q336" s="56" t="s">
        <v>97</v>
      </c>
      <c r="R336" s="56">
        <f>HEX2DEC(RIGHT(Table1323212737[[#This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IF(Table13192535[[#This Row],[dec val]]="",0,1)</f>
        <v>0</v>
      </c>
      <c r="J337" s="24">
        <v>50000</v>
      </c>
      <c r="M337" s="24">
        <v>50000</v>
      </c>
      <c r="O337" s="56" t="s">
        <v>97</v>
      </c>
      <c r="P337" s="56">
        <f>HEX2DEC(RIGHT(Table1323212737[[#This Row],[h1]],8))</f>
        <v>0</v>
      </c>
      <c r="Q337" s="56" t="s">
        <v>97</v>
      </c>
      <c r="R337" s="56">
        <f>HEX2DEC(RIGHT(Table1323212737[[#This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IF(Table13192535[[#This Row],[dec val]]="",0,1)</f>
        <v>0</v>
      </c>
      <c r="J338" s="24">
        <v>50000</v>
      </c>
      <c r="M338" s="24">
        <v>50000</v>
      </c>
      <c r="O338" s="56" t="s">
        <v>97</v>
      </c>
      <c r="P338" s="56">
        <f>HEX2DEC(RIGHT(Table1323212737[[#This Row],[h1]],8))</f>
        <v>0</v>
      </c>
      <c r="Q338" s="56" t="s">
        <v>97</v>
      </c>
      <c r="R338" s="56">
        <f>HEX2DEC(RIGHT(Table1323212737[[#This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IF(Table13192535[[#This Row],[dec val]]="",0,1)</f>
        <v>0</v>
      </c>
      <c r="J339" s="24">
        <v>50000</v>
      </c>
      <c r="M339" s="24">
        <v>50000</v>
      </c>
      <c r="O339" s="56" t="s">
        <v>97</v>
      </c>
      <c r="P339" s="56">
        <f>HEX2DEC(RIGHT(Table1323212737[[#This Row],[h1]],8))</f>
        <v>0</v>
      </c>
      <c r="Q339" s="56" t="s">
        <v>97</v>
      </c>
      <c r="R339" s="56">
        <f>HEX2DEC(RIGHT(Table1323212737[[#This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IF(Table13192535[[#This Row],[dec val]]="",0,1)</f>
        <v>0</v>
      </c>
      <c r="J340" s="24">
        <v>50000</v>
      </c>
      <c r="M340" s="24">
        <v>50000</v>
      </c>
      <c r="O340" s="56" t="s">
        <v>97</v>
      </c>
      <c r="P340" s="56">
        <f>HEX2DEC(RIGHT(Table1323212737[[#This Row],[h1]],8))</f>
        <v>0</v>
      </c>
      <c r="Q340" s="56" t="s">
        <v>97</v>
      </c>
      <c r="R340" s="56">
        <f>HEX2DEC(RIGHT(Table1323212737[[#This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IF(Table13192535[[#This Row],[dec val]]="",0,1)</f>
        <v>0</v>
      </c>
      <c r="J341" s="24">
        <v>50000</v>
      </c>
      <c r="M341" s="24">
        <v>50000</v>
      </c>
      <c r="O341" s="56" t="s">
        <v>97</v>
      </c>
      <c r="P341" s="56">
        <f>HEX2DEC(RIGHT(Table1323212737[[#This Row],[h1]],8))</f>
        <v>0</v>
      </c>
      <c r="Q341" s="56" t="s">
        <v>97</v>
      </c>
      <c r="R341" s="56">
        <f>HEX2DEC(RIGHT(Table1323212737[[#This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IF(Table13192535[[#This Row],[dec val]]="",0,1)</f>
        <v>0</v>
      </c>
      <c r="J342" s="24">
        <v>50000</v>
      </c>
      <c r="M342" s="24">
        <v>50000</v>
      </c>
      <c r="O342" s="56" t="s">
        <v>97</v>
      </c>
      <c r="P342" s="56">
        <f>HEX2DEC(RIGHT(Table1323212737[[#This Row],[h1]],8))</f>
        <v>0</v>
      </c>
      <c r="Q342" s="56" t="s">
        <v>97</v>
      </c>
      <c r="R342" s="56">
        <f>HEX2DEC(RIGHT(Table1323212737[[#This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IF(Table13192535[[#This Row],[dec val]]="",0,1)</f>
        <v>0</v>
      </c>
      <c r="J343" s="24">
        <v>50000</v>
      </c>
      <c r="M343" s="24">
        <v>50000</v>
      </c>
      <c r="O343" s="56" t="s">
        <v>97</v>
      </c>
      <c r="P343" s="56">
        <f>HEX2DEC(RIGHT(Table1323212737[[#This Row],[h1]],8))</f>
        <v>0</v>
      </c>
      <c r="Q343" s="56" t="s">
        <v>97</v>
      </c>
      <c r="R343" s="56">
        <f>HEX2DEC(RIGHT(Table1323212737[[#This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IF(Table13192535[[#This Row],[dec val]]="",0,1)</f>
        <v>0</v>
      </c>
      <c r="J344" s="24">
        <v>50000</v>
      </c>
      <c r="M344" s="24">
        <v>50000</v>
      </c>
      <c r="O344" s="56" t="s">
        <v>97</v>
      </c>
      <c r="P344" s="56">
        <f>HEX2DEC(RIGHT(Table1323212737[[#This Row],[h1]],8))</f>
        <v>0</v>
      </c>
      <c r="Q344" s="56" t="s">
        <v>97</v>
      </c>
      <c r="R344" s="56">
        <f>HEX2DEC(RIGHT(Table1323212737[[#This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IF(Table13192535[[#This Row],[dec val]]="",0,1)</f>
        <v>0</v>
      </c>
      <c r="J345" s="24">
        <v>50000</v>
      </c>
      <c r="M345" s="24">
        <v>50000</v>
      </c>
      <c r="O345" s="56" t="s">
        <v>97</v>
      </c>
      <c r="P345" s="56">
        <f>HEX2DEC(RIGHT(Table1323212737[[#This Row],[h1]],8))</f>
        <v>0</v>
      </c>
      <c r="Q345" s="56" t="s">
        <v>97</v>
      </c>
      <c r="R345" s="56">
        <f>HEX2DEC(RIGHT(Table1323212737[[#This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IF(Table13192535[[#This Row],[dec val]]="",0,1)</f>
        <v>0</v>
      </c>
      <c r="J346" s="24">
        <v>50000</v>
      </c>
      <c r="M346" s="24">
        <v>50000</v>
      </c>
      <c r="O346" s="56" t="s">
        <v>97</v>
      </c>
      <c r="P346" s="56">
        <f>HEX2DEC(RIGHT(Table1323212737[[#This Row],[h1]],8))</f>
        <v>0</v>
      </c>
      <c r="Q346" s="56" t="s">
        <v>97</v>
      </c>
      <c r="R346" s="56">
        <f>HEX2DEC(RIGHT(Table1323212737[[#This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6" t="s">
        <v>97</v>
      </c>
      <c r="P347" s="56">
        <f>HEX2DEC(RIGHT(Table1323212737[[#This Row],[h1]],8))</f>
        <v>0</v>
      </c>
      <c r="Q347" s="56" t="s">
        <v>97</v>
      </c>
      <c r="R347" s="56">
        <f>HEX2DEC(RIGHT(Table1323212737[[#This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IF(Table13192535[[#This Row],[dec val]]="",0,1)</f>
        <v>0</v>
      </c>
      <c r="J348" s="24">
        <v>50000</v>
      </c>
      <c r="M348" s="24">
        <v>50000</v>
      </c>
      <c r="O348" s="56" t="s">
        <v>97</v>
      </c>
      <c r="P348" s="56">
        <f>HEX2DEC(RIGHT(Table1323212737[[#This Row],[h1]],8))</f>
        <v>0</v>
      </c>
      <c r="Q348" s="56" t="s">
        <v>97</v>
      </c>
      <c r="R348" s="56">
        <f>HEX2DEC(RIGHT(Table1323212737[[#This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IF(Table13192535[[#This Row],[dec val]]="",0,1)</f>
        <v>0</v>
      </c>
      <c r="J349" s="24">
        <v>50000</v>
      </c>
      <c r="M349" s="24">
        <v>50000</v>
      </c>
      <c r="O349" s="56" t="s">
        <v>97</v>
      </c>
      <c r="P349" s="56">
        <f>HEX2DEC(RIGHT(Table1323212737[[#This Row],[h1]],8))</f>
        <v>0</v>
      </c>
      <c r="Q349" s="56" t="s">
        <v>97</v>
      </c>
      <c r="R349" s="56">
        <f>HEX2DEC(RIGHT(Table1323212737[[#This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IF(Table13192535[[#This Row],[dec val]]="",0,1)</f>
        <v>0</v>
      </c>
      <c r="J350" s="24">
        <v>50000</v>
      </c>
      <c r="M350" s="24">
        <v>50000</v>
      </c>
      <c r="O350" s="56" t="s">
        <v>97</v>
      </c>
      <c r="P350" s="56">
        <f>HEX2DEC(RIGHT(Table1323212737[[#This Row],[h1]],8))</f>
        <v>0</v>
      </c>
      <c r="Q350" s="56" t="s">
        <v>97</v>
      </c>
      <c r="R350" s="56">
        <f>HEX2DEC(RIGHT(Table1323212737[[#This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IF(Table13192535[[#This Row],[dec val]]="",0,1)</f>
        <v>0</v>
      </c>
      <c r="J351" s="24">
        <v>50000</v>
      </c>
      <c r="M351" s="24">
        <v>50000</v>
      </c>
      <c r="O351" s="56" t="s">
        <v>97</v>
      </c>
      <c r="P351" s="56">
        <f>HEX2DEC(RIGHT(Table1323212737[[#This Row],[h1]],8))</f>
        <v>0</v>
      </c>
      <c r="Q351" s="56" t="s">
        <v>97</v>
      </c>
      <c r="R351" s="56">
        <f>HEX2DEC(RIGHT(Table1323212737[[#This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IF(Table13192535[[#This Row],[dec val]]="",0,1)</f>
        <v>0</v>
      </c>
      <c r="J352" s="24">
        <v>50000</v>
      </c>
      <c r="M352" s="24">
        <v>50000</v>
      </c>
      <c r="O352" s="56" t="s">
        <v>97</v>
      </c>
      <c r="P352" s="56">
        <f>HEX2DEC(RIGHT(Table1323212737[[#This Row],[h1]],8))</f>
        <v>0</v>
      </c>
      <c r="Q352" s="56" t="s">
        <v>97</v>
      </c>
      <c r="R352" s="56">
        <f>HEX2DEC(RIGHT(Table1323212737[[#This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IF(Table13192535[[#This Row],[dec val]]="",0,1)</f>
        <v>0</v>
      </c>
      <c r="J353" s="24">
        <v>50000</v>
      </c>
      <c r="M353" s="24">
        <v>50000</v>
      </c>
      <c r="O353" s="56" t="s">
        <v>97</v>
      </c>
      <c r="P353" s="56">
        <f>HEX2DEC(RIGHT(Table1323212737[[#This Row],[h1]],8))</f>
        <v>0</v>
      </c>
      <c r="Q353" s="56" t="s">
        <v>97</v>
      </c>
      <c r="R353" s="56">
        <f>HEX2DEC(RIGHT(Table1323212737[[#This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IF(Table13192535[[#This Row],[dec val]]="",0,1)</f>
        <v>0</v>
      </c>
      <c r="J354" s="24">
        <v>50000</v>
      </c>
      <c r="M354" s="24">
        <v>50000</v>
      </c>
      <c r="O354" s="56" t="s">
        <v>97</v>
      </c>
      <c r="P354" s="56">
        <f>HEX2DEC(RIGHT(Table1323212737[[#This Row],[h1]],8))</f>
        <v>0</v>
      </c>
      <c r="Q354" s="56" t="s">
        <v>97</v>
      </c>
      <c r="R354" s="56">
        <f>HEX2DEC(RIGHT(Table1323212737[[#This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IF(Table13192535[[#This Row],[dec val]]="",0,1)</f>
        <v>0</v>
      </c>
      <c r="J355" s="24">
        <v>50000</v>
      </c>
      <c r="M355" s="24">
        <v>50000</v>
      </c>
      <c r="O355" s="56" t="s">
        <v>97</v>
      </c>
      <c r="P355" s="56">
        <f>HEX2DEC(RIGHT(Table1323212737[[#This Row],[h1]],8))</f>
        <v>0</v>
      </c>
      <c r="Q355" s="56" t="s">
        <v>97</v>
      </c>
      <c r="R355" s="56">
        <f>HEX2DEC(RIGHT(Table1323212737[[#This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IF(Table13192535[[#This Row],[dec val]]="",0,1)</f>
        <v>0</v>
      </c>
      <c r="J356" s="24">
        <v>50000</v>
      </c>
      <c r="M356" s="24">
        <v>50000</v>
      </c>
      <c r="O356" s="56" t="s">
        <v>97</v>
      </c>
      <c r="P356" s="56">
        <f>HEX2DEC(RIGHT(Table1323212737[[#This Row],[h1]],8))</f>
        <v>0</v>
      </c>
      <c r="Q356" s="56" t="s">
        <v>97</v>
      </c>
      <c r="R356" s="56">
        <f>HEX2DEC(RIGHT(Table1323212737[[#This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IF(Table13192535[[#This Row],[dec val]]="",0,1)</f>
        <v>0</v>
      </c>
      <c r="J357" s="24">
        <v>50000</v>
      </c>
      <c r="M357" s="24">
        <v>50000</v>
      </c>
      <c r="O357" s="56" t="s">
        <v>97</v>
      </c>
      <c r="P357" s="56">
        <f>HEX2DEC(RIGHT(Table1323212737[[#This Row],[h1]],8))</f>
        <v>0</v>
      </c>
      <c r="Q357" s="56" t="s">
        <v>97</v>
      </c>
      <c r="R357" s="56">
        <f>HEX2DEC(RIGHT(Table1323212737[[#This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IF(Table13192535[[#This Row],[dec val]]="",0,1)</f>
        <v>0</v>
      </c>
      <c r="J358" s="24">
        <v>50000</v>
      </c>
      <c r="M358" s="24">
        <v>50000</v>
      </c>
      <c r="O358" s="56" t="s">
        <v>97</v>
      </c>
      <c r="P358" s="56">
        <f>HEX2DEC(RIGHT(Table1323212737[[#This Row],[h1]],8))</f>
        <v>0</v>
      </c>
      <c r="Q358" s="56" t="s">
        <v>97</v>
      </c>
      <c r="R358" s="56">
        <f>HEX2DEC(RIGHT(Table1323212737[[#This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IF(Table13192535[[#This Row],[dec val]]="",0,1)</f>
        <v>0</v>
      </c>
      <c r="J359" s="24">
        <v>50000</v>
      </c>
      <c r="M359" s="24">
        <v>50000</v>
      </c>
      <c r="O359" s="56" t="s">
        <v>97</v>
      </c>
      <c r="P359" s="56">
        <f>HEX2DEC(RIGHT(Table1323212737[[#This Row],[h1]],8))</f>
        <v>0</v>
      </c>
      <c r="Q359" s="56" t="s">
        <v>97</v>
      </c>
      <c r="R359" s="56">
        <f>HEX2DEC(RIGHT(Table1323212737[[#This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IF(Table13192535[[#This Row],[dec val]]="",0,1)</f>
        <v>0</v>
      </c>
      <c r="J360" s="24">
        <v>50000</v>
      </c>
      <c r="M360" s="24">
        <v>50000</v>
      </c>
      <c r="O360" s="56" t="s">
        <v>97</v>
      </c>
      <c r="P360" s="56">
        <f>HEX2DEC(RIGHT(Table1323212737[[#This Row],[h1]],8))</f>
        <v>0</v>
      </c>
      <c r="Q360" s="56" t="s">
        <v>97</v>
      </c>
      <c r="R360" s="56">
        <f>HEX2DEC(RIGHT(Table1323212737[[#This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IF(Table13192535[[#This Row],[dec val]]="",0,1)</f>
        <v>0</v>
      </c>
      <c r="J361" s="24">
        <v>50000</v>
      </c>
      <c r="M361" s="24">
        <v>50000</v>
      </c>
      <c r="O361" s="56" t="s">
        <v>97</v>
      </c>
      <c r="P361" s="56">
        <f>HEX2DEC(RIGHT(Table1323212737[[#This Row],[h1]],8))</f>
        <v>0</v>
      </c>
      <c r="Q361" s="56" t="s">
        <v>97</v>
      </c>
      <c r="R361" s="56">
        <f>HEX2DEC(RIGHT(Table1323212737[[#This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IF(Table13192535[[#This Row],[dec val]]="",0,1)</f>
        <v>0</v>
      </c>
      <c r="J362" s="24">
        <v>50000</v>
      </c>
      <c r="M362" s="24">
        <v>50000</v>
      </c>
      <c r="O362" s="56" t="s">
        <v>97</v>
      </c>
      <c r="P362" s="56">
        <f>HEX2DEC(RIGHT(Table1323212737[[#This Row],[h1]],8))</f>
        <v>0</v>
      </c>
      <c r="Q362" s="56" t="s">
        <v>97</v>
      </c>
      <c r="R362" s="56">
        <f>HEX2DEC(RIGHT(Table1323212737[[#This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IF(Table13192535[[#This Row],[dec val]]="",0,1)</f>
        <v>0</v>
      </c>
      <c r="J363" s="24">
        <v>50000</v>
      </c>
      <c r="M363" s="24">
        <v>50000</v>
      </c>
      <c r="O363" s="56" t="s">
        <v>97</v>
      </c>
      <c r="P363" s="56">
        <f>HEX2DEC(RIGHT(Table1323212737[[#This Row],[h1]],8))</f>
        <v>0</v>
      </c>
      <c r="Q363" s="56" t="s">
        <v>97</v>
      </c>
      <c r="R363" s="56">
        <f>HEX2DEC(RIGHT(Table1323212737[[#This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IF(Table13192535[[#This Row],[dec val]]="",0,1)</f>
        <v>0</v>
      </c>
      <c r="J364" s="24">
        <v>50000</v>
      </c>
      <c r="M364" s="24">
        <v>50000</v>
      </c>
      <c r="O364" s="56" t="s">
        <v>97</v>
      </c>
      <c r="P364" s="56">
        <f>HEX2DEC(RIGHT(Table1323212737[[#This Row],[h1]],8))</f>
        <v>0</v>
      </c>
      <c r="Q364" s="56" t="s">
        <v>97</v>
      </c>
      <c r="R364" s="56">
        <f>HEX2DEC(RIGHT(Table1323212737[[#This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IF(Table13192535[[#This Row],[dec val]]="",0,1)</f>
        <v>0</v>
      </c>
      <c r="J365" s="24">
        <v>50000</v>
      </c>
      <c r="M365" s="24">
        <v>50000</v>
      </c>
      <c r="O365" s="56" t="s">
        <v>97</v>
      </c>
      <c r="P365" s="56">
        <f>HEX2DEC(RIGHT(Table1323212737[[#This Row],[h1]],8))</f>
        <v>0</v>
      </c>
      <c r="Q365" s="56" t="s">
        <v>97</v>
      </c>
      <c r="R365" s="56">
        <f>HEX2DEC(RIGHT(Table1323212737[[#This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IF(Table13192535[[#This Row],[dec val]]="",0,1)</f>
        <v>0</v>
      </c>
      <c r="J366" s="24">
        <v>50000</v>
      </c>
      <c r="M366" s="24">
        <v>50000</v>
      </c>
      <c r="O366" s="56" t="s">
        <v>97</v>
      </c>
      <c r="P366" s="56">
        <f>HEX2DEC(RIGHT(Table1323212737[[#This Row],[h1]],8))</f>
        <v>0</v>
      </c>
      <c r="Q366" s="56" t="s">
        <v>97</v>
      </c>
      <c r="R366" s="56">
        <f>HEX2DEC(RIGHT(Table1323212737[[#This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IF(Table13192535[[#This Row],[dec val]]="",0,1)</f>
        <v>0</v>
      </c>
      <c r="J367" s="24">
        <v>50000</v>
      </c>
      <c r="M367" s="24">
        <v>50000</v>
      </c>
      <c r="O367" s="56" t="s">
        <v>97</v>
      </c>
      <c r="P367" s="56">
        <f>HEX2DEC(RIGHT(Table1323212737[[#This Row],[h1]],8))</f>
        <v>0</v>
      </c>
      <c r="Q367" s="56" t="s">
        <v>97</v>
      </c>
      <c r="R367" s="56">
        <f>HEX2DEC(RIGHT(Table1323212737[[#This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IF(Table13192535[[#This Row],[dec val]]="",0,1)</f>
        <v>0</v>
      </c>
      <c r="J368" s="24">
        <v>50000</v>
      </c>
      <c r="M368" s="24">
        <v>50000</v>
      </c>
      <c r="O368" s="56" t="s">
        <v>97</v>
      </c>
      <c r="P368" s="56">
        <f>HEX2DEC(RIGHT(Table1323212737[[#This Row],[h1]],8))</f>
        <v>0</v>
      </c>
      <c r="Q368" s="56" t="s">
        <v>97</v>
      </c>
      <c r="R368" s="56">
        <f>HEX2DEC(RIGHT(Table1323212737[[#This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IF(Table13192535[[#This Row],[dec val]]="",0,1)</f>
        <v>0</v>
      </c>
      <c r="J369" s="24">
        <v>50000</v>
      </c>
      <c r="M369" s="24">
        <v>50000</v>
      </c>
      <c r="O369" s="56" t="s">
        <v>97</v>
      </c>
      <c r="P369" s="56">
        <f>HEX2DEC(RIGHT(Table1323212737[[#This Row],[h1]],8))</f>
        <v>0</v>
      </c>
      <c r="Q369" s="56" t="s">
        <v>97</v>
      </c>
      <c r="R369" s="56">
        <f>HEX2DEC(RIGHT(Table1323212737[[#This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IF(Table13192535[[#This Row],[dec val]]="",0,1)</f>
        <v>0</v>
      </c>
      <c r="J370" s="24">
        <v>50000</v>
      </c>
      <c r="M370" s="24">
        <v>50000</v>
      </c>
      <c r="O370" s="56" t="s">
        <v>97</v>
      </c>
      <c r="P370" s="56">
        <f>HEX2DEC(RIGHT(Table1323212737[[#This Row],[h1]],8))</f>
        <v>0</v>
      </c>
      <c r="Q370" s="56" t="s">
        <v>97</v>
      </c>
      <c r="R370" s="56">
        <f>HEX2DEC(RIGHT(Table1323212737[[#This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IF(Table13192535[[#This Row],[dec val]]="",0,1)</f>
        <v>0</v>
      </c>
      <c r="J371" s="24">
        <v>50000</v>
      </c>
      <c r="M371" s="24">
        <v>50000</v>
      </c>
      <c r="O371" s="56" t="s">
        <v>97</v>
      </c>
      <c r="P371" s="56">
        <f>HEX2DEC(RIGHT(Table1323212737[[#This Row],[h1]],8))</f>
        <v>0</v>
      </c>
      <c r="Q371" s="56" t="s">
        <v>97</v>
      </c>
      <c r="R371" s="56">
        <f>HEX2DEC(RIGHT(Table1323212737[[#This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IF(Table13192535[[#This Row],[dec val]]="",0,1)</f>
        <v>0</v>
      </c>
      <c r="J372" s="24">
        <v>50000</v>
      </c>
      <c r="M372" s="24">
        <v>50000</v>
      </c>
      <c r="O372" s="56" t="s">
        <v>97</v>
      </c>
      <c r="P372" s="56">
        <f>HEX2DEC(RIGHT(Table1323212737[[#This Row],[h1]],8))</f>
        <v>0</v>
      </c>
      <c r="Q372" s="56" t="s">
        <v>97</v>
      </c>
      <c r="R372" s="56">
        <f>HEX2DEC(RIGHT(Table1323212737[[#This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IF(Table13192535[[#This Row],[dec val]]="",0,1)</f>
        <v>0</v>
      </c>
      <c r="J373" s="24">
        <v>50000</v>
      </c>
      <c r="M373" s="24">
        <v>50000</v>
      </c>
      <c r="O373" s="56" t="s">
        <v>97</v>
      </c>
      <c r="P373" s="56">
        <f>HEX2DEC(RIGHT(Table1323212737[[#This Row],[h1]],8))</f>
        <v>0</v>
      </c>
      <c r="Q373" s="56" t="s">
        <v>97</v>
      </c>
      <c r="R373" s="56">
        <f>HEX2DEC(RIGHT(Table1323212737[[#This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IF(Table13192535[[#This Row],[dec val]]="",0,1)</f>
        <v>0</v>
      </c>
      <c r="J374" s="24">
        <v>50000</v>
      </c>
      <c r="M374" s="24">
        <v>50000</v>
      </c>
      <c r="O374" s="56" t="s">
        <v>97</v>
      </c>
      <c r="P374" s="56">
        <f>HEX2DEC(RIGHT(Table1323212737[[#This Row],[h1]],8))</f>
        <v>0</v>
      </c>
      <c r="Q374" s="56" t="s">
        <v>97</v>
      </c>
      <c r="R374" s="56">
        <f>HEX2DEC(RIGHT(Table1323212737[[#This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IF(Table13192535[[#This Row],[dec val]]="",0,1)</f>
        <v>0</v>
      </c>
      <c r="J375" s="24">
        <v>50000</v>
      </c>
      <c r="M375" s="24">
        <v>50000</v>
      </c>
      <c r="O375" s="56" t="s">
        <v>97</v>
      </c>
      <c r="P375" s="56">
        <f>HEX2DEC(RIGHT(Table1323212737[[#This Row],[h1]],8))</f>
        <v>0</v>
      </c>
      <c r="Q375" s="56" t="s">
        <v>97</v>
      </c>
      <c r="R375" s="56">
        <f>HEX2DEC(RIGHT(Table1323212737[[#This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IF(Table13192535[[#This Row],[dec val]]="",0,1)</f>
        <v>0</v>
      </c>
      <c r="J376" s="24">
        <v>50000</v>
      </c>
      <c r="M376" s="24">
        <v>50000</v>
      </c>
      <c r="O376" s="56" t="s">
        <v>97</v>
      </c>
      <c r="P376" s="56">
        <f>HEX2DEC(RIGHT(Table1323212737[[#This Row],[h1]],8))</f>
        <v>0</v>
      </c>
      <c r="Q376" s="56" t="s">
        <v>97</v>
      </c>
      <c r="R376" s="56">
        <f>HEX2DEC(RIGHT(Table1323212737[[#This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IF(Table13192535[[#This Row],[dec val]]="",0,1)</f>
        <v>0</v>
      </c>
      <c r="J377" s="24">
        <v>50000</v>
      </c>
      <c r="M377" s="24">
        <v>50000</v>
      </c>
      <c r="O377" s="56" t="s">
        <v>97</v>
      </c>
      <c r="P377" s="56">
        <f>HEX2DEC(RIGHT(Table1323212737[[#This Row],[h1]],8))</f>
        <v>0</v>
      </c>
      <c r="Q377" s="56" t="s">
        <v>97</v>
      </c>
      <c r="R377" s="56">
        <f>HEX2DEC(RIGHT(Table1323212737[[#This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IF(Table13192535[[#This Row],[dec val]]="",0,1)</f>
        <v>0</v>
      </c>
      <c r="J378" s="24">
        <v>50000</v>
      </c>
      <c r="M378" s="24">
        <v>50000</v>
      </c>
      <c r="O378" s="56" t="s">
        <v>97</v>
      </c>
      <c r="P378" s="56">
        <f>HEX2DEC(RIGHT(Table1323212737[[#This Row],[h1]],8))</f>
        <v>0</v>
      </c>
      <c r="Q378" s="56" t="s">
        <v>97</v>
      </c>
      <c r="R378" s="56">
        <f>HEX2DEC(RIGHT(Table1323212737[[#This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6" t="s">
        <v>97</v>
      </c>
      <c r="P379" s="56">
        <f>HEX2DEC(RIGHT(Table1323212737[[#This Row],[h1]],8))</f>
        <v>0</v>
      </c>
      <c r="Q379" s="56" t="s">
        <v>97</v>
      </c>
      <c r="R379" s="56">
        <f>HEX2DEC(RIGHT(Table1323212737[[#This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6" t="s">
        <v>97</v>
      </c>
      <c r="P380" s="56">
        <f>HEX2DEC(RIGHT(Table1323212737[[#This Row],[h1]],8))</f>
        <v>0</v>
      </c>
      <c r="Q380" s="56" t="s">
        <v>97</v>
      </c>
      <c r="R380" s="56">
        <f>HEX2DEC(RIGHT(Table1323212737[[#This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6" t="s">
        <v>97</v>
      </c>
      <c r="P381" s="56">
        <f>HEX2DEC(RIGHT(Table1323212737[[#This Row],[h1]],8))</f>
        <v>0</v>
      </c>
      <c r="Q381" s="56" t="s">
        <v>97</v>
      </c>
      <c r="R381" s="56">
        <f>HEX2DEC(RIGHT(Table1323212737[[#This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6" t="s">
        <v>97</v>
      </c>
      <c r="P382" s="56">
        <f>HEX2DEC(RIGHT(Table1323212737[[#This Row],[h1]],8))</f>
        <v>0</v>
      </c>
      <c r="Q382" s="56" t="s">
        <v>97</v>
      </c>
      <c r="R382" s="56">
        <f>HEX2DEC(RIGHT(Table1323212737[[#This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6" t="s">
        <v>97</v>
      </c>
      <c r="P383" s="56">
        <f>HEX2DEC(RIGHT(Table1323212737[[#This Row],[h1]],8))</f>
        <v>0</v>
      </c>
      <c r="Q383" s="56" t="s">
        <v>97</v>
      </c>
      <c r="R383" s="56">
        <f>HEX2DEC(RIGHT(Table1323212737[[#This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6" t="s">
        <v>97</v>
      </c>
      <c r="P384" s="56">
        <f>HEX2DEC(RIGHT(Table1323212737[[#This Row],[h1]],8))</f>
        <v>0</v>
      </c>
      <c r="Q384" s="56" t="s">
        <v>97</v>
      </c>
      <c r="R384" s="56">
        <f>HEX2DEC(RIGHT(Table1323212737[[#This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6" t="s">
        <v>97</v>
      </c>
      <c r="P385" s="56">
        <f>HEX2DEC(RIGHT(Table1323212737[[#This Row],[h1]],8))</f>
        <v>0</v>
      </c>
      <c r="Q385" s="56" t="s">
        <v>97</v>
      </c>
      <c r="R385" s="56">
        <f>HEX2DEC(RIGHT(Table1323212737[[#This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6" t="s">
        <v>97</v>
      </c>
      <c r="P386" s="56">
        <f>HEX2DEC(RIGHT(Table1323212737[[#This Row],[h1]],8))</f>
        <v>0</v>
      </c>
      <c r="Q386" s="56" t="s">
        <v>97</v>
      </c>
      <c r="R386" s="56">
        <f>HEX2DEC(RIGHT(Table1323212737[[#This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6" t="s">
        <v>97</v>
      </c>
      <c r="P387" s="56">
        <f>HEX2DEC(RIGHT(Table1323212737[[#This Row],[h1]],8))</f>
        <v>0</v>
      </c>
      <c r="Q387" s="56" t="s">
        <v>97</v>
      </c>
      <c r="R387" s="56">
        <f>HEX2DEC(RIGHT(Table1323212737[[#This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154</v>
      </c>
      <c r="J388" s="24">
        <v>50000</v>
      </c>
      <c r="M388" s="24">
        <v>50000</v>
      </c>
      <c r="O388" s="56" t="s">
        <v>97</v>
      </c>
      <c r="P388" s="56">
        <f>HEX2DEC(RIGHT(Table1323212737[[#This Row],[h1]],8))</f>
        <v>0</v>
      </c>
      <c r="Q388" s="56" t="s">
        <v>97</v>
      </c>
      <c r="R388" s="56">
        <f>HEX2DEC(RIGHT(Table1323212737[[#This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155</v>
      </c>
      <c r="J389" s="24">
        <v>50000</v>
      </c>
      <c r="M389" s="24">
        <v>50000</v>
      </c>
      <c r="O389" s="56" t="s">
        <v>97</v>
      </c>
      <c r="P389" s="56">
        <f>HEX2DEC(RIGHT(Table1323212737[[#This Row],[h1]],8))</f>
        <v>0</v>
      </c>
      <c r="Q389" s="56" t="s">
        <v>97</v>
      </c>
      <c r="R389" s="56">
        <f>HEX2DEC(RIGHT(Table1323212737[[#This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155</v>
      </c>
      <c r="J390" s="24">
        <v>50000</v>
      </c>
      <c r="M390" s="24">
        <v>50000</v>
      </c>
      <c r="O390" s="56" t="s">
        <v>97</v>
      </c>
      <c r="P390" s="56">
        <f>HEX2DEC(RIGHT(Table1323212737[[#This Row],[h1]],8))</f>
        <v>0</v>
      </c>
      <c r="Q390" s="56" t="s">
        <v>97</v>
      </c>
      <c r="R390" s="56">
        <f>HEX2DEC(RIGHT(Table1323212737[[#This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155</v>
      </c>
      <c r="J391" s="24">
        <v>50000</v>
      </c>
      <c r="M391" s="24">
        <v>50000</v>
      </c>
      <c r="O391" s="56" t="s">
        <v>97</v>
      </c>
      <c r="P391" s="56">
        <f>HEX2DEC(RIGHT(Table1323212737[[#This Row],[h1]],8))</f>
        <v>0</v>
      </c>
      <c r="Q391" s="56" t="s">
        <v>97</v>
      </c>
      <c r="R391" s="56">
        <f>HEX2DEC(RIGHT(Table1323212737[[#This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155</v>
      </c>
      <c r="J392" s="24">
        <v>50000</v>
      </c>
      <c r="M392" s="24">
        <v>50000</v>
      </c>
      <c r="O392" s="56" t="s">
        <v>97</v>
      </c>
      <c r="P392" s="56">
        <f>HEX2DEC(RIGHT(Table1323212737[[#This Row],[h1]],8))</f>
        <v>0</v>
      </c>
      <c r="Q392" s="56" t="s">
        <v>97</v>
      </c>
      <c r="R392" s="56">
        <f>HEX2DEC(RIGHT(Table1323212737[[#This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155</v>
      </c>
      <c r="J393" s="24">
        <v>50000</v>
      </c>
      <c r="M393" s="24">
        <v>50000</v>
      </c>
      <c r="O393" s="56" t="s">
        <v>97</v>
      </c>
      <c r="P393" s="56">
        <f>HEX2DEC(RIGHT(Table1323212737[[#This Row],[h1]],8))</f>
        <v>0</v>
      </c>
      <c r="Q393" s="56" t="s">
        <v>97</v>
      </c>
      <c r="R393" s="56">
        <f>HEX2DEC(RIGHT(Table1323212737[[#This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155</v>
      </c>
      <c r="J394" s="24">
        <v>50000</v>
      </c>
      <c r="M394" s="24">
        <v>50000</v>
      </c>
      <c r="O394" s="56" t="s">
        <v>97</v>
      </c>
      <c r="P394" s="56">
        <f>HEX2DEC(RIGHT(Table1323212737[[#This Row],[h1]],8))</f>
        <v>0</v>
      </c>
      <c r="Q394" s="56" t="s">
        <v>97</v>
      </c>
      <c r="R394" s="56">
        <f>HEX2DEC(RIGHT(Table1323212737[[#This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6" t="s">
        <v>97</v>
      </c>
      <c r="P395" s="56">
        <f>HEX2DEC(RIGHT(Table1323212737[[#This Row],[h1]],8))</f>
        <v>0</v>
      </c>
      <c r="Q395" s="56" t="s">
        <v>97</v>
      </c>
      <c r="R395" s="56">
        <f>HEX2DEC(RIGHT(Table1323212737[[#This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6" t="s">
        <v>97</v>
      </c>
      <c r="P396" s="56">
        <f>HEX2DEC(RIGHT(Table1323212737[[#This Row],[h1]],8))</f>
        <v>0</v>
      </c>
      <c r="Q396" s="56" t="s">
        <v>97</v>
      </c>
      <c r="R396" s="56">
        <f>HEX2DEC(RIGHT(Table1323212737[[#This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6" t="s">
        <v>97</v>
      </c>
      <c r="P397" s="56">
        <f>HEX2DEC(RIGHT(Table1323212737[[#This Row],[h1]],8))</f>
        <v>0</v>
      </c>
      <c r="Q397" s="56" t="s">
        <v>97</v>
      </c>
      <c r="R397" s="56">
        <f>HEX2DEC(RIGHT(Table1323212737[[#This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6" t="s">
        <v>97</v>
      </c>
      <c r="P398" s="56">
        <f>HEX2DEC(RIGHT(Table1323212737[[#This Row],[h1]],8))</f>
        <v>0</v>
      </c>
      <c r="Q398" s="56" t="s">
        <v>97</v>
      </c>
      <c r="R398" s="56">
        <f>HEX2DEC(RIGHT(Table1323212737[[#This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6" t="s">
        <v>97</v>
      </c>
      <c r="P399" s="56">
        <f>HEX2DEC(RIGHT(Table1323212737[[#This Row],[h1]],8))</f>
        <v>0</v>
      </c>
      <c r="Q399" s="56" t="s">
        <v>97</v>
      </c>
      <c r="R399" s="56">
        <f>HEX2DEC(RIGHT(Table1323212737[[#This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6" t="s">
        <v>97</v>
      </c>
      <c r="P400" s="56">
        <f>HEX2DEC(RIGHT(Table1323212737[[#This Row],[h1]],8))</f>
        <v>0</v>
      </c>
      <c r="Q400" s="56" t="s">
        <v>97</v>
      </c>
      <c r="R400" s="56">
        <f>HEX2DEC(RIGHT(Table1323212737[[#This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6" t="s">
        <v>97</v>
      </c>
      <c r="P401" s="56">
        <f>HEX2DEC(RIGHT(Table1323212737[[#This Row],[h1]],8))</f>
        <v>0</v>
      </c>
      <c r="Q401" s="56" t="s">
        <v>97</v>
      </c>
      <c r="R401" s="56">
        <f>HEX2DEC(RIGHT(Table1323212737[[#This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6" t="s">
        <v>97</v>
      </c>
      <c r="P402" s="56">
        <f>HEX2DEC(RIGHT(Table1323212737[[#This Row],[h1]],8))</f>
        <v>0</v>
      </c>
      <c r="Q402" s="56" t="s">
        <v>97</v>
      </c>
      <c r="R402" s="56">
        <f>HEX2DEC(RIGHT(Table1323212737[[#This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6" t="s">
        <v>97</v>
      </c>
      <c r="P403" s="56">
        <f>HEX2DEC(RIGHT(Table1323212737[[#This Row],[h1]],8))</f>
        <v>0</v>
      </c>
      <c r="Q403" s="56" t="s">
        <v>97</v>
      </c>
      <c r="R403" s="56">
        <f>HEX2DEC(RIGHT(Table1323212737[[#This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6" t="s">
        <v>97</v>
      </c>
      <c r="P404" s="56">
        <f>HEX2DEC(RIGHT(Table1323212737[[#This Row],[h1]],8))</f>
        <v>0</v>
      </c>
      <c r="Q404" s="56" t="s">
        <v>97</v>
      </c>
      <c r="R404" s="56">
        <f>HEX2DEC(RIGHT(Table1323212737[[#This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6" t="s">
        <v>97</v>
      </c>
      <c r="P405" s="56">
        <f>HEX2DEC(RIGHT(Table1323212737[[#This Row],[h1]],8))</f>
        <v>0</v>
      </c>
      <c r="Q405" s="56" t="s">
        <v>97</v>
      </c>
      <c r="R405" s="56">
        <f>HEX2DEC(RIGHT(Table1323212737[[#This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6" t="s">
        <v>97</v>
      </c>
      <c r="P406" s="56">
        <f>HEX2DEC(RIGHT(Table1323212737[[#This Row],[h1]],8))</f>
        <v>0</v>
      </c>
      <c r="Q406" s="56" t="s">
        <v>97</v>
      </c>
      <c r="R406" s="56">
        <f>HEX2DEC(RIGHT(Table1323212737[[#This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6" t="s">
        <v>97</v>
      </c>
      <c r="P407" s="56">
        <f>HEX2DEC(RIGHT(Table1323212737[[#This Row],[h1]],8))</f>
        <v>0</v>
      </c>
      <c r="Q407" s="56" t="s">
        <v>97</v>
      </c>
      <c r="R407" s="56">
        <f>HEX2DEC(RIGHT(Table1323212737[[#This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6" t="s">
        <v>97</v>
      </c>
      <c r="P408" s="56">
        <f>HEX2DEC(RIGHT(Table1323212737[[#This Row],[h1]],8))</f>
        <v>0</v>
      </c>
      <c r="Q408" s="56" t="s">
        <v>97</v>
      </c>
      <c r="R408" s="56">
        <f>HEX2DEC(RIGHT(Table1323212737[[#This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6" t="s">
        <v>97</v>
      </c>
      <c r="P409" s="56">
        <f>HEX2DEC(RIGHT(Table1323212737[[#This Row],[h1]],8))</f>
        <v>0</v>
      </c>
      <c r="Q409" s="56" t="s">
        <v>97</v>
      </c>
      <c r="R409" s="56">
        <f>HEX2DEC(RIGHT(Table1323212737[[#This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6" t="s">
        <v>97</v>
      </c>
      <c r="P410" s="56">
        <f>HEX2DEC(RIGHT(Table1323212737[[#This Row],[h1]],8))</f>
        <v>0</v>
      </c>
      <c r="Q410" s="56" t="s">
        <v>97</v>
      </c>
      <c r="R410" s="56">
        <f>HEX2DEC(RIGHT(Table1323212737[[#This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6" t="s">
        <v>97</v>
      </c>
      <c r="P411" s="56">
        <f>HEX2DEC(RIGHT(Table1323212737[[#This Row],[h1]],8))</f>
        <v>0</v>
      </c>
      <c r="Q411" s="56" t="s">
        <v>97</v>
      </c>
      <c r="R411" s="56">
        <f>HEX2DEC(RIGHT(Table1323212737[[#This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6" t="s">
        <v>97</v>
      </c>
      <c r="P412" s="56">
        <f>HEX2DEC(RIGHT(Table1323212737[[#This Row],[h1]],8))</f>
        <v>0</v>
      </c>
      <c r="Q412" s="56" t="s">
        <v>97</v>
      </c>
      <c r="R412" s="56">
        <f>HEX2DEC(RIGHT(Table1323212737[[#This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6" t="s">
        <v>97</v>
      </c>
      <c r="P413" s="56">
        <f>HEX2DEC(RIGHT(Table1323212737[[#This Row],[h1]],8))</f>
        <v>0</v>
      </c>
      <c r="Q413" s="56" t="s">
        <v>97</v>
      </c>
      <c r="R413" s="56">
        <f>HEX2DEC(RIGHT(Table1323212737[[#This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6" t="s">
        <v>97</v>
      </c>
      <c r="P414" s="56">
        <f>HEX2DEC(RIGHT(Table1323212737[[#This Row],[h1]],8))</f>
        <v>0</v>
      </c>
      <c r="Q414" s="56" t="s">
        <v>97</v>
      </c>
      <c r="R414" s="56">
        <f>HEX2DEC(RIGHT(Table1323212737[[#This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6" t="s">
        <v>97</v>
      </c>
      <c r="P415" s="56">
        <f>HEX2DEC(RIGHT(Table1323212737[[#This Row],[h1]],8))</f>
        <v>0</v>
      </c>
      <c r="Q415" s="56" t="s">
        <v>97</v>
      </c>
      <c r="R415" s="56">
        <f>HEX2DEC(RIGHT(Table1323212737[[#This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6" t="s">
        <v>97</v>
      </c>
      <c r="P416" s="56">
        <f>HEX2DEC(RIGHT(Table1323212737[[#This Row],[h1]],8))</f>
        <v>0</v>
      </c>
      <c r="Q416" s="56" t="s">
        <v>97</v>
      </c>
      <c r="R416" s="56">
        <f>HEX2DEC(RIGHT(Table1323212737[[#This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6" t="s">
        <v>97</v>
      </c>
      <c r="P417" s="56">
        <f>HEX2DEC(RIGHT(Table1323212737[[#This Row],[h1]],8))</f>
        <v>0</v>
      </c>
      <c r="Q417" s="56" t="s">
        <v>97</v>
      </c>
      <c r="R417" s="56">
        <f>HEX2DEC(RIGHT(Table1323212737[[#This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6" t="s">
        <v>97</v>
      </c>
      <c r="P418" s="56">
        <f>HEX2DEC(RIGHT(Table1323212737[[#This Row],[h1]],8))</f>
        <v>0</v>
      </c>
      <c r="Q418" s="56" t="s">
        <v>97</v>
      </c>
      <c r="R418" s="56">
        <f>HEX2DEC(RIGHT(Table1323212737[[#This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6" t="s">
        <v>97</v>
      </c>
      <c r="P419" s="56">
        <f>HEX2DEC(RIGHT(Table1323212737[[#This Row],[h1]],8))</f>
        <v>0</v>
      </c>
      <c r="Q419" s="56" t="s">
        <v>97</v>
      </c>
      <c r="R419" s="56">
        <f>HEX2DEC(RIGHT(Table1323212737[[#This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6" t="s">
        <v>97</v>
      </c>
      <c r="P420" s="56">
        <f>HEX2DEC(RIGHT(Table1323212737[[#This Row],[h1]],8))</f>
        <v>0</v>
      </c>
      <c r="Q420" s="56" t="s">
        <v>97</v>
      </c>
      <c r="R420" s="56">
        <f>HEX2DEC(RIGHT(Table1323212737[[#This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6" t="s">
        <v>97</v>
      </c>
      <c r="P421" s="56">
        <f>HEX2DEC(RIGHT(Table1323212737[[#This Row],[h1]],8))</f>
        <v>0</v>
      </c>
      <c r="Q421" s="56" t="s">
        <v>97</v>
      </c>
      <c r="R421" s="56">
        <f>HEX2DEC(RIGHT(Table1323212737[[#This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6" t="s">
        <v>97</v>
      </c>
      <c r="P422" s="56">
        <f>HEX2DEC(RIGHT(Table1323212737[[#This Row],[h1]],8))</f>
        <v>0</v>
      </c>
      <c r="Q422" s="56" t="s">
        <v>97</v>
      </c>
      <c r="R422" s="56">
        <f>HEX2DEC(RIGHT(Table1323212737[[#This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6" t="s">
        <v>97</v>
      </c>
      <c r="P423" s="56">
        <f>HEX2DEC(RIGHT(Table1323212737[[#This Row],[h1]],8))</f>
        <v>0</v>
      </c>
      <c r="Q423" s="56" t="s">
        <v>97</v>
      </c>
      <c r="R423" s="56">
        <f>HEX2DEC(RIGHT(Table1323212737[[#This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6" t="s">
        <v>97</v>
      </c>
      <c r="P424" s="56">
        <f>HEX2DEC(RIGHT(Table1323212737[[#This Row],[h1]],8))</f>
        <v>0</v>
      </c>
      <c r="Q424" s="56" t="s">
        <v>97</v>
      </c>
      <c r="R424" s="56">
        <f>HEX2DEC(RIGHT(Table1323212737[[#This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6" t="s">
        <v>97</v>
      </c>
      <c r="P425" s="56">
        <f>HEX2DEC(RIGHT(Table1323212737[[#This Row],[h1]],8))</f>
        <v>0</v>
      </c>
      <c r="Q425" s="56" t="s">
        <v>97</v>
      </c>
      <c r="R425" s="56">
        <f>HEX2DEC(RIGHT(Table1323212737[[#This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6" t="s">
        <v>97</v>
      </c>
      <c r="P426" s="56">
        <f>HEX2DEC(RIGHT(Table1323212737[[#This Row],[h1]],8))</f>
        <v>0</v>
      </c>
      <c r="Q426" s="56" t="s">
        <v>97</v>
      </c>
      <c r="R426" s="56">
        <f>HEX2DEC(RIGHT(Table1323212737[[#This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6" t="s">
        <v>97</v>
      </c>
      <c r="P427" s="56">
        <f>HEX2DEC(RIGHT(Table1323212737[[#This Row],[h1]],8))</f>
        <v>0</v>
      </c>
      <c r="Q427" s="56" t="s">
        <v>97</v>
      </c>
      <c r="R427" s="56">
        <f>HEX2DEC(RIGHT(Table1323212737[[#This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6" t="s">
        <v>97</v>
      </c>
      <c r="P428" s="56">
        <f>HEX2DEC(RIGHT(Table1323212737[[#This Row],[h1]],8))</f>
        <v>0</v>
      </c>
      <c r="Q428" s="56" t="s">
        <v>97</v>
      </c>
      <c r="R428" s="56">
        <f>HEX2DEC(RIGHT(Table1323212737[[#This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6" t="s">
        <v>97</v>
      </c>
      <c r="P429" s="56">
        <f>HEX2DEC(RIGHT(Table1323212737[[#This Row],[h1]],8))</f>
        <v>0</v>
      </c>
      <c r="Q429" s="56" t="s">
        <v>97</v>
      </c>
      <c r="R429" s="56">
        <f>HEX2DEC(RIGHT(Table1323212737[[#This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6" t="s">
        <v>97</v>
      </c>
      <c r="P430" s="56">
        <f>HEX2DEC(RIGHT(Table1323212737[[#This Row],[h1]],8))</f>
        <v>0</v>
      </c>
      <c r="Q430" s="56" t="s">
        <v>97</v>
      </c>
      <c r="R430" s="56">
        <f>HEX2DEC(RIGHT(Table1323212737[[#This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6" t="s">
        <v>97</v>
      </c>
      <c r="P431" s="56">
        <f>HEX2DEC(RIGHT(Table1323212737[[#This Row],[h1]],8))</f>
        <v>0</v>
      </c>
      <c r="Q431" s="56" t="s">
        <v>97</v>
      </c>
      <c r="R431" s="56">
        <f>HEX2DEC(RIGHT(Table1323212737[[#This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6" t="s">
        <v>97</v>
      </c>
      <c r="P432" s="56">
        <f>HEX2DEC(RIGHT(Table1323212737[[#This Row],[h1]],8))</f>
        <v>0</v>
      </c>
      <c r="Q432" s="56" t="s">
        <v>97</v>
      </c>
      <c r="R432" s="56">
        <f>HEX2DEC(RIGHT(Table1323212737[[#This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6" t="s">
        <v>97</v>
      </c>
      <c r="P433" s="56">
        <f>HEX2DEC(RIGHT(Table1323212737[[#This Row],[h1]],8))</f>
        <v>0</v>
      </c>
      <c r="Q433" s="56" t="s">
        <v>97</v>
      </c>
      <c r="R433" s="56">
        <f>HEX2DEC(RIGHT(Table1323212737[[#This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6" t="s">
        <v>97</v>
      </c>
      <c r="P434" s="56">
        <f>HEX2DEC(RIGHT(Table1323212737[[#This Row],[h1]],8))</f>
        <v>0</v>
      </c>
      <c r="Q434" s="56" t="s">
        <v>97</v>
      </c>
      <c r="R434" s="56">
        <f>HEX2DEC(RIGHT(Table1323212737[[#This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6" t="s">
        <v>97</v>
      </c>
      <c r="P435" s="56">
        <f>HEX2DEC(RIGHT(Table1323212737[[#This Row],[h1]],8))</f>
        <v>0</v>
      </c>
      <c r="Q435" s="56" t="s">
        <v>97</v>
      </c>
      <c r="R435" s="56">
        <f>HEX2DEC(RIGHT(Table1323212737[[#This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6" t="s">
        <v>97</v>
      </c>
      <c r="P436" s="56">
        <f>HEX2DEC(RIGHT(Table1323212737[[#This Row],[h1]],8))</f>
        <v>0</v>
      </c>
      <c r="Q436" s="56" t="s">
        <v>97</v>
      </c>
      <c r="R436" s="56">
        <f>HEX2DEC(RIGHT(Table1323212737[[#This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6" t="s">
        <v>97</v>
      </c>
      <c r="P437" s="56">
        <f>HEX2DEC(RIGHT(Table1323212737[[#This Row],[h1]],8))</f>
        <v>0</v>
      </c>
      <c r="Q437" s="56" t="s">
        <v>97</v>
      </c>
      <c r="R437" s="56">
        <f>HEX2DEC(RIGHT(Table1323212737[[#This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6" t="s">
        <v>97</v>
      </c>
      <c r="P438" s="56">
        <f>HEX2DEC(RIGHT(Table1323212737[[#This Row],[h1]],8))</f>
        <v>0</v>
      </c>
      <c r="Q438" s="56" t="s">
        <v>97</v>
      </c>
      <c r="R438" s="56">
        <f>HEX2DEC(RIGHT(Table1323212737[[#This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6" t="s">
        <v>97</v>
      </c>
      <c r="P439" s="56">
        <f>HEX2DEC(RIGHT(Table1323212737[[#This Row],[h1]],8))</f>
        <v>0</v>
      </c>
      <c r="Q439" s="56" t="s">
        <v>97</v>
      </c>
      <c r="R439" s="56">
        <f>HEX2DEC(RIGHT(Table1323212737[[#This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6" t="s">
        <v>97</v>
      </c>
      <c r="P440" s="56">
        <f>HEX2DEC(RIGHT(Table1323212737[[#This Row],[h1]],8))</f>
        <v>0</v>
      </c>
      <c r="Q440" s="56" t="s">
        <v>97</v>
      </c>
      <c r="R440" s="56">
        <f>HEX2DEC(RIGHT(Table1323212737[[#This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6" t="s">
        <v>97</v>
      </c>
      <c r="P441" s="56">
        <f>HEX2DEC(RIGHT(Table1323212737[[#This Row],[h1]],8))</f>
        <v>0</v>
      </c>
      <c r="Q441" s="56" t="s">
        <v>97</v>
      </c>
      <c r="R441" s="56">
        <f>HEX2DEC(RIGHT(Table1323212737[[#This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6" t="s">
        <v>97</v>
      </c>
      <c r="P442" s="56">
        <f>HEX2DEC(RIGHT(Table1323212737[[#This Row],[h1]],8))</f>
        <v>0</v>
      </c>
      <c r="Q442" s="56" t="s">
        <v>97</v>
      </c>
      <c r="R442" s="56">
        <f>HEX2DEC(RIGHT(Table1323212737[[#This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6" t="s">
        <v>97</v>
      </c>
      <c r="P443" s="56">
        <f>HEX2DEC(RIGHT(Table1323212737[[#This Row],[h1]],8))</f>
        <v>0</v>
      </c>
      <c r="Q443" s="56" t="s">
        <v>97</v>
      </c>
      <c r="R443" s="56">
        <f>HEX2DEC(RIGHT(Table1323212737[[#This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6" t="s">
        <v>97</v>
      </c>
      <c r="P444" s="56">
        <f>HEX2DEC(RIGHT(Table1323212737[[#This Row],[h1]],8))</f>
        <v>0</v>
      </c>
      <c r="Q444" s="56" t="s">
        <v>97</v>
      </c>
      <c r="R444" s="56">
        <f>HEX2DEC(RIGHT(Table1323212737[[#This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6" t="s">
        <v>97</v>
      </c>
      <c r="P445" s="56">
        <f>HEX2DEC(RIGHT(Table1323212737[[#This Row],[h1]],8))</f>
        <v>0</v>
      </c>
      <c r="Q445" s="56" t="s">
        <v>97</v>
      </c>
      <c r="R445" s="56">
        <f>HEX2DEC(RIGHT(Table1323212737[[#This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6" t="s">
        <v>97</v>
      </c>
      <c r="P446" s="56">
        <f>HEX2DEC(RIGHT(Table1323212737[[#This Row],[h1]],8))</f>
        <v>0</v>
      </c>
      <c r="Q446" s="56" t="s">
        <v>97</v>
      </c>
      <c r="R446" s="56">
        <f>HEX2DEC(RIGHT(Table1323212737[[#This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6" t="s">
        <v>97</v>
      </c>
      <c r="P447" s="56">
        <f>HEX2DEC(RIGHT(Table1323212737[[#This Row],[h1]],8))</f>
        <v>0</v>
      </c>
      <c r="Q447" s="56" t="s">
        <v>97</v>
      </c>
      <c r="R447" s="56">
        <f>HEX2DEC(RIGHT(Table1323212737[[#This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6" t="s">
        <v>97</v>
      </c>
      <c r="P448" s="56">
        <f>HEX2DEC(RIGHT(Table1323212737[[#This Row],[h1]],8))</f>
        <v>0</v>
      </c>
      <c r="Q448" s="56" t="s">
        <v>97</v>
      </c>
      <c r="R448" s="56">
        <f>HEX2DEC(RIGHT(Table1323212737[[#This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6" t="s">
        <v>97</v>
      </c>
      <c r="P449" s="56">
        <f>HEX2DEC(RIGHT(Table1323212737[[#This Row],[h1]],8))</f>
        <v>0</v>
      </c>
      <c r="Q449" s="56" t="s">
        <v>97</v>
      </c>
      <c r="R449" s="56">
        <f>HEX2DEC(RIGHT(Table1323212737[[#This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6" t="s">
        <v>97</v>
      </c>
      <c r="P450" s="56">
        <f>HEX2DEC(RIGHT(Table1323212737[[#This Row],[h1]],8))</f>
        <v>0</v>
      </c>
      <c r="Q450" s="56" t="s">
        <v>97</v>
      </c>
      <c r="R450" s="56">
        <f>HEX2DEC(RIGHT(Table1323212737[[#This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6" t="s">
        <v>97</v>
      </c>
      <c r="P451" s="56">
        <f>HEX2DEC(RIGHT(Table1323212737[[#This Row],[h1]],8))</f>
        <v>0</v>
      </c>
      <c r="Q451" s="56" t="s">
        <v>97</v>
      </c>
      <c r="R451" s="56">
        <f>HEX2DEC(RIGHT(Table1323212737[[#This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6" t="s">
        <v>97</v>
      </c>
      <c r="P452" s="56">
        <f>HEX2DEC(RIGHT(Table1323212737[[#This Row],[h1]],8))</f>
        <v>0</v>
      </c>
      <c r="Q452" s="56" t="s">
        <v>97</v>
      </c>
      <c r="R452" s="56">
        <f>HEX2DEC(RIGHT(Table1323212737[[#This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6" t="s">
        <v>97</v>
      </c>
      <c r="P453" s="56">
        <f>HEX2DEC(RIGHT(Table1323212737[[#This Row],[h1]],8))</f>
        <v>0</v>
      </c>
      <c r="Q453" s="56" t="s">
        <v>97</v>
      </c>
      <c r="R453" s="56">
        <f>HEX2DEC(RIGHT(Table1323212737[[#This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6" t="s">
        <v>97</v>
      </c>
      <c r="P454" s="56">
        <f>HEX2DEC(RIGHT(Table1323212737[[#This Row],[h1]],8))</f>
        <v>0</v>
      </c>
      <c r="Q454" s="56" t="s">
        <v>97</v>
      </c>
      <c r="R454" s="56">
        <f>HEX2DEC(RIGHT(Table1323212737[[#This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6" t="s">
        <v>97</v>
      </c>
      <c r="P455" s="56">
        <f>HEX2DEC(RIGHT(Table1323212737[[#This Row],[h1]],8))</f>
        <v>0</v>
      </c>
      <c r="Q455" s="56" t="s">
        <v>97</v>
      </c>
      <c r="R455" s="56">
        <f>HEX2DEC(RIGHT(Table1323212737[[#This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6" t="s">
        <v>97</v>
      </c>
      <c r="P456" s="56">
        <f>HEX2DEC(RIGHT(Table1323212737[[#This Row],[h1]],8))</f>
        <v>0</v>
      </c>
      <c r="Q456" s="56" t="s">
        <v>97</v>
      </c>
      <c r="R456" s="56">
        <f>HEX2DEC(RIGHT(Table1323212737[[#This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6" t="s">
        <v>97</v>
      </c>
      <c r="P457" s="56">
        <f>HEX2DEC(RIGHT(Table1323212737[[#This Row],[h1]],8))</f>
        <v>0</v>
      </c>
      <c r="Q457" s="56" t="s">
        <v>97</v>
      </c>
      <c r="R457" s="56">
        <f>HEX2DEC(RIGHT(Table1323212737[[#This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6" t="s">
        <v>97</v>
      </c>
      <c r="P458" s="56">
        <f>HEX2DEC(RIGHT(Table1323212737[[#This Row],[h1]],8))</f>
        <v>0</v>
      </c>
      <c r="Q458" s="56" t="s">
        <v>97</v>
      </c>
      <c r="R458" s="56">
        <f>HEX2DEC(RIGHT(Table1323212737[[#This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6" t="s">
        <v>97</v>
      </c>
      <c r="P459" s="56">
        <f>HEX2DEC(RIGHT(Table1323212737[[#This Row],[h1]],8))</f>
        <v>0</v>
      </c>
      <c r="Q459" s="56" t="s">
        <v>97</v>
      </c>
      <c r="R459" s="56">
        <f>HEX2DEC(RIGHT(Table1323212737[[#This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6" t="s">
        <v>97</v>
      </c>
      <c r="P460" s="56">
        <f>HEX2DEC(RIGHT(Table1323212737[[#This Row],[h1]],8))</f>
        <v>0</v>
      </c>
      <c r="Q460" s="56" t="s">
        <v>97</v>
      </c>
      <c r="R460" s="56">
        <f>HEX2DEC(RIGHT(Table1323212737[[#This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6" t="s">
        <v>97</v>
      </c>
      <c r="P461" s="56">
        <f>HEX2DEC(RIGHT(Table1323212737[[#This Row],[h1]],8))</f>
        <v>0</v>
      </c>
      <c r="Q461" s="56" t="s">
        <v>97</v>
      </c>
      <c r="R461" s="56">
        <f>HEX2DEC(RIGHT(Table1323212737[[#This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6" t="s">
        <v>97</v>
      </c>
      <c r="P462" s="56">
        <f>HEX2DEC(RIGHT(Table1323212737[[#This Row],[h1]],8))</f>
        <v>0</v>
      </c>
      <c r="Q462" s="56" t="s">
        <v>97</v>
      </c>
      <c r="R462" s="56">
        <f>HEX2DEC(RIGHT(Table1323212737[[#This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6" t="s">
        <v>97</v>
      </c>
      <c r="P463" s="56">
        <f>HEX2DEC(RIGHT(Table1323212737[[#This Row],[h1]],8))</f>
        <v>0</v>
      </c>
      <c r="Q463" s="56" t="s">
        <v>97</v>
      </c>
      <c r="R463" s="56">
        <f>HEX2DEC(RIGHT(Table1323212737[[#This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6" t="s">
        <v>97</v>
      </c>
      <c r="P464" s="56">
        <f>HEX2DEC(RIGHT(Table1323212737[[#This Row],[h1]],8))</f>
        <v>0</v>
      </c>
      <c r="Q464" s="56" t="s">
        <v>97</v>
      </c>
      <c r="R464" s="56">
        <f>HEX2DEC(RIGHT(Table1323212737[[#This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6" t="s">
        <v>97</v>
      </c>
      <c r="P465" s="56">
        <f>HEX2DEC(RIGHT(Table1323212737[[#This Row],[h1]],8))</f>
        <v>0</v>
      </c>
      <c r="Q465" s="56" t="s">
        <v>97</v>
      </c>
      <c r="R465" s="56">
        <f>HEX2DEC(RIGHT(Table1323212737[[#This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6" t="s">
        <v>97</v>
      </c>
      <c r="P466" s="56">
        <f>HEX2DEC(RIGHT(Table1323212737[[#This Row],[h1]],8))</f>
        <v>0</v>
      </c>
      <c r="Q466" s="56" t="s">
        <v>97</v>
      </c>
      <c r="R466" s="56">
        <f>HEX2DEC(RIGHT(Table1323212737[[#This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6" t="s">
        <v>97</v>
      </c>
      <c r="P467" s="56">
        <f>HEX2DEC(RIGHT(Table1323212737[[#This Row],[h1]],8))</f>
        <v>0</v>
      </c>
      <c r="Q467" s="56" t="s">
        <v>97</v>
      </c>
      <c r="R467" s="56">
        <f>HEX2DEC(RIGHT(Table1323212737[[#This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6" t="s">
        <v>97</v>
      </c>
      <c r="P468" s="56">
        <f>HEX2DEC(RIGHT(Table1323212737[[#This Row],[h1]],8))</f>
        <v>0</v>
      </c>
      <c r="Q468" s="56" t="s">
        <v>97</v>
      </c>
      <c r="R468" s="56">
        <f>HEX2DEC(RIGHT(Table1323212737[[#This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6" t="s">
        <v>97</v>
      </c>
      <c r="P469" s="56">
        <f>HEX2DEC(RIGHT(Table1323212737[[#This Row],[h1]],8))</f>
        <v>0</v>
      </c>
      <c r="Q469" s="56" t="s">
        <v>97</v>
      </c>
      <c r="R469" s="56">
        <f>HEX2DEC(RIGHT(Table1323212737[[#This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6" t="s">
        <v>97</v>
      </c>
      <c r="P470" s="56">
        <f>HEX2DEC(RIGHT(Table1323212737[[#This Row],[h1]],8))</f>
        <v>0</v>
      </c>
      <c r="Q470" s="56" t="s">
        <v>97</v>
      </c>
      <c r="R470" s="56">
        <f>HEX2DEC(RIGHT(Table1323212737[[#This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6" t="s">
        <v>97</v>
      </c>
      <c r="P471" s="56">
        <f>HEX2DEC(RIGHT(Table1323212737[[#This Row],[h1]],8))</f>
        <v>0</v>
      </c>
      <c r="Q471" s="56" t="s">
        <v>97</v>
      </c>
      <c r="R471" s="56">
        <f>HEX2DEC(RIGHT(Table1323212737[[#This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6" t="s">
        <v>97</v>
      </c>
      <c r="P472" s="56">
        <f>HEX2DEC(RIGHT(Table1323212737[[#This Row],[h1]],8))</f>
        <v>0</v>
      </c>
      <c r="Q472" s="56" t="s">
        <v>97</v>
      </c>
      <c r="R472" s="56">
        <f>HEX2DEC(RIGHT(Table1323212737[[#This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6" t="s">
        <v>97</v>
      </c>
      <c r="P473" s="56">
        <f>HEX2DEC(RIGHT(Table1323212737[[#This Row],[h1]],8))</f>
        <v>0</v>
      </c>
      <c r="Q473" s="56" t="s">
        <v>97</v>
      </c>
      <c r="R473" s="56">
        <f>HEX2DEC(RIGHT(Table1323212737[[#This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6" t="s">
        <v>97</v>
      </c>
      <c r="P474" s="56">
        <f>HEX2DEC(RIGHT(Table1323212737[[#This Row],[h1]],8))</f>
        <v>0</v>
      </c>
      <c r="Q474" s="56" t="s">
        <v>97</v>
      </c>
      <c r="R474" s="56">
        <f>HEX2DEC(RIGHT(Table1323212737[[#This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6" t="s">
        <v>97</v>
      </c>
      <c r="P475" s="56">
        <f>HEX2DEC(RIGHT(Table1323212737[[#This Row],[h1]],8))</f>
        <v>0</v>
      </c>
      <c r="Q475" s="56" t="s">
        <v>97</v>
      </c>
      <c r="R475" s="56">
        <f>HEX2DEC(RIGHT(Table1323212737[[#This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6" t="s">
        <v>97</v>
      </c>
      <c r="P476" s="56">
        <f>HEX2DEC(RIGHT(Table1323212737[[#This Row],[h1]],8))</f>
        <v>0</v>
      </c>
      <c r="Q476" s="56" t="s">
        <v>97</v>
      </c>
      <c r="R476" s="56">
        <f>HEX2DEC(RIGHT(Table1323212737[[#This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6" t="s">
        <v>97</v>
      </c>
      <c r="P477" s="56">
        <f>HEX2DEC(RIGHT(Table1323212737[[#This Row],[h1]],8))</f>
        <v>0</v>
      </c>
      <c r="Q477" s="56" t="s">
        <v>97</v>
      </c>
      <c r="R477" s="56">
        <f>HEX2DEC(RIGHT(Table1323212737[[#This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6" t="s">
        <v>97</v>
      </c>
      <c r="P478" s="56">
        <f>HEX2DEC(RIGHT(Table1323212737[[#This Row],[h1]],8))</f>
        <v>0</v>
      </c>
      <c r="Q478" s="56" t="s">
        <v>97</v>
      </c>
      <c r="R478" s="56">
        <f>HEX2DEC(RIGHT(Table1323212737[[#This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6" t="s">
        <v>97</v>
      </c>
      <c r="P479" s="56">
        <f>HEX2DEC(RIGHT(Table1323212737[[#This Row],[h1]],8))</f>
        <v>0</v>
      </c>
      <c r="Q479" s="56" t="s">
        <v>97</v>
      </c>
      <c r="R479" s="56">
        <f>HEX2DEC(RIGHT(Table1323212737[[#This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6" t="s">
        <v>97</v>
      </c>
      <c r="P480" s="56">
        <f>HEX2DEC(RIGHT(Table1323212737[[#This Row],[h1]],8))</f>
        <v>0</v>
      </c>
      <c r="Q480" s="56" t="s">
        <v>97</v>
      </c>
      <c r="R480" s="56">
        <f>HEX2DEC(RIGHT(Table1323212737[[#This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6" t="s">
        <v>97</v>
      </c>
      <c r="P481" s="56">
        <f>HEX2DEC(RIGHT(Table1323212737[[#This Row],[h1]],8))</f>
        <v>0</v>
      </c>
      <c r="Q481" s="56" t="s">
        <v>97</v>
      </c>
      <c r="R481" s="56">
        <f>HEX2DEC(RIGHT(Table1323212737[[#This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6" t="s">
        <v>97</v>
      </c>
      <c r="P482" s="56">
        <f>HEX2DEC(RIGHT(Table1323212737[[#This Row],[h1]],8))</f>
        <v>0</v>
      </c>
      <c r="Q482" s="56" t="s">
        <v>97</v>
      </c>
      <c r="R482" s="56">
        <f>HEX2DEC(RIGHT(Table1323212737[[#This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6" t="s">
        <v>97</v>
      </c>
      <c r="P483" s="56">
        <f>HEX2DEC(RIGHT(Table1323212737[[#This Row],[h1]],8))</f>
        <v>0</v>
      </c>
      <c r="Q483" s="56" t="s">
        <v>97</v>
      </c>
      <c r="R483" s="56">
        <f>HEX2DEC(RIGHT(Table1323212737[[#This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6" t="s">
        <v>97</v>
      </c>
      <c r="P484" s="56">
        <f>HEX2DEC(RIGHT(Table1323212737[[#This Row],[h1]],8))</f>
        <v>0</v>
      </c>
      <c r="Q484" s="56" t="s">
        <v>97</v>
      </c>
      <c r="R484" s="56">
        <f>HEX2DEC(RIGHT(Table1323212737[[#This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6" t="s">
        <v>97</v>
      </c>
      <c r="P485" s="56">
        <f>HEX2DEC(RIGHT(Table1323212737[[#This Row],[h1]],8))</f>
        <v>0</v>
      </c>
      <c r="Q485" s="56" t="s">
        <v>97</v>
      </c>
      <c r="R485" s="56">
        <f>HEX2DEC(RIGHT(Table1323212737[[#This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6" t="s">
        <v>97</v>
      </c>
      <c r="P486" s="56">
        <f>HEX2DEC(RIGHT(Table1323212737[[#This Row],[h1]],8))</f>
        <v>0</v>
      </c>
      <c r="Q486" s="56" t="s">
        <v>97</v>
      </c>
      <c r="R486" s="56">
        <f>HEX2DEC(RIGHT(Table1323212737[[#This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6" t="s">
        <v>97</v>
      </c>
      <c r="P487" s="56">
        <f>HEX2DEC(RIGHT(Table1323212737[[#This Row],[h1]],8))</f>
        <v>0</v>
      </c>
      <c r="Q487" s="56" t="s">
        <v>97</v>
      </c>
      <c r="R487" s="56">
        <f>HEX2DEC(RIGHT(Table1323212737[[#This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6" t="s">
        <v>97</v>
      </c>
      <c r="P488" s="56">
        <f>HEX2DEC(RIGHT(Table1323212737[[#This Row],[h1]],8))</f>
        <v>0</v>
      </c>
      <c r="Q488" s="56" t="s">
        <v>97</v>
      </c>
      <c r="R488" s="56">
        <f>HEX2DEC(RIGHT(Table1323212737[[#This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6" t="s">
        <v>97</v>
      </c>
      <c r="P489" s="56">
        <f>HEX2DEC(RIGHT(Table1323212737[[#This Row],[h1]],8))</f>
        <v>0</v>
      </c>
      <c r="Q489" s="56" t="s">
        <v>97</v>
      </c>
      <c r="R489" s="56">
        <f>HEX2DEC(RIGHT(Table1323212737[[#This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6" t="s">
        <v>97</v>
      </c>
      <c r="P490" s="56">
        <f>HEX2DEC(RIGHT(Table1323212737[[#This Row],[h1]],8))</f>
        <v>0</v>
      </c>
      <c r="Q490" s="56" t="s">
        <v>97</v>
      </c>
      <c r="R490" s="56">
        <f>HEX2DEC(RIGHT(Table1323212737[[#This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6" t="s">
        <v>97</v>
      </c>
      <c r="P491" s="56">
        <f>HEX2DEC(RIGHT(Table1323212737[[#This Row],[h1]],8))</f>
        <v>0</v>
      </c>
      <c r="Q491" s="56" t="s">
        <v>97</v>
      </c>
      <c r="R491" s="56">
        <f>HEX2DEC(RIGHT(Table1323212737[[#This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6" t="s">
        <v>97</v>
      </c>
      <c r="P492" s="56">
        <f>HEX2DEC(RIGHT(Table1323212737[[#This Row],[h1]],8))</f>
        <v>0</v>
      </c>
      <c r="Q492" s="56" t="s">
        <v>97</v>
      </c>
      <c r="R492" s="56">
        <f>HEX2DEC(RIGHT(Table1323212737[[#This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6" t="s">
        <v>97</v>
      </c>
      <c r="P493" s="56">
        <f>HEX2DEC(RIGHT(Table1323212737[[#This Row],[h1]],8))</f>
        <v>0</v>
      </c>
      <c r="Q493" s="56" t="s">
        <v>97</v>
      </c>
      <c r="R493" s="56">
        <f>HEX2DEC(RIGHT(Table1323212737[[#This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6" t="s">
        <v>97</v>
      </c>
      <c r="P494" s="56">
        <f>HEX2DEC(RIGHT(Table1323212737[[#This Row],[h1]],8))</f>
        <v>0</v>
      </c>
      <c r="Q494" s="56" t="s">
        <v>97</v>
      </c>
      <c r="R494" s="56">
        <f>HEX2DEC(RIGHT(Table1323212737[[#This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6" t="s">
        <v>97</v>
      </c>
      <c r="P495" s="56">
        <f>HEX2DEC(RIGHT(Table1323212737[[#This Row],[h1]],8))</f>
        <v>0</v>
      </c>
      <c r="Q495" s="56" t="s">
        <v>97</v>
      </c>
      <c r="R495" s="56">
        <f>HEX2DEC(RIGHT(Table1323212737[[#This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6" t="s">
        <v>97</v>
      </c>
      <c r="P496" s="56">
        <f>HEX2DEC(RIGHT(Table1323212737[[#This Row],[h1]],8))</f>
        <v>0</v>
      </c>
      <c r="Q496" s="56" t="s">
        <v>97</v>
      </c>
      <c r="R496" s="56">
        <f>HEX2DEC(RIGHT(Table1323212737[[#This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6" t="s">
        <v>97</v>
      </c>
      <c r="P497" s="56">
        <f>HEX2DEC(RIGHT(Table1323212737[[#This Row],[h1]],8))</f>
        <v>0</v>
      </c>
      <c r="Q497" s="56" t="s">
        <v>97</v>
      </c>
      <c r="R497" s="56">
        <f>HEX2DEC(RIGHT(Table1323212737[[#This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6" t="s">
        <v>97</v>
      </c>
      <c r="P498" s="56">
        <f>HEX2DEC(RIGHT(Table1323212737[[#This Row],[h1]],8))</f>
        <v>0</v>
      </c>
      <c r="Q498" s="56" t="s">
        <v>97</v>
      </c>
      <c r="R498" s="56">
        <f>HEX2DEC(RIGHT(Table1323212737[[#This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6" t="s">
        <v>97</v>
      </c>
      <c r="P499" s="56">
        <f>HEX2DEC(RIGHT(Table1323212737[[#This Row],[h1]],8))</f>
        <v>0</v>
      </c>
      <c r="Q499" s="56" t="s">
        <v>97</v>
      </c>
      <c r="R499" s="56">
        <f>HEX2DEC(RIGHT(Table1323212737[[#This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6" t="s">
        <v>97</v>
      </c>
      <c r="P500" s="56">
        <f>HEX2DEC(RIGHT(Table1323212737[[#This Row],[h1]],8))</f>
        <v>0</v>
      </c>
      <c r="Q500" s="56" t="s">
        <v>97</v>
      </c>
      <c r="R500" s="56">
        <f>HEX2DEC(RIGHT(Table1323212737[[#This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6" t="s">
        <v>97</v>
      </c>
      <c r="P501" s="56">
        <f>HEX2DEC(RIGHT(Table1323212737[[#This Row],[h1]],8))</f>
        <v>0</v>
      </c>
      <c r="Q501" s="56" t="s">
        <v>97</v>
      </c>
      <c r="R501" s="56">
        <f>HEX2DEC(RIGHT(Table1323212737[[#This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6" t="s">
        <v>97</v>
      </c>
      <c r="P502" s="56">
        <f>HEX2DEC(RIGHT(Table1323212737[[#This Row],[h1]],8))</f>
        <v>0</v>
      </c>
      <c r="Q502" s="56" t="s">
        <v>97</v>
      </c>
      <c r="R502" s="56">
        <f>HEX2DEC(RIGHT(Table1323212737[[#This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6" t="s">
        <v>97</v>
      </c>
      <c r="P503" s="56">
        <f>HEX2DEC(RIGHT(Table1323212737[[#This Row],[h1]],8))</f>
        <v>0</v>
      </c>
      <c r="Q503" s="56" t="s">
        <v>97</v>
      </c>
      <c r="R503" s="56">
        <f>HEX2DEC(RIGHT(Table1323212737[[#This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6" t="s">
        <v>97</v>
      </c>
      <c r="P504" s="56">
        <f>HEX2DEC(RIGHT(Table1323212737[[#This Row],[h1]],8))</f>
        <v>0</v>
      </c>
      <c r="Q504" s="56" t="s">
        <v>97</v>
      </c>
      <c r="R504" s="56">
        <f>HEX2DEC(RIGHT(Table1323212737[[#This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6" t="s">
        <v>97</v>
      </c>
      <c r="P505" s="56">
        <f>HEX2DEC(RIGHT(Table1323212737[[#This Row],[h1]],8))</f>
        <v>0</v>
      </c>
      <c r="Q505" s="56" t="s">
        <v>97</v>
      </c>
      <c r="R505" s="56">
        <f>HEX2DEC(RIGHT(Table1323212737[[#This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6" t="s">
        <v>97</v>
      </c>
      <c r="P506" s="56">
        <f>HEX2DEC(RIGHT(Table1323212737[[#This Row],[h1]],8))</f>
        <v>0</v>
      </c>
      <c r="Q506" s="56" t="s">
        <v>97</v>
      </c>
      <c r="R506" s="56">
        <f>HEX2DEC(RIGHT(Table1323212737[[#This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6" t="s">
        <v>97</v>
      </c>
      <c r="P507" s="56">
        <f>HEX2DEC(RIGHT(Table1323212737[[#This Row],[h1]],8))</f>
        <v>0</v>
      </c>
      <c r="Q507" s="56" t="s">
        <v>97</v>
      </c>
      <c r="R507" s="56">
        <f>HEX2DEC(RIGHT(Table1323212737[[#This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6" t="s">
        <v>97</v>
      </c>
      <c r="P508" s="56">
        <f>HEX2DEC(RIGHT(Table1323212737[[#This Row],[h1]],8))</f>
        <v>0</v>
      </c>
      <c r="Q508" s="56" t="s">
        <v>97</v>
      </c>
      <c r="R508" s="56">
        <f>HEX2DEC(RIGHT(Table1323212737[[#This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6" t="s">
        <v>97</v>
      </c>
      <c r="P509" s="56">
        <f>HEX2DEC(RIGHT(Table1323212737[[#This Row],[h1]],8))</f>
        <v>0</v>
      </c>
      <c r="Q509" s="56" t="s">
        <v>97</v>
      </c>
      <c r="R509" s="56">
        <f>HEX2DEC(RIGHT(Table1323212737[[#This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6" t="s">
        <v>97</v>
      </c>
      <c r="P510" s="56">
        <f>HEX2DEC(RIGHT(Table1323212737[[#This Row],[h1]],8))</f>
        <v>0</v>
      </c>
      <c r="Q510" s="56" t="s">
        <v>97</v>
      </c>
      <c r="R510" s="56">
        <f>HEX2DEC(RIGHT(Table1323212737[[#This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6" t="s">
        <v>97</v>
      </c>
      <c r="P511" s="56">
        <f>HEX2DEC(RIGHT(Table1323212737[[#This Row],[h1]],8))</f>
        <v>0</v>
      </c>
      <c r="Q511" s="56" t="s">
        <v>97</v>
      </c>
      <c r="R511" s="56">
        <f>HEX2DEC(RIGHT(Table1323212737[[#This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6" t="s">
        <v>97</v>
      </c>
      <c r="P512" s="56">
        <f>HEX2DEC(RIGHT(Table1323212737[[#This Row],[h1]],8))</f>
        <v>0</v>
      </c>
      <c r="Q512" s="56" t="s">
        <v>97</v>
      </c>
      <c r="R512" s="56">
        <f>HEX2DEC(RIGHT(Table1323212737[[#This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6" t="s">
        <v>97</v>
      </c>
      <c r="P513" s="56">
        <f>HEX2DEC(RIGHT(Table1323212737[[#This Row],[h1]],8))</f>
        <v>0</v>
      </c>
      <c r="Q513" s="56" t="s">
        <v>97</v>
      </c>
      <c r="R513" s="56">
        <f>HEX2DEC(RIGHT(Table1323212737[[#This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6" t="s">
        <v>97</v>
      </c>
      <c r="P514" s="56">
        <f>HEX2DEC(RIGHT(Table1323212737[[#This Row],[h1]],8))</f>
        <v>0</v>
      </c>
      <c r="Q514" s="56" t="s">
        <v>97</v>
      </c>
      <c r="R514" s="56">
        <f>HEX2DEC(RIGHT(Table1323212737[[#This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6" t="s">
        <v>97</v>
      </c>
      <c r="P515" s="56">
        <f>HEX2DEC(RIGHT(Table1323212737[[#This Row],[h1]],8))</f>
        <v>0</v>
      </c>
      <c r="Q515" s="56" t="s">
        <v>97</v>
      </c>
      <c r="R515" s="56">
        <f>HEX2DEC(RIGHT(Table1323212737[[#This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6" t="s">
        <v>97</v>
      </c>
      <c r="P516" s="56">
        <f>HEX2DEC(RIGHT(Table1323212737[[#This Row],[h1]],8))</f>
        <v>0</v>
      </c>
      <c r="Q516" s="56" t="s">
        <v>97</v>
      </c>
      <c r="R516" s="56">
        <f>HEX2DEC(RIGHT(Table1323212737[[#This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6" t="s">
        <v>97</v>
      </c>
      <c r="P517" s="56">
        <f>HEX2DEC(RIGHT(Table1323212737[[#This Row],[h1]],8))</f>
        <v>0</v>
      </c>
      <c r="Q517" s="56" t="s">
        <v>97</v>
      </c>
      <c r="R517" s="56">
        <f>HEX2DEC(RIGHT(Table1323212737[[#This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6" t="s">
        <v>97</v>
      </c>
      <c r="P518" s="56">
        <f>HEX2DEC(RIGHT(Table1323212737[[#This Row],[h1]],8))</f>
        <v>0</v>
      </c>
      <c r="Q518" s="56" t="s">
        <v>97</v>
      </c>
      <c r="R518" s="56">
        <f>HEX2DEC(RIGHT(Table1323212737[[#This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6" t="s">
        <v>97</v>
      </c>
      <c r="P519" s="56">
        <f>HEX2DEC(RIGHT(Table1323212737[[#This Row],[h1]],8))</f>
        <v>0</v>
      </c>
      <c r="Q519" s="56" t="s">
        <v>97</v>
      </c>
      <c r="R519" s="56">
        <f>HEX2DEC(RIGHT(Table1323212737[[#This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6" t="s">
        <v>97</v>
      </c>
      <c r="P520" s="56">
        <f>HEX2DEC(RIGHT(Table1323212737[[#This Row],[h1]],8))</f>
        <v>0</v>
      </c>
      <c r="Q520" s="56" t="s">
        <v>97</v>
      </c>
      <c r="R520" s="56">
        <f>HEX2DEC(RIGHT(Table1323212737[[#This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6" t="s">
        <v>97</v>
      </c>
      <c r="P521" s="56">
        <f>HEX2DEC(RIGHT(Table1323212737[[#This Row],[h1]],8))</f>
        <v>0</v>
      </c>
      <c r="Q521" s="56" t="s">
        <v>97</v>
      </c>
      <c r="R521" s="56">
        <f>HEX2DEC(RIGHT(Table1323212737[[#This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6" t="s">
        <v>97</v>
      </c>
      <c r="P522" s="56">
        <f>HEX2DEC(RIGHT(Table1323212737[[#This Row],[h1]],8))</f>
        <v>0</v>
      </c>
      <c r="Q522" s="56" t="s">
        <v>97</v>
      </c>
      <c r="R522" s="56">
        <f>HEX2DEC(RIGHT(Table1323212737[[#This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6" t="s">
        <v>97</v>
      </c>
      <c r="P523" s="56">
        <f>HEX2DEC(RIGHT(Table1323212737[[#This Row],[h1]],8))</f>
        <v>0</v>
      </c>
      <c r="Q523" s="56" t="s">
        <v>97</v>
      </c>
      <c r="R523" s="56">
        <f>HEX2DEC(RIGHT(Table1323212737[[#This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6" t="s">
        <v>97</v>
      </c>
      <c r="P524" s="56">
        <f>HEX2DEC(RIGHT(Table1323212737[[#This Row],[h1]],8))</f>
        <v>0</v>
      </c>
      <c r="Q524" s="56" t="s">
        <v>97</v>
      </c>
      <c r="R524" s="56">
        <f>HEX2DEC(RIGHT(Table1323212737[[#This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6" t="s">
        <v>97</v>
      </c>
      <c r="P525" s="56">
        <f>HEX2DEC(RIGHT(Table1323212737[[#This Row],[h1]],8))</f>
        <v>0</v>
      </c>
      <c r="Q525" s="56" t="s">
        <v>97</v>
      </c>
      <c r="R525" s="56">
        <f>HEX2DEC(RIGHT(Table1323212737[[#This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6" t="s">
        <v>97</v>
      </c>
      <c r="P526" s="56">
        <f>HEX2DEC(RIGHT(Table1323212737[[#This Row],[h1]],8))</f>
        <v>0</v>
      </c>
      <c r="Q526" s="56" t="s">
        <v>97</v>
      </c>
      <c r="R526" s="56">
        <f>HEX2DEC(RIGHT(Table1323212737[[#This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6" t="s">
        <v>97</v>
      </c>
      <c r="P527" s="56">
        <f>HEX2DEC(RIGHT(Table1323212737[[#This Row],[h1]],8))</f>
        <v>0</v>
      </c>
      <c r="Q527" s="56" t="s">
        <v>97</v>
      </c>
      <c r="R527" s="56">
        <f>HEX2DEC(RIGHT(Table1323212737[[#This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6" t="s">
        <v>97</v>
      </c>
      <c r="P528" s="56">
        <f>HEX2DEC(RIGHT(Table1323212737[[#This Row],[h1]],8))</f>
        <v>0</v>
      </c>
      <c r="Q528" s="56" t="s">
        <v>97</v>
      </c>
      <c r="R528" s="56">
        <f>HEX2DEC(RIGHT(Table1323212737[[#This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6" t="s">
        <v>97</v>
      </c>
      <c r="P529" s="56">
        <f>HEX2DEC(RIGHT(Table1323212737[[#This Row],[h1]],8))</f>
        <v>0</v>
      </c>
      <c r="Q529" s="56" t="s">
        <v>97</v>
      </c>
      <c r="R529" s="56">
        <f>HEX2DEC(RIGHT(Table1323212737[[#This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6" t="s">
        <v>97</v>
      </c>
      <c r="P530" s="56">
        <f>HEX2DEC(RIGHT(Table1323212737[[#This Row],[h1]],8))</f>
        <v>0</v>
      </c>
      <c r="Q530" s="56" t="s">
        <v>97</v>
      </c>
      <c r="R530" s="56">
        <f>HEX2DEC(RIGHT(Table1323212737[[#This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6" t="s">
        <v>97</v>
      </c>
      <c r="P531" s="56">
        <f>HEX2DEC(RIGHT(Table1323212737[[#This Row],[h1]],8))</f>
        <v>0</v>
      </c>
      <c r="Q531" s="56" t="s">
        <v>97</v>
      </c>
      <c r="R531" s="56">
        <f>HEX2DEC(RIGHT(Table1323212737[[#This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6" t="s">
        <v>97</v>
      </c>
      <c r="P532" s="56">
        <f>HEX2DEC(RIGHT(Table1323212737[[#This Row],[h1]],8))</f>
        <v>0</v>
      </c>
      <c r="Q532" s="56" t="s">
        <v>97</v>
      </c>
      <c r="R532" s="56">
        <f>HEX2DEC(RIGHT(Table1323212737[[#This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6" t="s">
        <v>97</v>
      </c>
      <c r="P533" s="56">
        <f>HEX2DEC(RIGHT(Table1323212737[[#This Row],[h1]],8))</f>
        <v>0</v>
      </c>
      <c r="Q533" s="56" t="s">
        <v>97</v>
      </c>
      <c r="R533" s="56">
        <f>HEX2DEC(RIGHT(Table1323212737[[#This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6" t="s">
        <v>97</v>
      </c>
      <c r="P534" s="56">
        <f>HEX2DEC(RIGHT(Table1323212737[[#This Row],[h1]],8))</f>
        <v>0</v>
      </c>
      <c r="Q534" s="56" t="s">
        <v>97</v>
      </c>
      <c r="R534" s="56">
        <f>HEX2DEC(RIGHT(Table1323212737[[#This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6" t="s">
        <v>97</v>
      </c>
      <c r="P535" s="56">
        <f>HEX2DEC(RIGHT(Table1323212737[[#This Row],[h1]],8))</f>
        <v>0</v>
      </c>
      <c r="Q535" s="56" t="s">
        <v>97</v>
      </c>
      <c r="R535" s="56">
        <f>HEX2DEC(RIGHT(Table1323212737[[#This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6" t="s">
        <v>97</v>
      </c>
      <c r="P536" s="56">
        <f>HEX2DEC(RIGHT(Table1323212737[[#This Row],[h1]],8))</f>
        <v>0</v>
      </c>
      <c r="Q536" s="56" t="s">
        <v>97</v>
      </c>
      <c r="R536" s="56">
        <f>HEX2DEC(RIGHT(Table1323212737[[#This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6" t="s">
        <v>97</v>
      </c>
      <c r="P537" s="56">
        <f>HEX2DEC(RIGHT(Table1323212737[[#This Row],[h1]],8))</f>
        <v>0</v>
      </c>
      <c r="Q537" s="56" t="s">
        <v>97</v>
      </c>
      <c r="R537" s="56">
        <f>HEX2DEC(RIGHT(Table1323212737[[#This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6" t="s">
        <v>97</v>
      </c>
      <c r="P538" s="56">
        <f>HEX2DEC(RIGHT(Table1323212737[[#This Row],[h1]],8))</f>
        <v>0</v>
      </c>
      <c r="Q538" s="56" t="s">
        <v>97</v>
      </c>
      <c r="R538" s="56">
        <f>HEX2DEC(RIGHT(Table1323212737[[#This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6" t="s">
        <v>97</v>
      </c>
      <c r="P539" s="56">
        <f>HEX2DEC(RIGHT(Table1323212737[[#This Row],[h1]],8))</f>
        <v>0</v>
      </c>
      <c r="Q539" s="56" t="s">
        <v>97</v>
      </c>
      <c r="R539" s="56">
        <f>HEX2DEC(RIGHT(Table1323212737[[#This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6" t="s">
        <v>97</v>
      </c>
      <c r="P540" s="56">
        <f>HEX2DEC(RIGHT(Table1323212737[[#This Row],[h1]],8))</f>
        <v>0</v>
      </c>
      <c r="Q540" s="56" t="s">
        <v>97</v>
      </c>
      <c r="R540" s="56">
        <f>HEX2DEC(RIGHT(Table1323212737[[#This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6" t="s">
        <v>97</v>
      </c>
      <c r="P541" s="56">
        <f>HEX2DEC(RIGHT(Table1323212737[[#This Row],[h1]],8))</f>
        <v>0</v>
      </c>
      <c r="Q541" s="56" t="s">
        <v>97</v>
      </c>
      <c r="R541" s="56">
        <f>HEX2DEC(RIGHT(Table1323212737[[#This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6" t="s">
        <v>97</v>
      </c>
      <c r="P542" s="56">
        <f>HEX2DEC(RIGHT(Table1323212737[[#This Row],[h1]],8))</f>
        <v>0</v>
      </c>
      <c r="Q542" s="56" t="s">
        <v>97</v>
      </c>
      <c r="R542" s="56">
        <f>HEX2DEC(RIGHT(Table1323212737[[#This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6" t="s">
        <v>97</v>
      </c>
      <c r="P543" s="56">
        <f>HEX2DEC(RIGHT(Table1323212737[[#This Row],[h1]],8))</f>
        <v>0</v>
      </c>
      <c r="Q543" s="56" t="s">
        <v>97</v>
      </c>
      <c r="R543" s="56">
        <f>HEX2DEC(RIGHT(Table1323212737[[#This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6" t="s">
        <v>97</v>
      </c>
      <c r="P544" s="56">
        <f>HEX2DEC(RIGHT(Table1323212737[[#This Row],[h1]],8))</f>
        <v>0</v>
      </c>
      <c r="Q544" s="56" t="s">
        <v>97</v>
      </c>
      <c r="R544" s="56">
        <f>HEX2DEC(RIGHT(Table1323212737[[#This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6" t="s">
        <v>97</v>
      </c>
      <c r="P545" s="56">
        <f>HEX2DEC(RIGHT(Table1323212737[[#This Row],[h1]],8))</f>
        <v>0</v>
      </c>
      <c r="Q545" s="56" t="s">
        <v>97</v>
      </c>
      <c r="R545" s="56">
        <f>HEX2DEC(RIGHT(Table1323212737[[#This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6" t="s">
        <v>97</v>
      </c>
      <c r="P546" s="56">
        <f>HEX2DEC(RIGHT(Table1323212737[[#This Row],[h1]],8))</f>
        <v>0</v>
      </c>
      <c r="Q546" s="56" t="s">
        <v>97</v>
      </c>
      <c r="R546" s="56">
        <f>HEX2DEC(RIGHT(Table1323212737[[#This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6" t="s">
        <v>97</v>
      </c>
      <c r="P547" s="56">
        <f>HEX2DEC(RIGHT(Table1323212737[[#This Row],[h1]],8))</f>
        <v>0</v>
      </c>
      <c r="Q547" s="56" t="s">
        <v>97</v>
      </c>
      <c r="R547" s="56">
        <f>HEX2DEC(RIGHT(Table1323212737[[#This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6" t="s">
        <v>97</v>
      </c>
      <c r="P548" s="56">
        <f>HEX2DEC(RIGHT(Table1323212737[[#This Row],[h1]],8))</f>
        <v>0</v>
      </c>
      <c r="Q548" s="56" t="s">
        <v>97</v>
      </c>
      <c r="R548" s="56">
        <f>HEX2DEC(RIGHT(Table1323212737[[#This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6" t="s">
        <v>97</v>
      </c>
      <c r="P549" s="56">
        <f>HEX2DEC(RIGHT(Table1323212737[[#This Row],[h1]],8))</f>
        <v>0</v>
      </c>
      <c r="Q549" s="56" t="s">
        <v>97</v>
      </c>
      <c r="R549" s="56">
        <f>HEX2DEC(RIGHT(Table1323212737[[#This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6" t="s">
        <v>97</v>
      </c>
      <c r="P550" s="56">
        <f>HEX2DEC(RIGHT(Table1323212737[[#This Row],[h1]],8))</f>
        <v>0</v>
      </c>
      <c r="Q550" s="56" t="s">
        <v>97</v>
      </c>
      <c r="R550" s="56">
        <f>HEX2DEC(RIGHT(Table1323212737[[#This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6" t="s">
        <v>97</v>
      </c>
      <c r="P551" s="56">
        <f>HEX2DEC(RIGHT(Table1323212737[[#This Row],[h1]],8))</f>
        <v>0</v>
      </c>
      <c r="Q551" s="56" t="s">
        <v>97</v>
      </c>
      <c r="R551" s="56">
        <f>HEX2DEC(RIGHT(Table1323212737[[#This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6" t="s">
        <v>97</v>
      </c>
      <c r="P552" s="56">
        <f>HEX2DEC(RIGHT(Table1323212737[[#This Row],[h1]],8))</f>
        <v>0</v>
      </c>
      <c r="Q552" s="56" t="s">
        <v>97</v>
      </c>
      <c r="R552" s="56">
        <f>HEX2DEC(RIGHT(Table1323212737[[#This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6" t="s">
        <v>97</v>
      </c>
      <c r="P553" s="56">
        <f>HEX2DEC(RIGHT(Table1323212737[[#This Row],[h1]],8))</f>
        <v>0</v>
      </c>
      <c r="Q553" s="56" t="s">
        <v>97</v>
      </c>
      <c r="R553" s="56">
        <f>HEX2DEC(RIGHT(Table1323212737[[#This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6" t="s">
        <v>97</v>
      </c>
      <c r="P554" s="56">
        <f>HEX2DEC(RIGHT(Table1323212737[[#This Row],[h1]],8))</f>
        <v>0</v>
      </c>
      <c r="Q554" s="56" t="s">
        <v>97</v>
      </c>
      <c r="R554" s="56">
        <f>HEX2DEC(RIGHT(Table1323212737[[#This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6" t="s">
        <v>97</v>
      </c>
      <c r="P555" s="56">
        <f>HEX2DEC(RIGHT(Table1323212737[[#This Row],[h1]],8))</f>
        <v>0</v>
      </c>
      <c r="Q555" s="56" t="s">
        <v>97</v>
      </c>
      <c r="R555" s="56">
        <f>HEX2DEC(RIGHT(Table1323212737[[#This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6" t="s">
        <v>97</v>
      </c>
      <c r="P556" s="56">
        <f>HEX2DEC(RIGHT(Table1323212737[[#This Row],[h1]],8))</f>
        <v>0</v>
      </c>
      <c r="Q556" s="56" t="s">
        <v>97</v>
      </c>
      <c r="R556" s="56">
        <f>HEX2DEC(RIGHT(Table1323212737[[#This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6" t="s">
        <v>97</v>
      </c>
      <c r="P557" s="56">
        <f>HEX2DEC(RIGHT(Table1323212737[[#This Row],[h1]],8))</f>
        <v>0</v>
      </c>
      <c r="Q557" s="56" t="s">
        <v>97</v>
      </c>
      <c r="R557" s="56">
        <f>HEX2DEC(RIGHT(Table1323212737[[#This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6" t="s">
        <v>97</v>
      </c>
      <c r="P558" s="56">
        <f>HEX2DEC(RIGHT(Table1323212737[[#This Row],[h1]],8))</f>
        <v>0</v>
      </c>
      <c r="Q558" s="56" t="s">
        <v>97</v>
      </c>
      <c r="R558" s="56">
        <f>HEX2DEC(RIGHT(Table1323212737[[#This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6" t="s">
        <v>97</v>
      </c>
      <c r="P559" s="56">
        <f>HEX2DEC(RIGHT(Table1323212737[[#This Row],[h1]],8))</f>
        <v>0</v>
      </c>
      <c r="Q559" s="56" t="s">
        <v>97</v>
      </c>
      <c r="R559" s="56">
        <f>HEX2DEC(RIGHT(Table1323212737[[#This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6" t="s">
        <v>97</v>
      </c>
      <c r="P560" s="56">
        <f>HEX2DEC(RIGHT(Table1323212737[[#This Row],[h1]],8))</f>
        <v>0</v>
      </c>
      <c r="Q560" s="56" t="s">
        <v>97</v>
      </c>
      <c r="R560" s="56">
        <f>HEX2DEC(RIGHT(Table1323212737[[#This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6" t="s">
        <v>97</v>
      </c>
      <c r="P561" s="56">
        <f>HEX2DEC(RIGHT(Table1323212737[[#This Row],[h1]],8))</f>
        <v>0</v>
      </c>
      <c r="Q561" s="56" t="s">
        <v>97</v>
      </c>
      <c r="R561" s="56">
        <f>HEX2DEC(RIGHT(Table1323212737[[#This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6" t="s">
        <v>97</v>
      </c>
      <c r="P562" s="56">
        <f>HEX2DEC(RIGHT(Table1323212737[[#This Row],[h1]],8))</f>
        <v>0</v>
      </c>
      <c r="Q562" s="56" t="s">
        <v>97</v>
      </c>
      <c r="R562" s="56">
        <f>HEX2DEC(RIGHT(Table1323212737[[#This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6" t="s">
        <v>97</v>
      </c>
      <c r="P563" s="56">
        <f>HEX2DEC(RIGHT(Table1323212737[[#This Row],[h1]],8))</f>
        <v>0</v>
      </c>
      <c r="Q563" s="56" t="s">
        <v>97</v>
      </c>
      <c r="R563" s="56">
        <f>HEX2DEC(RIGHT(Table1323212737[[#This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6" t="s">
        <v>97</v>
      </c>
      <c r="P564" s="56">
        <f>HEX2DEC(RIGHT(Table1323212737[[#This Row],[h1]],8))</f>
        <v>0</v>
      </c>
      <c r="Q564" s="56" t="s">
        <v>97</v>
      </c>
      <c r="R564" s="56">
        <f>HEX2DEC(RIGHT(Table1323212737[[#This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6" t="s">
        <v>97</v>
      </c>
      <c r="P565" s="56">
        <f>HEX2DEC(RIGHT(Table1323212737[[#This Row],[h1]],8))</f>
        <v>0</v>
      </c>
      <c r="Q565" s="56" t="s">
        <v>97</v>
      </c>
      <c r="R565" s="56">
        <f>HEX2DEC(RIGHT(Table1323212737[[#This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6" t="s">
        <v>97</v>
      </c>
      <c r="P566" s="56">
        <f>HEX2DEC(RIGHT(Table1323212737[[#This Row],[h1]],8))</f>
        <v>0</v>
      </c>
      <c r="Q566" s="56" t="s">
        <v>97</v>
      </c>
      <c r="R566" s="56">
        <f>HEX2DEC(RIGHT(Table1323212737[[#This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6" t="s">
        <v>97</v>
      </c>
      <c r="P567" s="56">
        <f>HEX2DEC(RIGHT(Table1323212737[[#This Row],[h1]],8))</f>
        <v>0</v>
      </c>
      <c r="Q567" s="56" t="s">
        <v>97</v>
      </c>
      <c r="R567" s="56">
        <f>HEX2DEC(RIGHT(Table1323212737[[#This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6" t="s">
        <v>97</v>
      </c>
      <c r="P568" s="56">
        <f>HEX2DEC(RIGHT(Table1323212737[[#This Row],[h1]],8))</f>
        <v>0</v>
      </c>
      <c r="Q568" s="56" t="s">
        <v>97</v>
      </c>
      <c r="R568" s="56">
        <f>HEX2DEC(RIGHT(Table1323212737[[#This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6" t="s">
        <v>97</v>
      </c>
      <c r="P569" s="56">
        <f>HEX2DEC(RIGHT(Table1323212737[[#This Row],[h1]],8))</f>
        <v>0</v>
      </c>
      <c r="Q569" s="56" t="s">
        <v>97</v>
      </c>
      <c r="R569" s="56">
        <f>HEX2DEC(RIGHT(Table1323212737[[#This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6" t="s">
        <v>97</v>
      </c>
      <c r="P570" s="56">
        <f>HEX2DEC(RIGHT(Table1323212737[[#This Row],[h1]],8))</f>
        <v>0</v>
      </c>
      <c r="Q570" s="56" t="s">
        <v>97</v>
      </c>
      <c r="R570" s="56">
        <f>HEX2DEC(RIGHT(Table1323212737[[#This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6" t="s">
        <v>97</v>
      </c>
      <c r="P571" s="56">
        <f>HEX2DEC(RIGHT(Table1323212737[[#This Row],[h1]],8))</f>
        <v>0</v>
      </c>
      <c r="Q571" s="56" t="s">
        <v>97</v>
      </c>
      <c r="R571" s="56">
        <f>HEX2DEC(RIGHT(Table1323212737[[#This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6" t="s">
        <v>97</v>
      </c>
      <c r="P572" s="56">
        <f>HEX2DEC(RIGHT(Table1323212737[[#This Row],[h1]],8))</f>
        <v>0</v>
      </c>
      <c r="Q572" s="56" t="s">
        <v>97</v>
      </c>
      <c r="R572" s="56">
        <f>HEX2DEC(RIGHT(Table1323212737[[#This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6" t="s">
        <v>97</v>
      </c>
      <c r="P573" s="56">
        <f>HEX2DEC(RIGHT(Table1323212737[[#This Row],[h1]],8))</f>
        <v>0</v>
      </c>
      <c r="Q573" s="56" t="s">
        <v>97</v>
      </c>
      <c r="R573" s="56">
        <f>HEX2DEC(RIGHT(Table1323212737[[#This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6" t="s">
        <v>97</v>
      </c>
      <c r="P574" s="56">
        <f>HEX2DEC(RIGHT(Table1323212737[[#This Row],[h1]],8))</f>
        <v>0</v>
      </c>
      <c r="Q574" s="56" t="s">
        <v>97</v>
      </c>
      <c r="R574" s="56">
        <f>HEX2DEC(RIGHT(Table1323212737[[#This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6" t="s">
        <v>97</v>
      </c>
      <c r="P575" s="56">
        <f>HEX2DEC(RIGHT(Table1323212737[[#This Row],[h1]],8))</f>
        <v>0</v>
      </c>
      <c r="Q575" s="56" t="s">
        <v>97</v>
      </c>
      <c r="R575" s="56">
        <f>HEX2DEC(RIGHT(Table1323212737[[#This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6" t="s">
        <v>97</v>
      </c>
      <c r="P576" s="56">
        <f>HEX2DEC(RIGHT(Table1323212737[[#This Row],[h1]],8))</f>
        <v>0</v>
      </c>
      <c r="Q576" s="56" t="s">
        <v>97</v>
      </c>
      <c r="R576" s="56">
        <f>HEX2DEC(RIGHT(Table1323212737[[#This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6" t="s">
        <v>97</v>
      </c>
      <c r="P577" s="56">
        <f>HEX2DEC(RIGHT(Table1323212737[[#This Row],[h1]],8))</f>
        <v>0</v>
      </c>
      <c r="Q577" s="56" t="s">
        <v>97</v>
      </c>
      <c r="R577" s="56">
        <f>HEX2DEC(RIGHT(Table1323212737[[#This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6" t="s">
        <v>97</v>
      </c>
      <c r="P578" s="56">
        <f>HEX2DEC(RIGHT(Table1323212737[[#This Row],[h1]],8))</f>
        <v>0</v>
      </c>
      <c r="Q578" s="56" t="s">
        <v>97</v>
      </c>
      <c r="R578" s="56">
        <f>HEX2DEC(RIGHT(Table1323212737[[#This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6" t="s">
        <v>97</v>
      </c>
      <c r="P579" s="56">
        <f>HEX2DEC(RIGHT(Table1323212737[[#This Row],[h1]],8))</f>
        <v>0</v>
      </c>
      <c r="Q579" s="56" t="s">
        <v>97</v>
      </c>
      <c r="R579" s="56">
        <f>HEX2DEC(RIGHT(Table1323212737[[#This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6" t="s">
        <v>97</v>
      </c>
      <c r="P580" s="56">
        <f>HEX2DEC(RIGHT(Table1323212737[[#This Row],[h1]],8))</f>
        <v>0</v>
      </c>
      <c r="Q580" s="56" t="s">
        <v>97</v>
      </c>
      <c r="R580" s="56">
        <f>HEX2DEC(RIGHT(Table1323212737[[#This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6" t="s">
        <v>97</v>
      </c>
      <c r="P581" s="56">
        <f>HEX2DEC(RIGHT(Table1323212737[[#This Row],[h1]],8))</f>
        <v>0</v>
      </c>
      <c r="Q581" s="56" t="s">
        <v>97</v>
      </c>
      <c r="R581" s="56">
        <f>HEX2DEC(RIGHT(Table1323212737[[#This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6" t="s">
        <v>97</v>
      </c>
      <c r="P582" s="56">
        <f>HEX2DEC(RIGHT(Table1323212737[[#This Row],[h1]],8))</f>
        <v>0</v>
      </c>
      <c r="Q582" s="56" t="s">
        <v>97</v>
      </c>
      <c r="R582" s="56">
        <f>HEX2DEC(RIGHT(Table1323212737[[#This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6" t="s">
        <v>97</v>
      </c>
      <c r="P583" s="56">
        <f>HEX2DEC(RIGHT(Table1323212737[[#This Row],[h1]],8))</f>
        <v>0</v>
      </c>
      <c r="Q583" s="56" t="s">
        <v>97</v>
      </c>
      <c r="R583" s="56">
        <f>HEX2DEC(RIGHT(Table1323212737[[#This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6" t="s">
        <v>97</v>
      </c>
      <c r="P584" s="56">
        <f>HEX2DEC(RIGHT(Table1323212737[[#This Row],[h1]],8))</f>
        <v>0</v>
      </c>
      <c r="Q584" s="56" t="s">
        <v>97</v>
      </c>
      <c r="R584" s="56">
        <f>HEX2DEC(RIGHT(Table1323212737[[#This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6" t="s">
        <v>97</v>
      </c>
      <c r="P585" s="56">
        <f>HEX2DEC(RIGHT(Table1323212737[[#This Row],[h1]],8))</f>
        <v>0</v>
      </c>
      <c r="Q585" s="56" t="s">
        <v>97</v>
      </c>
      <c r="R585" s="56">
        <f>HEX2DEC(RIGHT(Table1323212737[[#This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6" t="s">
        <v>97</v>
      </c>
      <c r="P586" s="56">
        <f>HEX2DEC(RIGHT(Table1323212737[[#This Row],[h1]],8))</f>
        <v>0</v>
      </c>
      <c r="Q586" s="56" t="s">
        <v>97</v>
      </c>
      <c r="R586" s="56">
        <f>HEX2DEC(RIGHT(Table1323212737[[#This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6" t="s">
        <v>97</v>
      </c>
      <c r="P587" s="56">
        <f>HEX2DEC(RIGHT(Table1323212737[[#This Row],[h1]],8))</f>
        <v>0</v>
      </c>
      <c r="Q587" s="56" t="s">
        <v>97</v>
      </c>
      <c r="R587" s="56">
        <f>HEX2DEC(RIGHT(Table1323212737[[#This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6" t="s">
        <v>97</v>
      </c>
      <c r="P588" s="56">
        <f>HEX2DEC(RIGHT(Table1323212737[[#This Row],[h1]],8))</f>
        <v>0</v>
      </c>
      <c r="Q588" s="56" t="s">
        <v>97</v>
      </c>
      <c r="R588" s="56">
        <f>HEX2DEC(RIGHT(Table1323212737[[#This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6" t="s">
        <v>97</v>
      </c>
      <c r="P589" s="56">
        <f>HEX2DEC(RIGHT(Table1323212737[[#This Row],[h1]],8))</f>
        <v>0</v>
      </c>
      <c r="Q589" s="56" t="s">
        <v>97</v>
      </c>
      <c r="R589" s="56">
        <f>HEX2DEC(RIGHT(Table1323212737[[#This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6" t="s">
        <v>97</v>
      </c>
      <c r="P590" s="56">
        <f>HEX2DEC(RIGHT(Table1323212737[[#This Row],[h1]],8))</f>
        <v>0</v>
      </c>
      <c r="Q590" s="56" t="s">
        <v>97</v>
      </c>
      <c r="R590" s="56">
        <f>HEX2DEC(RIGHT(Table1323212737[[#This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6" t="s">
        <v>97</v>
      </c>
      <c r="P591" s="56">
        <f>HEX2DEC(RIGHT(Table1323212737[[#This Row],[h1]],8))</f>
        <v>0</v>
      </c>
      <c r="Q591" s="56" t="s">
        <v>97</v>
      </c>
      <c r="R591" s="56">
        <f>HEX2DEC(RIGHT(Table1323212737[[#This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6" t="s">
        <v>97</v>
      </c>
      <c r="P592" s="56">
        <f>HEX2DEC(RIGHT(Table1323212737[[#This Row],[h1]],8))</f>
        <v>0</v>
      </c>
      <c r="Q592" s="56" t="s">
        <v>97</v>
      </c>
      <c r="R592" s="56">
        <f>HEX2DEC(RIGHT(Table1323212737[[#This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6" t="s">
        <v>97</v>
      </c>
      <c r="P593" s="56">
        <f>HEX2DEC(RIGHT(Table1323212737[[#This Row],[h1]],8))</f>
        <v>0</v>
      </c>
      <c r="Q593" s="56" t="s">
        <v>97</v>
      </c>
      <c r="R593" s="56">
        <f>HEX2DEC(RIGHT(Table1323212737[[#This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6" t="s">
        <v>97</v>
      </c>
      <c r="P594" s="56">
        <f>HEX2DEC(RIGHT(Table1323212737[[#This Row],[h1]],8))</f>
        <v>0</v>
      </c>
      <c r="Q594" s="56" t="s">
        <v>97</v>
      </c>
      <c r="R594" s="56">
        <f>HEX2DEC(RIGHT(Table1323212737[[#This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6" t="s">
        <v>97</v>
      </c>
      <c r="P595" s="56">
        <f>HEX2DEC(RIGHT(Table1323212737[[#This Row],[h1]],8))</f>
        <v>0</v>
      </c>
      <c r="Q595" s="56" t="s">
        <v>97</v>
      </c>
      <c r="R595" s="56">
        <f>HEX2DEC(RIGHT(Table1323212737[[#This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6" t="s">
        <v>97</v>
      </c>
      <c r="P596" s="56">
        <f>HEX2DEC(RIGHT(Table1323212737[[#This Row],[h1]],8))</f>
        <v>0</v>
      </c>
      <c r="Q596" s="56" t="s">
        <v>97</v>
      </c>
      <c r="R596" s="56">
        <f>HEX2DEC(RIGHT(Table1323212737[[#This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6" t="s">
        <v>97</v>
      </c>
      <c r="P597" s="56">
        <f>HEX2DEC(RIGHT(Table1323212737[[#This Row],[h1]],8))</f>
        <v>0</v>
      </c>
      <c r="Q597" s="56" t="s">
        <v>97</v>
      </c>
      <c r="R597" s="56">
        <f>HEX2DEC(RIGHT(Table1323212737[[#This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6" t="s">
        <v>97</v>
      </c>
      <c r="P598" s="56">
        <f>HEX2DEC(RIGHT(Table1323212737[[#This Row],[h1]],8))</f>
        <v>0</v>
      </c>
      <c r="Q598" s="56" t="s">
        <v>97</v>
      </c>
      <c r="R598" s="56">
        <f>HEX2DEC(RIGHT(Table1323212737[[#This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6" t="s">
        <v>97</v>
      </c>
      <c r="P599" s="56">
        <f>HEX2DEC(RIGHT(Table1323212737[[#This Row],[h1]],8))</f>
        <v>0</v>
      </c>
      <c r="Q599" s="56" t="s">
        <v>97</v>
      </c>
      <c r="R599" s="56">
        <f>HEX2DEC(RIGHT(Table1323212737[[#This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6" t="s">
        <v>97</v>
      </c>
      <c r="P600" s="56">
        <f>HEX2DEC(RIGHT(Table1323212737[[#This Row],[h1]],8))</f>
        <v>0</v>
      </c>
      <c r="Q600" s="56" t="s">
        <v>97</v>
      </c>
      <c r="R600" s="56">
        <f>HEX2DEC(RIGHT(Table1323212737[[#This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6" t="s">
        <v>97</v>
      </c>
      <c r="P601" s="56">
        <f>HEX2DEC(RIGHT(Table1323212737[[#This Row],[h1]],8))</f>
        <v>0</v>
      </c>
      <c r="Q601" s="56" t="s">
        <v>97</v>
      </c>
      <c r="R601" s="56">
        <f>HEX2DEC(RIGHT(Table1323212737[[#This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6" t="s">
        <v>97</v>
      </c>
      <c r="P602" s="56">
        <f>HEX2DEC(RIGHT(Table1323212737[[#This Row],[h1]],8))</f>
        <v>0</v>
      </c>
      <c r="Q602" s="56" t="s">
        <v>97</v>
      </c>
      <c r="R602" s="56">
        <f>HEX2DEC(RIGHT(Table1323212737[[#This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6" t="s">
        <v>97</v>
      </c>
      <c r="P603" s="56">
        <f>HEX2DEC(RIGHT(Table1323212737[[#This Row],[h1]],8))</f>
        <v>0</v>
      </c>
      <c r="Q603" s="56" t="s">
        <v>97</v>
      </c>
      <c r="R603" s="56">
        <f>HEX2DEC(RIGHT(Table1323212737[[#This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6" t="s">
        <v>97</v>
      </c>
      <c r="P604" s="56">
        <f>HEX2DEC(RIGHT(Table1323212737[[#This Row],[h1]],8))</f>
        <v>0</v>
      </c>
      <c r="Q604" s="56" t="s">
        <v>97</v>
      </c>
      <c r="R604" s="56">
        <f>HEX2DEC(RIGHT(Table1323212737[[#This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6" t="s">
        <v>97</v>
      </c>
      <c r="P605" s="56">
        <f>HEX2DEC(RIGHT(Table1323212737[[#This Row],[h1]],8))</f>
        <v>0</v>
      </c>
      <c r="Q605" s="56" t="s">
        <v>97</v>
      </c>
      <c r="R605" s="56">
        <f>HEX2DEC(RIGHT(Table1323212737[[#This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6" t="s">
        <v>97</v>
      </c>
      <c r="P606" s="56">
        <f>HEX2DEC(RIGHT(Table1323212737[[#This Row],[h1]],8))</f>
        <v>0</v>
      </c>
      <c r="Q606" s="56" t="s">
        <v>97</v>
      </c>
      <c r="R606" s="56">
        <f>HEX2DEC(RIGHT(Table1323212737[[#This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6" t="s">
        <v>97</v>
      </c>
      <c r="P607" s="56">
        <f>HEX2DEC(RIGHT(Table1323212737[[#This Row],[h1]],8))</f>
        <v>0</v>
      </c>
      <c r="Q607" s="56" t="s">
        <v>97</v>
      </c>
      <c r="R607" s="56">
        <f>HEX2DEC(RIGHT(Table1323212737[[#This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6" t="s">
        <v>97</v>
      </c>
      <c r="P608" s="56">
        <f>HEX2DEC(RIGHT(Table1323212737[[#This Row],[h1]],8))</f>
        <v>0</v>
      </c>
      <c r="Q608" s="56" t="s">
        <v>97</v>
      </c>
      <c r="R608" s="56">
        <f>HEX2DEC(RIGHT(Table1323212737[[#This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6" t="s">
        <v>97</v>
      </c>
      <c r="P609" s="56">
        <f>HEX2DEC(RIGHT(Table1323212737[[#This Row],[h1]],8))</f>
        <v>0</v>
      </c>
      <c r="Q609" s="56" t="s">
        <v>97</v>
      </c>
      <c r="R609" s="56">
        <f>HEX2DEC(RIGHT(Table1323212737[[#This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6" t="s">
        <v>97</v>
      </c>
      <c r="P610" s="56">
        <f>HEX2DEC(RIGHT(Table1323212737[[#This Row],[h1]],8))</f>
        <v>0</v>
      </c>
      <c r="Q610" s="56" t="s">
        <v>97</v>
      </c>
      <c r="R610" s="56">
        <f>HEX2DEC(RIGHT(Table1323212737[[#This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6" t="s">
        <v>97</v>
      </c>
      <c r="P611" s="56">
        <f>HEX2DEC(RIGHT(Table1323212737[[#This Row],[h1]],8))</f>
        <v>0</v>
      </c>
      <c r="Q611" s="56" t="s">
        <v>97</v>
      </c>
      <c r="R611" s="56">
        <f>HEX2DEC(RIGHT(Table1323212737[[#This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6" t="s">
        <v>97</v>
      </c>
      <c r="P612" s="56">
        <f>HEX2DEC(RIGHT(Table1323212737[[#This Row],[h1]],8))</f>
        <v>0</v>
      </c>
      <c r="Q612" s="56" t="s">
        <v>97</v>
      </c>
      <c r="R612" s="56">
        <f>HEX2DEC(RIGHT(Table1323212737[[#This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6" t="s">
        <v>97</v>
      </c>
      <c r="P613" s="56">
        <f>HEX2DEC(RIGHT(Table1323212737[[#This Row],[h1]],8))</f>
        <v>0</v>
      </c>
      <c r="Q613" s="56" t="s">
        <v>97</v>
      </c>
      <c r="R613" s="56">
        <f>HEX2DEC(RIGHT(Table1323212737[[#This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6" t="s">
        <v>97</v>
      </c>
      <c r="P614" s="56">
        <f>HEX2DEC(RIGHT(Table1323212737[[#This Row],[h1]],8))</f>
        <v>0</v>
      </c>
      <c r="Q614" s="56" t="s">
        <v>97</v>
      </c>
      <c r="R614" s="56">
        <f>HEX2DEC(RIGHT(Table1323212737[[#This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6" t="s">
        <v>97</v>
      </c>
      <c r="P615" s="56">
        <f>HEX2DEC(RIGHT(Table1323212737[[#This Row],[h1]],8))</f>
        <v>0</v>
      </c>
      <c r="Q615" s="56" t="s">
        <v>97</v>
      </c>
      <c r="R615" s="56">
        <f>HEX2DEC(RIGHT(Table1323212737[[#This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6" t="s">
        <v>97</v>
      </c>
      <c r="P616" s="56">
        <f>HEX2DEC(RIGHT(Table1323212737[[#This Row],[h1]],8))</f>
        <v>0</v>
      </c>
      <c r="Q616" s="56" t="s">
        <v>97</v>
      </c>
      <c r="R616" s="56">
        <f>HEX2DEC(RIGHT(Table1323212737[[#This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6" t="s">
        <v>97</v>
      </c>
      <c r="P617" s="56">
        <f>HEX2DEC(RIGHT(Table1323212737[[#This Row],[h1]],8))</f>
        <v>0</v>
      </c>
      <c r="Q617" s="56" t="s">
        <v>97</v>
      </c>
      <c r="R617" s="56">
        <f>HEX2DEC(RIGHT(Table1323212737[[#This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6" t="s">
        <v>97</v>
      </c>
      <c r="P618" s="56">
        <f>HEX2DEC(RIGHT(Table1323212737[[#This Row],[h1]],8))</f>
        <v>0</v>
      </c>
      <c r="Q618" s="56" t="s">
        <v>97</v>
      </c>
      <c r="R618" s="56">
        <f>HEX2DEC(RIGHT(Table1323212737[[#This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6" t="s">
        <v>97</v>
      </c>
      <c r="P619" s="56">
        <f>HEX2DEC(RIGHT(Table1323212737[[#This Row],[h1]],8))</f>
        <v>0</v>
      </c>
      <c r="Q619" s="56" t="s">
        <v>97</v>
      </c>
      <c r="R619" s="56">
        <f>HEX2DEC(RIGHT(Table1323212737[[#This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6" t="s">
        <v>97</v>
      </c>
      <c r="P620" s="56">
        <f>HEX2DEC(RIGHT(Table1323212737[[#This Row],[h1]],8))</f>
        <v>0</v>
      </c>
      <c r="Q620" s="56" t="s">
        <v>97</v>
      </c>
      <c r="R620" s="56">
        <f>HEX2DEC(RIGHT(Table1323212737[[#This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6" t="s">
        <v>97</v>
      </c>
      <c r="P621" s="56">
        <f>HEX2DEC(RIGHT(Table1323212737[[#This Row],[h1]],8))</f>
        <v>0</v>
      </c>
      <c r="Q621" s="56" t="s">
        <v>97</v>
      </c>
      <c r="R621" s="56">
        <f>HEX2DEC(RIGHT(Table1323212737[[#This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6" t="s">
        <v>97</v>
      </c>
      <c r="P622" s="56">
        <f>HEX2DEC(RIGHT(Table1323212737[[#This Row],[h1]],8))</f>
        <v>0</v>
      </c>
      <c r="Q622" s="56" t="s">
        <v>97</v>
      </c>
      <c r="R622" s="56">
        <f>HEX2DEC(RIGHT(Table1323212737[[#This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6" t="s">
        <v>97</v>
      </c>
      <c r="P623" s="56">
        <f>HEX2DEC(RIGHT(Table1323212737[[#This Row],[h1]],8))</f>
        <v>0</v>
      </c>
      <c r="Q623" s="56" t="s">
        <v>97</v>
      </c>
      <c r="R623" s="56">
        <f>HEX2DEC(RIGHT(Table1323212737[[#This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6" t="s">
        <v>97</v>
      </c>
      <c r="P624" s="56">
        <f>HEX2DEC(RIGHT(Table1323212737[[#This Row],[h1]],8))</f>
        <v>0</v>
      </c>
      <c r="Q624" s="56" t="s">
        <v>97</v>
      </c>
      <c r="R624" s="56">
        <f>HEX2DEC(RIGHT(Table1323212737[[#This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6" t="s">
        <v>97</v>
      </c>
      <c r="P625" s="56">
        <f>HEX2DEC(RIGHT(Table1323212737[[#This Row],[h1]],8))</f>
        <v>0</v>
      </c>
      <c r="Q625" s="56" t="s">
        <v>97</v>
      </c>
      <c r="R625" s="56">
        <f>HEX2DEC(RIGHT(Table1323212737[[#This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6" t="s">
        <v>97</v>
      </c>
      <c r="P626" s="56">
        <f>HEX2DEC(RIGHT(Table1323212737[[#This Row],[h1]],8))</f>
        <v>0</v>
      </c>
      <c r="Q626" s="56" t="s">
        <v>97</v>
      </c>
      <c r="R626" s="56">
        <f>HEX2DEC(RIGHT(Table1323212737[[#This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6" t="s">
        <v>97</v>
      </c>
      <c r="P627" s="56">
        <f>HEX2DEC(RIGHT(Table1323212737[[#This Row],[h1]],8))</f>
        <v>0</v>
      </c>
      <c r="Q627" s="56" t="s">
        <v>97</v>
      </c>
      <c r="R627" s="56">
        <f>HEX2DEC(RIGHT(Table1323212737[[#This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6" t="s">
        <v>97</v>
      </c>
      <c r="P628" s="56">
        <f>HEX2DEC(RIGHT(Table1323212737[[#This Row],[h1]],8))</f>
        <v>0</v>
      </c>
      <c r="Q628" s="56" t="s">
        <v>97</v>
      </c>
      <c r="R628" s="56">
        <f>HEX2DEC(RIGHT(Table1323212737[[#This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6" t="s">
        <v>97</v>
      </c>
      <c r="P629" s="56">
        <f>HEX2DEC(RIGHT(Table1323212737[[#This Row],[h1]],8))</f>
        <v>0</v>
      </c>
      <c r="Q629" s="56" t="s">
        <v>97</v>
      </c>
      <c r="R629" s="56">
        <f>HEX2DEC(RIGHT(Table1323212737[[#This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6" t="s">
        <v>97</v>
      </c>
      <c r="P630" s="56">
        <f>HEX2DEC(RIGHT(Table1323212737[[#This Row],[h1]],8))</f>
        <v>0</v>
      </c>
      <c r="Q630" s="56" t="s">
        <v>97</v>
      </c>
      <c r="R630" s="56">
        <f>HEX2DEC(RIGHT(Table1323212737[[#This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6" t="s">
        <v>97</v>
      </c>
      <c r="P631" s="56">
        <f>HEX2DEC(RIGHT(Table1323212737[[#This Row],[h1]],8))</f>
        <v>0</v>
      </c>
      <c r="Q631" s="56" t="s">
        <v>97</v>
      </c>
      <c r="R631" s="56">
        <f>HEX2DEC(RIGHT(Table1323212737[[#This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6" t="s">
        <v>97</v>
      </c>
      <c r="P632" s="56">
        <f>HEX2DEC(RIGHT(Table1323212737[[#This Row],[h1]],8))</f>
        <v>0</v>
      </c>
      <c r="Q632" s="56" t="s">
        <v>97</v>
      </c>
      <c r="R632" s="56">
        <f>HEX2DEC(RIGHT(Table1323212737[[#This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6" t="s">
        <v>97</v>
      </c>
      <c r="P633" s="56">
        <f>HEX2DEC(RIGHT(Table1323212737[[#This Row],[h1]],8))</f>
        <v>0</v>
      </c>
      <c r="Q633" s="56" t="s">
        <v>97</v>
      </c>
      <c r="R633" s="56">
        <f>HEX2DEC(RIGHT(Table1323212737[[#This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6" t="s">
        <v>97</v>
      </c>
      <c r="P634" s="56">
        <f>HEX2DEC(RIGHT(Table1323212737[[#This Row],[h1]],8))</f>
        <v>0</v>
      </c>
      <c r="Q634" s="56" t="s">
        <v>97</v>
      </c>
      <c r="R634" s="56">
        <f>HEX2DEC(RIGHT(Table1323212737[[#This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6" t="s">
        <v>97</v>
      </c>
      <c r="P635" s="56">
        <f>HEX2DEC(RIGHT(Table1323212737[[#This Row],[h1]],8))</f>
        <v>0</v>
      </c>
      <c r="Q635" s="56" t="s">
        <v>97</v>
      </c>
      <c r="R635" s="56">
        <f>HEX2DEC(RIGHT(Table1323212737[[#This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6" t="s">
        <v>97</v>
      </c>
      <c r="P636" s="56">
        <f>HEX2DEC(RIGHT(Table1323212737[[#This Row],[h1]],8))</f>
        <v>0</v>
      </c>
      <c r="Q636" s="56" t="s">
        <v>97</v>
      </c>
      <c r="R636" s="56">
        <f>HEX2DEC(RIGHT(Table1323212737[[#This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6" t="s">
        <v>97</v>
      </c>
      <c r="P637" s="56">
        <f>HEX2DEC(RIGHT(Table1323212737[[#This Row],[h1]],8))</f>
        <v>0</v>
      </c>
      <c r="Q637" s="56" t="s">
        <v>97</v>
      </c>
      <c r="R637" s="56">
        <f>HEX2DEC(RIGHT(Table1323212737[[#This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6" t="s">
        <v>97</v>
      </c>
      <c r="P638" s="56">
        <f>HEX2DEC(RIGHT(Table1323212737[[#This Row],[h1]],8))</f>
        <v>0</v>
      </c>
      <c r="Q638" s="56" t="s">
        <v>97</v>
      </c>
      <c r="R638" s="56">
        <f>HEX2DEC(RIGHT(Table1323212737[[#This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6" t="s">
        <v>97</v>
      </c>
      <c r="P639" s="56">
        <f>HEX2DEC(RIGHT(Table1323212737[[#This Row],[h1]],8))</f>
        <v>0</v>
      </c>
      <c r="Q639" s="56" t="s">
        <v>97</v>
      </c>
      <c r="R639" s="56">
        <f>HEX2DEC(RIGHT(Table1323212737[[#This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6" t="s">
        <v>97</v>
      </c>
      <c r="P640" s="56">
        <f>HEX2DEC(RIGHT(Table1323212737[[#This Row],[h1]],8))</f>
        <v>0</v>
      </c>
      <c r="Q640" s="56" t="s">
        <v>97</v>
      </c>
      <c r="R640" s="56">
        <f>HEX2DEC(RIGHT(Table1323212737[[#This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6" t="s">
        <v>97</v>
      </c>
      <c r="P641" s="56">
        <f>HEX2DEC(RIGHT(Table1323212737[[#This Row],[h1]],8))</f>
        <v>0</v>
      </c>
      <c r="Q641" s="56" t="s">
        <v>97</v>
      </c>
      <c r="R641" s="56">
        <f>HEX2DEC(RIGHT(Table1323212737[[#This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6" t="s">
        <v>97</v>
      </c>
      <c r="P642" s="56">
        <f>HEX2DEC(RIGHT(Table1323212737[[#This Row],[h1]],8))</f>
        <v>0</v>
      </c>
      <c r="Q642" s="56" t="s">
        <v>97</v>
      </c>
      <c r="R642" s="56">
        <f>HEX2DEC(RIGHT(Table1323212737[[#This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6" t="s">
        <v>97</v>
      </c>
      <c r="P643" s="56">
        <f>HEX2DEC(RIGHT(Table1323212737[[#This Row],[h1]],8))</f>
        <v>0</v>
      </c>
      <c r="Q643" s="56" t="s">
        <v>97</v>
      </c>
      <c r="R643" s="56">
        <f>HEX2DEC(RIGHT(Table1323212737[[#This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6" t="s">
        <v>97</v>
      </c>
      <c r="P644" s="56">
        <f>HEX2DEC(RIGHT(Table1323212737[[#This Row],[h1]],8))</f>
        <v>0</v>
      </c>
      <c r="Q644" s="56" t="s">
        <v>97</v>
      </c>
      <c r="R644" s="56">
        <f>HEX2DEC(RIGHT(Table1323212737[[#This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6" t="s">
        <v>97</v>
      </c>
      <c r="P645" s="56">
        <f>HEX2DEC(RIGHT(Table1323212737[[#This Row],[h1]],8))</f>
        <v>0</v>
      </c>
      <c r="Q645" s="56" t="s">
        <v>97</v>
      </c>
      <c r="R645" s="56">
        <f>HEX2DEC(RIGHT(Table1323212737[[#This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6" t="s">
        <v>97</v>
      </c>
      <c r="P646" s="56">
        <f>HEX2DEC(RIGHT(Table1323212737[[#This Row],[h1]],8))</f>
        <v>0</v>
      </c>
      <c r="Q646" s="56" t="s">
        <v>97</v>
      </c>
      <c r="R646" s="56">
        <f>HEX2DEC(RIGHT(Table1323212737[[#This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6" t="s">
        <v>97</v>
      </c>
      <c r="P647" s="56">
        <f>HEX2DEC(RIGHT(Table1323212737[[#This Row],[h1]],8))</f>
        <v>0</v>
      </c>
      <c r="Q647" s="56" t="s">
        <v>97</v>
      </c>
      <c r="R647" s="56">
        <f>HEX2DEC(RIGHT(Table1323212737[[#This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6" t="s">
        <v>97</v>
      </c>
      <c r="P648" s="56">
        <f>HEX2DEC(RIGHT(Table1323212737[[#This Row],[h1]],8))</f>
        <v>0</v>
      </c>
      <c r="Q648" s="56" t="s">
        <v>97</v>
      </c>
      <c r="R648" s="56">
        <f>HEX2DEC(RIGHT(Table1323212737[[#This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6" t="s">
        <v>97</v>
      </c>
      <c r="P649" s="56">
        <f>HEX2DEC(RIGHT(Table1323212737[[#This Row],[h1]],8))</f>
        <v>0</v>
      </c>
      <c r="Q649" s="56" t="s">
        <v>97</v>
      </c>
      <c r="R649" s="56">
        <f>HEX2DEC(RIGHT(Table1323212737[[#This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6" t="s">
        <v>97</v>
      </c>
      <c r="P650" s="56">
        <f>HEX2DEC(RIGHT(Table1323212737[[#This Row],[h1]],8))</f>
        <v>0</v>
      </c>
      <c r="Q650" s="56" t="s">
        <v>97</v>
      </c>
      <c r="R650" s="56">
        <f>HEX2DEC(RIGHT(Table1323212737[[#This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6" t="s">
        <v>97</v>
      </c>
      <c r="P651" s="56">
        <f>HEX2DEC(RIGHT(Table1323212737[[#This Row],[h1]],8))</f>
        <v>0</v>
      </c>
      <c r="Q651" s="56" t="s">
        <v>97</v>
      </c>
      <c r="R651" s="56">
        <f>HEX2DEC(RIGHT(Table1323212737[[#This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6" t="s">
        <v>97</v>
      </c>
      <c r="P652" s="56">
        <f>HEX2DEC(RIGHT(Table1323212737[[#This Row],[h1]],8))</f>
        <v>0</v>
      </c>
      <c r="Q652" s="56" t="s">
        <v>97</v>
      </c>
      <c r="R652" s="56">
        <f>HEX2DEC(RIGHT(Table1323212737[[#This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6" t="s">
        <v>97</v>
      </c>
      <c r="P653" s="56">
        <f>HEX2DEC(RIGHT(Table1323212737[[#This Row],[h1]],8))</f>
        <v>0</v>
      </c>
      <c r="Q653" s="56" t="s">
        <v>97</v>
      </c>
      <c r="R653" s="56">
        <f>HEX2DEC(RIGHT(Table1323212737[[#This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6" t="s">
        <v>97</v>
      </c>
      <c r="P654" s="56">
        <f>HEX2DEC(RIGHT(Table1323212737[[#This Row],[h1]],8))</f>
        <v>0</v>
      </c>
      <c r="Q654" s="56" t="s">
        <v>97</v>
      </c>
      <c r="R654" s="56">
        <f>HEX2DEC(RIGHT(Table1323212737[[#This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6" t="s">
        <v>97</v>
      </c>
      <c r="P655" s="56">
        <f>HEX2DEC(RIGHT(Table1323212737[[#This Row],[h1]],8))</f>
        <v>0</v>
      </c>
      <c r="Q655" s="56" t="s">
        <v>97</v>
      </c>
      <c r="R655" s="56">
        <f>HEX2DEC(RIGHT(Table1323212737[[#This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6" t="s">
        <v>97</v>
      </c>
      <c r="P656" s="56">
        <f>HEX2DEC(RIGHT(Table1323212737[[#This Row],[h1]],8))</f>
        <v>0</v>
      </c>
      <c r="Q656" s="56" t="s">
        <v>97</v>
      </c>
      <c r="R656" s="56">
        <f>HEX2DEC(RIGHT(Table1323212737[[#This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6" t="s">
        <v>97</v>
      </c>
      <c r="P657" s="56">
        <f>HEX2DEC(RIGHT(Table1323212737[[#This Row],[h1]],8))</f>
        <v>0</v>
      </c>
      <c r="Q657" s="56" t="s">
        <v>97</v>
      </c>
      <c r="R657" s="56">
        <f>HEX2DEC(RIGHT(Table1323212737[[#This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6" t="s">
        <v>97</v>
      </c>
      <c r="P658" s="56">
        <f>HEX2DEC(RIGHT(Table1323212737[[#This Row],[h1]],8))</f>
        <v>0</v>
      </c>
      <c r="Q658" s="56" t="s">
        <v>97</v>
      </c>
      <c r="R658" s="56">
        <f>HEX2DEC(RIGHT(Table1323212737[[#This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6" t="s">
        <v>97</v>
      </c>
      <c r="P659" s="56">
        <f>HEX2DEC(RIGHT(Table1323212737[[#This Row],[h1]],8))</f>
        <v>0</v>
      </c>
      <c r="Q659" s="56" t="s">
        <v>97</v>
      </c>
      <c r="R659" s="56">
        <f>HEX2DEC(RIGHT(Table1323212737[[#This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6" t="s">
        <v>97</v>
      </c>
      <c r="P660" s="56">
        <f>HEX2DEC(RIGHT(Table1323212737[[#This Row],[h1]],8))</f>
        <v>0</v>
      </c>
      <c r="Q660" s="56" t="s">
        <v>97</v>
      </c>
      <c r="R660" s="56">
        <f>HEX2DEC(RIGHT(Table1323212737[[#This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6" t="s">
        <v>97</v>
      </c>
      <c r="P661" s="56">
        <f>HEX2DEC(RIGHT(Table1323212737[[#This Row],[h1]],8))</f>
        <v>0</v>
      </c>
      <c r="Q661" s="56" t="s">
        <v>97</v>
      </c>
      <c r="R661" s="56">
        <f>HEX2DEC(RIGHT(Table1323212737[[#This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6" t="s">
        <v>97</v>
      </c>
      <c r="P662" s="56">
        <f>HEX2DEC(RIGHT(Table1323212737[[#This Row],[h1]],8))</f>
        <v>0</v>
      </c>
      <c r="Q662" s="56" t="s">
        <v>97</v>
      </c>
      <c r="R662" s="56">
        <f>HEX2DEC(RIGHT(Table1323212737[[#This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6" t="s">
        <v>97</v>
      </c>
      <c r="P663" s="56">
        <f>HEX2DEC(RIGHT(Table1323212737[[#This Row],[h1]],8))</f>
        <v>0</v>
      </c>
      <c r="Q663" s="56" t="s">
        <v>97</v>
      </c>
      <c r="R663" s="56">
        <f>HEX2DEC(RIGHT(Table1323212737[[#This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6" t="s">
        <v>97</v>
      </c>
      <c r="P664" s="56">
        <f>HEX2DEC(RIGHT(Table1323212737[[#This Row],[h1]],8))</f>
        <v>0</v>
      </c>
      <c r="Q664" s="56" t="s">
        <v>97</v>
      </c>
      <c r="R664" s="56">
        <f>HEX2DEC(RIGHT(Table1323212737[[#This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6" t="s">
        <v>97</v>
      </c>
      <c r="P665" s="56">
        <f>HEX2DEC(RIGHT(Table1323212737[[#This Row],[h1]],8))</f>
        <v>0</v>
      </c>
      <c r="Q665" s="56" t="s">
        <v>97</v>
      </c>
      <c r="R665" s="56">
        <f>HEX2DEC(RIGHT(Table1323212737[[#This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6" t="s">
        <v>97</v>
      </c>
      <c r="P666" s="56">
        <f>HEX2DEC(RIGHT(Table1323212737[[#This Row],[h1]],8))</f>
        <v>0</v>
      </c>
      <c r="Q666" s="56" t="s">
        <v>97</v>
      </c>
      <c r="R666" s="56">
        <f>HEX2DEC(RIGHT(Table1323212737[[#This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6" t="s">
        <v>97</v>
      </c>
      <c r="P667" s="56">
        <f>HEX2DEC(RIGHT(Table1323212737[[#This Row],[h1]],8))</f>
        <v>0</v>
      </c>
      <c r="Q667" s="56" t="s">
        <v>97</v>
      </c>
      <c r="R667" s="56">
        <f>HEX2DEC(RIGHT(Table1323212737[[#This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6" t="s">
        <v>97</v>
      </c>
      <c r="P668" s="56">
        <f>HEX2DEC(RIGHT(Table1323212737[[#This Row],[h1]],8))</f>
        <v>0</v>
      </c>
      <c r="Q668" s="56" t="s">
        <v>97</v>
      </c>
      <c r="R668" s="56">
        <f>HEX2DEC(RIGHT(Table1323212737[[#This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6" t="s">
        <v>97</v>
      </c>
      <c r="P669" s="56">
        <f>HEX2DEC(RIGHT(Table1323212737[[#This Row],[h1]],8))</f>
        <v>0</v>
      </c>
      <c r="Q669" s="56" t="s">
        <v>97</v>
      </c>
      <c r="R669" s="56">
        <f>HEX2DEC(RIGHT(Table1323212737[[#This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6" t="s">
        <v>97</v>
      </c>
      <c r="P670" s="56">
        <f>HEX2DEC(RIGHT(Table1323212737[[#This Row],[h1]],8))</f>
        <v>0</v>
      </c>
      <c r="Q670" s="56" t="s">
        <v>97</v>
      </c>
      <c r="R670" s="56">
        <f>HEX2DEC(RIGHT(Table1323212737[[#This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6" t="s">
        <v>97</v>
      </c>
      <c r="P671" s="56">
        <f>HEX2DEC(RIGHT(Table1323212737[[#This Row],[h1]],8))</f>
        <v>0</v>
      </c>
      <c r="Q671" s="56" t="s">
        <v>97</v>
      </c>
      <c r="R671" s="56">
        <f>HEX2DEC(RIGHT(Table1323212737[[#This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6" t="s">
        <v>97</v>
      </c>
      <c r="P672" s="56">
        <f>HEX2DEC(RIGHT(Table1323212737[[#This Row],[h1]],8))</f>
        <v>0</v>
      </c>
      <c r="Q672" s="56" t="s">
        <v>97</v>
      </c>
      <c r="R672" s="56">
        <f>HEX2DEC(RIGHT(Table1323212737[[#This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6" t="s">
        <v>97</v>
      </c>
      <c r="P673" s="56">
        <f>HEX2DEC(RIGHT(Table1323212737[[#This Row],[h1]],8))</f>
        <v>0</v>
      </c>
      <c r="Q673" s="56" t="s">
        <v>97</v>
      </c>
      <c r="R673" s="56">
        <f>HEX2DEC(RIGHT(Table1323212737[[#This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6" t="s">
        <v>97</v>
      </c>
      <c r="P674" s="56">
        <f>HEX2DEC(RIGHT(Table1323212737[[#This Row],[h1]],8))</f>
        <v>0</v>
      </c>
      <c r="Q674" s="56" t="s">
        <v>97</v>
      </c>
      <c r="R674" s="56">
        <f>HEX2DEC(RIGHT(Table1323212737[[#This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6" t="s">
        <v>97</v>
      </c>
      <c r="P675" s="56">
        <f>HEX2DEC(RIGHT(Table1323212737[[#This Row],[h1]],8))</f>
        <v>0</v>
      </c>
      <c r="Q675" s="56" t="s">
        <v>97</v>
      </c>
      <c r="R675" s="56">
        <f>HEX2DEC(RIGHT(Table1323212737[[#This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6" t="s">
        <v>97</v>
      </c>
      <c r="P676" s="56">
        <f>HEX2DEC(RIGHT(Table1323212737[[#This Row],[h1]],8))</f>
        <v>0</v>
      </c>
      <c r="Q676" s="56" t="s">
        <v>97</v>
      </c>
      <c r="R676" s="56">
        <f>HEX2DEC(RIGHT(Table1323212737[[#This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6" t="s">
        <v>97</v>
      </c>
      <c r="P677" s="56">
        <f>HEX2DEC(RIGHT(Table1323212737[[#This Row],[h1]],8))</f>
        <v>0</v>
      </c>
      <c r="Q677" s="56" t="s">
        <v>97</v>
      </c>
      <c r="R677" s="56">
        <f>HEX2DEC(RIGHT(Table1323212737[[#This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6" t="s">
        <v>97</v>
      </c>
      <c r="P678" s="56">
        <f>HEX2DEC(RIGHT(Table1323212737[[#This Row],[h1]],8))</f>
        <v>0</v>
      </c>
      <c r="Q678" s="56" t="s">
        <v>97</v>
      </c>
      <c r="R678" s="56">
        <f>HEX2DEC(RIGHT(Table1323212737[[#This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6" t="s">
        <v>97</v>
      </c>
      <c r="P679" s="56">
        <f>HEX2DEC(RIGHT(Table1323212737[[#This Row],[h1]],8))</f>
        <v>0</v>
      </c>
      <c r="Q679" s="56" t="s">
        <v>97</v>
      </c>
      <c r="R679" s="56">
        <f>HEX2DEC(RIGHT(Table1323212737[[#This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6" t="s">
        <v>97</v>
      </c>
      <c r="P680" s="56">
        <f>HEX2DEC(RIGHT(Table1323212737[[#This Row],[h1]],8))</f>
        <v>0</v>
      </c>
      <c r="Q680" s="56" t="s">
        <v>97</v>
      </c>
      <c r="R680" s="56">
        <f>HEX2DEC(RIGHT(Table1323212737[[#This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6" t="s">
        <v>97</v>
      </c>
      <c r="P681" s="56">
        <f>HEX2DEC(RIGHT(Table1323212737[[#This Row],[h1]],8))</f>
        <v>0</v>
      </c>
      <c r="Q681" s="56" t="s">
        <v>97</v>
      </c>
      <c r="R681" s="56">
        <f>HEX2DEC(RIGHT(Table1323212737[[#This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6" t="s">
        <v>97</v>
      </c>
      <c r="P682" s="56">
        <f>HEX2DEC(RIGHT(Table1323212737[[#This Row],[h1]],8))</f>
        <v>0</v>
      </c>
      <c r="Q682" s="56" t="s">
        <v>97</v>
      </c>
      <c r="R682" s="56">
        <f>HEX2DEC(RIGHT(Table1323212737[[#This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6" t="s">
        <v>97</v>
      </c>
      <c r="P683" s="56">
        <f>HEX2DEC(RIGHT(Table1323212737[[#This Row],[h1]],8))</f>
        <v>0</v>
      </c>
      <c r="Q683" s="56" t="s">
        <v>97</v>
      </c>
      <c r="R683" s="56">
        <f>HEX2DEC(RIGHT(Table1323212737[[#This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6" t="s">
        <v>97</v>
      </c>
      <c r="P684" s="56">
        <f>HEX2DEC(RIGHT(Table1323212737[[#This Row],[h1]],8))</f>
        <v>0</v>
      </c>
      <c r="Q684" s="56" t="s">
        <v>97</v>
      </c>
      <c r="R684" s="56">
        <f>HEX2DEC(RIGHT(Table1323212737[[#This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6" t="s">
        <v>97</v>
      </c>
      <c r="P685" s="56">
        <f>HEX2DEC(RIGHT(Table1323212737[[#This Row],[h1]],8))</f>
        <v>0</v>
      </c>
      <c r="Q685" s="56" t="s">
        <v>97</v>
      </c>
      <c r="R685" s="56">
        <f>HEX2DEC(RIGHT(Table1323212737[[#This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6" t="s">
        <v>97</v>
      </c>
      <c r="P686" s="56">
        <f>HEX2DEC(RIGHT(Table1323212737[[#This Row],[h1]],8))</f>
        <v>0</v>
      </c>
      <c r="Q686" s="56" t="s">
        <v>97</v>
      </c>
      <c r="R686" s="56">
        <f>HEX2DEC(RIGHT(Table1323212737[[#This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6" t="s">
        <v>97</v>
      </c>
      <c r="P687" s="56">
        <f>HEX2DEC(RIGHT(Table1323212737[[#This Row],[h1]],8))</f>
        <v>0</v>
      </c>
      <c r="Q687" s="56" t="s">
        <v>97</v>
      </c>
      <c r="R687" s="56">
        <f>HEX2DEC(RIGHT(Table1323212737[[#This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6" t="s">
        <v>97</v>
      </c>
      <c r="P688" s="56">
        <f>HEX2DEC(RIGHT(Table1323212737[[#This Row],[h1]],8))</f>
        <v>0</v>
      </c>
      <c r="Q688" s="56" t="s">
        <v>97</v>
      </c>
      <c r="R688" s="56">
        <f>HEX2DEC(RIGHT(Table1323212737[[#This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6" t="s">
        <v>97</v>
      </c>
      <c r="P689" s="56">
        <f>HEX2DEC(RIGHT(Table1323212737[[#This Row],[h1]],8))</f>
        <v>0</v>
      </c>
      <c r="Q689" s="56" t="s">
        <v>97</v>
      </c>
      <c r="R689" s="56">
        <f>HEX2DEC(RIGHT(Table1323212737[[#This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6" t="s">
        <v>97</v>
      </c>
      <c r="P690" s="56">
        <f>HEX2DEC(RIGHT(Table1323212737[[#This Row],[h1]],8))</f>
        <v>0</v>
      </c>
      <c r="Q690" s="56" t="s">
        <v>97</v>
      </c>
      <c r="R690" s="56">
        <f>HEX2DEC(RIGHT(Table1323212737[[#This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6" t="s">
        <v>97</v>
      </c>
      <c r="P691" s="56">
        <f>HEX2DEC(RIGHT(Table1323212737[[#This Row],[h1]],8))</f>
        <v>0</v>
      </c>
      <c r="Q691" s="56" t="s">
        <v>97</v>
      </c>
      <c r="R691" s="56">
        <f>HEX2DEC(RIGHT(Table1323212737[[#This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6" t="s">
        <v>97</v>
      </c>
      <c r="P692" s="56">
        <f>HEX2DEC(RIGHT(Table1323212737[[#This Row],[h1]],8))</f>
        <v>0</v>
      </c>
      <c r="Q692" s="56" t="s">
        <v>97</v>
      </c>
      <c r="R692" s="56">
        <f>HEX2DEC(RIGHT(Table1323212737[[#This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6" t="s">
        <v>97</v>
      </c>
      <c r="P693" s="56">
        <f>HEX2DEC(RIGHT(Table1323212737[[#This Row],[h1]],8))</f>
        <v>0</v>
      </c>
      <c r="Q693" s="56" t="s">
        <v>97</v>
      </c>
      <c r="R693" s="56">
        <f>HEX2DEC(RIGHT(Table1323212737[[#This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6" t="s">
        <v>97</v>
      </c>
      <c r="P694" s="56">
        <f>HEX2DEC(RIGHT(Table1323212737[[#This Row],[h1]],8))</f>
        <v>0</v>
      </c>
      <c r="Q694" s="56" t="s">
        <v>97</v>
      </c>
      <c r="R694" s="56">
        <f>HEX2DEC(RIGHT(Table1323212737[[#This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6" t="s">
        <v>97</v>
      </c>
      <c r="P695" s="56">
        <f>HEX2DEC(RIGHT(Table1323212737[[#This Row],[h1]],8))</f>
        <v>0</v>
      </c>
      <c r="Q695" s="56" t="s">
        <v>97</v>
      </c>
      <c r="R695" s="56">
        <f>HEX2DEC(RIGHT(Table1323212737[[#This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6" t="s">
        <v>97</v>
      </c>
      <c r="P696" s="56">
        <f>HEX2DEC(RIGHT(Table1323212737[[#This Row],[h1]],8))</f>
        <v>0</v>
      </c>
      <c r="Q696" s="56" t="s">
        <v>97</v>
      </c>
      <c r="R696" s="56">
        <f>HEX2DEC(RIGHT(Table1323212737[[#This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6" t="s">
        <v>97</v>
      </c>
      <c r="P697" s="56">
        <f>HEX2DEC(RIGHT(Table1323212737[[#This Row],[h1]],8))</f>
        <v>0</v>
      </c>
      <c r="Q697" s="56" t="s">
        <v>97</v>
      </c>
      <c r="R697" s="56">
        <f>HEX2DEC(RIGHT(Table1323212737[[#This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6" t="s">
        <v>97</v>
      </c>
      <c r="P698" s="56">
        <f>HEX2DEC(RIGHT(Table1323212737[[#This Row],[h1]],8))</f>
        <v>0</v>
      </c>
      <c r="Q698" s="56" t="s">
        <v>97</v>
      </c>
      <c r="R698" s="56">
        <f>HEX2DEC(RIGHT(Table1323212737[[#This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6" t="s">
        <v>97</v>
      </c>
      <c r="P699" s="56">
        <f>HEX2DEC(RIGHT(Table1323212737[[#This Row],[h1]],8))</f>
        <v>0</v>
      </c>
      <c r="Q699" s="56" t="s">
        <v>97</v>
      </c>
      <c r="R699" s="56">
        <f>HEX2DEC(RIGHT(Table1323212737[[#This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6" t="s">
        <v>97</v>
      </c>
      <c r="P700" s="56">
        <f>HEX2DEC(RIGHT(Table1323212737[[#This Row],[h1]],8))</f>
        <v>0</v>
      </c>
      <c r="Q700" s="56" t="s">
        <v>97</v>
      </c>
      <c r="R700" s="56">
        <f>HEX2DEC(RIGHT(Table1323212737[[#This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6" t="s">
        <v>97</v>
      </c>
      <c r="P701" s="56">
        <f>HEX2DEC(RIGHT(Table1323212737[[#This Row],[h1]],8))</f>
        <v>0</v>
      </c>
      <c r="Q701" s="56" t="s">
        <v>97</v>
      </c>
      <c r="R701" s="56">
        <f>HEX2DEC(RIGHT(Table1323212737[[#This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6" t="s">
        <v>97</v>
      </c>
      <c r="P702" s="56">
        <f>HEX2DEC(RIGHT(Table1323212737[[#This Row],[h1]],8))</f>
        <v>0</v>
      </c>
      <c r="Q702" s="56" t="s">
        <v>97</v>
      </c>
      <c r="R702" s="56">
        <f>HEX2DEC(RIGHT(Table1323212737[[#This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6" t="s">
        <v>97</v>
      </c>
      <c r="P703" s="56">
        <f>HEX2DEC(RIGHT(Table1323212737[[#This Row],[h1]],8))</f>
        <v>0</v>
      </c>
      <c r="Q703" s="56" t="s">
        <v>97</v>
      </c>
      <c r="R703" s="56">
        <f>HEX2DEC(RIGHT(Table1323212737[[#This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6" t="s">
        <v>97</v>
      </c>
      <c r="P704" s="56">
        <f>HEX2DEC(RIGHT(Table1323212737[[#This Row],[h1]],8))</f>
        <v>0</v>
      </c>
      <c r="Q704" s="56" t="s">
        <v>97</v>
      </c>
      <c r="R704" s="56">
        <f>HEX2DEC(RIGHT(Table1323212737[[#This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6" t="s">
        <v>97</v>
      </c>
      <c r="P705" s="56">
        <f>HEX2DEC(RIGHT(Table1323212737[[#This Row],[h1]],8))</f>
        <v>0</v>
      </c>
      <c r="Q705" s="56" t="s">
        <v>97</v>
      </c>
      <c r="R705" s="56">
        <f>HEX2DEC(RIGHT(Table1323212737[[#This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6" t="s">
        <v>97</v>
      </c>
      <c r="P706" s="56">
        <f>HEX2DEC(RIGHT(Table1323212737[[#This Row],[h1]],8))</f>
        <v>0</v>
      </c>
      <c r="Q706" s="56" t="s">
        <v>97</v>
      </c>
      <c r="R706" s="56">
        <f>HEX2DEC(RIGHT(Table1323212737[[#This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6" t="s">
        <v>97</v>
      </c>
      <c r="P707" s="56">
        <f>HEX2DEC(RIGHT(Table1323212737[[#This Row],[h1]],8))</f>
        <v>0</v>
      </c>
      <c r="Q707" s="56" t="s">
        <v>97</v>
      </c>
      <c r="R707" s="56">
        <f>HEX2DEC(RIGHT(Table1323212737[[#This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6" t="s">
        <v>97</v>
      </c>
      <c r="P708" s="56">
        <f>HEX2DEC(RIGHT(Table1323212737[[#This Row],[h1]],8))</f>
        <v>0</v>
      </c>
      <c r="Q708" s="56" t="s">
        <v>97</v>
      </c>
      <c r="R708" s="56">
        <f>HEX2DEC(RIGHT(Table1323212737[[#This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6" t="s">
        <v>97</v>
      </c>
      <c r="P709" s="56">
        <f>HEX2DEC(RIGHT(Table1323212737[[#This Row],[h1]],8))</f>
        <v>0</v>
      </c>
      <c r="Q709" s="56" t="s">
        <v>97</v>
      </c>
      <c r="R709" s="56">
        <f>HEX2DEC(RIGHT(Table1323212737[[#This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6" t="s">
        <v>97</v>
      </c>
      <c r="P710" s="56">
        <f>HEX2DEC(RIGHT(Table1323212737[[#This Row],[h1]],8))</f>
        <v>0</v>
      </c>
      <c r="Q710" s="56" t="s">
        <v>97</v>
      </c>
      <c r="R710" s="56">
        <f>HEX2DEC(RIGHT(Table1323212737[[#This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6" t="s">
        <v>97</v>
      </c>
      <c r="P711" s="56">
        <f>HEX2DEC(RIGHT(Table1323212737[[#This Row],[h1]],8))</f>
        <v>0</v>
      </c>
      <c r="Q711" s="56" t="s">
        <v>97</v>
      </c>
      <c r="R711" s="56">
        <f>HEX2DEC(RIGHT(Table1323212737[[#This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6" t="s">
        <v>97</v>
      </c>
      <c r="P712" s="56">
        <f>HEX2DEC(RIGHT(Table1323212737[[#This Row],[h1]],8))</f>
        <v>0</v>
      </c>
      <c r="Q712" s="56" t="s">
        <v>97</v>
      </c>
      <c r="R712" s="56">
        <f>HEX2DEC(RIGHT(Table1323212737[[#This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6" t="s">
        <v>97</v>
      </c>
      <c r="P713" s="56">
        <f>HEX2DEC(RIGHT(Table1323212737[[#This Row],[h1]],8))</f>
        <v>0</v>
      </c>
      <c r="Q713" s="56" t="s">
        <v>97</v>
      </c>
      <c r="R713" s="56">
        <f>HEX2DEC(RIGHT(Table1323212737[[#This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6" t="s">
        <v>97</v>
      </c>
      <c r="P714" s="56">
        <f>HEX2DEC(RIGHT(Table1323212737[[#This Row],[h1]],8))</f>
        <v>0</v>
      </c>
      <c r="Q714" s="56" t="s">
        <v>97</v>
      </c>
      <c r="R714" s="56">
        <f>HEX2DEC(RIGHT(Table1323212737[[#This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6" t="s">
        <v>97</v>
      </c>
      <c r="P715" s="56">
        <f>HEX2DEC(RIGHT(Table1323212737[[#This Row],[h1]],8))</f>
        <v>0</v>
      </c>
      <c r="Q715" s="56" t="s">
        <v>97</v>
      </c>
      <c r="R715" s="56">
        <f>HEX2DEC(RIGHT(Table1323212737[[#This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6" t="s">
        <v>97</v>
      </c>
      <c r="P716" s="56">
        <f>HEX2DEC(RIGHT(Table1323212737[[#This Row],[h1]],8))</f>
        <v>0</v>
      </c>
      <c r="Q716" s="56" t="s">
        <v>97</v>
      </c>
      <c r="R716" s="56">
        <f>HEX2DEC(RIGHT(Table1323212737[[#This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6" t="s">
        <v>97</v>
      </c>
      <c r="P717" s="56">
        <f>HEX2DEC(RIGHT(Table1323212737[[#This Row],[h1]],8))</f>
        <v>0</v>
      </c>
      <c r="Q717" s="56" t="s">
        <v>97</v>
      </c>
      <c r="R717" s="56">
        <f>HEX2DEC(RIGHT(Table1323212737[[#This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6" t="s">
        <v>97</v>
      </c>
      <c r="P718" s="56">
        <f>HEX2DEC(RIGHT(Table1323212737[[#This Row],[h1]],8))</f>
        <v>0</v>
      </c>
      <c r="Q718" s="56" t="s">
        <v>97</v>
      </c>
      <c r="R718" s="56">
        <f>HEX2DEC(RIGHT(Table1323212737[[#This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6" t="s">
        <v>97</v>
      </c>
      <c r="P719" s="56">
        <f>HEX2DEC(RIGHT(Table1323212737[[#This Row],[h1]],8))</f>
        <v>0</v>
      </c>
      <c r="Q719" s="56" t="s">
        <v>97</v>
      </c>
      <c r="R719" s="56">
        <f>HEX2DEC(RIGHT(Table1323212737[[#This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6" t="s">
        <v>97</v>
      </c>
      <c r="P720" s="56">
        <f>HEX2DEC(RIGHT(Table1323212737[[#This Row],[h1]],8))</f>
        <v>0</v>
      </c>
      <c r="Q720" s="56" t="s">
        <v>97</v>
      </c>
      <c r="R720" s="56">
        <f>HEX2DEC(RIGHT(Table1323212737[[#This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6" t="s">
        <v>97</v>
      </c>
      <c r="P721" s="56">
        <f>HEX2DEC(RIGHT(Table1323212737[[#This Row],[h1]],8))</f>
        <v>0</v>
      </c>
      <c r="Q721" s="56" t="s">
        <v>97</v>
      </c>
      <c r="R721" s="56">
        <f>HEX2DEC(RIGHT(Table1323212737[[#This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6" t="s">
        <v>97</v>
      </c>
      <c r="P722" s="56">
        <f>HEX2DEC(RIGHT(Table1323212737[[#This Row],[h1]],8))</f>
        <v>0</v>
      </c>
      <c r="Q722" s="56" t="s">
        <v>97</v>
      </c>
      <c r="R722" s="56">
        <f>HEX2DEC(RIGHT(Table1323212737[[#This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6" t="s">
        <v>97</v>
      </c>
      <c r="P723" s="56">
        <f>HEX2DEC(RIGHT(Table1323212737[[#This Row],[h1]],8))</f>
        <v>0</v>
      </c>
      <c r="Q723" s="56" t="s">
        <v>97</v>
      </c>
      <c r="R723" s="56">
        <f>HEX2DEC(RIGHT(Table1323212737[[#This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6" t="s">
        <v>97</v>
      </c>
      <c r="P724" s="56">
        <f>HEX2DEC(RIGHT(Table1323212737[[#This Row],[h1]],8))</f>
        <v>0</v>
      </c>
      <c r="Q724" s="56" t="s">
        <v>97</v>
      </c>
      <c r="R724" s="56">
        <f>HEX2DEC(RIGHT(Table1323212737[[#This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6" t="s">
        <v>97</v>
      </c>
      <c r="P725" s="56">
        <f>HEX2DEC(RIGHT(Table1323212737[[#This Row],[h1]],8))</f>
        <v>0</v>
      </c>
      <c r="Q725" s="56" t="s">
        <v>97</v>
      </c>
      <c r="R725" s="56">
        <f>HEX2DEC(RIGHT(Table1323212737[[#This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6" t="s">
        <v>97</v>
      </c>
      <c r="P726" s="56">
        <f>HEX2DEC(RIGHT(Table1323212737[[#This Row],[h1]],8))</f>
        <v>0</v>
      </c>
      <c r="Q726" s="56" t="s">
        <v>97</v>
      </c>
      <c r="R726" s="56">
        <f>HEX2DEC(RIGHT(Table1323212737[[#This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6" t="s">
        <v>97</v>
      </c>
      <c r="P727" s="56">
        <f>HEX2DEC(RIGHT(Table1323212737[[#This Row],[h1]],8))</f>
        <v>0</v>
      </c>
      <c r="Q727" s="56" t="s">
        <v>97</v>
      </c>
      <c r="R727" s="56">
        <f>HEX2DEC(RIGHT(Table1323212737[[#This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6" t="s">
        <v>97</v>
      </c>
      <c r="P728" s="56">
        <f>HEX2DEC(RIGHT(Table1323212737[[#This Row],[h1]],8))</f>
        <v>0</v>
      </c>
      <c r="Q728" s="56" t="s">
        <v>97</v>
      </c>
      <c r="R728" s="56">
        <f>HEX2DEC(RIGHT(Table1323212737[[#This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6" t="s">
        <v>97</v>
      </c>
      <c r="P729" s="56">
        <f>HEX2DEC(RIGHT(Table1323212737[[#This Row],[h1]],8))</f>
        <v>0</v>
      </c>
      <c r="Q729" s="56" t="s">
        <v>97</v>
      </c>
      <c r="R729" s="56">
        <f>HEX2DEC(RIGHT(Table1323212737[[#This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6" t="s">
        <v>97</v>
      </c>
      <c r="P730" s="56">
        <f>HEX2DEC(RIGHT(Table1323212737[[#This Row],[h1]],8))</f>
        <v>0</v>
      </c>
      <c r="Q730" s="56" t="s">
        <v>97</v>
      </c>
      <c r="R730" s="56">
        <f>HEX2DEC(RIGHT(Table1323212737[[#This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6" t="s">
        <v>97</v>
      </c>
      <c r="P731" s="56">
        <f>HEX2DEC(RIGHT(Table1323212737[[#This Row],[h1]],8))</f>
        <v>0</v>
      </c>
      <c r="Q731" s="56" t="s">
        <v>97</v>
      </c>
      <c r="R731" s="56">
        <f>HEX2DEC(RIGHT(Table1323212737[[#This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6" t="s">
        <v>97</v>
      </c>
      <c r="P732" s="56">
        <f>HEX2DEC(RIGHT(Table1323212737[[#This Row],[h1]],8))</f>
        <v>0</v>
      </c>
      <c r="Q732" s="56" t="s">
        <v>97</v>
      </c>
      <c r="R732" s="56">
        <f>HEX2DEC(RIGHT(Table1323212737[[#This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6" t="s">
        <v>97</v>
      </c>
      <c r="P733" s="56">
        <f>HEX2DEC(RIGHT(Table1323212737[[#This Row],[h1]],8))</f>
        <v>0</v>
      </c>
      <c r="Q733" s="56" t="s">
        <v>97</v>
      </c>
      <c r="R733" s="56">
        <f>HEX2DEC(RIGHT(Table1323212737[[#This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6" t="s">
        <v>97</v>
      </c>
      <c r="P734" s="56">
        <f>HEX2DEC(RIGHT(Table1323212737[[#This Row],[h1]],8))</f>
        <v>0</v>
      </c>
      <c r="Q734" s="56" t="s">
        <v>97</v>
      </c>
      <c r="R734" s="56">
        <f>HEX2DEC(RIGHT(Table1323212737[[#This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6" t="s">
        <v>97</v>
      </c>
      <c r="P735" s="56">
        <f>HEX2DEC(RIGHT(Table1323212737[[#This Row],[h1]],8))</f>
        <v>0</v>
      </c>
      <c r="Q735" s="56" t="s">
        <v>97</v>
      </c>
      <c r="R735" s="56">
        <f>HEX2DEC(RIGHT(Table1323212737[[#This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6" t="s">
        <v>97</v>
      </c>
      <c r="P736" s="56">
        <f>HEX2DEC(RIGHT(Table1323212737[[#This Row],[h1]],8))</f>
        <v>0</v>
      </c>
      <c r="Q736" s="56" t="s">
        <v>97</v>
      </c>
      <c r="R736" s="56">
        <f>HEX2DEC(RIGHT(Table1323212737[[#This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6" t="s">
        <v>97</v>
      </c>
      <c r="P737" s="56">
        <f>HEX2DEC(RIGHT(Table1323212737[[#This Row],[h1]],8))</f>
        <v>0</v>
      </c>
      <c r="Q737" s="56" t="s">
        <v>97</v>
      </c>
      <c r="R737" s="56">
        <f>HEX2DEC(RIGHT(Table1323212737[[#This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6" t="s">
        <v>97</v>
      </c>
      <c r="P738" s="56">
        <f>HEX2DEC(RIGHT(Table1323212737[[#This Row],[h1]],8))</f>
        <v>0</v>
      </c>
      <c r="Q738" s="56" t="s">
        <v>97</v>
      </c>
      <c r="R738" s="56">
        <f>HEX2DEC(RIGHT(Table1323212737[[#This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6" t="s">
        <v>97</v>
      </c>
      <c r="P739" s="56">
        <f>HEX2DEC(RIGHT(Table1323212737[[#This Row],[h1]],8))</f>
        <v>0</v>
      </c>
      <c r="Q739" s="56" t="s">
        <v>97</v>
      </c>
      <c r="R739" s="56">
        <f>HEX2DEC(RIGHT(Table1323212737[[#This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6" t="s">
        <v>97</v>
      </c>
      <c r="P740" s="56">
        <f>HEX2DEC(RIGHT(Table1323212737[[#This Row],[h1]],8))</f>
        <v>0</v>
      </c>
      <c r="Q740" s="56" t="s">
        <v>97</v>
      </c>
      <c r="R740" s="56">
        <f>HEX2DEC(RIGHT(Table1323212737[[#This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6" t="s">
        <v>97</v>
      </c>
      <c r="P741" s="56">
        <f>HEX2DEC(RIGHT(Table1323212737[[#This Row],[h1]],8))</f>
        <v>0</v>
      </c>
      <c r="Q741" s="56" t="s">
        <v>97</v>
      </c>
      <c r="R741" s="56">
        <f>HEX2DEC(RIGHT(Table1323212737[[#This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6" t="s">
        <v>97</v>
      </c>
      <c r="P742" s="56">
        <f>HEX2DEC(RIGHT(Table1323212737[[#This Row],[h1]],8))</f>
        <v>0</v>
      </c>
      <c r="Q742" s="56" t="s">
        <v>97</v>
      </c>
      <c r="R742" s="56">
        <f>HEX2DEC(RIGHT(Table1323212737[[#This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6" t="s">
        <v>97</v>
      </c>
      <c r="P743" s="56">
        <f>HEX2DEC(RIGHT(Table1323212737[[#This Row],[h1]],8))</f>
        <v>0</v>
      </c>
      <c r="Q743" s="56" t="s">
        <v>97</v>
      </c>
      <c r="R743" s="56">
        <f>HEX2DEC(RIGHT(Table1323212737[[#This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6" t="s">
        <v>97</v>
      </c>
      <c r="P744" s="56">
        <f>HEX2DEC(RIGHT(Table1323212737[[#This Row],[h1]],8))</f>
        <v>0</v>
      </c>
      <c r="Q744" s="56" t="s">
        <v>97</v>
      </c>
      <c r="R744" s="56">
        <f>HEX2DEC(RIGHT(Table1323212737[[#This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6" t="s">
        <v>97</v>
      </c>
      <c r="P745" s="56">
        <f>HEX2DEC(RIGHT(Table1323212737[[#This Row],[h1]],8))</f>
        <v>0</v>
      </c>
      <c r="Q745" s="56" t="s">
        <v>97</v>
      </c>
      <c r="R745" s="56">
        <f>HEX2DEC(RIGHT(Table1323212737[[#This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6" t="s">
        <v>97</v>
      </c>
      <c r="P746" s="56">
        <f>HEX2DEC(RIGHT(Table1323212737[[#This Row],[h1]],8))</f>
        <v>0</v>
      </c>
      <c r="Q746" s="56" t="s">
        <v>97</v>
      </c>
      <c r="R746" s="56">
        <f>HEX2DEC(RIGHT(Table1323212737[[#This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6" t="s">
        <v>97</v>
      </c>
      <c r="P747" s="56">
        <f>HEX2DEC(RIGHT(Table1323212737[[#This Row],[h1]],8))</f>
        <v>0</v>
      </c>
      <c r="Q747" s="56" t="s">
        <v>97</v>
      </c>
      <c r="R747" s="56">
        <f>HEX2DEC(RIGHT(Table1323212737[[#This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6" t="s">
        <v>97</v>
      </c>
      <c r="P748" s="56">
        <f>HEX2DEC(RIGHT(Table1323212737[[#This Row],[h1]],8))</f>
        <v>0</v>
      </c>
      <c r="Q748" s="56" t="s">
        <v>97</v>
      </c>
      <c r="R748" s="56">
        <f>HEX2DEC(RIGHT(Table1323212737[[#This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6" t="s">
        <v>97</v>
      </c>
      <c r="P749" s="56">
        <f>HEX2DEC(RIGHT(Table1323212737[[#This Row],[h1]],8))</f>
        <v>0</v>
      </c>
      <c r="Q749" s="56" t="s">
        <v>97</v>
      </c>
      <c r="R749" s="56">
        <f>HEX2DEC(RIGHT(Table1323212737[[#This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6" t="s">
        <v>97</v>
      </c>
      <c r="P750" s="56">
        <f>HEX2DEC(RIGHT(Table1323212737[[#This Row],[h1]],8))</f>
        <v>0</v>
      </c>
      <c r="Q750" s="56" t="s">
        <v>97</v>
      </c>
      <c r="R750" s="56">
        <f>HEX2DEC(RIGHT(Table1323212737[[#This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6" t="s">
        <v>97</v>
      </c>
      <c r="P751" s="56">
        <f>HEX2DEC(RIGHT(Table1323212737[[#This Row],[h1]],8))</f>
        <v>0</v>
      </c>
      <c r="Q751" s="56" t="s">
        <v>97</v>
      </c>
      <c r="R751" s="56">
        <f>HEX2DEC(RIGHT(Table1323212737[[#This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6" t="s">
        <v>97</v>
      </c>
      <c r="P752" s="56">
        <f>HEX2DEC(RIGHT(Table1323212737[[#This Row],[h1]],8))</f>
        <v>0</v>
      </c>
      <c r="Q752" s="56" t="s">
        <v>97</v>
      </c>
      <c r="R752" s="56">
        <f>HEX2DEC(RIGHT(Table1323212737[[#This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6" t="s">
        <v>97</v>
      </c>
      <c r="P753" s="56">
        <f>HEX2DEC(RIGHT(Table1323212737[[#This Row],[h1]],8))</f>
        <v>0</v>
      </c>
      <c r="Q753" s="56" t="s">
        <v>97</v>
      </c>
      <c r="R753" s="56">
        <f>HEX2DEC(RIGHT(Table1323212737[[#This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6" t="s">
        <v>97</v>
      </c>
      <c r="P754" s="56">
        <f>HEX2DEC(RIGHT(Table1323212737[[#This Row],[h1]],8))</f>
        <v>0</v>
      </c>
      <c r="Q754" s="56" t="s">
        <v>97</v>
      </c>
      <c r="R754" s="56">
        <f>HEX2DEC(RIGHT(Table1323212737[[#This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6" t="s">
        <v>97</v>
      </c>
      <c r="P755" s="56">
        <f>HEX2DEC(RIGHT(Table1323212737[[#This Row],[h1]],8))</f>
        <v>0</v>
      </c>
      <c r="Q755" s="56" t="s">
        <v>97</v>
      </c>
      <c r="R755" s="56">
        <f>HEX2DEC(RIGHT(Table1323212737[[#This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6" t="s">
        <v>97</v>
      </c>
      <c r="P756" s="56">
        <f>HEX2DEC(RIGHT(Table1323212737[[#This Row],[h1]],8))</f>
        <v>0</v>
      </c>
      <c r="Q756" s="56" t="s">
        <v>97</v>
      </c>
      <c r="R756" s="56">
        <f>HEX2DEC(RIGHT(Table1323212737[[#This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6" t="s">
        <v>97</v>
      </c>
      <c r="P757" s="56">
        <f>HEX2DEC(RIGHT(Table1323212737[[#This Row],[h1]],8))</f>
        <v>0</v>
      </c>
      <c r="Q757" s="56" t="s">
        <v>97</v>
      </c>
      <c r="R757" s="56">
        <f>HEX2DEC(RIGHT(Table1323212737[[#This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6" t="s">
        <v>97</v>
      </c>
      <c r="P758" s="56">
        <f>HEX2DEC(RIGHT(Table1323212737[[#This Row],[h1]],8))</f>
        <v>0</v>
      </c>
      <c r="Q758" s="56" t="s">
        <v>97</v>
      </c>
      <c r="R758" s="56">
        <f>HEX2DEC(RIGHT(Table1323212737[[#This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6" t="s">
        <v>97</v>
      </c>
      <c r="P759" s="56">
        <f>HEX2DEC(RIGHT(Table1323212737[[#This Row],[h1]],8))</f>
        <v>0</v>
      </c>
      <c r="Q759" s="56" t="s">
        <v>97</v>
      </c>
      <c r="R759" s="56">
        <f>HEX2DEC(RIGHT(Table1323212737[[#This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6" t="s">
        <v>97</v>
      </c>
      <c r="P760" s="56">
        <f>HEX2DEC(RIGHT(Table1323212737[[#This Row],[h1]],8))</f>
        <v>0</v>
      </c>
      <c r="Q760" s="56" t="s">
        <v>97</v>
      </c>
      <c r="R760" s="56">
        <f>HEX2DEC(RIGHT(Table1323212737[[#This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6" t="s">
        <v>97</v>
      </c>
      <c r="P761" s="56">
        <f>HEX2DEC(RIGHT(Table1323212737[[#This Row],[h1]],8))</f>
        <v>0</v>
      </c>
      <c r="Q761" s="56" t="s">
        <v>97</v>
      </c>
      <c r="R761" s="56">
        <f>HEX2DEC(RIGHT(Table1323212737[[#This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6" t="s">
        <v>97</v>
      </c>
      <c r="P762" s="56">
        <f>HEX2DEC(RIGHT(Table1323212737[[#This Row],[h1]],8))</f>
        <v>0</v>
      </c>
      <c r="Q762" s="56" t="s">
        <v>97</v>
      </c>
      <c r="R762" s="56">
        <f>HEX2DEC(RIGHT(Table1323212737[[#This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6" t="s">
        <v>97</v>
      </c>
      <c r="P763" s="56">
        <f>HEX2DEC(RIGHT(Table1323212737[[#This Row],[h1]],8))</f>
        <v>0</v>
      </c>
      <c r="Q763" s="56" t="s">
        <v>97</v>
      </c>
      <c r="R763" s="56">
        <f>HEX2DEC(RIGHT(Table1323212737[[#This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6" t="s">
        <v>97</v>
      </c>
      <c r="P764" s="56">
        <f>HEX2DEC(RIGHT(Table1323212737[[#This Row],[h1]],8))</f>
        <v>0</v>
      </c>
      <c r="Q764" s="56" t="s">
        <v>97</v>
      </c>
      <c r="R764" s="56">
        <f>HEX2DEC(RIGHT(Table1323212737[[#This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6" t="s">
        <v>97</v>
      </c>
      <c r="P765" s="56">
        <f>HEX2DEC(RIGHT(Table1323212737[[#This Row],[h1]],8))</f>
        <v>0</v>
      </c>
      <c r="Q765" s="56" t="s">
        <v>97</v>
      </c>
      <c r="R765" s="56">
        <f>HEX2DEC(RIGHT(Table1323212737[[#This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6" t="s">
        <v>97</v>
      </c>
      <c r="P766" s="56">
        <f>HEX2DEC(RIGHT(Table1323212737[[#This Row],[h1]],8))</f>
        <v>0</v>
      </c>
      <c r="Q766" s="56" t="s">
        <v>97</v>
      </c>
      <c r="R766" s="56">
        <f>HEX2DEC(RIGHT(Table1323212737[[#This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6" t="s">
        <v>97</v>
      </c>
      <c r="P767" s="56">
        <f>HEX2DEC(RIGHT(Table1323212737[[#This Row],[h1]],8))</f>
        <v>0</v>
      </c>
      <c r="Q767" s="56" t="s">
        <v>97</v>
      </c>
      <c r="R767" s="56">
        <f>HEX2DEC(RIGHT(Table1323212737[[#This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6" t="s">
        <v>97</v>
      </c>
      <c r="P768" s="56">
        <f>HEX2DEC(RIGHT(Table1323212737[[#This Row],[h1]],8))</f>
        <v>0</v>
      </c>
      <c r="Q768" s="56" t="s">
        <v>97</v>
      </c>
      <c r="R768" s="56">
        <f>HEX2DEC(RIGHT(Table1323212737[[#This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6" t="s">
        <v>97</v>
      </c>
      <c r="P769" s="56">
        <f>HEX2DEC(RIGHT(Table1323212737[[#This Row],[h1]],8))</f>
        <v>0</v>
      </c>
      <c r="Q769" s="56" t="s">
        <v>97</v>
      </c>
      <c r="R769" s="56">
        <f>HEX2DEC(RIGHT(Table1323212737[[#This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6" t="s">
        <v>97</v>
      </c>
      <c r="P770" s="56">
        <f>HEX2DEC(RIGHT(Table1323212737[[#This Row],[h1]],8))</f>
        <v>0</v>
      </c>
      <c r="Q770" s="56" t="s">
        <v>97</v>
      </c>
      <c r="R770" s="56">
        <f>HEX2DEC(RIGHT(Table1323212737[[#This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6" t="s">
        <v>97</v>
      </c>
      <c r="P771" s="56">
        <f>HEX2DEC(RIGHT(Table1323212737[[#This Row],[h1]],8))</f>
        <v>0</v>
      </c>
      <c r="Q771" s="56" t="s">
        <v>97</v>
      </c>
      <c r="R771" s="56">
        <f>HEX2DEC(RIGHT(Table1323212737[[#This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6" t="s">
        <v>97</v>
      </c>
      <c r="P772" s="56">
        <f>HEX2DEC(RIGHT(Table1323212737[[#This Row],[h1]],8))</f>
        <v>0</v>
      </c>
      <c r="Q772" s="56" t="s">
        <v>97</v>
      </c>
      <c r="R772" s="56">
        <f>HEX2DEC(RIGHT(Table1323212737[[#This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6" t="s">
        <v>97</v>
      </c>
      <c r="P773" s="56">
        <f>HEX2DEC(RIGHT(Table1323212737[[#This Row],[h1]],8))</f>
        <v>0</v>
      </c>
      <c r="Q773" s="56" t="s">
        <v>97</v>
      </c>
      <c r="R773" s="56">
        <f>HEX2DEC(RIGHT(Table1323212737[[#This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6" t="s">
        <v>97</v>
      </c>
      <c r="P774" s="56">
        <f>HEX2DEC(RIGHT(Table1323212737[[#This Row],[h1]],8))</f>
        <v>0</v>
      </c>
      <c r="Q774" s="56" t="s">
        <v>97</v>
      </c>
      <c r="R774" s="56">
        <f>HEX2DEC(RIGHT(Table1323212737[[#This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6" t="s">
        <v>97</v>
      </c>
      <c r="P775" s="56">
        <f>HEX2DEC(RIGHT(Table1323212737[[#This Row],[h1]],8))</f>
        <v>0</v>
      </c>
      <c r="Q775" s="56" t="s">
        <v>97</v>
      </c>
      <c r="R775" s="56">
        <f>HEX2DEC(RIGHT(Table1323212737[[#This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6" t="s">
        <v>97</v>
      </c>
      <c r="P776" s="56">
        <f>HEX2DEC(RIGHT(Table1323212737[[#This Row],[h1]],8))</f>
        <v>0</v>
      </c>
      <c r="Q776" s="56" t="s">
        <v>97</v>
      </c>
      <c r="R776" s="56">
        <f>HEX2DEC(RIGHT(Table1323212737[[#This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6" t="s">
        <v>97</v>
      </c>
      <c r="P777" s="56">
        <f>HEX2DEC(RIGHT(Table1323212737[[#This Row],[h1]],8))</f>
        <v>0</v>
      </c>
      <c r="Q777" s="56" t="s">
        <v>97</v>
      </c>
      <c r="R777" s="56">
        <f>HEX2DEC(RIGHT(Table1323212737[[#This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6" t="s">
        <v>97</v>
      </c>
      <c r="P778" s="56">
        <f>HEX2DEC(RIGHT(Table1323212737[[#This Row],[h1]],8))</f>
        <v>0</v>
      </c>
      <c r="Q778" s="56" t="s">
        <v>97</v>
      </c>
      <c r="R778" s="56">
        <f>HEX2DEC(RIGHT(Table1323212737[[#This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6" t="s">
        <v>97</v>
      </c>
      <c r="P779" s="56">
        <f>HEX2DEC(RIGHT(Table1323212737[[#This Row],[h1]],8))</f>
        <v>0</v>
      </c>
      <c r="Q779" s="56" t="s">
        <v>97</v>
      </c>
      <c r="R779" s="56">
        <f>HEX2DEC(RIGHT(Table1323212737[[#This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6" t="s">
        <v>97</v>
      </c>
      <c r="P780" s="56">
        <f>HEX2DEC(RIGHT(Table1323212737[[#This Row],[h1]],8))</f>
        <v>0</v>
      </c>
      <c r="Q780" s="56" t="s">
        <v>97</v>
      </c>
      <c r="R780" s="56">
        <f>HEX2DEC(RIGHT(Table1323212737[[#This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6" t="s">
        <v>97</v>
      </c>
      <c r="P781" s="56">
        <f>HEX2DEC(RIGHT(Table1323212737[[#This Row],[h1]],8))</f>
        <v>0</v>
      </c>
      <c r="Q781" s="56" t="s">
        <v>97</v>
      </c>
      <c r="R781" s="56">
        <f>HEX2DEC(RIGHT(Table1323212737[[#This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6" t="s">
        <v>97</v>
      </c>
      <c r="P782" s="56">
        <f>HEX2DEC(RIGHT(Table1323212737[[#This Row],[h1]],8))</f>
        <v>0</v>
      </c>
      <c r="Q782" s="56" t="s">
        <v>97</v>
      </c>
      <c r="R782" s="56">
        <f>HEX2DEC(RIGHT(Table1323212737[[#This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6" t="s">
        <v>97</v>
      </c>
      <c r="P783" s="56">
        <f>HEX2DEC(RIGHT(Table1323212737[[#This Row],[h1]],8))</f>
        <v>0</v>
      </c>
      <c r="Q783" s="56" t="s">
        <v>97</v>
      </c>
      <c r="R783" s="56">
        <f>HEX2DEC(RIGHT(Table1323212737[[#This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6" t="s">
        <v>97</v>
      </c>
      <c r="P784" s="56">
        <f>HEX2DEC(RIGHT(Table1323212737[[#This Row],[h1]],8))</f>
        <v>0</v>
      </c>
      <c r="Q784" s="56" t="s">
        <v>97</v>
      </c>
      <c r="R784" s="56">
        <f>HEX2DEC(RIGHT(Table1323212737[[#This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6" t="s">
        <v>97</v>
      </c>
      <c r="P785" s="56">
        <f>HEX2DEC(RIGHT(Table1323212737[[#This Row],[h1]],8))</f>
        <v>0</v>
      </c>
      <c r="Q785" s="56" t="s">
        <v>97</v>
      </c>
      <c r="R785" s="56">
        <f>HEX2DEC(RIGHT(Table1323212737[[#This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6" t="s">
        <v>97</v>
      </c>
      <c r="P786" s="56">
        <f>HEX2DEC(RIGHT(Table1323212737[[#This Row],[h1]],8))</f>
        <v>0</v>
      </c>
      <c r="Q786" s="56" t="s">
        <v>97</v>
      </c>
      <c r="R786" s="56">
        <f>HEX2DEC(RIGHT(Table1323212737[[#This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6" t="s">
        <v>97</v>
      </c>
      <c r="P787" s="56">
        <f>HEX2DEC(RIGHT(Table1323212737[[#This Row],[h1]],8))</f>
        <v>0</v>
      </c>
      <c r="Q787" s="56" t="s">
        <v>97</v>
      </c>
      <c r="R787" s="56">
        <f>HEX2DEC(RIGHT(Table1323212737[[#This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6" t="s">
        <v>97</v>
      </c>
      <c r="P788" s="56">
        <f>HEX2DEC(RIGHT(Table1323212737[[#This Row],[h1]],8))</f>
        <v>0</v>
      </c>
      <c r="Q788" s="56" t="s">
        <v>97</v>
      </c>
      <c r="R788" s="56">
        <f>HEX2DEC(RIGHT(Table1323212737[[#This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6" t="s">
        <v>97</v>
      </c>
      <c r="P789" s="56">
        <f>HEX2DEC(RIGHT(Table1323212737[[#This Row],[h1]],8))</f>
        <v>0</v>
      </c>
      <c r="Q789" s="56" t="s">
        <v>97</v>
      </c>
      <c r="R789" s="56">
        <f>HEX2DEC(RIGHT(Table1323212737[[#This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6" t="s">
        <v>97</v>
      </c>
      <c r="P790" s="56">
        <f>HEX2DEC(RIGHT(Table1323212737[[#This Row],[h1]],8))</f>
        <v>0</v>
      </c>
      <c r="Q790" s="56" t="s">
        <v>97</v>
      </c>
      <c r="R790" s="56">
        <f>HEX2DEC(RIGHT(Table1323212737[[#This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6" t="s">
        <v>97</v>
      </c>
      <c r="P791" s="56">
        <f>HEX2DEC(RIGHT(Table1323212737[[#This Row],[h1]],8))</f>
        <v>0</v>
      </c>
      <c r="Q791" s="56" t="s">
        <v>97</v>
      </c>
      <c r="R791" s="56">
        <f>HEX2DEC(RIGHT(Table1323212737[[#This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6" t="s">
        <v>97</v>
      </c>
      <c r="P792" s="56">
        <f>HEX2DEC(RIGHT(Table1323212737[[#This Row],[h1]],8))</f>
        <v>0</v>
      </c>
      <c r="Q792" s="56" t="s">
        <v>97</v>
      </c>
      <c r="R792" s="56">
        <f>HEX2DEC(RIGHT(Table1323212737[[#This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6" t="s">
        <v>97</v>
      </c>
      <c r="P793" s="56">
        <f>HEX2DEC(RIGHT(Table1323212737[[#This Row],[h1]],8))</f>
        <v>0</v>
      </c>
      <c r="Q793" s="56" t="s">
        <v>97</v>
      </c>
      <c r="R793" s="56">
        <f>HEX2DEC(RIGHT(Table1323212737[[#This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6" t="s">
        <v>97</v>
      </c>
      <c r="P794" s="56">
        <f>HEX2DEC(RIGHT(Table1323212737[[#This Row],[h1]],8))</f>
        <v>0</v>
      </c>
      <c r="Q794" s="56" t="s">
        <v>97</v>
      </c>
      <c r="R794" s="56">
        <f>HEX2DEC(RIGHT(Table1323212737[[#This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6" t="s">
        <v>97</v>
      </c>
      <c r="P795" s="56">
        <f>HEX2DEC(RIGHT(Table1323212737[[#This Row],[h1]],8))</f>
        <v>0</v>
      </c>
      <c r="Q795" s="56" t="s">
        <v>97</v>
      </c>
      <c r="R795" s="56">
        <f>HEX2DEC(RIGHT(Table1323212737[[#This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6" t="s">
        <v>97</v>
      </c>
      <c r="P796" s="56">
        <f>HEX2DEC(RIGHT(Table1323212737[[#This Row],[h1]],8))</f>
        <v>0</v>
      </c>
      <c r="Q796" s="56" t="s">
        <v>97</v>
      </c>
      <c r="R796" s="56">
        <f>HEX2DEC(RIGHT(Table1323212737[[#This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6" t="s">
        <v>97</v>
      </c>
      <c r="P797" s="56">
        <f>HEX2DEC(RIGHT(Table1323212737[[#This Row],[h1]],8))</f>
        <v>0</v>
      </c>
      <c r="Q797" s="56" t="s">
        <v>97</v>
      </c>
      <c r="R797" s="56">
        <f>HEX2DEC(RIGHT(Table1323212737[[#This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6" t="s">
        <v>97</v>
      </c>
      <c r="P798" s="56">
        <f>HEX2DEC(RIGHT(Table1323212737[[#This Row],[h1]],8))</f>
        <v>0</v>
      </c>
      <c r="Q798" s="56" t="s">
        <v>97</v>
      </c>
      <c r="R798" s="56">
        <f>HEX2DEC(RIGHT(Table1323212737[[#This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6" t="s">
        <v>97</v>
      </c>
      <c r="P799" s="56">
        <f>HEX2DEC(RIGHT(Table1323212737[[#This Row],[h1]],8))</f>
        <v>0</v>
      </c>
      <c r="Q799" s="56" t="s">
        <v>97</v>
      </c>
      <c r="R799" s="56">
        <f>HEX2DEC(RIGHT(Table1323212737[[#This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6" t="s">
        <v>97</v>
      </c>
      <c r="P800" s="56">
        <f>HEX2DEC(RIGHT(Table1323212737[[#This Row],[h1]],8))</f>
        <v>0</v>
      </c>
      <c r="Q800" s="56" t="s">
        <v>97</v>
      </c>
      <c r="R800" s="56">
        <f>HEX2DEC(RIGHT(Table1323212737[[#This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6" t="s">
        <v>97</v>
      </c>
      <c r="P801" s="56">
        <f>HEX2DEC(RIGHT(Table1323212737[[#This Row],[h1]],8))</f>
        <v>0</v>
      </c>
      <c r="Q801" s="56" t="s">
        <v>97</v>
      </c>
      <c r="R801" s="56">
        <f>HEX2DEC(RIGHT(Table1323212737[[#This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6" t="s">
        <v>97</v>
      </c>
      <c r="P802" s="56">
        <f>HEX2DEC(RIGHT(Table1323212737[[#This Row],[h1]],8))</f>
        <v>0</v>
      </c>
      <c r="Q802" s="56" t="s">
        <v>97</v>
      </c>
      <c r="R802" s="56">
        <f>HEX2DEC(RIGHT(Table1323212737[[#This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6" t="s">
        <v>97</v>
      </c>
      <c r="P803" s="56">
        <f>HEX2DEC(RIGHT(Table1323212737[[#This Row],[h1]],8))</f>
        <v>0</v>
      </c>
      <c r="Q803" s="56" t="s">
        <v>97</v>
      </c>
      <c r="R803" s="56">
        <f>HEX2DEC(RIGHT(Table1323212737[[#This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6" t="s">
        <v>97</v>
      </c>
      <c r="P804" s="56">
        <f>HEX2DEC(RIGHT(Table1323212737[[#This Row],[h1]],8))</f>
        <v>0</v>
      </c>
      <c r="Q804" s="56" t="s">
        <v>97</v>
      </c>
      <c r="R804" s="56">
        <f>HEX2DEC(RIGHT(Table1323212737[[#This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6" t="s">
        <v>97</v>
      </c>
      <c r="P805" s="56">
        <f>HEX2DEC(RIGHT(Table1323212737[[#This Row],[h1]],8))</f>
        <v>0</v>
      </c>
      <c r="Q805" s="56" t="s">
        <v>97</v>
      </c>
      <c r="R805" s="56">
        <f>HEX2DEC(RIGHT(Table1323212737[[#This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6" t="s">
        <v>97</v>
      </c>
      <c r="P806" s="56">
        <f>HEX2DEC(RIGHT(Table1323212737[[#This Row],[h1]],8))</f>
        <v>0</v>
      </c>
      <c r="Q806" s="56" t="s">
        <v>97</v>
      </c>
      <c r="R806" s="56">
        <f>HEX2DEC(RIGHT(Table1323212737[[#This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6" t="s">
        <v>97</v>
      </c>
      <c r="P807" s="56">
        <f>HEX2DEC(RIGHT(Table1323212737[[#This Row],[h1]],8))</f>
        <v>0</v>
      </c>
      <c r="Q807" s="56" t="s">
        <v>97</v>
      </c>
      <c r="R807" s="56">
        <f>HEX2DEC(RIGHT(Table1323212737[[#This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6" t="s">
        <v>97</v>
      </c>
      <c r="P808" s="56">
        <f>HEX2DEC(RIGHT(Table1323212737[[#This Row],[h1]],8))</f>
        <v>0</v>
      </c>
      <c r="Q808" s="56" t="s">
        <v>97</v>
      </c>
      <c r="R808" s="56">
        <f>HEX2DEC(RIGHT(Table1323212737[[#This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6" t="s">
        <v>97</v>
      </c>
      <c r="P809" s="56">
        <f>HEX2DEC(RIGHT(Table1323212737[[#This Row],[h1]],8))</f>
        <v>0</v>
      </c>
      <c r="Q809" s="56" t="s">
        <v>97</v>
      </c>
      <c r="R809" s="56">
        <f>HEX2DEC(RIGHT(Table1323212737[[#This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6" t="s">
        <v>97</v>
      </c>
      <c r="P810" s="56">
        <f>HEX2DEC(RIGHT(Table1323212737[[#This Row],[h1]],8))</f>
        <v>0</v>
      </c>
      <c r="Q810" s="56" t="s">
        <v>97</v>
      </c>
      <c r="R810" s="56">
        <f>HEX2DEC(RIGHT(Table1323212737[[#This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6" t="s">
        <v>97</v>
      </c>
      <c r="P811" s="56">
        <f>HEX2DEC(RIGHT(Table1323212737[[#This Row],[h1]],8))</f>
        <v>0</v>
      </c>
      <c r="Q811" s="56" t="s">
        <v>97</v>
      </c>
      <c r="R811" s="56">
        <f>HEX2DEC(RIGHT(Table1323212737[[#This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6" t="s">
        <v>97</v>
      </c>
      <c r="P812" s="56">
        <f>HEX2DEC(RIGHT(Table1323212737[[#This Row],[h1]],8))</f>
        <v>0</v>
      </c>
      <c r="Q812" s="56" t="s">
        <v>97</v>
      </c>
      <c r="R812" s="56">
        <f>HEX2DEC(RIGHT(Table1323212737[[#This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6" t="s">
        <v>97</v>
      </c>
      <c r="P813" s="56">
        <f>HEX2DEC(RIGHT(Table1323212737[[#This Row],[h1]],8))</f>
        <v>0</v>
      </c>
      <c r="Q813" s="56" t="s">
        <v>97</v>
      </c>
      <c r="R813" s="56">
        <f>HEX2DEC(RIGHT(Table1323212737[[#This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6" t="s">
        <v>97</v>
      </c>
      <c r="P814" s="56">
        <f>HEX2DEC(RIGHT(Table1323212737[[#This Row],[h1]],8))</f>
        <v>0</v>
      </c>
      <c r="Q814" s="56" t="s">
        <v>97</v>
      </c>
      <c r="R814" s="56">
        <f>HEX2DEC(RIGHT(Table1323212737[[#This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6" t="s">
        <v>97</v>
      </c>
      <c r="P815" s="56">
        <f>HEX2DEC(RIGHT(Table1323212737[[#This Row],[h1]],8))</f>
        <v>0</v>
      </c>
      <c r="Q815" s="56" t="s">
        <v>97</v>
      </c>
      <c r="R815" s="56">
        <f>HEX2DEC(RIGHT(Table1323212737[[#This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6" t="s">
        <v>97</v>
      </c>
      <c r="P816" s="56">
        <f>HEX2DEC(RIGHT(Table1323212737[[#This Row],[h1]],8))</f>
        <v>0</v>
      </c>
      <c r="Q816" s="56" t="s">
        <v>97</v>
      </c>
      <c r="R816" s="56">
        <f>HEX2DEC(RIGHT(Table1323212737[[#This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6" t="s">
        <v>97</v>
      </c>
      <c r="P817" s="56">
        <f>HEX2DEC(RIGHT(Table1323212737[[#This Row],[h1]],8))</f>
        <v>0</v>
      </c>
      <c r="Q817" s="56" t="s">
        <v>97</v>
      </c>
      <c r="R817" s="56">
        <f>HEX2DEC(RIGHT(Table1323212737[[#This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6" t="s">
        <v>97</v>
      </c>
      <c r="P818" s="56">
        <f>HEX2DEC(RIGHT(Table1323212737[[#This Row],[h1]],8))</f>
        <v>0</v>
      </c>
      <c r="Q818" s="56" t="s">
        <v>97</v>
      </c>
      <c r="R818" s="56">
        <f>HEX2DEC(RIGHT(Table1323212737[[#This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6" t="s">
        <v>97</v>
      </c>
      <c r="P819" s="56">
        <f>HEX2DEC(RIGHT(Table1323212737[[#This Row],[h1]],8))</f>
        <v>0</v>
      </c>
      <c r="Q819" s="56" t="s">
        <v>97</v>
      </c>
      <c r="R819" s="56">
        <f>HEX2DEC(RIGHT(Table1323212737[[#This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6" t="s">
        <v>97</v>
      </c>
      <c r="P820" s="56">
        <f>HEX2DEC(RIGHT(Table1323212737[[#This Row],[h1]],8))</f>
        <v>0</v>
      </c>
      <c r="Q820" s="56" t="s">
        <v>97</v>
      </c>
      <c r="R820" s="56">
        <f>HEX2DEC(RIGHT(Table1323212737[[#This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6" t="s">
        <v>97</v>
      </c>
      <c r="P821" s="56">
        <f>HEX2DEC(RIGHT(Table1323212737[[#This Row],[h1]],8))</f>
        <v>0</v>
      </c>
      <c r="Q821" s="56" t="s">
        <v>97</v>
      </c>
      <c r="R821" s="56">
        <f>HEX2DEC(RIGHT(Table1323212737[[#This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6" t="s">
        <v>97</v>
      </c>
      <c r="P822" s="56">
        <f>HEX2DEC(RIGHT(Table1323212737[[#This Row],[h1]],8))</f>
        <v>0</v>
      </c>
      <c r="Q822" s="56" t="s">
        <v>97</v>
      </c>
      <c r="R822" s="56">
        <f>HEX2DEC(RIGHT(Table1323212737[[#This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6" t="s">
        <v>97</v>
      </c>
      <c r="P823" s="56">
        <f>HEX2DEC(RIGHT(Table1323212737[[#This Row],[h1]],8))</f>
        <v>0</v>
      </c>
      <c r="Q823" s="56" t="s">
        <v>97</v>
      </c>
      <c r="R823" s="56">
        <f>HEX2DEC(RIGHT(Table1323212737[[#This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6" t="s">
        <v>97</v>
      </c>
      <c r="P824" s="56">
        <f>HEX2DEC(RIGHT(Table1323212737[[#This Row],[h1]],8))</f>
        <v>0</v>
      </c>
      <c r="Q824" s="56" t="s">
        <v>97</v>
      </c>
      <c r="R824" s="56">
        <f>HEX2DEC(RIGHT(Table1323212737[[#This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6" t="s">
        <v>97</v>
      </c>
      <c r="P825" s="56">
        <f>HEX2DEC(RIGHT(Table1323212737[[#This Row],[h1]],8))</f>
        <v>0</v>
      </c>
      <c r="Q825" s="56" t="s">
        <v>97</v>
      </c>
      <c r="R825" s="56">
        <f>HEX2DEC(RIGHT(Table1323212737[[#This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6" t="s">
        <v>97</v>
      </c>
      <c r="P826" s="56">
        <f>HEX2DEC(RIGHT(Table1323212737[[#This Row],[h1]],8))</f>
        <v>0</v>
      </c>
      <c r="Q826" s="56" t="s">
        <v>97</v>
      </c>
      <c r="R826" s="56">
        <f>HEX2DEC(RIGHT(Table1323212737[[#This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6" t="s">
        <v>97</v>
      </c>
      <c r="P827" s="56">
        <f>HEX2DEC(RIGHT(Table1323212737[[#This Row],[h1]],8))</f>
        <v>0</v>
      </c>
      <c r="Q827" s="56" t="s">
        <v>97</v>
      </c>
      <c r="R827" s="56">
        <f>HEX2DEC(RIGHT(Table1323212737[[#This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6" t="s">
        <v>97</v>
      </c>
      <c r="P828" s="56">
        <f>HEX2DEC(RIGHT(Table1323212737[[#This Row],[h1]],8))</f>
        <v>0</v>
      </c>
      <c r="Q828" s="56" t="s">
        <v>97</v>
      </c>
      <c r="R828" s="56">
        <f>HEX2DEC(RIGHT(Table1323212737[[#This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6" t="s">
        <v>97</v>
      </c>
      <c r="P829" s="56">
        <f>HEX2DEC(RIGHT(Table1323212737[[#This Row],[h1]],8))</f>
        <v>0</v>
      </c>
      <c r="Q829" s="56" t="s">
        <v>97</v>
      </c>
      <c r="R829" s="56">
        <f>HEX2DEC(RIGHT(Table1323212737[[#This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6" t="s">
        <v>97</v>
      </c>
      <c r="P830" s="56">
        <f>HEX2DEC(RIGHT(Table1323212737[[#This Row],[h1]],8))</f>
        <v>0</v>
      </c>
      <c r="Q830" s="56" t="s">
        <v>97</v>
      </c>
      <c r="R830" s="56">
        <f>HEX2DEC(RIGHT(Table1323212737[[#This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6" t="s">
        <v>97</v>
      </c>
      <c r="P831" s="56">
        <f>HEX2DEC(RIGHT(Table1323212737[[#This Row],[h1]],8))</f>
        <v>0</v>
      </c>
      <c r="Q831" s="56" t="s">
        <v>97</v>
      </c>
      <c r="R831" s="56">
        <f>HEX2DEC(RIGHT(Table1323212737[[#This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6" t="s">
        <v>97</v>
      </c>
      <c r="P832" s="56">
        <f>HEX2DEC(RIGHT(Table1323212737[[#This Row],[h1]],8))</f>
        <v>0</v>
      </c>
      <c r="Q832" s="56" t="s">
        <v>97</v>
      </c>
      <c r="R832" s="56">
        <f>HEX2DEC(RIGHT(Table1323212737[[#This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6" t="s">
        <v>97</v>
      </c>
      <c r="P833" s="56">
        <f>HEX2DEC(RIGHT(Table1323212737[[#This Row],[h1]],8))</f>
        <v>0</v>
      </c>
      <c r="Q833" s="56" t="s">
        <v>97</v>
      </c>
      <c r="R833" s="56">
        <f>HEX2DEC(RIGHT(Table1323212737[[#This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6" t="s">
        <v>97</v>
      </c>
      <c r="P834" s="56">
        <f>HEX2DEC(RIGHT(Table1323212737[[#This Row],[h1]],8))</f>
        <v>0</v>
      </c>
      <c r="Q834" s="56" t="s">
        <v>97</v>
      </c>
      <c r="R834" s="56">
        <f>HEX2DEC(RIGHT(Table1323212737[[#This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6" t="s">
        <v>97</v>
      </c>
      <c r="P835" s="56">
        <f>HEX2DEC(RIGHT(Table1323212737[[#This Row],[h1]],8))</f>
        <v>0</v>
      </c>
      <c r="Q835" s="56" t="s">
        <v>97</v>
      </c>
      <c r="R835" s="56">
        <f>HEX2DEC(RIGHT(Table1323212737[[#This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6" t="s">
        <v>97</v>
      </c>
      <c r="P836" s="56">
        <f>HEX2DEC(RIGHT(Table1323212737[[#This Row],[h1]],8))</f>
        <v>0</v>
      </c>
      <c r="Q836" s="56" t="s">
        <v>97</v>
      </c>
      <c r="R836" s="56">
        <f>HEX2DEC(RIGHT(Table1323212737[[#This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6" t="s">
        <v>97</v>
      </c>
      <c r="P837" s="56">
        <f>HEX2DEC(RIGHT(Table1323212737[[#This Row],[h1]],8))</f>
        <v>0</v>
      </c>
      <c r="Q837" s="56" t="s">
        <v>97</v>
      </c>
      <c r="R837" s="56">
        <f>HEX2DEC(RIGHT(Table1323212737[[#This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6" t="s">
        <v>97</v>
      </c>
      <c r="P838" s="56">
        <f>HEX2DEC(RIGHT(Table1323212737[[#This Row],[h1]],8))</f>
        <v>0</v>
      </c>
      <c r="Q838" s="56" t="s">
        <v>97</v>
      </c>
      <c r="R838" s="56">
        <f>HEX2DEC(RIGHT(Table1323212737[[#This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6" t="s">
        <v>97</v>
      </c>
      <c r="P839" s="56">
        <f>HEX2DEC(RIGHT(Table1323212737[[#This Row],[h1]],8))</f>
        <v>0</v>
      </c>
      <c r="Q839" s="56" t="s">
        <v>97</v>
      </c>
      <c r="R839" s="56">
        <f>HEX2DEC(RIGHT(Table1323212737[[#This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6" t="s">
        <v>97</v>
      </c>
      <c r="P840" s="56">
        <f>HEX2DEC(RIGHT(Table1323212737[[#This Row],[h1]],8))</f>
        <v>0</v>
      </c>
      <c r="Q840" s="56" t="s">
        <v>97</v>
      </c>
      <c r="R840" s="56">
        <f>HEX2DEC(RIGHT(Table1323212737[[#This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6" t="s">
        <v>97</v>
      </c>
      <c r="P841" s="56">
        <f>HEX2DEC(RIGHT(Table1323212737[[#This Row],[h1]],8))</f>
        <v>0</v>
      </c>
      <c r="Q841" s="56" t="s">
        <v>97</v>
      </c>
      <c r="R841" s="56">
        <f>HEX2DEC(RIGHT(Table1323212737[[#This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6" t="s">
        <v>97</v>
      </c>
      <c r="P842" s="56">
        <f>HEX2DEC(RIGHT(Table1323212737[[#This Row],[h1]],8))</f>
        <v>0</v>
      </c>
      <c r="Q842" s="56" t="s">
        <v>97</v>
      </c>
      <c r="R842" s="56">
        <f>HEX2DEC(RIGHT(Table1323212737[[#This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6" t="s">
        <v>97</v>
      </c>
      <c r="P843" s="56">
        <f>HEX2DEC(RIGHT(Table1323212737[[#This Row],[h1]],8))</f>
        <v>0</v>
      </c>
      <c r="Q843" s="56" t="s">
        <v>97</v>
      </c>
      <c r="R843" s="56">
        <f>HEX2DEC(RIGHT(Table1323212737[[#This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6" t="s">
        <v>97</v>
      </c>
      <c r="P844" s="56">
        <f>HEX2DEC(RIGHT(Table1323212737[[#This Row],[h1]],8))</f>
        <v>0</v>
      </c>
      <c r="Q844" s="56" t="s">
        <v>97</v>
      </c>
      <c r="R844" s="56">
        <f>HEX2DEC(RIGHT(Table1323212737[[#This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6" t="s">
        <v>97</v>
      </c>
      <c r="P845" s="56">
        <f>HEX2DEC(RIGHT(Table1323212737[[#This Row],[h1]],8))</f>
        <v>0</v>
      </c>
      <c r="Q845" s="56" t="s">
        <v>97</v>
      </c>
      <c r="R845" s="56">
        <f>HEX2DEC(RIGHT(Table1323212737[[#This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6" t="s">
        <v>97</v>
      </c>
      <c r="P846" s="56">
        <f>HEX2DEC(RIGHT(Table1323212737[[#This Row],[h1]],8))</f>
        <v>0</v>
      </c>
      <c r="Q846" s="56" t="s">
        <v>97</v>
      </c>
      <c r="R846" s="56">
        <f>HEX2DEC(RIGHT(Table1323212737[[#This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6" t="s">
        <v>97</v>
      </c>
      <c r="P847" s="56">
        <f>HEX2DEC(RIGHT(Table1323212737[[#This Row],[h1]],8))</f>
        <v>0</v>
      </c>
      <c r="Q847" s="56" t="s">
        <v>97</v>
      </c>
      <c r="R847" s="56">
        <f>HEX2DEC(RIGHT(Table1323212737[[#This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6" t="s">
        <v>97</v>
      </c>
      <c r="P848" s="56">
        <f>HEX2DEC(RIGHT(Table1323212737[[#This Row],[h1]],8))</f>
        <v>0</v>
      </c>
      <c r="Q848" s="56" t="s">
        <v>97</v>
      </c>
      <c r="R848" s="56">
        <f>HEX2DEC(RIGHT(Table1323212737[[#This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6" t="s">
        <v>97</v>
      </c>
      <c r="P849" s="56">
        <f>HEX2DEC(RIGHT(Table1323212737[[#This Row],[h1]],8))</f>
        <v>0</v>
      </c>
      <c r="Q849" s="56" t="s">
        <v>97</v>
      </c>
      <c r="R849" s="56">
        <f>HEX2DEC(RIGHT(Table1323212737[[#This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6" t="s">
        <v>97</v>
      </c>
      <c r="P850" s="56">
        <f>HEX2DEC(RIGHT(Table1323212737[[#This Row],[h1]],8))</f>
        <v>0</v>
      </c>
      <c r="Q850" s="56" t="s">
        <v>97</v>
      </c>
      <c r="R850" s="56">
        <f>HEX2DEC(RIGHT(Table1323212737[[#This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6" t="s">
        <v>97</v>
      </c>
      <c r="P851" s="56">
        <f>HEX2DEC(RIGHT(Table1323212737[[#This Row],[h1]],8))</f>
        <v>0</v>
      </c>
      <c r="Q851" s="56" t="s">
        <v>97</v>
      </c>
      <c r="R851" s="56">
        <f>HEX2DEC(RIGHT(Table1323212737[[#This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6" t="s">
        <v>97</v>
      </c>
      <c r="P852" s="56">
        <f>HEX2DEC(RIGHT(Table1323212737[[#This Row],[h1]],8))</f>
        <v>0</v>
      </c>
      <c r="Q852" s="56" t="s">
        <v>97</v>
      </c>
      <c r="R852" s="56">
        <f>HEX2DEC(RIGHT(Table1323212737[[#This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6" t="s">
        <v>97</v>
      </c>
      <c r="P853" s="56">
        <f>HEX2DEC(RIGHT(Table1323212737[[#This Row],[h1]],8))</f>
        <v>0</v>
      </c>
      <c r="Q853" s="56" t="s">
        <v>97</v>
      </c>
      <c r="R853" s="56">
        <f>HEX2DEC(RIGHT(Table1323212737[[#This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6" t="s">
        <v>97</v>
      </c>
      <c r="P854" s="56">
        <f>HEX2DEC(RIGHT(Table1323212737[[#This Row],[h1]],8))</f>
        <v>0</v>
      </c>
      <c r="Q854" s="56" t="s">
        <v>97</v>
      </c>
      <c r="R854" s="56">
        <f>HEX2DEC(RIGHT(Table1323212737[[#This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6" t="s">
        <v>97</v>
      </c>
      <c r="P855" s="56">
        <f>HEX2DEC(RIGHT(Table1323212737[[#This Row],[h1]],8))</f>
        <v>0</v>
      </c>
      <c r="Q855" s="56" t="s">
        <v>97</v>
      </c>
      <c r="R855" s="56">
        <f>HEX2DEC(RIGHT(Table1323212737[[#This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6" t="s">
        <v>97</v>
      </c>
      <c r="P856" s="56">
        <f>HEX2DEC(RIGHT(Table1323212737[[#This Row],[h1]],8))</f>
        <v>0</v>
      </c>
      <c r="Q856" s="56" t="s">
        <v>97</v>
      </c>
      <c r="R856" s="56">
        <f>HEX2DEC(RIGHT(Table1323212737[[#This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6" t="s">
        <v>97</v>
      </c>
      <c r="P857" s="56">
        <f>HEX2DEC(RIGHT(Table1323212737[[#This Row],[h1]],8))</f>
        <v>0</v>
      </c>
      <c r="Q857" s="56" t="s">
        <v>97</v>
      </c>
      <c r="R857" s="56">
        <f>HEX2DEC(RIGHT(Table1323212737[[#This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6" t="s">
        <v>97</v>
      </c>
      <c r="P858" s="56">
        <f>HEX2DEC(RIGHT(Table1323212737[[#This Row],[h1]],8))</f>
        <v>0</v>
      </c>
      <c r="Q858" s="56" t="s">
        <v>97</v>
      </c>
      <c r="R858" s="56">
        <f>HEX2DEC(RIGHT(Table1323212737[[#This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6" t="s">
        <v>97</v>
      </c>
      <c r="P859" s="56">
        <f>HEX2DEC(RIGHT(Table1323212737[[#This Row],[h1]],8))</f>
        <v>0</v>
      </c>
      <c r="Q859" s="56" t="s">
        <v>97</v>
      </c>
      <c r="R859" s="56">
        <f>HEX2DEC(RIGHT(Table1323212737[[#This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6" t="s">
        <v>97</v>
      </c>
      <c r="P860" s="56">
        <f>HEX2DEC(RIGHT(Table1323212737[[#This Row],[h1]],8))</f>
        <v>0</v>
      </c>
      <c r="Q860" s="56" t="s">
        <v>97</v>
      </c>
      <c r="R860" s="56">
        <f>HEX2DEC(RIGHT(Table1323212737[[#This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6" t="s">
        <v>97</v>
      </c>
      <c r="P861" s="56">
        <f>HEX2DEC(RIGHT(Table1323212737[[#This Row],[h1]],8))</f>
        <v>0</v>
      </c>
      <c r="Q861" s="56" t="s">
        <v>97</v>
      </c>
      <c r="R861" s="56">
        <f>HEX2DEC(RIGHT(Table1323212737[[#This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6" t="s">
        <v>97</v>
      </c>
      <c r="P862" s="56">
        <f>HEX2DEC(RIGHT(Table1323212737[[#This Row],[h1]],8))</f>
        <v>0</v>
      </c>
      <c r="Q862" s="56" t="s">
        <v>97</v>
      </c>
      <c r="R862" s="56">
        <f>HEX2DEC(RIGHT(Table1323212737[[#This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6" t="s">
        <v>97</v>
      </c>
      <c r="P863" s="56">
        <f>HEX2DEC(RIGHT(Table1323212737[[#This Row],[h1]],8))</f>
        <v>0</v>
      </c>
      <c r="Q863" s="56" t="s">
        <v>97</v>
      </c>
      <c r="R863" s="56">
        <f>HEX2DEC(RIGHT(Table1323212737[[#This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6" t="s">
        <v>97</v>
      </c>
      <c r="P864" s="56">
        <f>HEX2DEC(RIGHT(Table1323212737[[#This Row],[h1]],8))</f>
        <v>0</v>
      </c>
      <c r="Q864" s="56" t="s">
        <v>97</v>
      </c>
      <c r="R864" s="56">
        <f>HEX2DEC(RIGHT(Table1323212737[[#This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6" t="s">
        <v>97</v>
      </c>
      <c r="P865" s="56">
        <f>HEX2DEC(RIGHT(Table1323212737[[#This Row],[h1]],8))</f>
        <v>0</v>
      </c>
      <c r="Q865" s="56" t="s">
        <v>97</v>
      </c>
      <c r="R865" s="56">
        <f>HEX2DEC(RIGHT(Table1323212737[[#This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6" t="s">
        <v>97</v>
      </c>
      <c r="P866" s="56">
        <f>HEX2DEC(RIGHT(Table1323212737[[#This Row],[h1]],8))</f>
        <v>0</v>
      </c>
      <c r="Q866" s="56" t="s">
        <v>97</v>
      </c>
      <c r="R866" s="56">
        <f>HEX2DEC(RIGHT(Table1323212737[[#This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6" t="s">
        <v>97</v>
      </c>
      <c r="P867" s="56">
        <f>HEX2DEC(RIGHT(Table1323212737[[#This Row],[h1]],8))</f>
        <v>0</v>
      </c>
      <c r="Q867" s="56" t="s">
        <v>97</v>
      </c>
      <c r="R867" s="56">
        <f>HEX2DEC(RIGHT(Table1323212737[[#This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6" t="s">
        <v>97</v>
      </c>
      <c r="P868" s="56">
        <f>HEX2DEC(RIGHT(Table1323212737[[#This Row],[h1]],8))</f>
        <v>0</v>
      </c>
      <c r="Q868" s="56" t="s">
        <v>97</v>
      </c>
      <c r="R868" s="56">
        <f>HEX2DEC(RIGHT(Table1323212737[[#This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6" t="s">
        <v>97</v>
      </c>
      <c r="P869" s="56">
        <f>HEX2DEC(RIGHT(Table1323212737[[#This Row],[h1]],8))</f>
        <v>0</v>
      </c>
      <c r="Q869" s="56" t="s">
        <v>97</v>
      </c>
      <c r="R869" s="56">
        <f>HEX2DEC(RIGHT(Table1323212737[[#This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6" t="s">
        <v>97</v>
      </c>
      <c r="P870" s="56">
        <f>HEX2DEC(RIGHT(Table1323212737[[#This Row],[h1]],8))</f>
        <v>0</v>
      </c>
      <c r="Q870" s="56" t="s">
        <v>97</v>
      </c>
      <c r="R870" s="56">
        <f>HEX2DEC(RIGHT(Table1323212737[[#This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6" t="s">
        <v>97</v>
      </c>
      <c r="P871" s="56">
        <f>HEX2DEC(RIGHT(Table1323212737[[#This Row],[h1]],8))</f>
        <v>0</v>
      </c>
      <c r="Q871" s="56" t="s">
        <v>97</v>
      </c>
      <c r="R871" s="56">
        <f>HEX2DEC(RIGHT(Table1323212737[[#This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6" t="s">
        <v>97</v>
      </c>
      <c r="P872" s="56">
        <f>HEX2DEC(RIGHT(Table1323212737[[#This Row],[h1]],8))</f>
        <v>0</v>
      </c>
      <c r="Q872" s="56" t="s">
        <v>97</v>
      </c>
      <c r="R872" s="56">
        <f>HEX2DEC(RIGHT(Table1323212737[[#This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6" t="s">
        <v>97</v>
      </c>
      <c r="P873" s="56">
        <f>HEX2DEC(RIGHT(Table1323212737[[#This Row],[h1]],8))</f>
        <v>0</v>
      </c>
      <c r="Q873" s="56" t="s">
        <v>97</v>
      </c>
      <c r="R873" s="56">
        <f>HEX2DEC(RIGHT(Table1323212737[[#This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6" t="s">
        <v>97</v>
      </c>
      <c r="P874" s="56">
        <f>HEX2DEC(RIGHT(Table1323212737[[#This Row],[h1]],8))</f>
        <v>0</v>
      </c>
      <c r="Q874" s="56" t="s">
        <v>97</v>
      </c>
      <c r="R874" s="56">
        <f>HEX2DEC(RIGHT(Table1323212737[[#This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6" t="s">
        <v>97</v>
      </c>
      <c r="P875" s="56">
        <f>HEX2DEC(RIGHT(Table1323212737[[#This Row],[h1]],8))</f>
        <v>0</v>
      </c>
      <c r="Q875" s="56" t="s">
        <v>97</v>
      </c>
      <c r="R875" s="56">
        <f>HEX2DEC(RIGHT(Table1323212737[[#This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6" t="s">
        <v>97</v>
      </c>
      <c r="P876" s="56">
        <f>HEX2DEC(RIGHT(Table1323212737[[#This Row],[h1]],8))</f>
        <v>0</v>
      </c>
      <c r="Q876" s="56" t="s">
        <v>97</v>
      </c>
      <c r="R876" s="56">
        <f>HEX2DEC(RIGHT(Table1323212737[[#This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6" t="s">
        <v>97</v>
      </c>
      <c r="P877" s="56">
        <f>HEX2DEC(RIGHT(Table1323212737[[#This Row],[h1]],8))</f>
        <v>0</v>
      </c>
      <c r="Q877" s="56" t="s">
        <v>97</v>
      </c>
      <c r="R877" s="56">
        <f>HEX2DEC(RIGHT(Table1323212737[[#This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6" t="s">
        <v>97</v>
      </c>
      <c r="P878" s="56">
        <f>HEX2DEC(RIGHT(Table1323212737[[#This Row],[h1]],8))</f>
        <v>0</v>
      </c>
      <c r="Q878" s="56" t="s">
        <v>97</v>
      </c>
      <c r="R878" s="56">
        <f>HEX2DEC(RIGHT(Table1323212737[[#This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6" t="s">
        <v>97</v>
      </c>
      <c r="P879" s="56">
        <f>HEX2DEC(RIGHT(Table1323212737[[#This Row],[h1]],8))</f>
        <v>0</v>
      </c>
      <c r="Q879" s="56" t="s">
        <v>97</v>
      </c>
      <c r="R879" s="56">
        <f>HEX2DEC(RIGHT(Table1323212737[[#This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6" t="s">
        <v>97</v>
      </c>
      <c r="P880" s="56">
        <f>HEX2DEC(RIGHT(Table1323212737[[#This Row],[h1]],8))</f>
        <v>0</v>
      </c>
      <c r="Q880" s="56" t="s">
        <v>97</v>
      </c>
      <c r="R880" s="56">
        <f>HEX2DEC(RIGHT(Table1323212737[[#This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6" t="s">
        <v>97</v>
      </c>
      <c r="P881" s="56">
        <f>HEX2DEC(RIGHT(Table1323212737[[#This Row],[h1]],8))</f>
        <v>0</v>
      </c>
      <c r="Q881" s="56" t="s">
        <v>97</v>
      </c>
      <c r="R881" s="56">
        <f>HEX2DEC(RIGHT(Table1323212737[[#This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6" t="s">
        <v>97</v>
      </c>
      <c r="P882" s="56">
        <f>HEX2DEC(RIGHT(Table1323212737[[#This Row],[h1]],8))</f>
        <v>0</v>
      </c>
      <c r="Q882" s="56" t="s">
        <v>97</v>
      </c>
      <c r="R882" s="56">
        <f>HEX2DEC(RIGHT(Table1323212737[[#This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6" t="s">
        <v>97</v>
      </c>
      <c r="P883" s="56">
        <f>HEX2DEC(RIGHT(Table1323212737[[#This Row],[h1]],8))</f>
        <v>0</v>
      </c>
      <c r="Q883" s="56" t="s">
        <v>97</v>
      </c>
      <c r="R883" s="56">
        <f>HEX2DEC(RIGHT(Table1323212737[[#This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6" t="s">
        <v>97</v>
      </c>
      <c r="P884" s="56">
        <f>HEX2DEC(RIGHT(Table1323212737[[#This Row],[h1]],8))</f>
        <v>0</v>
      </c>
      <c r="Q884" s="56" t="s">
        <v>97</v>
      </c>
      <c r="R884" s="56">
        <f>HEX2DEC(RIGHT(Table1323212737[[#This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6" t="s">
        <v>97</v>
      </c>
      <c r="P885" s="56">
        <f>HEX2DEC(RIGHT(Table1323212737[[#This Row],[h1]],8))</f>
        <v>0</v>
      </c>
      <c r="Q885" s="56" t="s">
        <v>97</v>
      </c>
      <c r="R885" s="56">
        <f>HEX2DEC(RIGHT(Table1323212737[[#This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6" t="s">
        <v>97</v>
      </c>
      <c r="P886" s="56">
        <f>HEX2DEC(RIGHT(Table1323212737[[#This Row],[h1]],8))</f>
        <v>0</v>
      </c>
      <c r="Q886" s="56" t="s">
        <v>97</v>
      </c>
      <c r="R886" s="56">
        <f>HEX2DEC(RIGHT(Table1323212737[[#This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6" t="s">
        <v>97</v>
      </c>
      <c r="P887" s="56">
        <f>HEX2DEC(RIGHT(Table1323212737[[#This Row],[h1]],8))</f>
        <v>0</v>
      </c>
      <c r="Q887" s="56" t="s">
        <v>97</v>
      </c>
      <c r="R887" s="56">
        <f>HEX2DEC(RIGHT(Table1323212737[[#This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6" t="s">
        <v>97</v>
      </c>
      <c r="P888" s="56">
        <f>HEX2DEC(RIGHT(Table1323212737[[#This Row],[h1]],8))</f>
        <v>0</v>
      </c>
      <c r="Q888" s="56" t="s">
        <v>97</v>
      </c>
      <c r="R888" s="56">
        <f>HEX2DEC(RIGHT(Table1323212737[[#This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6" t="s">
        <v>97</v>
      </c>
      <c r="P889" s="56">
        <f>HEX2DEC(RIGHT(Table1323212737[[#This Row],[h1]],8))</f>
        <v>0</v>
      </c>
      <c r="Q889" s="56" t="s">
        <v>97</v>
      </c>
      <c r="R889" s="56">
        <f>HEX2DEC(RIGHT(Table1323212737[[#This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6" t="s">
        <v>97</v>
      </c>
      <c r="P890" s="56">
        <f>HEX2DEC(RIGHT(Table1323212737[[#This Row],[h1]],8))</f>
        <v>0</v>
      </c>
      <c r="Q890" s="56" t="s">
        <v>97</v>
      </c>
      <c r="R890" s="56">
        <f>HEX2DEC(RIGHT(Table1323212737[[#This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6" t="s">
        <v>97</v>
      </c>
      <c r="P891" s="56">
        <f>HEX2DEC(RIGHT(Table1323212737[[#This Row],[h1]],8))</f>
        <v>0</v>
      </c>
      <c r="Q891" s="56" t="s">
        <v>97</v>
      </c>
      <c r="R891" s="56">
        <f>HEX2DEC(RIGHT(Table1323212737[[#This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6" t="s">
        <v>97</v>
      </c>
      <c r="P892" s="56">
        <f>HEX2DEC(RIGHT(Table1323212737[[#This Row],[h1]],8))</f>
        <v>0</v>
      </c>
      <c r="Q892" s="56" t="s">
        <v>97</v>
      </c>
      <c r="R892" s="56">
        <f>HEX2DEC(RIGHT(Table1323212737[[#This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6" t="s">
        <v>97</v>
      </c>
      <c r="P893" s="56">
        <f>HEX2DEC(RIGHT(Table1323212737[[#This Row],[h1]],8))</f>
        <v>0</v>
      </c>
      <c r="Q893" s="56" t="s">
        <v>97</v>
      </c>
      <c r="R893" s="56">
        <f>HEX2DEC(RIGHT(Table1323212737[[#This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6" t="s">
        <v>97</v>
      </c>
      <c r="P894" s="56">
        <f>HEX2DEC(RIGHT(Table1323212737[[#This Row],[h1]],8))</f>
        <v>0</v>
      </c>
      <c r="Q894" s="56" t="s">
        <v>97</v>
      </c>
      <c r="R894" s="56">
        <f>HEX2DEC(RIGHT(Table1323212737[[#This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6" t="s">
        <v>97</v>
      </c>
      <c r="P895" s="56">
        <f>HEX2DEC(RIGHT(Table1323212737[[#This Row],[h1]],8))</f>
        <v>0</v>
      </c>
      <c r="Q895" s="56" t="s">
        <v>97</v>
      </c>
      <c r="R895" s="56">
        <f>HEX2DEC(RIGHT(Table1323212737[[#This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6" t="s">
        <v>97</v>
      </c>
      <c r="P896" s="56">
        <f>HEX2DEC(RIGHT(Table1323212737[[#This Row],[h1]],8))</f>
        <v>0</v>
      </c>
      <c r="Q896" s="56" t="s">
        <v>97</v>
      </c>
      <c r="R896" s="56">
        <f>HEX2DEC(RIGHT(Table1323212737[[#This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6" t="s">
        <v>97</v>
      </c>
      <c r="P897" s="56">
        <f>HEX2DEC(RIGHT(Table1323212737[[#This Row],[h1]],8))</f>
        <v>0</v>
      </c>
      <c r="Q897" s="56" t="s">
        <v>97</v>
      </c>
      <c r="R897" s="56">
        <f>HEX2DEC(RIGHT(Table1323212737[[#This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6" t="s">
        <v>97</v>
      </c>
      <c r="P898" s="56">
        <f>HEX2DEC(RIGHT(Table1323212737[[#This Row],[h1]],8))</f>
        <v>0</v>
      </c>
      <c r="Q898" s="56" t="s">
        <v>97</v>
      </c>
      <c r="R898" s="56">
        <f>HEX2DEC(RIGHT(Table1323212737[[#This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6" t="s">
        <v>97</v>
      </c>
      <c r="P899" s="56">
        <f>HEX2DEC(RIGHT(Table1323212737[[#This Row],[h1]],8))</f>
        <v>0</v>
      </c>
      <c r="Q899" s="56" t="s">
        <v>97</v>
      </c>
      <c r="R899" s="56">
        <f>HEX2DEC(RIGHT(Table1323212737[[#This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6" t="s">
        <v>97</v>
      </c>
      <c r="P900" s="56">
        <f>HEX2DEC(RIGHT(Table1323212737[[#This Row],[h1]],8))</f>
        <v>0</v>
      </c>
      <c r="Q900" s="56" t="s">
        <v>97</v>
      </c>
      <c r="R900" s="56">
        <f>HEX2DEC(RIGHT(Table1323212737[[#This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6" t="s">
        <v>97</v>
      </c>
      <c r="P901" s="56">
        <f>HEX2DEC(RIGHT(Table1323212737[[#This Row],[h1]],8))</f>
        <v>0</v>
      </c>
      <c r="Q901" s="56" t="s">
        <v>97</v>
      </c>
      <c r="R901" s="56">
        <f>HEX2DEC(RIGHT(Table1323212737[[#This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6" t="s">
        <v>97</v>
      </c>
      <c r="P902" s="56">
        <f>HEX2DEC(RIGHT(Table1323212737[[#This Row],[h1]],8))</f>
        <v>0</v>
      </c>
      <c r="Q902" s="56" t="s">
        <v>97</v>
      </c>
      <c r="R902" s="56">
        <f>HEX2DEC(RIGHT(Table1323212737[[#This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6" t="s">
        <v>97</v>
      </c>
      <c r="P903" s="56">
        <f>HEX2DEC(RIGHT(Table1323212737[[#This Row],[h1]],8))</f>
        <v>0</v>
      </c>
      <c r="Q903" s="56" t="s">
        <v>97</v>
      </c>
      <c r="R903" s="56">
        <f>HEX2DEC(RIGHT(Table1323212737[[#This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6" t="s">
        <v>97</v>
      </c>
      <c r="P904" s="56">
        <f>HEX2DEC(RIGHT(Table1323212737[[#This Row],[h1]],8))</f>
        <v>0</v>
      </c>
      <c r="Q904" s="56" t="s">
        <v>97</v>
      </c>
      <c r="R904" s="56">
        <f>HEX2DEC(RIGHT(Table1323212737[[#This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6" t="s">
        <v>97</v>
      </c>
      <c r="P905" s="56">
        <f>HEX2DEC(RIGHT(Table1323212737[[#This Row],[h1]],8))</f>
        <v>0</v>
      </c>
      <c r="Q905" s="56" t="s">
        <v>97</v>
      </c>
      <c r="R905" s="56">
        <f>HEX2DEC(RIGHT(Table1323212737[[#This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6" t="s">
        <v>97</v>
      </c>
      <c r="P906" s="56">
        <f>HEX2DEC(RIGHT(Table1323212737[[#This Row],[h1]],8))</f>
        <v>0</v>
      </c>
      <c r="Q906" s="56" t="s">
        <v>97</v>
      </c>
      <c r="R906" s="56">
        <f>HEX2DEC(RIGHT(Table1323212737[[#This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6" t="s">
        <v>97</v>
      </c>
      <c r="P907" s="56">
        <f>HEX2DEC(RIGHT(Table1323212737[[#This Row],[h1]],8))</f>
        <v>0</v>
      </c>
      <c r="Q907" s="56" t="s">
        <v>97</v>
      </c>
      <c r="R907" s="56">
        <f>HEX2DEC(RIGHT(Table1323212737[[#This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6" t="s">
        <v>97</v>
      </c>
      <c r="P908" s="56">
        <f>HEX2DEC(RIGHT(Table1323212737[[#This Row],[h1]],8))</f>
        <v>0</v>
      </c>
      <c r="Q908" s="56" t="s">
        <v>97</v>
      </c>
      <c r="R908" s="56">
        <f>HEX2DEC(RIGHT(Table1323212737[[#This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6" t="s">
        <v>97</v>
      </c>
      <c r="P909" s="56">
        <f>HEX2DEC(RIGHT(Table1323212737[[#This Row],[h1]],8))</f>
        <v>0</v>
      </c>
      <c r="Q909" s="56" t="s">
        <v>97</v>
      </c>
      <c r="R909" s="56">
        <f>HEX2DEC(RIGHT(Table1323212737[[#This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6" t="s">
        <v>97</v>
      </c>
      <c r="P910" s="56">
        <f>HEX2DEC(RIGHT(Table1323212737[[#This Row],[h1]],8))</f>
        <v>0</v>
      </c>
      <c r="Q910" s="56" t="s">
        <v>97</v>
      </c>
      <c r="R910" s="56">
        <f>HEX2DEC(RIGHT(Table1323212737[[#This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6" t="s">
        <v>97</v>
      </c>
      <c r="P911" s="56">
        <f>HEX2DEC(RIGHT(Table1323212737[[#This Row],[h1]],8))</f>
        <v>0</v>
      </c>
      <c r="Q911" s="56" t="s">
        <v>97</v>
      </c>
      <c r="R911" s="56">
        <f>HEX2DEC(RIGHT(Table1323212737[[#This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6" t="s">
        <v>97</v>
      </c>
      <c r="P912" s="56">
        <f>HEX2DEC(RIGHT(Table1323212737[[#This Row],[h1]],8))</f>
        <v>0</v>
      </c>
      <c r="Q912" s="56" t="s">
        <v>97</v>
      </c>
      <c r="R912" s="56">
        <f>HEX2DEC(RIGHT(Table1323212737[[#This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6" t="s">
        <v>97</v>
      </c>
      <c r="P913" s="56">
        <f>HEX2DEC(RIGHT(Table1323212737[[#This Row],[h1]],8))</f>
        <v>0</v>
      </c>
      <c r="Q913" s="56" t="s">
        <v>97</v>
      </c>
      <c r="R913" s="56">
        <f>HEX2DEC(RIGHT(Table1323212737[[#This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6" t="s">
        <v>97</v>
      </c>
      <c r="P914" s="56">
        <f>HEX2DEC(RIGHT(Table1323212737[[#This Row],[h1]],8))</f>
        <v>0</v>
      </c>
      <c r="Q914" s="56" t="s">
        <v>97</v>
      </c>
      <c r="R914" s="56">
        <f>HEX2DEC(RIGHT(Table1323212737[[#This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6" t="s">
        <v>97</v>
      </c>
      <c r="P915" s="56">
        <f>HEX2DEC(RIGHT(Table1323212737[[#This Row],[h1]],8))</f>
        <v>0</v>
      </c>
      <c r="Q915" s="56" t="s">
        <v>97</v>
      </c>
      <c r="R915" s="56">
        <f>HEX2DEC(RIGHT(Table1323212737[[#This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6" t="s">
        <v>97</v>
      </c>
      <c r="P916" s="56">
        <f>HEX2DEC(RIGHT(Table1323212737[[#This Row],[h1]],8))</f>
        <v>0</v>
      </c>
      <c r="Q916" s="56" t="s">
        <v>97</v>
      </c>
      <c r="R916" s="56">
        <f>HEX2DEC(RIGHT(Table1323212737[[#This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6" t="s">
        <v>97</v>
      </c>
      <c r="P917" s="56">
        <f>HEX2DEC(RIGHT(Table1323212737[[#This Row],[h1]],8))</f>
        <v>0</v>
      </c>
      <c r="Q917" s="56" t="s">
        <v>97</v>
      </c>
      <c r="R917" s="56">
        <f>HEX2DEC(RIGHT(Table1323212737[[#This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6" t="s">
        <v>97</v>
      </c>
      <c r="P918" s="56">
        <f>HEX2DEC(RIGHT(Table1323212737[[#This Row],[h1]],8))</f>
        <v>0</v>
      </c>
      <c r="Q918" s="56" t="s">
        <v>97</v>
      </c>
      <c r="R918" s="56">
        <f>HEX2DEC(RIGHT(Table1323212737[[#This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6" t="s">
        <v>97</v>
      </c>
      <c r="P919" s="56">
        <f>HEX2DEC(RIGHT(Table1323212737[[#This Row],[h1]],8))</f>
        <v>0</v>
      </c>
      <c r="Q919" s="56" t="s">
        <v>97</v>
      </c>
      <c r="R919" s="56">
        <f>HEX2DEC(RIGHT(Table1323212737[[#This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6" t="s">
        <v>97</v>
      </c>
      <c r="P920" s="56">
        <f>HEX2DEC(RIGHT(Table1323212737[[#This Row],[h1]],8))</f>
        <v>0</v>
      </c>
      <c r="Q920" s="56" t="s">
        <v>97</v>
      </c>
      <c r="R920" s="56">
        <f>HEX2DEC(RIGHT(Table1323212737[[#This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6" t="s">
        <v>97</v>
      </c>
      <c r="P921" s="56">
        <f>HEX2DEC(RIGHT(Table1323212737[[#This Row],[h1]],8))</f>
        <v>0</v>
      </c>
      <c r="Q921" s="56" t="s">
        <v>97</v>
      </c>
      <c r="R921" s="56">
        <f>HEX2DEC(RIGHT(Table1323212737[[#This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6" t="s">
        <v>97</v>
      </c>
      <c r="P922" s="56">
        <f>HEX2DEC(RIGHT(Table1323212737[[#This Row],[h1]],8))</f>
        <v>0</v>
      </c>
      <c r="Q922" s="56" t="s">
        <v>97</v>
      </c>
      <c r="R922" s="56">
        <f>HEX2DEC(RIGHT(Table1323212737[[#This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6" t="s">
        <v>97</v>
      </c>
      <c r="P923" s="56">
        <f>HEX2DEC(RIGHT(Table1323212737[[#This Row],[h1]],8))</f>
        <v>0</v>
      </c>
      <c r="Q923" s="56" t="s">
        <v>97</v>
      </c>
      <c r="R923" s="56">
        <f>HEX2DEC(RIGHT(Table1323212737[[#This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6" t="s">
        <v>97</v>
      </c>
      <c r="P924" s="56">
        <f>HEX2DEC(RIGHT(Table1323212737[[#This Row],[h1]],8))</f>
        <v>0</v>
      </c>
      <c r="Q924" s="56" t="s">
        <v>97</v>
      </c>
      <c r="R924" s="56">
        <f>HEX2DEC(RIGHT(Table1323212737[[#This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6" t="s">
        <v>97</v>
      </c>
      <c r="P925" s="56">
        <f>HEX2DEC(RIGHT(Table1323212737[[#This Row],[h1]],8))</f>
        <v>0</v>
      </c>
      <c r="Q925" s="56" t="s">
        <v>97</v>
      </c>
      <c r="R925" s="56">
        <f>HEX2DEC(RIGHT(Table1323212737[[#This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6" t="s">
        <v>97</v>
      </c>
      <c r="P926" s="56">
        <f>HEX2DEC(RIGHT(Table1323212737[[#This Row],[h1]],8))</f>
        <v>0</v>
      </c>
      <c r="Q926" s="56" t="s">
        <v>97</v>
      </c>
      <c r="R926" s="56">
        <f>HEX2DEC(RIGHT(Table1323212737[[#This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6" t="s">
        <v>97</v>
      </c>
      <c r="P927" s="56">
        <f>HEX2DEC(RIGHT(Table1323212737[[#This Row],[h1]],8))</f>
        <v>0</v>
      </c>
      <c r="Q927" s="56" t="s">
        <v>97</v>
      </c>
      <c r="R927" s="56">
        <f>HEX2DEC(RIGHT(Table1323212737[[#This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6" t="s">
        <v>97</v>
      </c>
      <c r="P928" s="56">
        <f>HEX2DEC(RIGHT(Table1323212737[[#This Row],[h1]],8))</f>
        <v>0</v>
      </c>
      <c r="Q928" s="56" t="s">
        <v>97</v>
      </c>
      <c r="R928" s="56">
        <f>HEX2DEC(RIGHT(Table1323212737[[#This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6" t="s">
        <v>97</v>
      </c>
      <c r="P929" s="56">
        <f>HEX2DEC(RIGHT(Table1323212737[[#This Row],[h1]],8))</f>
        <v>0</v>
      </c>
      <c r="Q929" s="56" t="s">
        <v>97</v>
      </c>
      <c r="R929" s="56">
        <f>HEX2DEC(RIGHT(Table1323212737[[#This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6" t="s">
        <v>97</v>
      </c>
      <c r="P930" s="56">
        <f>HEX2DEC(RIGHT(Table1323212737[[#This Row],[h1]],8))</f>
        <v>0</v>
      </c>
      <c r="Q930" s="56" t="s">
        <v>97</v>
      </c>
      <c r="R930" s="56">
        <f>HEX2DEC(RIGHT(Table1323212737[[#This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6" t="s">
        <v>97</v>
      </c>
      <c r="P931" s="56">
        <f>HEX2DEC(RIGHT(Table1323212737[[#This Row],[h1]],8))</f>
        <v>0</v>
      </c>
      <c r="Q931" s="56" t="s">
        <v>97</v>
      </c>
      <c r="R931" s="56">
        <f>HEX2DEC(RIGHT(Table1323212737[[#This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6" t="s">
        <v>97</v>
      </c>
      <c r="P932" s="56">
        <f>HEX2DEC(RIGHT(Table1323212737[[#This Row],[h1]],8))</f>
        <v>0</v>
      </c>
      <c r="Q932" s="56" t="s">
        <v>97</v>
      </c>
      <c r="R932" s="56">
        <f>HEX2DEC(RIGHT(Table1323212737[[#This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6" t="s">
        <v>97</v>
      </c>
      <c r="P933" s="56">
        <f>HEX2DEC(RIGHT(Table1323212737[[#This Row],[h1]],8))</f>
        <v>0</v>
      </c>
      <c r="Q933" s="56" t="s">
        <v>97</v>
      </c>
      <c r="R933" s="56">
        <f>HEX2DEC(RIGHT(Table1323212737[[#This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6" t="s">
        <v>97</v>
      </c>
      <c r="P934" s="56">
        <f>HEX2DEC(RIGHT(Table1323212737[[#This Row],[h1]],8))</f>
        <v>0</v>
      </c>
      <c r="Q934" s="56" t="s">
        <v>97</v>
      </c>
      <c r="R934" s="56">
        <f>HEX2DEC(RIGHT(Table1323212737[[#This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6" t="s">
        <v>97</v>
      </c>
      <c r="P935" s="56">
        <f>HEX2DEC(RIGHT(Table1323212737[[#This Row],[h1]],8))</f>
        <v>0</v>
      </c>
      <c r="Q935" s="56" t="s">
        <v>97</v>
      </c>
      <c r="R935" s="56">
        <f>HEX2DEC(RIGHT(Table1323212737[[#This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6" t="s">
        <v>97</v>
      </c>
      <c r="P936" s="56">
        <f>HEX2DEC(RIGHT(Table1323212737[[#This Row],[h1]],8))</f>
        <v>0</v>
      </c>
      <c r="Q936" s="56" t="s">
        <v>97</v>
      </c>
      <c r="R936" s="56">
        <f>HEX2DEC(RIGHT(Table1323212737[[#This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6" t="s">
        <v>97</v>
      </c>
      <c r="P937" s="56">
        <f>HEX2DEC(RIGHT(Table1323212737[[#This Row],[h1]],8))</f>
        <v>0</v>
      </c>
      <c r="Q937" s="56" t="s">
        <v>97</v>
      </c>
      <c r="R937" s="56">
        <f>HEX2DEC(RIGHT(Table1323212737[[#This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6" t="s">
        <v>97</v>
      </c>
      <c r="P938" s="56">
        <f>HEX2DEC(RIGHT(Table1323212737[[#This Row],[h1]],8))</f>
        <v>0</v>
      </c>
      <c r="Q938" s="56" t="s">
        <v>97</v>
      </c>
      <c r="R938" s="56">
        <f>HEX2DEC(RIGHT(Table1323212737[[#This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6" t="s">
        <v>97</v>
      </c>
      <c r="P939" s="56">
        <f>HEX2DEC(RIGHT(Table1323212737[[#This Row],[h1]],8))</f>
        <v>0</v>
      </c>
      <c r="Q939" s="56" t="s">
        <v>97</v>
      </c>
      <c r="R939" s="56">
        <f>HEX2DEC(RIGHT(Table1323212737[[#This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6" t="s">
        <v>97</v>
      </c>
      <c r="P940" s="56">
        <f>HEX2DEC(RIGHT(Table1323212737[[#This Row],[h1]],8))</f>
        <v>0</v>
      </c>
      <c r="Q940" s="56" t="s">
        <v>97</v>
      </c>
      <c r="R940" s="56">
        <f>HEX2DEC(RIGHT(Table1323212737[[#This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6" t="s">
        <v>97</v>
      </c>
      <c r="P941" s="56">
        <f>HEX2DEC(RIGHT(Table1323212737[[#This Row],[h1]],8))</f>
        <v>0</v>
      </c>
      <c r="Q941" s="56" t="s">
        <v>97</v>
      </c>
      <c r="R941" s="56">
        <f>HEX2DEC(RIGHT(Table1323212737[[#This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6" t="s">
        <v>97</v>
      </c>
      <c r="P942" s="56">
        <f>HEX2DEC(RIGHT(Table1323212737[[#This Row],[h1]],8))</f>
        <v>0</v>
      </c>
      <c r="Q942" s="56" t="s">
        <v>97</v>
      </c>
      <c r="R942" s="56">
        <f>HEX2DEC(RIGHT(Table1323212737[[#This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6" t="s">
        <v>97</v>
      </c>
      <c r="P943" s="56">
        <f>HEX2DEC(RIGHT(Table1323212737[[#This Row],[h1]],8))</f>
        <v>0</v>
      </c>
      <c r="Q943" s="56" t="s">
        <v>97</v>
      </c>
      <c r="R943" s="56">
        <f>HEX2DEC(RIGHT(Table1323212737[[#This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6" t="s">
        <v>97</v>
      </c>
      <c r="P944" s="56">
        <f>HEX2DEC(RIGHT(Table1323212737[[#This Row],[h1]],8))</f>
        <v>0</v>
      </c>
      <c r="Q944" s="56" t="s">
        <v>97</v>
      </c>
      <c r="R944" s="56">
        <f>HEX2DEC(RIGHT(Table1323212737[[#This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6" t="s">
        <v>97</v>
      </c>
      <c r="P945" s="56">
        <f>HEX2DEC(RIGHT(Table1323212737[[#This Row],[h1]],8))</f>
        <v>0</v>
      </c>
      <c r="Q945" s="56" t="s">
        <v>97</v>
      </c>
      <c r="R945" s="56">
        <f>HEX2DEC(RIGHT(Table1323212737[[#This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6" t="s">
        <v>97</v>
      </c>
      <c r="P946" s="56">
        <f>HEX2DEC(RIGHT(Table1323212737[[#This Row],[h1]],8))</f>
        <v>0</v>
      </c>
      <c r="Q946" s="56" t="s">
        <v>97</v>
      </c>
      <c r="R946" s="56">
        <f>HEX2DEC(RIGHT(Table1323212737[[#This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6" t="s">
        <v>97</v>
      </c>
      <c r="P947" s="56">
        <f>HEX2DEC(RIGHT(Table1323212737[[#This Row],[h1]],8))</f>
        <v>0</v>
      </c>
      <c r="Q947" s="56" t="s">
        <v>97</v>
      </c>
      <c r="R947" s="56">
        <f>HEX2DEC(RIGHT(Table1323212737[[#This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6" t="s">
        <v>97</v>
      </c>
      <c r="P948" s="56">
        <f>HEX2DEC(RIGHT(Table1323212737[[#This Row],[h1]],8))</f>
        <v>0</v>
      </c>
      <c r="Q948" s="56" t="s">
        <v>97</v>
      </c>
      <c r="R948" s="56">
        <f>HEX2DEC(RIGHT(Table1323212737[[#This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6" t="s">
        <v>97</v>
      </c>
      <c r="P949" s="56">
        <f>HEX2DEC(RIGHT(Table1323212737[[#This Row],[h1]],8))</f>
        <v>0</v>
      </c>
      <c r="Q949" s="56" t="s">
        <v>97</v>
      </c>
      <c r="R949" s="56">
        <f>HEX2DEC(RIGHT(Table1323212737[[#This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6" t="s">
        <v>97</v>
      </c>
      <c r="P950" s="56">
        <f>HEX2DEC(RIGHT(Table1323212737[[#This Row],[h1]],8))</f>
        <v>0</v>
      </c>
      <c r="Q950" s="56" t="s">
        <v>97</v>
      </c>
      <c r="R950" s="56">
        <f>HEX2DEC(RIGHT(Table1323212737[[#This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6" t="s">
        <v>97</v>
      </c>
      <c r="P951" s="56">
        <f>HEX2DEC(RIGHT(Table1323212737[[#This Row],[h1]],8))</f>
        <v>0</v>
      </c>
      <c r="Q951" s="56" t="s">
        <v>97</v>
      </c>
      <c r="R951" s="56">
        <f>HEX2DEC(RIGHT(Table1323212737[[#This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6" t="s">
        <v>97</v>
      </c>
      <c r="P952" s="56">
        <f>HEX2DEC(RIGHT(Table1323212737[[#This Row],[h1]],8))</f>
        <v>0</v>
      </c>
      <c r="Q952" s="56" t="s">
        <v>97</v>
      </c>
      <c r="R952" s="56">
        <f>HEX2DEC(RIGHT(Table1323212737[[#This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6" t="s">
        <v>97</v>
      </c>
      <c r="P953" s="56">
        <f>HEX2DEC(RIGHT(Table1323212737[[#This Row],[h1]],8))</f>
        <v>0</v>
      </c>
      <c r="Q953" s="56" t="s">
        <v>97</v>
      </c>
      <c r="R953" s="56">
        <f>HEX2DEC(RIGHT(Table1323212737[[#This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6" t="s">
        <v>97</v>
      </c>
      <c r="P954" s="56">
        <f>HEX2DEC(RIGHT(Table1323212737[[#This Row],[h1]],8))</f>
        <v>0</v>
      </c>
      <c r="Q954" s="56" t="s">
        <v>97</v>
      </c>
      <c r="R954" s="56">
        <f>HEX2DEC(RIGHT(Table1323212737[[#This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6" t="s">
        <v>97</v>
      </c>
      <c r="P955" s="56">
        <f>HEX2DEC(RIGHT(Table1323212737[[#This Row],[h1]],8))</f>
        <v>0</v>
      </c>
      <c r="Q955" s="56" t="s">
        <v>97</v>
      </c>
      <c r="R955" s="56">
        <f>HEX2DEC(RIGHT(Table1323212737[[#This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6" t="s">
        <v>97</v>
      </c>
      <c r="P956" s="56">
        <f>HEX2DEC(RIGHT(Table1323212737[[#This Row],[h1]],8))</f>
        <v>0</v>
      </c>
      <c r="Q956" s="56" t="s">
        <v>97</v>
      </c>
      <c r="R956" s="56">
        <f>HEX2DEC(RIGHT(Table1323212737[[#This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6" t="s">
        <v>97</v>
      </c>
      <c r="P957" s="56">
        <f>HEX2DEC(RIGHT(Table1323212737[[#This Row],[h1]],8))</f>
        <v>0</v>
      </c>
      <c r="Q957" s="56" t="s">
        <v>97</v>
      </c>
      <c r="R957" s="56">
        <f>HEX2DEC(RIGHT(Table1323212737[[#This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6" t="s">
        <v>97</v>
      </c>
      <c r="P958" s="56">
        <f>HEX2DEC(RIGHT(Table1323212737[[#This Row],[h1]],8))</f>
        <v>0</v>
      </c>
      <c r="Q958" s="56" t="s">
        <v>97</v>
      </c>
      <c r="R958" s="56">
        <f>HEX2DEC(RIGHT(Table1323212737[[#This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6" t="s">
        <v>97</v>
      </c>
      <c r="P959" s="56">
        <f>HEX2DEC(RIGHT(Table1323212737[[#This Row],[h1]],8))</f>
        <v>0</v>
      </c>
      <c r="Q959" s="56" t="s">
        <v>97</v>
      </c>
      <c r="R959" s="56">
        <f>HEX2DEC(RIGHT(Table1323212737[[#This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6" t="s">
        <v>97</v>
      </c>
      <c r="P960" s="56">
        <f>HEX2DEC(RIGHT(Table1323212737[[#This Row],[h1]],8))</f>
        <v>0</v>
      </c>
      <c r="Q960" s="56" t="s">
        <v>97</v>
      </c>
      <c r="R960" s="56">
        <f>HEX2DEC(RIGHT(Table1323212737[[#This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6" t="s">
        <v>97</v>
      </c>
      <c r="P961" s="56">
        <f>HEX2DEC(RIGHT(Table1323212737[[#This Row],[h1]],8))</f>
        <v>0</v>
      </c>
      <c r="Q961" s="56" t="s">
        <v>97</v>
      </c>
      <c r="R961" s="56">
        <f>HEX2DEC(RIGHT(Table1323212737[[#This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6" t="s">
        <v>97</v>
      </c>
      <c r="P962" s="56">
        <f>HEX2DEC(RIGHT(Table1323212737[[#This Row],[h1]],8))</f>
        <v>0</v>
      </c>
      <c r="Q962" s="56" t="s">
        <v>97</v>
      </c>
      <c r="R962" s="56">
        <f>HEX2DEC(RIGHT(Table1323212737[[#This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6" t="s">
        <v>97</v>
      </c>
      <c r="P963" s="56">
        <f>HEX2DEC(RIGHT(Table1323212737[[#This Row],[h1]],8))</f>
        <v>0</v>
      </c>
      <c r="Q963" s="56" t="s">
        <v>97</v>
      </c>
      <c r="R963" s="56">
        <f>HEX2DEC(RIGHT(Table1323212737[[#This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6" t="s">
        <v>97</v>
      </c>
      <c r="P964" s="56">
        <f>HEX2DEC(RIGHT(Table1323212737[[#This Row],[h1]],8))</f>
        <v>0</v>
      </c>
      <c r="Q964" s="56" t="s">
        <v>97</v>
      </c>
      <c r="R964" s="56">
        <f>HEX2DEC(RIGHT(Table1323212737[[#This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6" t="s">
        <v>97</v>
      </c>
      <c r="P965" s="56">
        <f>HEX2DEC(RIGHT(Table1323212737[[#This Row],[h1]],8))</f>
        <v>0</v>
      </c>
      <c r="Q965" s="56" t="s">
        <v>97</v>
      </c>
      <c r="R965" s="56">
        <f>HEX2DEC(RIGHT(Table1323212737[[#This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6" t="s">
        <v>97</v>
      </c>
      <c r="P966" s="56">
        <f>HEX2DEC(RIGHT(Table1323212737[[#This Row],[h1]],8))</f>
        <v>0</v>
      </c>
      <c r="Q966" s="56" t="s">
        <v>97</v>
      </c>
      <c r="R966" s="56">
        <f>HEX2DEC(RIGHT(Table1323212737[[#This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6" t="s">
        <v>97</v>
      </c>
      <c r="P967" s="56">
        <f>HEX2DEC(RIGHT(Table1323212737[[#This Row],[h1]],8))</f>
        <v>0</v>
      </c>
      <c r="Q967" s="56" t="s">
        <v>97</v>
      </c>
      <c r="R967" s="56">
        <f>HEX2DEC(RIGHT(Table1323212737[[#This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6" t="s">
        <v>97</v>
      </c>
      <c r="P968" s="56">
        <f>HEX2DEC(RIGHT(Table1323212737[[#This Row],[h1]],8))</f>
        <v>0</v>
      </c>
      <c r="Q968" s="56" t="s">
        <v>97</v>
      </c>
      <c r="R968" s="56">
        <f>HEX2DEC(RIGHT(Table1323212737[[#This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6" t="s">
        <v>97</v>
      </c>
      <c r="P969" s="56">
        <f>HEX2DEC(RIGHT(Table1323212737[[#This Row],[h1]],8))</f>
        <v>0</v>
      </c>
      <c r="Q969" s="56" t="s">
        <v>97</v>
      </c>
      <c r="R969" s="56">
        <f>HEX2DEC(RIGHT(Table1323212737[[#This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6" t="s">
        <v>97</v>
      </c>
      <c r="P970" s="56">
        <f>HEX2DEC(RIGHT(Table1323212737[[#This Row],[h1]],8))</f>
        <v>0</v>
      </c>
      <c r="Q970" s="56" t="s">
        <v>97</v>
      </c>
      <c r="R970" s="56">
        <f>HEX2DEC(RIGHT(Table1323212737[[#This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6" t="s">
        <v>97</v>
      </c>
      <c r="P971" s="56">
        <f>HEX2DEC(RIGHT(Table1323212737[[#This Row],[h1]],8))</f>
        <v>0</v>
      </c>
      <c r="Q971" s="56" t="s">
        <v>97</v>
      </c>
      <c r="R971" s="56">
        <f>HEX2DEC(RIGHT(Table1323212737[[#This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6" t="s">
        <v>97</v>
      </c>
      <c r="P972" s="56">
        <f>HEX2DEC(RIGHT(Table1323212737[[#This Row],[h1]],8))</f>
        <v>0</v>
      </c>
      <c r="Q972" s="56" t="s">
        <v>97</v>
      </c>
      <c r="R972" s="56">
        <f>HEX2DEC(RIGHT(Table1323212737[[#This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6" t="s">
        <v>97</v>
      </c>
      <c r="P973" s="56">
        <f>HEX2DEC(RIGHT(Table1323212737[[#This Row],[h1]],8))</f>
        <v>0</v>
      </c>
      <c r="Q973" s="56" t="s">
        <v>97</v>
      </c>
      <c r="R973" s="56">
        <f>HEX2DEC(RIGHT(Table1323212737[[#This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6" t="s">
        <v>97</v>
      </c>
      <c r="P974" s="56">
        <f>HEX2DEC(RIGHT(Table1323212737[[#This Row],[h1]],8))</f>
        <v>0</v>
      </c>
      <c r="Q974" s="56" t="s">
        <v>97</v>
      </c>
      <c r="R974" s="56">
        <f>HEX2DEC(RIGHT(Table1323212737[[#This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6" t="s">
        <v>97</v>
      </c>
      <c r="P975" s="56">
        <f>HEX2DEC(RIGHT(Table1323212737[[#This Row],[h1]],8))</f>
        <v>0</v>
      </c>
      <c r="Q975" s="56" t="s">
        <v>97</v>
      </c>
      <c r="R975" s="56">
        <f>HEX2DEC(RIGHT(Table1323212737[[#This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6" t="s">
        <v>97</v>
      </c>
      <c r="P976" s="56">
        <f>HEX2DEC(RIGHT(Table1323212737[[#This Row],[h1]],8))</f>
        <v>0</v>
      </c>
      <c r="Q976" s="56" t="s">
        <v>97</v>
      </c>
      <c r="R976" s="56">
        <f>HEX2DEC(RIGHT(Table1323212737[[#This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6" t="s">
        <v>97</v>
      </c>
      <c r="P977" s="56">
        <f>HEX2DEC(RIGHT(Table1323212737[[#This Row],[h1]],8))</f>
        <v>0</v>
      </c>
      <c r="Q977" s="56" t="s">
        <v>97</v>
      </c>
      <c r="R977" s="56">
        <f>HEX2DEC(RIGHT(Table1323212737[[#This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6" t="s">
        <v>97</v>
      </c>
      <c r="P978" s="56">
        <f>HEX2DEC(RIGHT(Table1323212737[[#This Row],[h1]],8))</f>
        <v>0</v>
      </c>
      <c r="Q978" s="56" t="s">
        <v>97</v>
      </c>
      <c r="R978" s="56">
        <f>HEX2DEC(RIGHT(Table1323212737[[#This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6" t="s">
        <v>97</v>
      </c>
      <c r="P979" s="56">
        <f>HEX2DEC(RIGHT(Table1323212737[[#This Row],[h1]],8))</f>
        <v>0</v>
      </c>
      <c r="Q979" s="56" t="s">
        <v>97</v>
      </c>
      <c r="R979" s="56">
        <f>HEX2DEC(RIGHT(Table1323212737[[#This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6" t="s">
        <v>97</v>
      </c>
      <c r="P980" s="56">
        <f>HEX2DEC(RIGHT(Table1323212737[[#This Row],[h1]],8))</f>
        <v>0</v>
      </c>
      <c r="Q980" s="56" t="s">
        <v>97</v>
      </c>
      <c r="R980" s="56">
        <f>HEX2DEC(RIGHT(Table1323212737[[#This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6" t="s">
        <v>97</v>
      </c>
      <c r="P981" s="56">
        <f>HEX2DEC(RIGHT(Table1323212737[[#This Row],[h1]],8))</f>
        <v>0</v>
      </c>
      <c r="Q981" s="56" t="s">
        <v>97</v>
      </c>
      <c r="R981" s="56">
        <f>HEX2DEC(RIGHT(Table1323212737[[#This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6" t="s">
        <v>97</v>
      </c>
      <c r="P982" s="56">
        <f>HEX2DEC(RIGHT(Table1323212737[[#This Row],[h1]],8))</f>
        <v>0</v>
      </c>
      <c r="Q982" s="56" t="s">
        <v>97</v>
      </c>
      <c r="R982" s="56">
        <f>HEX2DEC(RIGHT(Table1323212737[[#This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6" t="s">
        <v>97</v>
      </c>
      <c r="P983" s="56">
        <f>HEX2DEC(RIGHT(Table1323212737[[#This Row],[h1]],8))</f>
        <v>0</v>
      </c>
      <c r="Q983" s="56" t="s">
        <v>97</v>
      </c>
      <c r="R983" s="56">
        <f>HEX2DEC(RIGHT(Table1323212737[[#This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6" t="s">
        <v>97</v>
      </c>
      <c r="P984" s="56">
        <f>HEX2DEC(RIGHT(Table1323212737[[#This Row],[h1]],8))</f>
        <v>0</v>
      </c>
      <c r="Q984" s="56" t="s">
        <v>97</v>
      </c>
      <c r="R984" s="56">
        <f>HEX2DEC(RIGHT(Table1323212737[[#This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6" t="s">
        <v>97</v>
      </c>
      <c r="P985" s="56">
        <f>HEX2DEC(RIGHT(Table1323212737[[#This Row],[h1]],8))</f>
        <v>0</v>
      </c>
      <c r="Q985" s="56" t="s">
        <v>97</v>
      </c>
      <c r="R985" s="56">
        <f>HEX2DEC(RIGHT(Table1323212737[[#This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6" t="s">
        <v>97</v>
      </c>
      <c r="P986" s="56">
        <f>HEX2DEC(RIGHT(Table1323212737[[#This Row],[h1]],8))</f>
        <v>0</v>
      </c>
      <c r="Q986" s="56" t="s">
        <v>97</v>
      </c>
      <c r="R986" s="56">
        <f>HEX2DEC(RIGHT(Table1323212737[[#This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6" t="s">
        <v>97</v>
      </c>
      <c r="P987" s="56">
        <f>HEX2DEC(RIGHT(Table1323212737[[#This Row],[h1]],8))</f>
        <v>0</v>
      </c>
      <c r="Q987" s="56" t="s">
        <v>97</v>
      </c>
      <c r="R987" s="56">
        <f>HEX2DEC(RIGHT(Table1323212737[[#This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6" t="s">
        <v>97</v>
      </c>
      <c r="P988" s="56">
        <f>HEX2DEC(RIGHT(Table1323212737[[#This Row],[h1]],8))</f>
        <v>0</v>
      </c>
      <c r="Q988" s="56" t="s">
        <v>97</v>
      </c>
      <c r="R988" s="56">
        <f>HEX2DEC(RIGHT(Table1323212737[[#This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6" t="s">
        <v>97</v>
      </c>
      <c r="P989" s="56">
        <f>HEX2DEC(RIGHT(Table1323212737[[#This Row],[h1]],8))</f>
        <v>0</v>
      </c>
      <c r="Q989" s="56" t="s">
        <v>97</v>
      </c>
      <c r="R989" s="56">
        <f>HEX2DEC(RIGHT(Table1323212737[[#This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6" t="s">
        <v>97</v>
      </c>
      <c r="P990" s="56">
        <f>HEX2DEC(RIGHT(Table1323212737[[#This Row],[h1]],8))</f>
        <v>0</v>
      </c>
      <c r="Q990" s="56" t="s">
        <v>97</v>
      </c>
      <c r="R990" s="56">
        <f>HEX2DEC(RIGHT(Table1323212737[[#This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6" t="s">
        <v>97</v>
      </c>
      <c r="P991" s="56">
        <f>HEX2DEC(RIGHT(Table1323212737[[#This Row],[h1]],8))</f>
        <v>0</v>
      </c>
      <c r="Q991" s="56" t="s">
        <v>97</v>
      </c>
      <c r="R991" s="56">
        <f>HEX2DEC(RIGHT(Table1323212737[[#This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6" t="s">
        <v>97</v>
      </c>
      <c r="P992" s="56">
        <f>HEX2DEC(RIGHT(Table1323212737[[#This Row],[h1]],8))</f>
        <v>0</v>
      </c>
      <c r="Q992" s="56" t="s">
        <v>97</v>
      </c>
      <c r="R992" s="56">
        <f>HEX2DEC(RIGHT(Table1323212737[[#This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6" t="s">
        <v>97</v>
      </c>
      <c r="P993" s="56">
        <f>HEX2DEC(RIGHT(Table1323212737[[#This Row],[h1]],8))</f>
        <v>0</v>
      </c>
      <c r="Q993" s="56" t="s">
        <v>97</v>
      </c>
      <c r="R993" s="56">
        <f>HEX2DEC(RIGHT(Table1323212737[[#This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6" t="s">
        <v>97</v>
      </c>
      <c r="P994" s="56">
        <f>HEX2DEC(RIGHT(Table1323212737[[#This Row],[h1]],8))</f>
        <v>0</v>
      </c>
      <c r="Q994" s="56" t="s">
        <v>97</v>
      </c>
      <c r="R994" s="56">
        <f>HEX2DEC(RIGHT(Table1323212737[[#This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6" t="s">
        <v>97</v>
      </c>
      <c r="P995" s="56">
        <f>HEX2DEC(RIGHT(Table1323212737[[#This Row],[h1]],8))</f>
        <v>0</v>
      </c>
      <c r="Q995" s="56" t="s">
        <v>97</v>
      </c>
      <c r="R995" s="56">
        <f>HEX2DEC(RIGHT(Table1323212737[[#This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6" t="s">
        <v>97</v>
      </c>
      <c r="P996" s="56">
        <f>HEX2DEC(RIGHT(Table1323212737[[#This Row],[h1]],8))</f>
        <v>0</v>
      </c>
      <c r="Q996" s="56" t="s">
        <v>97</v>
      </c>
      <c r="R996" s="56">
        <f>HEX2DEC(RIGHT(Table1323212737[[#This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6" t="s">
        <v>97</v>
      </c>
      <c r="P997" s="56">
        <f>HEX2DEC(RIGHT(Table1323212737[[#This Row],[h1]],8))</f>
        <v>0</v>
      </c>
      <c r="Q997" s="56" t="s">
        <v>97</v>
      </c>
      <c r="R997" s="56">
        <f>HEX2DEC(RIGHT(Table1323212737[[#This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6" t="s">
        <v>97</v>
      </c>
      <c r="P998" s="56">
        <f>HEX2DEC(RIGHT(Table1323212737[[#This Row],[h1]],8))</f>
        <v>0</v>
      </c>
      <c r="Q998" s="56" t="s">
        <v>97</v>
      </c>
      <c r="R998" s="56">
        <f>HEX2DEC(RIGHT(Table1323212737[[#This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6" t="s">
        <v>97</v>
      </c>
      <c r="P999" s="56">
        <f>HEX2DEC(RIGHT(Table1323212737[[#This Row],[h1]],8))</f>
        <v>0</v>
      </c>
      <c r="Q999" s="56" t="s">
        <v>97</v>
      </c>
      <c r="R999" s="56">
        <f>HEX2DEC(RIGHT(Table1323212737[[#This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6" t="s">
        <v>97</v>
      </c>
      <c r="P1000" s="56">
        <f>HEX2DEC(RIGHT(Table1323212737[[#This Row],[h1]],8))</f>
        <v>0</v>
      </c>
      <c r="Q1000" s="56" t="s">
        <v>97</v>
      </c>
      <c r="R1000" s="56">
        <f>HEX2DEC(RIGHT(Table1323212737[[#This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6" t="s">
        <v>97</v>
      </c>
      <c r="P1001" s="56">
        <f>HEX2DEC(RIGHT(Table1323212737[[#This Row],[h1]],8))</f>
        <v>0</v>
      </c>
      <c r="Q1001" s="56" t="s">
        <v>97</v>
      </c>
      <c r="R1001" s="56">
        <f>HEX2DEC(RIGHT(Table1323212737[[#This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6" t="s">
        <v>97</v>
      </c>
      <c r="P1002" s="56">
        <f>HEX2DEC(RIGHT(Table1323212737[[#This Row],[h1]],8))</f>
        <v>0</v>
      </c>
      <c r="Q1002" s="56" t="s">
        <v>97</v>
      </c>
      <c r="R1002" s="56">
        <f>HEX2DEC(RIGHT(Table1323212737[[#This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6" t="s">
        <v>97</v>
      </c>
      <c r="P1003" s="56">
        <f>HEX2DEC(RIGHT(Table1323212737[[#This Row],[h1]],8))</f>
        <v>0</v>
      </c>
      <c r="Q1003" s="56" t="s">
        <v>97</v>
      </c>
      <c r="R1003" s="56">
        <f>HEX2DEC(RIGHT(Table1323212737[[#This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6" t="s">
        <v>97</v>
      </c>
      <c r="P1004" s="56">
        <f>HEX2DEC(RIGHT(Table1323212737[[#This Row],[h1]],8))</f>
        <v>0</v>
      </c>
      <c r="Q1004" s="56" t="s">
        <v>97</v>
      </c>
      <c r="R1004" s="56">
        <f>HEX2DEC(RIGHT(Table1323212737[[#This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6" t="s">
        <v>97</v>
      </c>
      <c r="P1005" s="56">
        <f>HEX2DEC(RIGHT(Table1323212737[[#This Row],[h1]],8))</f>
        <v>0</v>
      </c>
      <c r="Q1005" s="56" t="s">
        <v>97</v>
      </c>
      <c r="R1005" s="56">
        <f>HEX2DEC(RIGHT(Table1323212737[[#This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6" t="s">
        <v>97</v>
      </c>
      <c r="P1006" s="56">
        <f>HEX2DEC(RIGHT(Table1323212737[[#This Row],[h1]],8))</f>
        <v>0</v>
      </c>
      <c r="Q1006" s="56" t="s">
        <v>97</v>
      </c>
      <c r="R1006" s="56">
        <f>HEX2DEC(RIGHT(Table1323212737[[#This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6" t="s">
        <v>97</v>
      </c>
      <c r="P1007" s="56">
        <f>HEX2DEC(RIGHT(Table1323212737[[#This Row],[h1]],8))</f>
        <v>0</v>
      </c>
      <c r="Q1007" s="56" t="s">
        <v>97</v>
      </c>
      <c r="R1007" s="56">
        <f>HEX2DEC(RIGHT(Table1323212737[[#This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6" t="s">
        <v>97</v>
      </c>
      <c r="P1008" s="56">
        <f>HEX2DEC(RIGHT(Table1323212737[[#This Row],[h1]],8))</f>
        <v>0</v>
      </c>
      <c r="Q1008" s="56" t="s">
        <v>97</v>
      </c>
      <c r="R1008" s="56">
        <f>HEX2DEC(RIGHT(Table1323212737[[#This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6" t="s">
        <v>97</v>
      </c>
      <c r="P1009" s="56">
        <f>HEX2DEC(RIGHT(Table1323212737[[#This Row],[h1]],8))</f>
        <v>0</v>
      </c>
      <c r="Q1009" s="56" t="s">
        <v>97</v>
      </c>
      <c r="R1009" s="56">
        <f>HEX2DEC(RIGHT(Table1323212737[[#This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6" t="s">
        <v>97</v>
      </c>
      <c r="P1010" s="56">
        <f>HEX2DEC(RIGHT(Table1323212737[[#This Row],[h1]],8))</f>
        <v>0</v>
      </c>
      <c r="Q1010" s="56" t="s">
        <v>97</v>
      </c>
      <c r="R1010" s="56">
        <f>HEX2DEC(RIGHT(Table1323212737[[#This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6" t="s">
        <v>97</v>
      </c>
      <c r="P1011" s="56">
        <f>HEX2DEC(RIGHT(Table1323212737[[#This Row],[h1]],8))</f>
        <v>0</v>
      </c>
      <c r="Q1011" s="56" t="s">
        <v>97</v>
      </c>
      <c r="R1011" s="56">
        <f>HEX2DEC(RIGHT(Table1323212737[[#This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6" t="s">
        <v>97</v>
      </c>
      <c r="P1012" s="56">
        <f>HEX2DEC(RIGHT(Table1323212737[[#This Row],[h1]],8))</f>
        <v>0</v>
      </c>
      <c r="Q1012" s="56" t="s">
        <v>97</v>
      </c>
      <c r="R1012" s="56">
        <f>HEX2DEC(RIGHT(Table1323212737[[#This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6" t="s">
        <v>97</v>
      </c>
      <c r="P1013" s="56">
        <f>HEX2DEC(RIGHT(Table1323212737[[#This Row],[h1]],8))</f>
        <v>0</v>
      </c>
      <c r="Q1013" s="56" t="s">
        <v>97</v>
      </c>
      <c r="R1013" s="56">
        <f>HEX2DEC(RIGHT(Table1323212737[[#This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6" t="s">
        <v>97</v>
      </c>
      <c r="P1014" s="56">
        <f>HEX2DEC(RIGHT(Table1323212737[[#This Row],[h1]],8))</f>
        <v>0</v>
      </c>
      <c r="Q1014" s="56" t="s">
        <v>97</v>
      </c>
      <c r="R1014" s="56">
        <f>HEX2DEC(RIGHT(Table1323212737[[#This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6" t="s">
        <v>97</v>
      </c>
      <c r="P1015" s="56">
        <f>HEX2DEC(RIGHT(Table1323212737[[#This Row],[h1]],8))</f>
        <v>0</v>
      </c>
      <c r="Q1015" s="56" t="s">
        <v>97</v>
      </c>
      <c r="R1015" s="56">
        <f>HEX2DEC(RIGHT(Table1323212737[[#This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6" t="s">
        <v>97</v>
      </c>
      <c r="P1016" s="56">
        <f>HEX2DEC(RIGHT(Table1323212737[[#This Row],[h1]],8))</f>
        <v>0</v>
      </c>
      <c r="Q1016" s="56" t="s">
        <v>97</v>
      </c>
      <c r="R1016" s="56">
        <f>HEX2DEC(RIGHT(Table1323212737[[#This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6" t="s">
        <v>97</v>
      </c>
      <c r="P1017" s="56">
        <f>HEX2DEC(RIGHT(Table1323212737[[#This Row],[h1]],8))</f>
        <v>0</v>
      </c>
      <c r="Q1017" s="56" t="s">
        <v>97</v>
      </c>
      <c r="R1017" s="56">
        <f>HEX2DEC(RIGHT(Table1323212737[[#This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6" t="s">
        <v>97</v>
      </c>
      <c r="P1018" s="56">
        <f>HEX2DEC(RIGHT(Table1323212737[[#This Row],[h1]],8))</f>
        <v>0</v>
      </c>
      <c r="Q1018" s="56" t="s">
        <v>97</v>
      </c>
      <c r="R1018" s="56">
        <f>HEX2DEC(RIGHT(Table1323212737[[#This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6" t="s">
        <v>97</v>
      </c>
      <c r="P1019" s="56">
        <f>HEX2DEC(RIGHT(Table1323212737[[#This Row],[h1]],8))</f>
        <v>0</v>
      </c>
      <c r="Q1019" s="56" t="s">
        <v>97</v>
      </c>
      <c r="R1019" s="56">
        <f>HEX2DEC(RIGHT(Table1323212737[[#This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6" t="s">
        <v>97</v>
      </c>
      <c r="P1020" s="56">
        <f>HEX2DEC(RIGHT(Table1323212737[[#This Row],[h1]],8))</f>
        <v>0</v>
      </c>
      <c r="Q1020" s="56" t="s">
        <v>97</v>
      </c>
      <c r="R1020" s="56">
        <f>HEX2DEC(RIGHT(Table1323212737[[#This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6" t="s">
        <v>97</v>
      </c>
      <c r="P1021" s="56">
        <f>HEX2DEC(RIGHT(Table1323212737[[#This Row],[h1]],8))</f>
        <v>0</v>
      </c>
      <c r="Q1021" s="56" t="s">
        <v>97</v>
      </c>
      <c r="R1021" s="56">
        <f>HEX2DEC(RIGHT(Table1323212737[[#This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6" t="s">
        <v>97</v>
      </c>
      <c r="P1022" s="56">
        <f>HEX2DEC(RIGHT(Table1323212737[[#This Row],[h1]],8))</f>
        <v>0</v>
      </c>
      <c r="Q1022" s="56" t="s">
        <v>97</v>
      </c>
      <c r="R1022" s="56">
        <f>HEX2DEC(RIGHT(Table1323212737[[#This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6" t="s">
        <v>97</v>
      </c>
      <c r="P1023" s="56">
        <f>HEX2DEC(RIGHT(Table1323212737[[#This Row],[h1]],8))</f>
        <v>0</v>
      </c>
      <c r="Q1023" s="56" t="s">
        <v>97</v>
      </c>
      <c r="R1023" s="56">
        <f>HEX2DEC(RIGHT(Table1323212737[[#This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6" t="s">
        <v>97</v>
      </c>
      <c r="P1024" s="56">
        <f>HEX2DEC(RIGHT(Table1323212737[[#This Row],[h1]],8))</f>
        <v>0</v>
      </c>
      <c r="Q1024" s="56" t="s">
        <v>97</v>
      </c>
      <c r="R1024" s="56">
        <f>HEX2DEC(RIGHT(Table1323212737[[#This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6" t="s">
        <v>97</v>
      </c>
      <c r="P1025" s="56">
        <f>HEX2DEC(RIGHT(Table1323212737[[#This Row],[h1]],8))</f>
        <v>0</v>
      </c>
      <c r="Q1025" s="56" t="s">
        <v>97</v>
      </c>
      <c r="R1025" s="56">
        <f>HEX2DEC(RIGHT(Table1323212737[[#This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6" t="s">
        <v>97</v>
      </c>
      <c r="P1026" s="56">
        <f>HEX2DEC(RIGHT(Table1323212737[[#This Row],[h1]],8))</f>
        <v>0</v>
      </c>
      <c r="Q1026" s="56" t="s">
        <v>97</v>
      </c>
      <c r="R1026" s="56">
        <f>HEX2DEC(RIGHT(Table1323212737[[#This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6" t="s">
        <v>97</v>
      </c>
      <c r="P1027" s="56">
        <f>HEX2DEC(RIGHT(Table1323212737[[#This Row],[h1]],8))</f>
        <v>0</v>
      </c>
      <c r="Q1027" s="56" t="s">
        <v>97</v>
      </c>
      <c r="R1027" s="56">
        <f>HEX2DEC(RIGHT(Table1323212737[[#This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6" t="s">
        <v>97</v>
      </c>
      <c r="P1028" s="56">
        <f>HEX2DEC(RIGHT(Table1323212737[[#This Row],[h1]],8))</f>
        <v>0</v>
      </c>
      <c r="Q1028" s="56" t="s">
        <v>97</v>
      </c>
      <c r="R1028" s="56">
        <f>HEX2DEC(RIGHT(Table1323212737[[#This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6" t="s">
        <v>97</v>
      </c>
      <c r="P1029" s="56">
        <f>HEX2DEC(RIGHT(Table1323212737[[#This Row],[h1]],8))</f>
        <v>0</v>
      </c>
      <c r="Q1029" s="56" t="s">
        <v>97</v>
      </c>
      <c r="R1029" s="56">
        <f>HEX2DEC(RIGHT(Table1323212737[[#This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6" t="s">
        <v>97</v>
      </c>
      <c r="P1030" s="56">
        <f>HEX2DEC(RIGHT(Table1323212737[[#This Row],[h1]],8))</f>
        <v>0</v>
      </c>
      <c r="Q1030" s="56" t="s">
        <v>97</v>
      </c>
      <c r="R1030" s="56">
        <f>HEX2DEC(RIGHT(Table1323212737[[#This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6" t="s">
        <v>97</v>
      </c>
      <c r="P1031" s="56">
        <f>HEX2DEC(RIGHT(Table1323212737[[#This Row],[h1]],8))</f>
        <v>0</v>
      </c>
      <c r="Q1031" s="56" t="s">
        <v>97</v>
      </c>
      <c r="R1031" s="56">
        <f>HEX2DEC(RIGHT(Table1323212737[[#This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6" t="s">
        <v>97</v>
      </c>
      <c r="P1032" s="56">
        <f>HEX2DEC(RIGHT(Table1323212737[[#This Row],[h1]],8))</f>
        <v>0</v>
      </c>
      <c r="Q1032" s="56" t="s">
        <v>97</v>
      </c>
      <c r="R1032" s="56">
        <f>HEX2DEC(RIGHT(Table1323212737[[#This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6" t="s">
        <v>97</v>
      </c>
      <c r="P1033" s="56">
        <f>HEX2DEC(RIGHT(Table1323212737[[#This Row],[h1]],8))</f>
        <v>0</v>
      </c>
      <c r="Q1033" s="56" t="s">
        <v>97</v>
      </c>
      <c r="R1033" s="56">
        <f>HEX2DEC(RIGHT(Table1323212737[[#This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6" t="s">
        <v>97</v>
      </c>
      <c r="P1034" s="56">
        <f>HEX2DEC(RIGHT(Table1323212737[[#This Row],[h1]],8))</f>
        <v>0</v>
      </c>
      <c r="Q1034" s="56" t="s">
        <v>97</v>
      </c>
      <c r="R1034" s="56">
        <f>HEX2DEC(RIGHT(Table1323212737[[#This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6" t="s">
        <v>97</v>
      </c>
      <c r="P1035" s="56">
        <f>HEX2DEC(RIGHT(Table1323212737[[#This Row],[h1]],8))</f>
        <v>0</v>
      </c>
      <c r="Q1035" s="56" t="s">
        <v>97</v>
      </c>
      <c r="R1035" s="56">
        <f>HEX2DEC(RIGHT(Table1323212737[[#This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6" t="s">
        <v>97</v>
      </c>
      <c r="P1036" s="56">
        <f>HEX2DEC(RIGHT(Table1323212737[[#This Row],[h1]],8))</f>
        <v>0</v>
      </c>
      <c r="Q1036" s="56" t="s">
        <v>97</v>
      </c>
      <c r="R1036" s="56">
        <f>HEX2DEC(RIGHT(Table1323212737[[#This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6" t="s">
        <v>97</v>
      </c>
      <c r="P1037" s="56">
        <f>HEX2DEC(RIGHT(Table1323212737[[#This Row],[h1]],8))</f>
        <v>0</v>
      </c>
      <c r="Q1037" s="56" t="s">
        <v>97</v>
      </c>
      <c r="R1037" s="56">
        <f>HEX2DEC(RIGHT(Table1323212737[[#This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6" t="s">
        <v>97</v>
      </c>
      <c r="P1038" s="56">
        <f>HEX2DEC(RIGHT(Table1323212737[[#This Row],[h1]],8))</f>
        <v>0</v>
      </c>
      <c r="Q1038" s="56" t="s">
        <v>97</v>
      </c>
      <c r="R1038" s="56">
        <f>HEX2DEC(RIGHT(Table1323212737[[#This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6" t="s">
        <v>97</v>
      </c>
      <c r="P1039" s="56">
        <f>HEX2DEC(RIGHT(Table1323212737[[#This Row],[h1]],8))</f>
        <v>0</v>
      </c>
      <c r="Q1039" s="56" t="s">
        <v>97</v>
      </c>
      <c r="R1039" s="56">
        <f>HEX2DEC(RIGHT(Table1323212737[[#This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6" t="s">
        <v>97</v>
      </c>
      <c r="P1040" s="56">
        <f>HEX2DEC(RIGHT(Table1323212737[[#This Row],[h1]],8))</f>
        <v>0</v>
      </c>
      <c r="Q1040" s="56" t="s">
        <v>97</v>
      </c>
      <c r="R1040" s="56">
        <f>HEX2DEC(RIGHT(Table1323212737[[#This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6" t="s">
        <v>97</v>
      </c>
      <c r="P1041" s="56">
        <f>HEX2DEC(RIGHT(Table1323212737[[#This Row],[h1]],8))</f>
        <v>0</v>
      </c>
      <c r="Q1041" s="56" t="s">
        <v>97</v>
      </c>
      <c r="R1041" s="56">
        <f>HEX2DEC(RIGHT(Table1323212737[[#This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6" t="s">
        <v>97</v>
      </c>
      <c r="P1042" s="56">
        <f>HEX2DEC(RIGHT(Table1323212737[[#This Row],[h1]],8))</f>
        <v>0</v>
      </c>
      <c r="Q1042" s="56" t="s">
        <v>97</v>
      </c>
      <c r="R1042" s="56">
        <f>HEX2DEC(RIGHT(Table1323212737[[#This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6" t="s">
        <v>97</v>
      </c>
      <c r="P1043" s="56">
        <f>HEX2DEC(RIGHT(Table1323212737[[#This Row],[h1]],8))</f>
        <v>0</v>
      </c>
      <c r="Q1043" s="56" t="s">
        <v>97</v>
      </c>
      <c r="R1043" s="56">
        <f>HEX2DEC(RIGHT(Table1323212737[[#This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6" t="s">
        <v>97</v>
      </c>
      <c r="P1044" s="56">
        <f>HEX2DEC(RIGHT(Table1323212737[[#This Row],[h1]],8))</f>
        <v>0</v>
      </c>
      <c r="Q1044" s="56" t="s">
        <v>97</v>
      </c>
      <c r="R1044" s="56">
        <f>HEX2DEC(RIGHT(Table1323212737[[#This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6" t="s">
        <v>97</v>
      </c>
      <c r="P1045" s="56">
        <f>HEX2DEC(RIGHT(Table1323212737[[#This Row],[h1]],8))</f>
        <v>0</v>
      </c>
      <c r="Q1045" s="56" t="s">
        <v>97</v>
      </c>
      <c r="R1045" s="56">
        <f>HEX2DEC(RIGHT(Table1323212737[[#This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6" t="s">
        <v>97</v>
      </c>
      <c r="P1046" s="56">
        <f>HEX2DEC(RIGHT(Table1323212737[[#This Row],[h1]],8))</f>
        <v>0</v>
      </c>
      <c r="Q1046" s="56" t="s">
        <v>97</v>
      </c>
      <c r="R1046" s="56">
        <f>HEX2DEC(RIGHT(Table1323212737[[#This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6" t="s">
        <v>97</v>
      </c>
      <c r="P1047" s="56">
        <f>HEX2DEC(RIGHT(Table1323212737[[#This Row],[h1]],8))</f>
        <v>0</v>
      </c>
      <c r="Q1047" s="56" t="s">
        <v>97</v>
      </c>
      <c r="R1047" s="56">
        <f>HEX2DEC(RIGHT(Table1323212737[[#This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6" t="s">
        <v>97</v>
      </c>
      <c r="P1048" s="56">
        <f>HEX2DEC(RIGHT(Table1323212737[[#This Row],[h1]],8))</f>
        <v>0</v>
      </c>
      <c r="Q1048" s="56" t="s">
        <v>97</v>
      </c>
      <c r="R1048" s="56">
        <f>HEX2DEC(RIGHT(Table1323212737[[#This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6" t="s">
        <v>97</v>
      </c>
      <c r="P1049" s="56">
        <f>HEX2DEC(RIGHT(Table1323212737[[#This Row],[h1]],8))</f>
        <v>0</v>
      </c>
      <c r="Q1049" s="56" t="s">
        <v>97</v>
      </c>
      <c r="R1049" s="56">
        <f>HEX2DEC(RIGHT(Table1323212737[[#This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6" t="s">
        <v>97</v>
      </c>
      <c r="P1050" s="56">
        <f>HEX2DEC(RIGHT(Table1323212737[[#This Row],[h1]],8))</f>
        <v>0</v>
      </c>
      <c r="Q1050" s="56" t="s">
        <v>97</v>
      </c>
      <c r="R1050" s="56">
        <f>HEX2DEC(RIGHT(Table1323212737[[#This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6" t="s">
        <v>97</v>
      </c>
      <c r="P1051" s="56">
        <f>HEX2DEC(RIGHT(Table1323212737[[#This Row],[h1]],8))</f>
        <v>0</v>
      </c>
      <c r="Q1051" s="56" t="s">
        <v>97</v>
      </c>
      <c r="R1051" s="56">
        <f>HEX2DEC(RIGHT(Table1323212737[[#This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6" t="s">
        <v>97</v>
      </c>
      <c r="P1052" s="56">
        <f>HEX2DEC(RIGHT(Table1323212737[[#This Row],[h1]],8))</f>
        <v>0</v>
      </c>
      <c r="Q1052" s="56" t="s">
        <v>97</v>
      </c>
      <c r="R1052" s="56">
        <f>HEX2DEC(RIGHT(Table1323212737[[#This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6" t="s">
        <v>97</v>
      </c>
      <c r="P1053" s="56">
        <f>HEX2DEC(RIGHT(Table1323212737[[#This Row],[h1]],8))</f>
        <v>0</v>
      </c>
      <c r="Q1053" s="56" t="s">
        <v>97</v>
      </c>
      <c r="R1053" s="56">
        <f>HEX2DEC(RIGHT(Table1323212737[[#This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6" t="s">
        <v>97</v>
      </c>
      <c r="P1054" s="56">
        <f>HEX2DEC(RIGHT(Table1323212737[[#This Row],[h1]],8))</f>
        <v>0</v>
      </c>
      <c r="Q1054" s="56" t="s">
        <v>97</v>
      </c>
      <c r="R1054" s="56">
        <f>HEX2DEC(RIGHT(Table1323212737[[#This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6" t="s">
        <v>97</v>
      </c>
      <c r="P1055" s="56">
        <f>HEX2DEC(RIGHT(Table1323212737[[#This Row],[h1]],8))</f>
        <v>0</v>
      </c>
      <c r="Q1055" s="56" t="s">
        <v>97</v>
      </c>
      <c r="R1055" s="56">
        <f>HEX2DEC(RIGHT(Table1323212737[[#This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6" t="s">
        <v>97</v>
      </c>
      <c r="P1056" s="56">
        <f>HEX2DEC(RIGHT(Table1323212737[[#This Row],[h1]],8))</f>
        <v>0</v>
      </c>
      <c r="Q1056" s="56" t="s">
        <v>97</v>
      </c>
      <c r="R1056" s="56">
        <f>HEX2DEC(RIGHT(Table1323212737[[#This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6" t="s">
        <v>97</v>
      </c>
      <c r="P1057" s="56">
        <f>HEX2DEC(RIGHT(Table1323212737[[#This Row],[h1]],8))</f>
        <v>0</v>
      </c>
      <c r="Q1057" s="56" t="s">
        <v>97</v>
      </c>
      <c r="R1057" s="56">
        <f>HEX2DEC(RIGHT(Table1323212737[[#This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6" t="s">
        <v>97</v>
      </c>
      <c r="P1058" s="56">
        <f>HEX2DEC(RIGHT(Table1323212737[[#This Row],[h1]],8))</f>
        <v>0</v>
      </c>
      <c r="Q1058" s="56" t="s">
        <v>97</v>
      </c>
      <c r="R1058" s="56">
        <f>HEX2DEC(RIGHT(Table1323212737[[#This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6" t="s">
        <v>97</v>
      </c>
      <c r="P1059" s="56">
        <f>HEX2DEC(RIGHT(Table1323212737[[#This Row],[h1]],8))</f>
        <v>0</v>
      </c>
      <c r="Q1059" s="56" t="s">
        <v>97</v>
      </c>
      <c r="R1059" s="56">
        <f>HEX2DEC(RIGHT(Table1323212737[[#This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6" t="s">
        <v>97</v>
      </c>
      <c r="P1060" s="56">
        <f>HEX2DEC(RIGHT(Table1323212737[[#This Row],[h1]],8))</f>
        <v>0</v>
      </c>
      <c r="Q1060" s="56" t="s">
        <v>97</v>
      </c>
      <c r="R1060" s="56">
        <f>HEX2DEC(RIGHT(Table1323212737[[#This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6" t="s">
        <v>97</v>
      </c>
      <c r="P1061" s="56">
        <f>HEX2DEC(RIGHT(Table1323212737[[#This Row],[h1]],8))</f>
        <v>0</v>
      </c>
      <c r="Q1061" s="56" t="s">
        <v>97</v>
      </c>
      <c r="R1061" s="56">
        <f>HEX2DEC(RIGHT(Table1323212737[[#This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6" t="s">
        <v>97</v>
      </c>
      <c r="P1062" s="56">
        <f>HEX2DEC(RIGHT(Table1323212737[[#This Row],[h1]],8))</f>
        <v>0</v>
      </c>
      <c r="Q1062" s="56" t="s">
        <v>97</v>
      </c>
      <c r="R1062" s="56">
        <f>HEX2DEC(RIGHT(Table1323212737[[#This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6" t="s">
        <v>97</v>
      </c>
      <c r="P1063" s="56">
        <f>HEX2DEC(RIGHT(Table1323212737[[#This Row],[h1]],8))</f>
        <v>0</v>
      </c>
      <c r="Q1063" s="56" t="s">
        <v>97</v>
      </c>
      <c r="R1063" s="56">
        <f>HEX2DEC(RIGHT(Table1323212737[[#This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6" t="s">
        <v>97</v>
      </c>
      <c r="P1064" s="56">
        <f>HEX2DEC(RIGHT(Table1323212737[[#This Row],[h1]],8))</f>
        <v>0</v>
      </c>
      <c r="Q1064" s="56" t="s">
        <v>97</v>
      </c>
      <c r="R1064" s="56">
        <f>HEX2DEC(RIGHT(Table1323212737[[#This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6" t="s">
        <v>97</v>
      </c>
      <c r="P1065" s="56">
        <f>HEX2DEC(RIGHT(Table1323212737[[#This Row],[h1]],8))</f>
        <v>0</v>
      </c>
      <c r="Q1065" s="56" t="s">
        <v>97</v>
      </c>
      <c r="R1065" s="56">
        <f>HEX2DEC(RIGHT(Table1323212737[[#This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6" t="s">
        <v>97</v>
      </c>
      <c r="P1066" s="56">
        <f>HEX2DEC(RIGHT(Table1323212737[[#This Row],[h1]],8))</f>
        <v>0</v>
      </c>
      <c r="Q1066" s="56" t="s">
        <v>97</v>
      </c>
      <c r="R1066" s="56">
        <f>HEX2DEC(RIGHT(Table1323212737[[#This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6" t="s">
        <v>97</v>
      </c>
      <c r="P1067" s="56">
        <f>HEX2DEC(RIGHT(Table1323212737[[#This Row],[h1]],8))</f>
        <v>0</v>
      </c>
      <c r="Q1067" s="56" t="s">
        <v>97</v>
      </c>
      <c r="R1067" s="56">
        <f>HEX2DEC(RIGHT(Table1323212737[[#This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6" t="s">
        <v>97</v>
      </c>
      <c r="P1068" s="56">
        <f>HEX2DEC(RIGHT(Table1323212737[[#This Row],[h1]],8))</f>
        <v>0</v>
      </c>
      <c r="Q1068" s="56" t="s">
        <v>97</v>
      </c>
      <c r="R1068" s="56">
        <f>HEX2DEC(RIGHT(Table1323212737[[#This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6" t="s">
        <v>97</v>
      </c>
      <c r="P1069" s="56">
        <f>HEX2DEC(RIGHT(Table1323212737[[#This Row],[h1]],8))</f>
        <v>0</v>
      </c>
      <c r="Q1069" s="56" t="s">
        <v>97</v>
      </c>
      <c r="R1069" s="56">
        <f>HEX2DEC(RIGHT(Table1323212737[[#This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6" t="s">
        <v>97</v>
      </c>
      <c r="P1070" s="56">
        <f>HEX2DEC(RIGHT(Table1323212737[[#This Row],[h1]],8))</f>
        <v>0</v>
      </c>
      <c r="Q1070" s="56" t="s">
        <v>97</v>
      </c>
      <c r="R1070" s="56">
        <f>HEX2DEC(RIGHT(Table1323212737[[#This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6" t="s">
        <v>97</v>
      </c>
      <c r="P1071" s="56">
        <f>HEX2DEC(RIGHT(Table1323212737[[#This Row],[h1]],8))</f>
        <v>0</v>
      </c>
      <c r="Q1071" s="56" t="s">
        <v>97</v>
      </c>
      <c r="R1071" s="56">
        <f>HEX2DEC(RIGHT(Table1323212737[[#This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6" t="s">
        <v>97</v>
      </c>
      <c r="P1072" s="56">
        <f>HEX2DEC(RIGHT(Table1323212737[[#This Row],[h1]],8))</f>
        <v>0</v>
      </c>
      <c r="Q1072" s="56" t="s">
        <v>97</v>
      </c>
      <c r="R1072" s="56">
        <f>HEX2DEC(RIGHT(Table1323212737[[#This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6" t="s">
        <v>97</v>
      </c>
      <c r="P1073" s="56">
        <f>HEX2DEC(RIGHT(Table1323212737[[#This Row],[h1]],8))</f>
        <v>0</v>
      </c>
      <c r="Q1073" s="56" t="s">
        <v>97</v>
      </c>
      <c r="R1073" s="56">
        <f>HEX2DEC(RIGHT(Table1323212737[[#This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6" t="s">
        <v>97</v>
      </c>
      <c r="P1074" s="56">
        <f>HEX2DEC(RIGHT(Table1323212737[[#This Row],[h1]],8))</f>
        <v>0</v>
      </c>
      <c r="Q1074" s="56" t="s">
        <v>97</v>
      </c>
      <c r="R1074" s="56">
        <f>HEX2DEC(RIGHT(Table1323212737[[#This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6" t="s">
        <v>97</v>
      </c>
      <c r="P1075" s="56">
        <f>HEX2DEC(RIGHT(Table1323212737[[#This Row],[h1]],8))</f>
        <v>0</v>
      </c>
      <c r="Q1075" s="56" t="s">
        <v>97</v>
      </c>
      <c r="R1075" s="56">
        <f>HEX2DEC(RIGHT(Table1323212737[[#This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6" t="s">
        <v>97</v>
      </c>
      <c r="P1076" s="56">
        <f>HEX2DEC(RIGHT(Table1323212737[[#This Row],[h1]],8))</f>
        <v>0</v>
      </c>
      <c r="Q1076" s="56" t="s">
        <v>97</v>
      </c>
      <c r="R1076" s="56">
        <f>HEX2DEC(RIGHT(Table1323212737[[#This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6" t="s">
        <v>97</v>
      </c>
      <c r="P1077" s="56">
        <f>HEX2DEC(RIGHT(Table1323212737[[#This Row],[h1]],8))</f>
        <v>0</v>
      </c>
      <c r="Q1077" s="56" t="s">
        <v>97</v>
      </c>
      <c r="R1077" s="56">
        <f>HEX2DEC(RIGHT(Table1323212737[[#This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6" t="s">
        <v>97</v>
      </c>
      <c r="P1078" s="56">
        <f>HEX2DEC(RIGHT(Table1323212737[[#This Row],[h1]],8))</f>
        <v>0</v>
      </c>
      <c r="Q1078" s="56" t="s">
        <v>97</v>
      </c>
      <c r="R1078" s="56">
        <f>HEX2DEC(RIGHT(Table1323212737[[#This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6" t="s">
        <v>97</v>
      </c>
      <c r="P1079" s="56">
        <f>HEX2DEC(RIGHT(Table1323212737[[#This Row],[h1]],8))</f>
        <v>0</v>
      </c>
      <c r="Q1079" s="56" t="s">
        <v>97</v>
      </c>
      <c r="R1079" s="56">
        <f>HEX2DEC(RIGHT(Table1323212737[[#This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6" t="s">
        <v>97</v>
      </c>
      <c r="P1080" s="56">
        <f>HEX2DEC(RIGHT(Table1323212737[[#This Row],[h1]],8))</f>
        <v>0</v>
      </c>
      <c r="Q1080" s="56" t="s">
        <v>97</v>
      </c>
      <c r="R1080" s="56">
        <f>HEX2DEC(RIGHT(Table1323212737[[#This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6" t="s">
        <v>97</v>
      </c>
      <c r="P1081" s="56">
        <f>HEX2DEC(RIGHT(Table1323212737[[#This Row],[h1]],8))</f>
        <v>0</v>
      </c>
      <c r="Q1081" s="56" t="s">
        <v>97</v>
      </c>
      <c r="R1081" s="56">
        <f>HEX2DEC(RIGHT(Table1323212737[[#This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6" t="s">
        <v>97</v>
      </c>
      <c r="P1082" s="56">
        <f>HEX2DEC(RIGHT(Table1323212737[[#This Row],[h1]],8))</f>
        <v>0</v>
      </c>
      <c r="Q1082" s="56" t="s">
        <v>97</v>
      </c>
      <c r="R1082" s="56">
        <f>HEX2DEC(RIGHT(Table1323212737[[#This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6" t="s">
        <v>97</v>
      </c>
      <c r="P1083" s="56">
        <f>HEX2DEC(RIGHT(Table1323212737[[#This Row],[h1]],8))</f>
        <v>0</v>
      </c>
      <c r="Q1083" s="56" t="s">
        <v>97</v>
      </c>
      <c r="R1083" s="56">
        <f>HEX2DEC(RIGHT(Table1323212737[[#This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6" t="s">
        <v>97</v>
      </c>
      <c r="P1084" s="56">
        <f>HEX2DEC(RIGHT(Table1323212737[[#This Row],[h1]],8))</f>
        <v>0</v>
      </c>
      <c r="Q1084" s="56" t="s">
        <v>97</v>
      </c>
      <c r="R1084" s="56">
        <f>HEX2DEC(RIGHT(Table1323212737[[#This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6" t="s">
        <v>97</v>
      </c>
      <c r="P1085" s="56">
        <f>HEX2DEC(RIGHT(Table1323212737[[#This Row],[h1]],8))</f>
        <v>0</v>
      </c>
      <c r="Q1085" s="56" t="s">
        <v>97</v>
      </c>
      <c r="R1085" s="56">
        <f>HEX2DEC(RIGHT(Table1323212737[[#This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6" t="s">
        <v>97</v>
      </c>
      <c r="P1086" s="56">
        <f>HEX2DEC(RIGHT(Table1323212737[[#This Row],[h1]],8))</f>
        <v>0</v>
      </c>
      <c r="Q1086" s="56" t="s">
        <v>97</v>
      </c>
      <c r="R1086" s="56">
        <f>HEX2DEC(RIGHT(Table1323212737[[#This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6" t="s">
        <v>97</v>
      </c>
      <c r="P1087" s="56">
        <f>HEX2DEC(RIGHT(Table1323212737[[#This Row],[h1]],8))</f>
        <v>0</v>
      </c>
      <c r="Q1087" s="56" t="s">
        <v>97</v>
      </c>
      <c r="R1087" s="56">
        <f>HEX2DEC(RIGHT(Table1323212737[[#This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6" t="s">
        <v>97</v>
      </c>
      <c r="P1088" s="56">
        <f>HEX2DEC(RIGHT(Table1323212737[[#This Row],[h1]],8))</f>
        <v>0</v>
      </c>
      <c r="Q1088" s="56" t="s">
        <v>97</v>
      </c>
      <c r="R1088" s="56">
        <f>HEX2DEC(RIGHT(Table1323212737[[#This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6" t="s">
        <v>97</v>
      </c>
      <c r="P1089" s="56">
        <f>HEX2DEC(RIGHT(Table1323212737[[#This Row],[h1]],8))</f>
        <v>0</v>
      </c>
      <c r="Q1089" s="56" t="s">
        <v>97</v>
      </c>
      <c r="R1089" s="56">
        <f>HEX2DEC(RIGHT(Table1323212737[[#This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6" t="s">
        <v>97</v>
      </c>
      <c r="P1090" s="56">
        <f>HEX2DEC(RIGHT(Table1323212737[[#This Row],[h1]],8))</f>
        <v>0</v>
      </c>
      <c r="Q1090" s="56" t="s">
        <v>97</v>
      </c>
      <c r="R1090" s="56">
        <f>HEX2DEC(RIGHT(Table1323212737[[#This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6" t="s">
        <v>97</v>
      </c>
      <c r="P1091" s="56">
        <f>HEX2DEC(RIGHT(Table1323212737[[#This Row],[h1]],8))</f>
        <v>0</v>
      </c>
      <c r="Q1091" s="56" t="s">
        <v>97</v>
      </c>
      <c r="R1091" s="56">
        <f>HEX2DEC(RIGHT(Table1323212737[[#This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6" t="s">
        <v>97</v>
      </c>
      <c r="P1092" s="56">
        <f>HEX2DEC(RIGHT(Table1323212737[[#This Row],[h1]],8))</f>
        <v>0</v>
      </c>
      <c r="Q1092" s="56" t="s">
        <v>97</v>
      </c>
      <c r="R1092" s="56">
        <f>HEX2DEC(RIGHT(Table1323212737[[#This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6" t="s">
        <v>97</v>
      </c>
      <c r="P1093" s="56">
        <f>HEX2DEC(RIGHT(Table1323212737[[#This Row],[h1]],8))</f>
        <v>0</v>
      </c>
      <c r="Q1093" s="56" t="s">
        <v>97</v>
      </c>
      <c r="R1093" s="56">
        <f>HEX2DEC(RIGHT(Table1323212737[[#This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6" t="s">
        <v>97</v>
      </c>
      <c r="P1094" s="56">
        <f>HEX2DEC(RIGHT(Table1323212737[[#This Row],[h1]],8))</f>
        <v>0</v>
      </c>
      <c r="Q1094" s="56" t="s">
        <v>97</v>
      </c>
      <c r="R1094" s="56">
        <f>HEX2DEC(RIGHT(Table1323212737[[#This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6" t="s">
        <v>97</v>
      </c>
      <c r="P1095" s="56">
        <f>HEX2DEC(RIGHT(Table1323212737[[#This Row],[h1]],8))</f>
        <v>0</v>
      </c>
      <c r="Q1095" s="56" t="s">
        <v>97</v>
      </c>
      <c r="R1095" s="56">
        <f>HEX2DEC(RIGHT(Table1323212737[[#This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6" t="s">
        <v>97</v>
      </c>
      <c r="P1096" s="56">
        <f>HEX2DEC(RIGHT(Table1323212737[[#This Row],[h1]],8))</f>
        <v>0</v>
      </c>
      <c r="Q1096" s="56" t="s">
        <v>97</v>
      </c>
      <c r="R1096" s="56">
        <f>HEX2DEC(RIGHT(Table1323212737[[#This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6" t="s">
        <v>97</v>
      </c>
      <c r="P1097" s="56">
        <f>HEX2DEC(RIGHT(Table1323212737[[#This Row],[h1]],8))</f>
        <v>0</v>
      </c>
      <c r="Q1097" s="56" t="s">
        <v>97</v>
      </c>
      <c r="R1097" s="56">
        <f>HEX2DEC(RIGHT(Table1323212737[[#This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6" t="s">
        <v>97</v>
      </c>
      <c r="P1098" s="56">
        <f>HEX2DEC(RIGHT(Table1323212737[[#This Row],[h1]],8))</f>
        <v>0</v>
      </c>
      <c r="Q1098" s="56" t="s">
        <v>97</v>
      </c>
      <c r="R1098" s="56">
        <f>HEX2DEC(RIGHT(Table1323212737[[#This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6" t="s">
        <v>97</v>
      </c>
      <c r="P1099" s="56">
        <f>HEX2DEC(RIGHT(Table1323212737[[#This Row],[h1]],8))</f>
        <v>0</v>
      </c>
      <c r="Q1099" s="56" t="s">
        <v>97</v>
      </c>
      <c r="R1099" s="56">
        <f>HEX2DEC(RIGHT(Table1323212737[[#This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6" t="s">
        <v>97</v>
      </c>
      <c r="P1100" s="56">
        <f>HEX2DEC(RIGHT(Table1323212737[[#This Row],[h1]],8))</f>
        <v>0</v>
      </c>
      <c r="Q1100" s="56" t="s">
        <v>97</v>
      </c>
      <c r="R1100" s="56">
        <f>HEX2DEC(RIGHT(Table1323212737[[#This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6" t="s">
        <v>97</v>
      </c>
      <c r="P1101" s="56">
        <f>HEX2DEC(RIGHT(Table1323212737[[#This Row],[h1]],8))</f>
        <v>0</v>
      </c>
      <c r="Q1101" s="56" t="s">
        <v>97</v>
      </c>
      <c r="R1101" s="56">
        <f>HEX2DEC(RIGHT(Table1323212737[[#This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6" t="s">
        <v>97</v>
      </c>
      <c r="P1102" s="56">
        <f>HEX2DEC(RIGHT(Table1323212737[[#This Row],[h1]],8))</f>
        <v>0</v>
      </c>
      <c r="Q1102" s="56" t="s">
        <v>97</v>
      </c>
      <c r="R1102" s="56">
        <f>HEX2DEC(RIGHT(Table1323212737[[#This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6" t="s">
        <v>97</v>
      </c>
      <c r="P1103" s="56">
        <f>HEX2DEC(RIGHT(Table1323212737[[#This Row],[h1]],8))</f>
        <v>0</v>
      </c>
      <c r="Q1103" s="56" t="s">
        <v>97</v>
      </c>
      <c r="R1103" s="56">
        <f>HEX2DEC(RIGHT(Table1323212737[[#This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6" t="s">
        <v>97</v>
      </c>
      <c r="P1104" s="56">
        <f>HEX2DEC(RIGHT(Table1323212737[[#This Row],[h1]],8))</f>
        <v>0</v>
      </c>
      <c r="Q1104" s="56" t="s">
        <v>97</v>
      </c>
      <c r="R1104" s="56">
        <f>HEX2DEC(RIGHT(Table1323212737[[#This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6" t="s">
        <v>97</v>
      </c>
      <c r="P1105" s="56">
        <f>HEX2DEC(RIGHT(Table1323212737[[#This Row],[h1]],8))</f>
        <v>0</v>
      </c>
      <c r="Q1105" s="56" t="s">
        <v>97</v>
      </c>
      <c r="R1105" s="56">
        <f>HEX2DEC(RIGHT(Table1323212737[[#This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6" t="s">
        <v>97</v>
      </c>
      <c r="P1106" s="56">
        <f>HEX2DEC(RIGHT(Table1323212737[[#This Row],[h1]],8))</f>
        <v>0</v>
      </c>
      <c r="Q1106" s="56" t="s">
        <v>97</v>
      </c>
      <c r="R1106" s="56">
        <f>HEX2DEC(RIGHT(Table1323212737[[#This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6" t="s">
        <v>97</v>
      </c>
      <c r="P1107" s="56">
        <f>HEX2DEC(RIGHT(Table1323212737[[#This Row],[h1]],8))</f>
        <v>0</v>
      </c>
      <c r="Q1107" s="56" t="s">
        <v>97</v>
      </c>
      <c r="R1107" s="56">
        <f>HEX2DEC(RIGHT(Table1323212737[[#This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6" t="s">
        <v>97</v>
      </c>
      <c r="P1108" s="56">
        <f>HEX2DEC(RIGHT(Table1323212737[[#This Row],[h1]],8))</f>
        <v>0</v>
      </c>
      <c r="Q1108" s="56" t="s">
        <v>97</v>
      </c>
      <c r="R1108" s="56">
        <f>HEX2DEC(RIGHT(Table1323212737[[#This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6" t="s">
        <v>97</v>
      </c>
      <c r="P1109" s="56">
        <f>HEX2DEC(RIGHT(Table1323212737[[#This Row],[h1]],8))</f>
        <v>0</v>
      </c>
      <c r="Q1109" s="56" t="s">
        <v>97</v>
      </c>
      <c r="R1109" s="56">
        <f>HEX2DEC(RIGHT(Table1323212737[[#This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6" t="s">
        <v>97</v>
      </c>
      <c r="P1110" s="56">
        <f>HEX2DEC(RIGHT(Table1323212737[[#This Row],[h1]],8))</f>
        <v>0</v>
      </c>
      <c r="Q1110" s="56" t="s">
        <v>97</v>
      </c>
      <c r="R1110" s="56">
        <f>HEX2DEC(RIGHT(Table1323212737[[#This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6" t="s">
        <v>97</v>
      </c>
      <c r="P1111" s="56">
        <f>HEX2DEC(RIGHT(Table1323212737[[#This Row],[h1]],8))</f>
        <v>0</v>
      </c>
      <c r="Q1111" s="56" t="s">
        <v>97</v>
      </c>
      <c r="R1111" s="56">
        <f>HEX2DEC(RIGHT(Table1323212737[[#This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6" t="s">
        <v>97</v>
      </c>
      <c r="P1112" s="56">
        <f>HEX2DEC(RIGHT(Table1323212737[[#This Row],[h1]],8))</f>
        <v>0</v>
      </c>
      <c r="Q1112" s="56" t="s">
        <v>97</v>
      </c>
      <c r="R1112" s="56">
        <f>HEX2DEC(RIGHT(Table1323212737[[#This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6" t="s">
        <v>97</v>
      </c>
      <c r="P1113" s="56">
        <f>HEX2DEC(RIGHT(Table1323212737[[#This Row],[h1]],8))</f>
        <v>0</v>
      </c>
      <c r="Q1113" s="56" t="s">
        <v>97</v>
      </c>
      <c r="R1113" s="56">
        <f>HEX2DEC(RIGHT(Table1323212737[[#This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6" t="s">
        <v>97</v>
      </c>
      <c r="P1114" s="56">
        <f>HEX2DEC(RIGHT(Table1323212737[[#This Row],[h1]],8))</f>
        <v>0</v>
      </c>
      <c r="Q1114" s="56" t="s">
        <v>97</v>
      </c>
      <c r="R1114" s="56">
        <f>HEX2DEC(RIGHT(Table1323212737[[#This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6" t="s">
        <v>97</v>
      </c>
      <c r="P1115" s="56">
        <f>HEX2DEC(RIGHT(Table1323212737[[#This Row],[h1]],8))</f>
        <v>0</v>
      </c>
      <c r="Q1115" s="56" t="s">
        <v>97</v>
      </c>
      <c r="R1115" s="56">
        <f>HEX2DEC(RIGHT(Table1323212737[[#This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6" t="s">
        <v>97</v>
      </c>
      <c r="P1116" s="56">
        <f>HEX2DEC(RIGHT(Table1323212737[[#This Row],[h1]],8))</f>
        <v>0</v>
      </c>
      <c r="Q1116" s="56" t="s">
        <v>97</v>
      </c>
      <c r="R1116" s="56">
        <f>HEX2DEC(RIGHT(Table1323212737[[#This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6" t="s">
        <v>97</v>
      </c>
      <c r="P1117" s="56">
        <f>HEX2DEC(RIGHT(Table1323212737[[#This Row],[h1]],8))</f>
        <v>0</v>
      </c>
      <c r="Q1117" s="56" t="s">
        <v>97</v>
      </c>
      <c r="R1117" s="56">
        <f>HEX2DEC(RIGHT(Table1323212737[[#This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6" t="s">
        <v>97</v>
      </c>
      <c r="P1118" s="56">
        <f>HEX2DEC(RIGHT(Table1323212737[[#This Row],[h1]],8))</f>
        <v>0</v>
      </c>
      <c r="Q1118" s="56" t="s">
        <v>97</v>
      </c>
      <c r="R1118" s="56">
        <f>HEX2DEC(RIGHT(Table1323212737[[#This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6" t="s">
        <v>97</v>
      </c>
      <c r="P1119" s="56">
        <f>HEX2DEC(RIGHT(Table1323212737[[#This Row],[h1]],8))</f>
        <v>0</v>
      </c>
      <c r="Q1119" s="56" t="s">
        <v>97</v>
      </c>
      <c r="R1119" s="56">
        <f>HEX2DEC(RIGHT(Table1323212737[[#This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6" t="s">
        <v>97</v>
      </c>
      <c r="P1120" s="56">
        <f>HEX2DEC(RIGHT(Table1323212737[[#This Row],[h1]],8))</f>
        <v>0</v>
      </c>
      <c r="Q1120" s="56" t="s">
        <v>97</v>
      </c>
      <c r="R1120" s="56">
        <f>HEX2DEC(RIGHT(Table1323212737[[#This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6" t="s">
        <v>97</v>
      </c>
      <c r="P1121" s="56">
        <f>HEX2DEC(RIGHT(Table1323212737[[#This Row],[h1]],8))</f>
        <v>0</v>
      </c>
      <c r="Q1121" s="56" t="s">
        <v>97</v>
      </c>
      <c r="R1121" s="56">
        <f>HEX2DEC(RIGHT(Table1323212737[[#This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6" t="s">
        <v>97</v>
      </c>
      <c r="P1122" s="56">
        <f>HEX2DEC(RIGHT(Table1323212737[[#This Row],[h1]],8))</f>
        <v>0</v>
      </c>
      <c r="Q1122" s="56" t="s">
        <v>97</v>
      </c>
      <c r="R1122" s="56">
        <f>HEX2DEC(RIGHT(Table1323212737[[#This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6" t="s">
        <v>97</v>
      </c>
      <c r="P1123" s="56">
        <f>HEX2DEC(RIGHT(Table1323212737[[#This Row],[h1]],8))</f>
        <v>0</v>
      </c>
      <c r="Q1123" s="56" t="s">
        <v>97</v>
      </c>
      <c r="R1123" s="56">
        <f>HEX2DEC(RIGHT(Table1323212737[[#This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6" t="s">
        <v>97</v>
      </c>
      <c r="P1124" s="56">
        <f>HEX2DEC(RIGHT(Table1323212737[[#This Row],[h1]],8))</f>
        <v>0</v>
      </c>
      <c r="Q1124" s="56" t="s">
        <v>97</v>
      </c>
      <c r="R1124" s="56">
        <f>HEX2DEC(RIGHT(Table1323212737[[#This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6" t="s">
        <v>97</v>
      </c>
      <c r="P1125" s="56">
        <f>HEX2DEC(RIGHT(Table1323212737[[#This Row],[h1]],8))</f>
        <v>0</v>
      </c>
      <c r="Q1125" s="56" t="s">
        <v>97</v>
      </c>
      <c r="R1125" s="56">
        <f>HEX2DEC(RIGHT(Table1323212737[[#This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6" t="s">
        <v>97</v>
      </c>
      <c r="P1126" s="56">
        <f>HEX2DEC(RIGHT(Table1323212737[[#This Row],[h1]],8))</f>
        <v>0</v>
      </c>
      <c r="Q1126" s="56" t="s">
        <v>97</v>
      </c>
      <c r="R1126" s="56">
        <f>HEX2DEC(RIGHT(Table1323212737[[#This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6" t="s">
        <v>97</v>
      </c>
      <c r="P1127" s="56">
        <f>HEX2DEC(RIGHT(Table1323212737[[#This Row],[h1]],8))</f>
        <v>0</v>
      </c>
      <c r="Q1127" s="56" t="s">
        <v>97</v>
      </c>
      <c r="R1127" s="56">
        <f>HEX2DEC(RIGHT(Table1323212737[[#This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6" t="s">
        <v>97</v>
      </c>
      <c r="P1128" s="56">
        <f>HEX2DEC(RIGHT(Table1323212737[[#This Row],[h1]],8))</f>
        <v>0</v>
      </c>
      <c r="Q1128" s="56" t="s">
        <v>97</v>
      </c>
      <c r="R1128" s="56">
        <f>HEX2DEC(RIGHT(Table1323212737[[#This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6" t="s">
        <v>97</v>
      </c>
      <c r="P1129" s="56">
        <f>HEX2DEC(RIGHT(Table1323212737[[#This Row],[h1]],8))</f>
        <v>0</v>
      </c>
      <c r="Q1129" s="56" t="s">
        <v>97</v>
      </c>
      <c r="R1129" s="56">
        <f>HEX2DEC(RIGHT(Table1323212737[[#This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6" t="s">
        <v>97</v>
      </c>
      <c r="P1130" s="56">
        <f>HEX2DEC(RIGHT(Table1323212737[[#This Row],[h1]],8))</f>
        <v>0</v>
      </c>
      <c r="Q1130" s="56" t="s">
        <v>97</v>
      </c>
      <c r="R1130" s="56">
        <f>HEX2DEC(RIGHT(Table1323212737[[#This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6" t="s">
        <v>97</v>
      </c>
      <c r="P1131" s="56">
        <f>HEX2DEC(RIGHT(Table1323212737[[#This Row],[h1]],8))</f>
        <v>0</v>
      </c>
      <c r="Q1131" s="56" t="s">
        <v>97</v>
      </c>
      <c r="R1131" s="56">
        <f>HEX2DEC(RIGHT(Table1323212737[[#This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6" t="s">
        <v>97</v>
      </c>
      <c r="P1132" s="56">
        <f>HEX2DEC(RIGHT(Table1323212737[[#This Row],[h1]],8))</f>
        <v>0</v>
      </c>
      <c r="Q1132" s="56" t="s">
        <v>97</v>
      </c>
      <c r="R1132" s="56">
        <f>HEX2DEC(RIGHT(Table1323212737[[#This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6" t="s">
        <v>97</v>
      </c>
      <c r="P1133" s="56">
        <f>HEX2DEC(RIGHT(Table1323212737[[#This Row],[h1]],8))</f>
        <v>0</v>
      </c>
      <c r="Q1133" s="56" t="s">
        <v>97</v>
      </c>
      <c r="R1133" s="56">
        <f>HEX2DEC(RIGHT(Table1323212737[[#This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6" t="s">
        <v>97</v>
      </c>
      <c r="P1134" s="56">
        <f>HEX2DEC(RIGHT(Table1323212737[[#This Row],[h1]],8))</f>
        <v>0</v>
      </c>
      <c r="Q1134" s="56" t="s">
        <v>97</v>
      </c>
      <c r="R1134" s="56">
        <f>HEX2DEC(RIGHT(Table1323212737[[#This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6" t="s">
        <v>97</v>
      </c>
      <c r="P1135" s="56">
        <f>HEX2DEC(RIGHT(Table1323212737[[#This Row],[h1]],8))</f>
        <v>0</v>
      </c>
      <c r="Q1135" s="56" t="s">
        <v>97</v>
      </c>
      <c r="R1135" s="56">
        <f>HEX2DEC(RIGHT(Table1323212737[[#This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6" t="s">
        <v>97</v>
      </c>
      <c r="P1136" s="56">
        <f>HEX2DEC(RIGHT(Table1323212737[[#This Row],[h1]],8))</f>
        <v>0</v>
      </c>
      <c r="Q1136" s="56" t="s">
        <v>97</v>
      </c>
      <c r="R1136" s="56">
        <f>HEX2DEC(RIGHT(Table1323212737[[#This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6" t="s">
        <v>97</v>
      </c>
      <c r="P1137" s="56">
        <f>HEX2DEC(RIGHT(Table1323212737[[#This Row],[h1]],8))</f>
        <v>0</v>
      </c>
      <c r="Q1137" s="56" t="s">
        <v>97</v>
      </c>
      <c r="R1137" s="56">
        <f>HEX2DEC(RIGHT(Table1323212737[[#This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6" t="s">
        <v>97</v>
      </c>
      <c r="P1138" s="56">
        <f>HEX2DEC(RIGHT(Table1323212737[[#This Row],[h1]],8))</f>
        <v>0</v>
      </c>
      <c r="Q1138" s="56" t="s">
        <v>97</v>
      </c>
      <c r="R1138" s="56">
        <f>HEX2DEC(RIGHT(Table1323212737[[#This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6" t="s">
        <v>97</v>
      </c>
      <c r="P1139" s="56">
        <f>HEX2DEC(RIGHT(Table1323212737[[#This Row],[h1]],8))</f>
        <v>0</v>
      </c>
      <c r="Q1139" s="56" t="s">
        <v>97</v>
      </c>
      <c r="R1139" s="56">
        <f>HEX2DEC(RIGHT(Table1323212737[[#This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6" t="s">
        <v>97</v>
      </c>
      <c r="P1140" s="56">
        <f>HEX2DEC(RIGHT(Table1323212737[[#This Row],[h1]],8))</f>
        <v>0</v>
      </c>
      <c r="Q1140" s="56" t="s">
        <v>97</v>
      </c>
      <c r="R1140" s="56">
        <f>HEX2DEC(RIGHT(Table1323212737[[#This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6" t="s">
        <v>97</v>
      </c>
      <c r="P1141" s="56">
        <f>HEX2DEC(RIGHT(Table1323212737[[#This Row],[h1]],8))</f>
        <v>0</v>
      </c>
      <c r="Q1141" s="56" t="s">
        <v>97</v>
      </c>
      <c r="R1141" s="56">
        <f>HEX2DEC(RIGHT(Table1323212737[[#This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6" t="s">
        <v>97</v>
      </c>
      <c r="P1142" s="56">
        <f>HEX2DEC(RIGHT(Table1323212737[[#This Row],[h1]],8))</f>
        <v>0</v>
      </c>
      <c r="Q1142" s="56" t="s">
        <v>97</v>
      </c>
      <c r="R1142" s="56">
        <f>HEX2DEC(RIGHT(Table1323212737[[#This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6" t="s">
        <v>97</v>
      </c>
      <c r="P1143" s="56">
        <f>HEX2DEC(RIGHT(Table1323212737[[#This Row],[h1]],8))</f>
        <v>0</v>
      </c>
      <c r="Q1143" s="56" t="s">
        <v>97</v>
      </c>
      <c r="R1143" s="56">
        <f>HEX2DEC(RIGHT(Table1323212737[[#This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6" t="s">
        <v>97</v>
      </c>
      <c r="P1144" s="56">
        <f>HEX2DEC(RIGHT(Table1323212737[[#This Row],[h1]],8))</f>
        <v>0</v>
      </c>
      <c r="Q1144" s="56" t="s">
        <v>97</v>
      </c>
      <c r="R1144" s="56">
        <f>HEX2DEC(RIGHT(Table1323212737[[#This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6" t="s">
        <v>97</v>
      </c>
      <c r="P1145" s="56">
        <f>HEX2DEC(RIGHT(Table1323212737[[#This Row],[h1]],8))</f>
        <v>0</v>
      </c>
      <c r="Q1145" s="56" t="s">
        <v>97</v>
      </c>
      <c r="R1145" s="56">
        <f>HEX2DEC(RIGHT(Table1323212737[[#This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6" t="s">
        <v>97</v>
      </c>
      <c r="P1146" s="56">
        <f>HEX2DEC(RIGHT(Table1323212737[[#This Row],[h1]],8))</f>
        <v>0</v>
      </c>
      <c r="Q1146" s="56" t="s">
        <v>97</v>
      </c>
      <c r="R1146" s="56">
        <f>HEX2DEC(RIGHT(Table1323212737[[#This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6" t="s">
        <v>97</v>
      </c>
      <c r="P1147" s="56">
        <f>HEX2DEC(RIGHT(Table1323212737[[#This Row],[h1]],8))</f>
        <v>0</v>
      </c>
      <c r="Q1147" s="56" t="s">
        <v>97</v>
      </c>
      <c r="R1147" s="56">
        <f>HEX2DEC(RIGHT(Table1323212737[[#This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6" t="s">
        <v>97</v>
      </c>
      <c r="P1148" s="56">
        <f>HEX2DEC(RIGHT(Table1323212737[[#This Row],[h1]],8))</f>
        <v>0</v>
      </c>
      <c r="Q1148" s="56" t="s">
        <v>97</v>
      </c>
      <c r="R1148" s="56">
        <f>HEX2DEC(RIGHT(Table1323212737[[#This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6" t="s">
        <v>97</v>
      </c>
      <c r="P1149" s="56">
        <f>HEX2DEC(RIGHT(Table1323212737[[#This Row],[h1]],8))</f>
        <v>0</v>
      </c>
      <c r="Q1149" s="56" t="s">
        <v>97</v>
      </c>
      <c r="R1149" s="56">
        <f>HEX2DEC(RIGHT(Table1323212737[[#This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6" t="s">
        <v>97</v>
      </c>
      <c r="P1150" s="56">
        <f>HEX2DEC(RIGHT(Table1323212737[[#This Row],[h1]],8))</f>
        <v>0</v>
      </c>
      <c r="Q1150" s="56" t="s">
        <v>97</v>
      </c>
      <c r="R1150" s="56">
        <f>HEX2DEC(RIGHT(Table1323212737[[#This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6" t="s">
        <v>97</v>
      </c>
      <c r="P1151" s="56">
        <f>HEX2DEC(RIGHT(Table1323212737[[#This Row],[h1]],8))</f>
        <v>0</v>
      </c>
      <c r="Q1151" s="56" t="s">
        <v>97</v>
      </c>
      <c r="R1151" s="56">
        <f>HEX2DEC(RIGHT(Table1323212737[[#This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6" t="s">
        <v>97</v>
      </c>
      <c r="P1152" s="56">
        <f>HEX2DEC(RIGHT(Table1323212737[[#This Row],[h1]],8))</f>
        <v>0</v>
      </c>
      <c r="Q1152" s="56" t="s">
        <v>97</v>
      </c>
      <c r="R1152" s="56">
        <f>HEX2DEC(RIGHT(Table1323212737[[#This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6" t="s">
        <v>97</v>
      </c>
      <c r="P1153" s="56">
        <f>HEX2DEC(RIGHT(Table1323212737[[#This Row],[h1]],8))</f>
        <v>0</v>
      </c>
      <c r="Q1153" s="56" t="s">
        <v>97</v>
      </c>
      <c r="R1153" s="56">
        <f>HEX2DEC(RIGHT(Table1323212737[[#This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6" t="s">
        <v>97</v>
      </c>
      <c r="P1154" s="56">
        <f>HEX2DEC(RIGHT(Table1323212737[[#This Row],[h1]],8))</f>
        <v>0</v>
      </c>
      <c r="Q1154" s="56" t="s">
        <v>97</v>
      </c>
      <c r="R1154" s="56">
        <f>HEX2DEC(RIGHT(Table1323212737[[#This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6" t="s">
        <v>97</v>
      </c>
      <c r="P1155" s="56">
        <f>HEX2DEC(RIGHT(Table1323212737[[#This Row],[h1]],8))</f>
        <v>0</v>
      </c>
      <c r="Q1155" s="56" t="s">
        <v>97</v>
      </c>
      <c r="R1155" s="56">
        <f>HEX2DEC(RIGHT(Table1323212737[[#This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6" t="s">
        <v>97</v>
      </c>
      <c r="P1156" s="56">
        <f>HEX2DEC(RIGHT(Table1323212737[[#This Row],[h1]],8))</f>
        <v>0</v>
      </c>
      <c r="Q1156" s="56" t="s">
        <v>97</v>
      </c>
      <c r="R1156" s="56">
        <f>HEX2DEC(RIGHT(Table1323212737[[#This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6" t="s">
        <v>97</v>
      </c>
      <c r="P1157" s="56">
        <f>HEX2DEC(RIGHT(Table1323212737[[#This Row],[h1]],8))</f>
        <v>0</v>
      </c>
      <c r="Q1157" s="56" t="s">
        <v>97</v>
      </c>
      <c r="R1157" s="56">
        <f>HEX2DEC(RIGHT(Table1323212737[[#This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6" t="s">
        <v>97</v>
      </c>
      <c r="P1158" s="56">
        <f>HEX2DEC(RIGHT(Table1323212737[[#This Row],[h1]],8))</f>
        <v>0</v>
      </c>
      <c r="Q1158" s="56" t="s">
        <v>97</v>
      </c>
      <c r="R1158" s="56">
        <f>HEX2DEC(RIGHT(Table1323212737[[#This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6" t="s">
        <v>97</v>
      </c>
      <c r="P1159" s="56">
        <f>HEX2DEC(RIGHT(Table1323212737[[#This Row],[h1]],8))</f>
        <v>0</v>
      </c>
      <c r="Q1159" s="56" t="s">
        <v>97</v>
      </c>
      <c r="R1159" s="56">
        <f>HEX2DEC(RIGHT(Table1323212737[[#This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6" t="s">
        <v>97</v>
      </c>
      <c r="P1160" s="56">
        <f>HEX2DEC(RIGHT(Table1323212737[[#This Row],[h1]],8))</f>
        <v>0</v>
      </c>
      <c r="Q1160" s="56" t="s">
        <v>97</v>
      </c>
      <c r="R1160" s="56">
        <f>HEX2DEC(RIGHT(Table1323212737[[#This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6" t="s">
        <v>97</v>
      </c>
      <c r="P1161" s="56">
        <f>HEX2DEC(RIGHT(Table1323212737[[#This Row],[h1]],8))</f>
        <v>0</v>
      </c>
      <c r="Q1161" s="56" t="s">
        <v>97</v>
      </c>
      <c r="R1161" s="56">
        <f>HEX2DEC(RIGHT(Table1323212737[[#This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6" t="s">
        <v>97</v>
      </c>
      <c r="P1162" s="56">
        <f>HEX2DEC(RIGHT(Table1323212737[[#This Row],[h1]],8))</f>
        <v>0</v>
      </c>
      <c r="Q1162" s="56" t="s">
        <v>97</v>
      </c>
      <c r="R1162" s="56">
        <f>HEX2DEC(RIGHT(Table1323212737[[#This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6" t="s">
        <v>97</v>
      </c>
      <c r="P1163" s="56">
        <f>HEX2DEC(RIGHT(Table1323212737[[#This Row],[h1]],8))</f>
        <v>0</v>
      </c>
      <c r="Q1163" s="56" t="s">
        <v>97</v>
      </c>
      <c r="R1163" s="56">
        <f>HEX2DEC(RIGHT(Table1323212737[[#This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6" t="s">
        <v>97</v>
      </c>
      <c r="P1164" s="56">
        <f>HEX2DEC(RIGHT(Table1323212737[[#This Row],[h1]],8))</f>
        <v>0</v>
      </c>
      <c r="Q1164" s="56" t="s">
        <v>97</v>
      </c>
      <c r="R1164" s="56">
        <f>HEX2DEC(RIGHT(Table1323212737[[#This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6" t="s">
        <v>97</v>
      </c>
      <c r="P1165" s="56">
        <f>HEX2DEC(RIGHT(Table1323212737[[#This Row],[h1]],8))</f>
        <v>0</v>
      </c>
      <c r="Q1165" s="56" t="s">
        <v>97</v>
      </c>
      <c r="R1165" s="56">
        <f>HEX2DEC(RIGHT(Table1323212737[[#This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6" t="s">
        <v>97</v>
      </c>
      <c r="P1166" s="56">
        <f>HEX2DEC(RIGHT(Table1323212737[[#This Row],[h1]],8))</f>
        <v>0</v>
      </c>
      <c r="Q1166" s="56" t="s">
        <v>97</v>
      </c>
      <c r="R1166" s="56">
        <f>HEX2DEC(RIGHT(Table1323212737[[#This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6" t="s">
        <v>97</v>
      </c>
      <c r="P1167" s="56">
        <f>HEX2DEC(RIGHT(Table1323212737[[#This Row],[h1]],8))</f>
        <v>0</v>
      </c>
      <c r="Q1167" s="56" t="s">
        <v>97</v>
      </c>
      <c r="R1167" s="56">
        <f>HEX2DEC(RIGHT(Table1323212737[[#This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6" t="s">
        <v>97</v>
      </c>
      <c r="P1168" s="56">
        <f>HEX2DEC(RIGHT(Table1323212737[[#This Row],[h1]],8))</f>
        <v>0</v>
      </c>
      <c r="Q1168" s="56" t="s">
        <v>97</v>
      </c>
      <c r="R1168" s="56">
        <f>HEX2DEC(RIGHT(Table1323212737[[#This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6" t="s">
        <v>97</v>
      </c>
      <c r="P1169" s="56">
        <f>HEX2DEC(RIGHT(Table1323212737[[#This Row],[h1]],8))</f>
        <v>0</v>
      </c>
      <c r="Q1169" s="56" t="s">
        <v>97</v>
      </c>
      <c r="R1169" s="56">
        <f>HEX2DEC(RIGHT(Table1323212737[[#This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6" t="s">
        <v>97</v>
      </c>
      <c r="P1170" s="56">
        <f>HEX2DEC(RIGHT(Table1323212737[[#This Row],[h1]],8))</f>
        <v>0</v>
      </c>
      <c r="Q1170" s="56" t="s">
        <v>97</v>
      </c>
      <c r="R1170" s="56">
        <f>HEX2DEC(RIGHT(Table1323212737[[#This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6" t="s">
        <v>97</v>
      </c>
      <c r="P1171" s="56">
        <f>HEX2DEC(RIGHT(Table1323212737[[#This Row],[h1]],8))</f>
        <v>0</v>
      </c>
      <c r="Q1171" s="56" t="s">
        <v>97</v>
      </c>
      <c r="R1171" s="56">
        <f>HEX2DEC(RIGHT(Table1323212737[[#This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6" t="s">
        <v>97</v>
      </c>
      <c r="P1172" s="56">
        <f>HEX2DEC(RIGHT(Table1323212737[[#This Row],[h1]],8))</f>
        <v>0</v>
      </c>
      <c r="Q1172" s="56" t="s">
        <v>97</v>
      </c>
      <c r="R1172" s="56">
        <f>HEX2DEC(RIGHT(Table1323212737[[#This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6" t="s">
        <v>97</v>
      </c>
      <c r="P1173" s="56">
        <f>HEX2DEC(RIGHT(Table1323212737[[#This Row],[h1]],8))</f>
        <v>0</v>
      </c>
      <c r="Q1173" s="56" t="s">
        <v>97</v>
      </c>
      <c r="R1173" s="56">
        <f>HEX2DEC(RIGHT(Table1323212737[[#This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6" t="s">
        <v>97</v>
      </c>
      <c r="P1174" s="56">
        <f>HEX2DEC(RIGHT(Table1323212737[[#This Row],[h1]],8))</f>
        <v>0</v>
      </c>
      <c r="Q1174" s="56" t="s">
        <v>97</v>
      </c>
      <c r="R1174" s="56">
        <f>HEX2DEC(RIGHT(Table1323212737[[#This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6" t="s">
        <v>97</v>
      </c>
      <c r="P1175" s="56">
        <f>HEX2DEC(RIGHT(Table1323212737[[#This Row],[h1]],8))</f>
        <v>0</v>
      </c>
      <c r="Q1175" s="56" t="s">
        <v>97</v>
      </c>
      <c r="R1175" s="56">
        <f>HEX2DEC(RIGHT(Table1323212737[[#This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6" t="s">
        <v>97</v>
      </c>
      <c r="P1176" s="56">
        <f>HEX2DEC(RIGHT(Table1323212737[[#This Row],[h1]],8))</f>
        <v>0</v>
      </c>
      <c r="Q1176" s="56" t="s">
        <v>97</v>
      </c>
      <c r="R1176" s="56">
        <f>HEX2DEC(RIGHT(Table1323212737[[#This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6" t="s">
        <v>97</v>
      </c>
      <c r="P1177" s="56">
        <f>HEX2DEC(RIGHT(Table1323212737[[#This Row],[h1]],8))</f>
        <v>0</v>
      </c>
      <c r="Q1177" s="56" t="s">
        <v>97</v>
      </c>
      <c r="R1177" s="56">
        <f>HEX2DEC(RIGHT(Table1323212737[[#This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6" t="s">
        <v>97</v>
      </c>
      <c r="P1178" s="56">
        <f>HEX2DEC(RIGHT(Table1323212737[[#This Row],[h1]],8))</f>
        <v>0</v>
      </c>
      <c r="Q1178" s="56" t="s">
        <v>97</v>
      </c>
      <c r="R1178" s="56">
        <f>HEX2DEC(RIGHT(Table1323212737[[#This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6" t="s">
        <v>97</v>
      </c>
      <c r="P1179" s="56">
        <f>HEX2DEC(RIGHT(Table1323212737[[#This Row],[h1]],8))</f>
        <v>0</v>
      </c>
      <c r="Q1179" s="56" t="s">
        <v>97</v>
      </c>
      <c r="R1179" s="56">
        <f>HEX2DEC(RIGHT(Table1323212737[[#This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6" t="s">
        <v>97</v>
      </c>
      <c r="P1180" s="56">
        <f>HEX2DEC(RIGHT(Table1323212737[[#This Row],[h1]],8))</f>
        <v>0</v>
      </c>
      <c r="Q1180" s="56" t="s">
        <v>97</v>
      </c>
      <c r="R1180" s="56">
        <f>HEX2DEC(RIGHT(Table1323212737[[#This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6" t="s">
        <v>97</v>
      </c>
      <c r="P1181" s="56">
        <f>HEX2DEC(RIGHT(Table1323212737[[#This Row],[h1]],8))</f>
        <v>0</v>
      </c>
      <c r="Q1181" s="56" t="s">
        <v>97</v>
      </c>
      <c r="R1181" s="56">
        <f>HEX2DEC(RIGHT(Table1323212737[[#This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6" t="s">
        <v>97</v>
      </c>
      <c r="P1182" s="56">
        <f>HEX2DEC(RIGHT(Table1323212737[[#This Row],[h1]],8))</f>
        <v>0</v>
      </c>
      <c r="Q1182" s="56" t="s">
        <v>97</v>
      </c>
      <c r="R1182" s="56">
        <f>HEX2DEC(RIGHT(Table1323212737[[#This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6" t="s">
        <v>97</v>
      </c>
      <c r="P1183" s="56">
        <f>HEX2DEC(RIGHT(Table1323212737[[#This Row],[h1]],8))</f>
        <v>0</v>
      </c>
      <c r="Q1183" s="56" t="s">
        <v>97</v>
      </c>
      <c r="R1183" s="56">
        <f>HEX2DEC(RIGHT(Table1323212737[[#This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6" t="s">
        <v>97</v>
      </c>
      <c r="P1184" s="56">
        <f>HEX2DEC(RIGHT(Table1323212737[[#This Row],[h1]],8))</f>
        <v>0</v>
      </c>
      <c r="Q1184" s="56" t="s">
        <v>97</v>
      </c>
      <c r="R1184" s="56">
        <f>HEX2DEC(RIGHT(Table1323212737[[#This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6" t="s">
        <v>97</v>
      </c>
      <c r="P1185" s="56">
        <f>HEX2DEC(RIGHT(Table1323212737[[#This Row],[h1]],8))</f>
        <v>0</v>
      </c>
      <c r="Q1185" s="56" t="s">
        <v>97</v>
      </c>
      <c r="R1185" s="56">
        <f>HEX2DEC(RIGHT(Table1323212737[[#This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6" t="s">
        <v>97</v>
      </c>
      <c r="P1186" s="56">
        <f>HEX2DEC(RIGHT(Table1323212737[[#This Row],[h1]],8))</f>
        <v>0</v>
      </c>
      <c r="Q1186" s="56" t="s">
        <v>97</v>
      </c>
      <c r="R1186" s="56">
        <f>HEX2DEC(RIGHT(Table1323212737[[#This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6" t="s">
        <v>97</v>
      </c>
      <c r="P1187" s="56">
        <f>HEX2DEC(RIGHT(Table1323212737[[#This Row],[h1]],8))</f>
        <v>0</v>
      </c>
      <c r="Q1187" s="56" t="s">
        <v>97</v>
      </c>
      <c r="R1187" s="56">
        <f>HEX2DEC(RIGHT(Table1323212737[[#This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6" t="s">
        <v>97</v>
      </c>
      <c r="P1188" s="56">
        <f>HEX2DEC(RIGHT(Table1323212737[[#This Row],[h1]],8))</f>
        <v>0</v>
      </c>
      <c r="Q1188" s="56" t="s">
        <v>97</v>
      </c>
      <c r="R1188" s="56">
        <f>HEX2DEC(RIGHT(Table1323212737[[#This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6" t="s">
        <v>97</v>
      </c>
      <c r="P1189" s="56">
        <f>HEX2DEC(RIGHT(Table1323212737[[#This Row],[h1]],8))</f>
        <v>0</v>
      </c>
      <c r="Q1189" s="56" t="s">
        <v>97</v>
      </c>
      <c r="R1189" s="56">
        <f>HEX2DEC(RIGHT(Table1323212737[[#This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6" t="s">
        <v>97</v>
      </c>
      <c r="P1190" s="56">
        <f>HEX2DEC(RIGHT(Table1323212737[[#This Row],[h1]],8))</f>
        <v>0</v>
      </c>
      <c r="Q1190" s="56" t="s">
        <v>97</v>
      </c>
      <c r="R1190" s="56">
        <f>HEX2DEC(RIGHT(Table1323212737[[#This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6" t="s">
        <v>97</v>
      </c>
      <c r="P1191" s="56">
        <f>HEX2DEC(RIGHT(Table1323212737[[#This Row],[h1]],8))</f>
        <v>0</v>
      </c>
      <c r="Q1191" s="56" t="s">
        <v>97</v>
      </c>
      <c r="R1191" s="56">
        <f>HEX2DEC(RIGHT(Table1323212737[[#This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6" t="s">
        <v>97</v>
      </c>
      <c r="P1192" s="56">
        <f>HEX2DEC(RIGHT(Table1323212737[[#This Row],[h1]],8))</f>
        <v>0</v>
      </c>
      <c r="Q1192" s="56" t="s">
        <v>97</v>
      </c>
      <c r="R1192" s="56">
        <f>HEX2DEC(RIGHT(Table1323212737[[#This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6" t="s">
        <v>97</v>
      </c>
      <c r="P1193" s="56">
        <f>HEX2DEC(RIGHT(Table1323212737[[#This Row],[h1]],8))</f>
        <v>0</v>
      </c>
      <c r="Q1193" s="56" t="s">
        <v>97</v>
      </c>
      <c r="R1193" s="56">
        <f>HEX2DEC(RIGHT(Table1323212737[[#This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6" t="s">
        <v>97</v>
      </c>
      <c r="P1194" s="56">
        <f>HEX2DEC(RIGHT(Table1323212737[[#This Row],[h1]],8))</f>
        <v>0</v>
      </c>
      <c r="Q1194" s="56" t="s">
        <v>97</v>
      </c>
      <c r="R1194" s="56">
        <f>HEX2DEC(RIGHT(Table1323212737[[#This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6" t="s">
        <v>97</v>
      </c>
      <c r="P1195" s="56">
        <f>HEX2DEC(RIGHT(Table1323212737[[#This Row],[h1]],8))</f>
        <v>0</v>
      </c>
      <c r="Q1195" s="56" t="s">
        <v>97</v>
      </c>
      <c r="R1195" s="56">
        <f>HEX2DEC(RIGHT(Table1323212737[[#This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6" t="s">
        <v>97</v>
      </c>
      <c r="P1196" s="56">
        <f>HEX2DEC(RIGHT(Table1323212737[[#This Row],[h1]],8))</f>
        <v>0</v>
      </c>
      <c r="Q1196" s="56" t="s">
        <v>97</v>
      </c>
      <c r="R1196" s="56">
        <f>HEX2DEC(RIGHT(Table1323212737[[#This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6" t="s">
        <v>97</v>
      </c>
      <c r="P1197" s="56">
        <f>HEX2DEC(RIGHT(Table1323212737[[#This Row],[h1]],8))</f>
        <v>0</v>
      </c>
      <c r="Q1197" s="56" t="s">
        <v>97</v>
      </c>
      <c r="R1197" s="56">
        <f>HEX2DEC(RIGHT(Table1323212737[[#This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6" t="s">
        <v>97</v>
      </c>
      <c r="P1198" s="56">
        <f>HEX2DEC(RIGHT(Table1323212737[[#This Row],[h1]],8))</f>
        <v>0</v>
      </c>
      <c r="Q1198" s="56" t="s">
        <v>97</v>
      </c>
      <c r="R1198" s="56">
        <f>HEX2DEC(RIGHT(Table1323212737[[#This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6" t="s">
        <v>97</v>
      </c>
      <c r="P1199" s="56">
        <f>HEX2DEC(RIGHT(Table1323212737[[#This Row],[h1]],8))</f>
        <v>0</v>
      </c>
      <c r="Q1199" s="56" t="s">
        <v>97</v>
      </c>
      <c r="R1199" s="56">
        <f>HEX2DEC(RIGHT(Table1323212737[[#This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6" t="s">
        <v>97</v>
      </c>
      <c r="P1200" s="56">
        <f>HEX2DEC(RIGHT(Table1323212737[[#This Row],[h1]],8))</f>
        <v>0</v>
      </c>
      <c r="Q1200" s="56" t="s">
        <v>97</v>
      </c>
      <c r="R1200" s="56">
        <f>HEX2DEC(RIGHT(Table1323212737[[#This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6" t="s">
        <v>97</v>
      </c>
      <c r="P1201" s="56">
        <f>HEX2DEC(RIGHT(Table1323212737[[#This Row],[h1]],8))</f>
        <v>0</v>
      </c>
      <c r="Q1201" s="56" t="s">
        <v>97</v>
      </c>
      <c r="R1201" s="56">
        <f>HEX2DEC(RIGHT(Table1323212737[[#This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6" t="s">
        <v>97</v>
      </c>
      <c r="P1202" s="56">
        <f>HEX2DEC(RIGHT(Table1323212737[[#This Row],[h1]],8))</f>
        <v>0</v>
      </c>
      <c r="Q1202" s="56" t="s">
        <v>97</v>
      </c>
      <c r="R1202" s="56">
        <f>HEX2DEC(RIGHT(Table1323212737[[#This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6" t="s">
        <v>97</v>
      </c>
      <c r="P1203" s="56">
        <f>HEX2DEC(RIGHT(Table1323212737[[#This Row],[h1]],8))</f>
        <v>0</v>
      </c>
      <c r="Q1203" s="56" t="s">
        <v>97</v>
      </c>
      <c r="R1203" s="56">
        <f>HEX2DEC(RIGHT(Table1323212737[[#This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6" t="s">
        <v>97</v>
      </c>
      <c r="P1204" s="56">
        <f>HEX2DEC(RIGHT(Table1323212737[[#This Row],[h1]],8))</f>
        <v>0</v>
      </c>
      <c r="Q1204" s="56" t="s">
        <v>97</v>
      </c>
      <c r="R1204" s="56">
        <f>HEX2DEC(RIGHT(Table1323212737[[#This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6" t="s">
        <v>97</v>
      </c>
      <c r="P1205" s="56">
        <f>HEX2DEC(RIGHT(Table1323212737[[#This Row],[h1]],8))</f>
        <v>0</v>
      </c>
      <c r="Q1205" s="56" t="s">
        <v>97</v>
      </c>
      <c r="R1205" s="56">
        <f>HEX2DEC(RIGHT(Table1323212737[[#This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6" t="s">
        <v>97</v>
      </c>
      <c r="P1206" s="56">
        <f>HEX2DEC(RIGHT(Table1323212737[[#This Row],[h1]],8))</f>
        <v>0</v>
      </c>
      <c r="Q1206" s="56" t="s">
        <v>97</v>
      </c>
      <c r="R1206" s="56">
        <f>HEX2DEC(RIGHT(Table1323212737[[#This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6" t="s">
        <v>97</v>
      </c>
      <c r="P1207" s="56">
        <f>HEX2DEC(RIGHT(Table1323212737[[#This Row],[h1]],8))</f>
        <v>0</v>
      </c>
      <c r="Q1207" s="56" t="s">
        <v>97</v>
      </c>
      <c r="R1207" s="56">
        <f>HEX2DEC(RIGHT(Table1323212737[[#This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6" t="s">
        <v>97</v>
      </c>
      <c r="P1208" s="56">
        <f>HEX2DEC(RIGHT(Table1323212737[[#This Row],[h1]],8))</f>
        <v>0</v>
      </c>
      <c r="Q1208" s="56" t="s">
        <v>97</v>
      </c>
      <c r="R1208" s="56">
        <f>HEX2DEC(RIGHT(Table1323212737[[#This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6" t="s">
        <v>97</v>
      </c>
      <c r="P1209" s="56">
        <f>HEX2DEC(RIGHT(Table1323212737[[#This Row],[h1]],8))</f>
        <v>0</v>
      </c>
      <c r="Q1209" s="56" t="s">
        <v>97</v>
      </c>
      <c r="R1209" s="56">
        <f>HEX2DEC(RIGHT(Table1323212737[[#This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6" t="s">
        <v>97</v>
      </c>
      <c r="P1210" s="56">
        <f>HEX2DEC(RIGHT(Table1323212737[[#This Row],[h1]],8))</f>
        <v>0</v>
      </c>
      <c r="Q1210" s="56" t="s">
        <v>97</v>
      </c>
      <c r="R1210" s="56">
        <f>HEX2DEC(RIGHT(Table1323212737[[#This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6" t="s">
        <v>97</v>
      </c>
      <c r="P1211" s="56">
        <f>HEX2DEC(RIGHT(Table1323212737[[#This Row],[h1]],8))</f>
        <v>0</v>
      </c>
      <c r="Q1211" s="56" t="s">
        <v>97</v>
      </c>
      <c r="R1211" s="56">
        <f>HEX2DEC(RIGHT(Table1323212737[[#This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6" t="s">
        <v>97</v>
      </c>
      <c r="P1212" s="56">
        <f>HEX2DEC(RIGHT(Table1323212737[[#This Row],[h1]],8))</f>
        <v>0</v>
      </c>
      <c r="Q1212" s="56" t="s">
        <v>97</v>
      </c>
      <c r="R1212" s="56">
        <f>HEX2DEC(RIGHT(Table1323212737[[#This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6" t="s">
        <v>97</v>
      </c>
      <c r="P1213" s="56">
        <f>HEX2DEC(RIGHT(Table1323212737[[#This Row],[h1]],8))</f>
        <v>0</v>
      </c>
      <c r="Q1213" s="56" t="s">
        <v>97</v>
      </c>
      <c r="R1213" s="56">
        <f>HEX2DEC(RIGHT(Table1323212737[[#This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6" t="s">
        <v>97</v>
      </c>
      <c r="P1214" s="56">
        <f>HEX2DEC(RIGHT(Table1323212737[[#This Row],[h1]],8))</f>
        <v>0</v>
      </c>
      <c r="Q1214" s="56" t="s">
        <v>97</v>
      </c>
      <c r="R1214" s="56">
        <f>HEX2DEC(RIGHT(Table1323212737[[#This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6" t="s">
        <v>97</v>
      </c>
      <c r="P1215" s="56">
        <f>HEX2DEC(RIGHT(Table1323212737[[#This Row],[h1]],8))</f>
        <v>0</v>
      </c>
      <c r="Q1215" s="56" t="s">
        <v>97</v>
      </c>
      <c r="R1215" s="56">
        <f>HEX2DEC(RIGHT(Table1323212737[[#This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6" t="s">
        <v>97</v>
      </c>
      <c r="P1216" s="56">
        <f>HEX2DEC(RIGHT(Table1323212737[[#This Row],[h1]],8))</f>
        <v>0</v>
      </c>
      <c r="Q1216" s="56" t="s">
        <v>97</v>
      </c>
      <c r="R1216" s="56">
        <f>HEX2DEC(RIGHT(Table1323212737[[#This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6" t="s">
        <v>97</v>
      </c>
      <c r="P1217" s="56">
        <f>HEX2DEC(RIGHT(Table1323212737[[#This Row],[h1]],8))</f>
        <v>0</v>
      </c>
      <c r="Q1217" s="56" t="s">
        <v>97</v>
      </c>
      <c r="R1217" s="56">
        <f>HEX2DEC(RIGHT(Table1323212737[[#This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6" t="s">
        <v>97</v>
      </c>
      <c r="P1218" s="56">
        <f>HEX2DEC(RIGHT(Table1323212737[[#This Row],[h1]],8))</f>
        <v>0</v>
      </c>
      <c r="Q1218" s="56" t="s">
        <v>97</v>
      </c>
      <c r="R1218" s="56">
        <f>HEX2DEC(RIGHT(Table1323212737[[#This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6" t="s">
        <v>97</v>
      </c>
      <c r="P1219" s="56">
        <f>HEX2DEC(RIGHT(Table1323212737[[#This Row],[h1]],8))</f>
        <v>0</v>
      </c>
      <c r="Q1219" s="56" t="s">
        <v>97</v>
      </c>
      <c r="R1219" s="56">
        <f>HEX2DEC(RIGHT(Table1323212737[[#This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6" t="s">
        <v>97</v>
      </c>
      <c r="P1220" s="56">
        <f>HEX2DEC(RIGHT(Table1323212737[[#This Row],[h1]],8))</f>
        <v>0</v>
      </c>
      <c r="Q1220" s="56" t="s">
        <v>97</v>
      </c>
      <c r="R1220" s="56">
        <f>HEX2DEC(RIGHT(Table1323212737[[#This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6" t="s">
        <v>97</v>
      </c>
      <c r="P1221" s="56">
        <f>HEX2DEC(RIGHT(Table1323212737[[#This Row],[h1]],8))</f>
        <v>0</v>
      </c>
      <c r="Q1221" s="56" t="s">
        <v>97</v>
      </c>
      <c r="R1221" s="56">
        <f>HEX2DEC(RIGHT(Table1323212737[[#This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6" t="s">
        <v>97</v>
      </c>
      <c r="P1222" s="56">
        <f>HEX2DEC(RIGHT(Table1323212737[[#This Row],[h1]],8))</f>
        <v>0</v>
      </c>
      <c r="Q1222" s="56" t="s">
        <v>97</v>
      </c>
      <c r="R1222" s="56">
        <f>HEX2DEC(RIGHT(Table1323212737[[#This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6" t="s">
        <v>97</v>
      </c>
      <c r="P1223" s="56">
        <f>HEX2DEC(RIGHT(Table1323212737[[#This Row],[h1]],8))</f>
        <v>0</v>
      </c>
      <c r="Q1223" s="56" t="s">
        <v>97</v>
      </c>
      <c r="R1223" s="56">
        <f>HEX2DEC(RIGHT(Table1323212737[[#This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6" t="s">
        <v>97</v>
      </c>
      <c r="P1224" s="56">
        <f>HEX2DEC(RIGHT(Table1323212737[[#This Row],[h1]],8))</f>
        <v>0</v>
      </c>
      <c r="Q1224" s="56" t="s">
        <v>97</v>
      </c>
      <c r="R1224" s="56">
        <f>HEX2DEC(RIGHT(Table1323212737[[#This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6" t="s">
        <v>97</v>
      </c>
      <c r="P1225" s="56">
        <f>HEX2DEC(RIGHT(Table1323212737[[#This Row],[h1]],8))</f>
        <v>0</v>
      </c>
      <c r="Q1225" s="56" t="s">
        <v>97</v>
      </c>
      <c r="R1225" s="56">
        <f>HEX2DEC(RIGHT(Table1323212737[[#This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6" t="s">
        <v>97</v>
      </c>
      <c r="P1226" s="56">
        <f>HEX2DEC(RIGHT(Table1323212737[[#This Row],[h1]],8))</f>
        <v>0</v>
      </c>
      <c r="Q1226" s="56" t="s">
        <v>97</v>
      </c>
      <c r="R1226" s="56">
        <f>HEX2DEC(RIGHT(Table1323212737[[#This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6" t="s">
        <v>97</v>
      </c>
      <c r="P1227" s="56">
        <f>HEX2DEC(RIGHT(Table1323212737[[#This Row],[h1]],8))</f>
        <v>0</v>
      </c>
      <c r="Q1227" s="56" t="s">
        <v>97</v>
      </c>
      <c r="R1227" s="56">
        <f>HEX2DEC(RIGHT(Table1323212737[[#This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6" t="s">
        <v>97</v>
      </c>
      <c r="P1228" s="56">
        <f>HEX2DEC(RIGHT(Table1323212737[[#This Row],[h1]],8))</f>
        <v>0</v>
      </c>
      <c r="Q1228" s="56" t="s">
        <v>97</v>
      </c>
      <c r="R1228" s="56">
        <f>HEX2DEC(RIGHT(Table1323212737[[#This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6" t="s">
        <v>97</v>
      </c>
      <c r="P1229" s="56">
        <f>HEX2DEC(RIGHT(Table1323212737[[#This Row],[h1]],8))</f>
        <v>0</v>
      </c>
      <c r="Q1229" s="56" t="s">
        <v>97</v>
      </c>
      <c r="R1229" s="56">
        <f>HEX2DEC(RIGHT(Table1323212737[[#This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6" t="s">
        <v>97</v>
      </c>
      <c r="P1230" s="56">
        <f>HEX2DEC(RIGHT(Table1323212737[[#This Row],[h1]],8))</f>
        <v>0</v>
      </c>
      <c r="Q1230" s="56" t="s">
        <v>97</v>
      </c>
      <c r="R1230" s="56">
        <f>HEX2DEC(RIGHT(Table1323212737[[#This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6" t="s">
        <v>97</v>
      </c>
      <c r="P1231" s="56">
        <f>HEX2DEC(RIGHT(Table1323212737[[#This Row],[h1]],8))</f>
        <v>0</v>
      </c>
      <c r="Q1231" s="56" t="s">
        <v>97</v>
      </c>
      <c r="R1231" s="56">
        <f>HEX2DEC(RIGHT(Table1323212737[[#This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6" t="s">
        <v>97</v>
      </c>
      <c r="P1232" s="56">
        <f>HEX2DEC(RIGHT(Table1323212737[[#This Row],[h1]],8))</f>
        <v>0</v>
      </c>
      <c r="Q1232" s="56" t="s">
        <v>97</v>
      </c>
      <c r="R1232" s="56">
        <f>HEX2DEC(RIGHT(Table1323212737[[#This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6" t="s">
        <v>97</v>
      </c>
      <c r="P1233" s="56">
        <f>HEX2DEC(RIGHT(Table1323212737[[#This Row],[h1]],8))</f>
        <v>0</v>
      </c>
      <c r="Q1233" s="56" t="s">
        <v>97</v>
      </c>
      <c r="R1233" s="56">
        <f>HEX2DEC(RIGHT(Table1323212737[[#This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6" t="s">
        <v>97</v>
      </c>
      <c r="P1234" s="56">
        <f>HEX2DEC(RIGHT(Table1323212737[[#This Row],[h1]],8))</f>
        <v>0</v>
      </c>
      <c r="Q1234" s="56" t="s">
        <v>97</v>
      </c>
      <c r="R1234" s="56">
        <f>HEX2DEC(RIGHT(Table1323212737[[#This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6" t="s">
        <v>97</v>
      </c>
      <c r="P1235" s="56">
        <f>HEX2DEC(RIGHT(Table1323212737[[#This Row],[h1]],8))</f>
        <v>0</v>
      </c>
      <c r="Q1235" s="56" t="s">
        <v>97</v>
      </c>
      <c r="R1235" s="56">
        <f>HEX2DEC(RIGHT(Table1323212737[[#This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6" t="s">
        <v>97</v>
      </c>
      <c r="P1236" s="56">
        <f>HEX2DEC(RIGHT(Table1323212737[[#This Row],[h1]],8))</f>
        <v>0</v>
      </c>
      <c r="Q1236" s="56" t="s">
        <v>97</v>
      </c>
      <c r="R1236" s="56">
        <f>HEX2DEC(RIGHT(Table1323212737[[#This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6" t="s">
        <v>97</v>
      </c>
      <c r="P1237" s="56">
        <f>HEX2DEC(RIGHT(Table1323212737[[#This Row],[h1]],8))</f>
        <v>0</v>
      </c>
      <c r="Q1237" s="56" t="s">
        <v>97</v>
      </c>
      <c r="R1237" s="56">
        <f>HEX2DEC(RIGHT(Table1323212737[[#This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6" t="s">
        <v>97</v>
      </c>
      <c r="P1238" s="56">
        <f>HEX2DEC(RIGHT(Table1323212737[[#This Row],[h1]],8))</f>
        <v>0</v>
      </c>
      <c r="Q1238" s="56" t="s">
        <v>97</v>
      </c>
      <c r="R1238" s="56">
        <f>HEX2DEC(RIGHT(Table1323212737[[#This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6" t="s">
        <v>97</v>
      </c>
      <c r="P1239" s="56">
        <f>HEX2DEC(RIGHT(Table1323212737[[#This Row],[h1]],8))</f>
        <v>0</v>
      </c>
      <c r="Q1239" s="56" t="s">
        <v>97</v>
      </c>
      <c r="R1239" s="56">
        <f>HEX2DEC(RIGHT(Table1323212737[[#This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6" t="s">
        <v>97</v>
      </c>
      <c r="P1240" s="56">
        <f>HEX2DEC(RIGHT(Table1323212737[[#This Row],[h1]],8))</f>
        <v>0</v>
      </c>
      <c r="Q1240" s="56" t="s">
        <v>97</v>
      </c>
      <c r="R1240" s="56">
        <f>HEX2DEC(RIGHT(Table1323212737[[#This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6" t="s">
        <v>97</v>
      </c>
      <c r="P1241" s="56">
        <f>HEX2DEC(RIGHT(Table1323212737[[#This Row],[h1]],8))</f>
        <v>0</v>
      </c>
      <c r="Q1241" s="56" t="s">
        <v>97</v>
      </c>
      <c r="R1241" s="56">
        <f>HEX2DEC(RIGHT(Table1323212737[[#This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6" t="s">
        <v>97</v>
      </c>
      <c r="P1242" s="56">
        <f>HEX2DEC(RIGHT(Table1323212737[[#This Row],[h1]],8))</f>
        <v>0</v>
      </c>
      <c r="Q1242" s="56" t="s">
        <v>97</v>
      </c>
      <c r="R1242" s="56">
        <f>HEX2DEC(RIGHT(Table1323212737[[#This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6" t="s">
        <v>97</v>
      </c>
      <c r="P1243" s="56">
        <f>HEX2DEC(RIGHT(Table1323212737[[#This Row],[h1]],8))</f>
        <v>0</v>
      </c>
      <c r="Q1243" s="56" t="s">
        <v>97</v>
      </c>
      <c r="R1243" s="56">
        <f>HEX2DEC(RIGHT(Table1323212737[[#This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6" t="s">
        <v>97</v>
      </c>
      <c r="P1244" s="56">
        <f>HEX2DEC(RIGHT(Table1323212737[[#This Row],[h1]],8))</f>
        <v>0</v>
      </c>
      <c r="Q1244" s="56" t="s">
        <v>97</v>
      </c>
      <c r="R1244" s="56">
        <f>HEX2DEC(RIGHT(Table1323212737[[#This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6" t="s">
        <v>97</v>
      </c>
      <c r="P1245" s="56">
        <f>HEX2DEC(RIGHT(Table1323212737[[#This Row],[h1]],8))</f>
        <v>0</v>
      </c>
      <c r="Q1245" s="56" t="s">
        <v>97</v>
      </c>
      <c r="R1245" s="56">
        <f>HEX2DEC(RIGHT(Table1323212737[[#This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6" t="s">
        <v>97</v>
      </c>
      <c r="P1246" s="56">
        <f>HEX2DEC(RIGHT(Table1323212737[[#This Row],[h1]],8))</f>
        <v>0</v>
      </c>
      <c r="Q1246" s="56" t="s">
        <v>97</v>
      </c>
      <c r="R1246" s="56">
        <f>HEX2DEC(RIGHT(Table1323212737[[#This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6" t="s">
        <v>97</v>
      </c>
      <c r="P1247" s="56">
        <f>HEX2DEC(RIGHT(Table1323212737[[#This Row],[h1]],8))</f>
        <v>0</v>
      </c>
      <c r="Q1247" s="56" t="s">
        <v>97</v>
      </c>
      <c r="R1247" s="56">
        <f>HEX2DEC(RIGHT(Table1323212737[[#This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6" t="s">
        <v>97</v>
      </c>
      <c r="P1248" s="56">
        <f>HEX2DEC(RIGHT(Table1323212737[[#This Row],[h1]],8))</f>
        <v>0</v>
      </c>
      <c r="Q1248" s="56" t="s">
        <v>97</v>
      </c>
      <c r="R1248" s="56">
        <f>HEX2DEC(RIGHT(Table1323212737[[#This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6" t="s">
        <v>97</v>
      </c>
      <c r="P1249" s="56">
        <f>HEX2DEC(RIGHT(Table1323212737[[#This Row],[h1]],8))</f>
        <v>0</v>
      </c>
      <c r="Q1249" s="56" t="s">
        <v>97</v>
      </c>
      <c r="R1249" s="56">
        <f>HEX2DEC(RIGHT(Table1323212737[[#This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6" t="s">
        <v>97</v>
      </c>
      <c r="P1250" s="56">
        <f>HEX2DEC(RIGHT(Table1323212737[[#This Row],[h1]],8))</f>
        <v>0</v>
      </c>
      <c r="Q1250" s="56" t="s">
        <v>97</v>
      </c>
      <c r="R1250" s="56">
        <f>HEX2DEC(RIGHT(Table1323212737[[#This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6" t="s">
        <v>97</v>
      </c>
      <c r="P1251" s="56">
        <f>HEX2DEC(RIGHT(Table1323212737[[#This Row],[h1]],8))</f>
        <v>0</v>
      </c>
      <c r="Q1251" s="56" t="s">
        <v>97</v>
      </c>
      <c r="R1251" s="56">
        <f>HEX2DEC(RIGHT(Table1323212737[[#This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6" t="s">
        <v>97</v>
      </c>
      <c r="P1252" s="56">
        <f>HEX2DEC(RIGHT(Table1323212737[[#This Row],[h1]],8))</f>
        <v>0</v>
      </c>
      <c r="Q1252" s="56" t="s">
        <v>97</v>
      </c>
      <c r="R1252" s="56">
        <f>HEX2DEC(RIGHT(Table1323212737[[#This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6" t="s">
        <v>97</v>
      </c>
      <c r="P1253" s="56">
        <f>HEX2DEC(RIGHT(Table1323212737[[#This Row],[h1]],8))</f>
        <v>0</v>
      </c>
      <c r="Q1253" s="56" t="s">
        <v>97</v>
      </c>
      <c r="R1253" s="56">
        <f>HEX2DEC(RIGHT(Table1323212737[[#This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6" t="s">
        <v>97</v>
      </c>
      <c r="P1254" s="56">
        <f>HEX2DEC(RIGHT(Table1323212737[[#This Row],[h1]],8))</f>
        <v>0</v>
      </c>
      <c r="Q1254" s="56" t="s">
        <v>97</v>
      </c>
      <c r="R1254" s="56">
        <f>HEX2DEC(RIGHT(Table1323212737[[#This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6" t="s">
        <v>97</v>
      </c>
      <c r="P1255" s="56">
        <f>HEX2DEC(RIGHT(Table1323212737[[#This Row],[h1]],8))</f>
        <v>0</v>
      </c>
      <c r="Q1255" s="56" t="s">
        <v>97</v>
      </c>
      <c r="R1255" s="56">
        <f>HEX2DEC(RIGHT(Table1323212737[[#This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6" t="s">
        <v>97</v>
      </c>
      <c r="P1256" s="56">
        <f>HEX2DEC(RIGHT(Table1323212737[[#This Row],[h1]],8))</f>
        <v>0</v>
      </c>
      <c r="Q1256" s="56" t="s">
        <v>97</v>
      </c>
      <c r="R1256" s="56">
        <f>HEX2DEC(RIGHT(Table1323212737[[#This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6" t="s">
        <v>97</v>
      </c>
      <c r="P1257" s="56">
        <f>HEX2DEC(RIGHT(Table1323212737[[#This Row],[h1]],8))</f>
        <v>0</v>
      </c>
      <c r="Q1257" s="56" t="s">
        <v>97</v>
      </c>
      <c r="R1257" s="56">
        <f>HEX2DEC(RIGHT(Table1323212737[[#This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6" t="s">
        <v>97</v>
      </c>
      <c r="P1258" s="56">
        <f>HEX2DEC(RIGHT(Table1323212737[[#This Row],[h1]],8))</f>
        <v>0</v>
      </c>
      <c r="Q1258" s="56" t="s">
        <v>97</v>
      </c>
      <c r="R1258" s="56">
        <f>HEX2DEC(RIGHT(Table1323212737[[#This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6" t="s">
        <v>97</v>
      </c>
      <c r="P1259" s="56">
        <f>HEX2DEC(RIGHT(Table1323212737[[#This Row],[h1]],8))</f>
        <v>0</v>
      </c>
      <c r="Q1259" s="56" t="s">
        <v>97</v>
      </c>
      <c r="R1259" s="56">
        <f>HEX2DEC(RIGHT(Table1323212737[[#This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6" t="s">
        <v>97</v>
      </c>
      <c r="P1260" s="56">
        <f>HEX2DEC(RIGHT(Table1323212737[[#This Row],[h1]],8))</f>
        <v>0</v>
      </c>
      <c r="Q1260" s="56" t="s">
        <v>97</v>
      </c>
      <c r="R1260" s="56">
        <f>HEX2DEC(RIGHT(Table1323212737[[#This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6" t="s">
        <v>97</v>
      </c>
      <c r="P1261" s="56">
        <f>HEX2DEC(RIGHT(Table1323212737[[#This Row],[h1]],8))</f>
        <v>0</v>
      </c>
      <c r="Q1261" s="56" t="s">
        <v>97</v>
      </c>
      <c r="R1261" s="56">
        <f>HEX2DEC(RIGHT(Table1323212737[[#This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6" t="s">
        <v>97</v>
      </c>
      <c r="P1262" s="56">
        <f>HEX2DEC(RIGHT(Table1323212737[[#This Row],[h1]],8))</f>
        <v>0</v>
      </c>
      <c r="Q1262" s="56" t="s">
        <v>97</v>
      </c>
      <c r="R1262" s="56">
        <f>HEX2DEC(RIGHT(Table1323212737[[#This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6" t="s">
        <v>97</v>
      </c>
      <c r="P1263" s="56">
        <f>HEX2DEC(RIGHT(Table1323212737[[#This Row],[h1]],8))</f>
        <v>0</v>
      </c>
      <c r="Q1263" s="56" t="s">
        <v>97</v>
      </c>
      <c r="R1263" s="56">
        <f>HEX2DEC(RIGHT(Table1323212737[[#This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6" t="s">
        <v>97</v>
      </c>
      <c r="P1264" s="56">
        <f>HEX2DEC(RIGHT(Table1323212737[[#This Row],[h1]],8))</f>
        <v>0</v>
      </c>
      <c r="Q1264" s="56" t="s">
        <v>97</v>
      </c>
      <c r="R1264" s="56">
        <f>HEX2DEC(RIGHT(Table1323212737[[#This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6" t="s">
        <v>97</v>
      </c>
      <c r="P1265" s="56">
        <f>HEX2DEC(RIGHT(Table1323212737[[#This Row],[h1]],8))</f>
        <v>0</v>
      </c>
      <c r="Q1265" s="56" t="s">
        <v>97</v>
      </c>
      <c r="R1265" s="56">
        <f>HEX2DEC(RIGHT(Table1323212737[[#This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6" t="s">
        <v>97</v>
      </c>
      <c r="P1266" s="56">
        <f>HEX2DEC(RIGHT(Table1323212737[[#This Row],[h1]],8))</f>
        <v>0</v>
      </c>
      <c r="Q1266" s="56" t="s">
        <v>97</v>
      </c>
      <c r="R1266" s="56">
        <f>HEX2DEC(RIGHT(Table1323212737[[#This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6" t="s">
        <v>97</v>
      </c>
      <c r="P1267" s="56">
        <f>HEX2DEC(RIGHT(Table1323212737[[#This Row],[h1]],8))</f>
        <v>0</v>
      </c>
      <c r="Q1267" s="56" t="s">
        <v>97</v>
      </c>
      <c r="R1267" s="56">
        <f>HEX2DEC(RIGHT(Table1323212737[[#This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6" t="s">
        <v>97</v>
      </c>
      <c r="P1268" s="56">
        <f>HEX2DEC(RIGHT(Table1323212737[[#This Row],[h1]],8))</f>
        <v>0</v>
      </c>
      <c r="Q1268" s="56" t="s">
        <v>97</v>
      </c>
      <c r="R1268" s="56">
        <f>HEX2DEC(RIGHT(Table1323212737[[#This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6" t="s">
        <v>97</v>
      </c>
      <c r="P1269" s="56">
        <f>HEX2DEC(RIGHT(Table1323212737[[#This Row],[h1]],8))</f>
        <v>0</v>
      </c>
      <c r="Q1269" s="56" t="s">
        <v>97</v>
      </c>
      <c r="R1269" s="56">
        <f>HEX2DEC(RIGHT(Table1323212737[[#This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6" t="s">
        <v>97</v>
      </c>
      <c r="P1270" s="56">
        <f>HEX2DEC(RIGHT(Table1323212737[[#This Row],[h1]],8))</f>
        <v>0</v>
      </c>
      <c r="Q1270" s="56" t="s">
        <v>97</v>
      </c>
      <c r="R1270" s="56">
        <f>HEX2DEC(RIGHT(Table1323212737[[#This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6" t="s">
        <v>97</v>
      </c>
      <c r="P1271" s="56">
        <f>HEX2DEC(RIGHT(Table1323212737[[#This Row],[h1]],8))</f>
        <v>0</v>
      </c>
      <c r="Q1271" s="56" t="s">
        <v>97</v>
      </c>
      <c r="R1271" s="56">
        <f>HEX2DEC(RIGHT(Table1323212737[[#This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6" t="s">
        <v>97</v>
      </c>
      <c r="P1272" s="56">
        <f>HEX2DEC(RIGHT(Table1323212737[[#This Row],[h1]],8))</f>
        <v>0</v>
      </c>
      <c r="Q1272" s="56" t="s">
        <v>97</v>
      </c>
      <c r="R1272" s="56">
        <f>HEX2DEC(RIGHT(Table1323212737[[#This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6" t="s">
        <v>97</v>
      </c>
      <c r="P1273" s="56">
        <f>HEX2DEC(RIGHT(Table1323212737[[#This Row],[h1]],8))</f>
        <v>0</v>
      </c>
      <c r="Q1273" s="56" t="s">
        <v>97</v>
      </c>
      <c r="R1273" s="56">
        <f>HEX2DEC(RIGHT(Table1323212737[[#This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6" t="s">
        <v>97</v>
      </c>
      <c r="P1274" s="56">
        <f>HEX2DEC(RIGHT(Table1323212737[[#This Row],[h1]],8))</f>
        <v>0</v>
      </c>
      <c r="Q1274" s="56" t="s">
        <v>97</v>
      </c>
      <c r="R1274" s="56">
        <f>HEX2DEC(RIGHT(Table1323212737[[#This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6" t="s">
        <v>97</v>
      </c>
      <c r="P1275" s="56">
        <f>HEX2DEC(RIGHT(Table1323212737[[#This Row],[h1]],8))</f>
        <v>0</v>
      </c>
      <c r="Q1275" s="56" t="s">
        <v>97</v>
      </c>
      <c r="R1275" s="56">
        <f>HEX2DEC(RIGHT(Table1323212737[[#This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6" t="s">
        <v>97</v>
      </c>
      <c r="P1276" s="56">
        <f>HEX2DEC(RIGHT(Table1323212737[[#This Row],[h1]],8))</f>
        <v>0</v>
      </c>
      <c r="Q1276" s="56" t="s">
        <v>97</v>
      </c>
      <c r="R1276" s="56">
        <f>HEX2DEC(RIGHT(Table1323212737[[#This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6" t="s">
        <v>97</v>
      </c>
      <c r="P1277" s="56">
        <f>HEX2DEC(RIGHT(Table1323212737[[#This Row],[h1]],8))</f>
        <v>0</v>
      </c>
      <c r="Q1277" s="56" t="s">
        <v>97</v>
      </c>
      <c r="R1277" s="56">
        <f>HEX2DEC(RIGHT(Table1323212737[[#This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6" t="s">
        <v>97</v>
      </c>
      <c r="P1278" s="56">
        <f>HEX2DEC(RIGHT(Table1323212737[[#This Row],[h1]],8))</f>
        <v>0</v>
      </c>
      <c r="Q1278" s="56" t="s">
        <v>97</v>
      </c>
      <c r="R1278" s="56">
        <f>HEX2DEC(RIGHT(Table1323212737[[#This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6" t="s">
        <v>97</v>
      </c>
      <c r="P1279" s="56">
        <f>HEX2DEC(RIGHT(Table1323212737[[#This Row],[h1]],8))</f>
        <v>0</v>
      </c>
      <c r="Q1279" s="56" t="s">
        <v>97</v>
      </c>
      <c r="R1279" s="56">
        <f>HEX2DEC(RIGHT(Table1323212737[[#This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6" t="s">
        <v>97</v>
      </c>
      <c r="P1280" s="56">
        <f>HEX2DEC(RIGHT(Table1323212737[[#This Row],[h1]],8))</f>
        <v>0</v>
      </c>
      <c r="Q1280" s="56" t="s">
        <v>97</v>
      </c>
      <c r="R1280" s="56">
        <f>HEX2DEC(RIGHT(Table1323212737[[#This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6" t="s">
        <v>97</v>
      </c>
      <c r="P1281" s="56">
        <f>HEX2DEC(RIGHT(Table1323212737[[#This Row],[h1]],8))</f>
        <v>0</v>
      </c>
      <c r="Q1281" s="56" t="s">
        <v>97</v>
      </c>
      <c r="R1281" s="56">
        <f>HEX2DEC(RIGHT(Table1323212737[[#This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6" t="s">
        <v>97</v>
      </c>
      <c r="P1282" s="56">
        <f>HEX2DEC(RIGHT(Table1323212737[[#This Row],[h1]],8))</f>
        <v>0</v>
      </c>
      <c r="Q1282" s="56" t="s">
        <v>97</v>
      </c>
      <c r="R1282" s="56">
        <f>HEX2DEC(RIGHT(Table1323212737[[#This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6" t="s">
        <v>97</v>
      </c>
      <c r="P1283" s="56">
        <f>HEX2DEC(RIGHT(Table1323212737[[#This Row],[h1]],8))</f>
        <v>0</v>
      </c>
      <c r="Q1283" s="56" t="s">
        <v>97</v>
      </c>
      <c r="R1283" s="56">
        <f>HEX2DEC(RIGHT(Table1323212737[[#This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6" t="s">
        <v>97</v>
      </c>
      <c r="P1284" s="56">
        <f>HEX2DEC(RIGHT(Table1323212737[[#This Row],[h1]],8))</f>
        <v>0</v>
      </c>
      <c r="Q1284" s="56" t="s">
        <v>97</v>
      </c>
      <c r="R1284" s="56">
        <f>HEX2DEC(RIGHT(Table1323212737[[#This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6" t="s">
        <v>97</v>
      </c>
      <c r="P1285" s="56">
        <f>HEX2DEC(RIGHT(Table1323212737[[#This Row],[h1]],8))</f>
        <v>0</v>
      </c>
      <c r="Q1285" s="56" t="s">
        <v>97</v>
      </c>
      <c r="R1285" s="56">
        <f>HEX2DEC(RIGHT(Table1323212737[[#This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6" t="s">
        <v>97</v>
      </c>
      <c r="P1286" s="56">
        <f>HEX2DEC(RIGHT(Table1323212737[[#This Row],[h1]],8))</f>
        <v>0</v>
      </c>
      <c r="Q1286" s="56" t="s">
        <v>97</v>
      </c>
      <c r="R1286" s="56">
        <f>HEX2DEC(RIGHT(Table1323212737[[#This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6" t="s">
        <v>97</v>
      </c>
      <c r="P1287" s="56">
        <f>HEX2DEC(RIGHT(Table1323212737[[#This Row],[h1]],8))</f>
        <v>0</v>
      </c>
      <c r="Q1287" s="56" t="s">
        <v>97</v>
      </c>
      <c r="R1287" s="56">
        <f>HEX2DEC(RIGHT(Table1323212737[[#This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6" t="s">
        <v>97</v>
      </c>
      <c r="P1288" s="56">
        <f>HEX2DEC(RIGHT(Table1323212737[[#This Row],[h1]],8))</f>
        <v>0</v>
      </c>
      <c r="Q1288" s="56" t="s">
        <v>97</v>
      </c>
      <c r="R1288" s="56">
        <f>HEX2DEC(RIGHT(Table1323212737[[#This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6" t="s">
        <v>97</v>
      </c>
      <c r="P1289" s="56">
        <f>HEX2DEC(RIGHT(Table1323212737[[#This Row],[h1]],8))</f>
        <v>0</v>
      </c>
      <c r="Q1289" s="56" t="s">
        <v>97</v>
      </c>
      <c r="R1289" s="56">
        <f>HEX2DEC(RIGHT(Table1323212737[[#This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6" t="s">
        <v>97</v>
      </c>
      <c r="P1290" s="56">
        <f>HEX2DEC(RIGHT(Table1323212737[[#This Row],[h1]],8))</f>
        <v>0</v>
      </c>
      <c r="Q1290" s="56" t="s">
        <v>97</v>
      </c>
      <c r="R1290" s="56">
        <f>HEX2DEC(RIGHT(Table1323212737[[#This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6" t="s">
        <v>97</v>
      </c>
      <c r="P1291" s="56">
        <f>HEX2DEC(RIGHT(Table1323212737[[#This Row],[h1]],8))</f>
        <v>0</v>
      </c>
      <c r="Q1291" s="56" t="s">
        <v>97</v>
      </c>
      <c r="R1291" s="56">
        <f>HEX2DEC(RIGHT(Table1323212737[[#This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6" t="s">
        <v>97</v>
      </c>
      <c r="P1292" s="56">
        <f>HEX2DEC(RIGHT(Table1323212737[[#This Row],[h1]],8))</f>
        <v>0</v>
      </c>
      <c r="Q1292" s="56" t="s">
        <v>97</v>
      </c>
      <c r="R1292" s="56">
        <f>HEX2DEC(RIGHT(Table1323212737[[#This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6" t="s">
        <v>97</v>
      </c>
      <c r="P1293" s="56">
        <f>HEX2DEC(RIGHT(Table1323212737[[#This Row],[h1]],8))</f>
        <v>0</v>
      </c>
      <c r="Q1293" s="56" t="s">
        <v>97</v>
      </c>
      <c r="R1293" s="56">
        <f>HEX2DEC(RIGHT(Table1323212737[[#This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6" t="s">
        <v>97</v>
      </c>
      <c r="P1294" s="56">
        <f>HEX2DEC(RIGHT(Table1323212737[[#This Row],[h1]],8))</f>
        <v>0</v>
      </c>
      <c r="Q1294" s="56" t="s">
        <v>97</v>
      </c>
      <c r="R1294" s="56">
        <f>HEX2DEC(RIGHT(Table1323212737[[#This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6" t="s">
        <v>97</v>
      </c>
      <c r="P1295" s="56">
        <f>HEX2DEC(RIGHT(Table1323212737[[#This Row],[h1]],8))</f>
        <v>0</v>
      </c>
      <c r="Q1295" s="56" t="s">
        <v>97</v>
      </c>
      <c r="R1295" s="56">
        <f>HEX2DEC(RIGHT(Table1323212737[[#This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6" t="s">
        <v>97</v>
      </c>
      <c r="P1296" s="56">
        <f>HEX2DEC(RIGHT(Table1323212737[[#This Row],[h1]],8))</f>
        <v>0</v>
      </c>
      <c r="Q1296" s="56" t="s">
        <v>97</v>
      </c>
      <c r="R1296" s="56">
        <f>HEX2DEC(RIGHT(Table1323212737[[#This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6" t="s">
        <v>97</v>
      </c>
      <c r="P1297" s="56">
        <f>HEX2DEC(RIGHT(Table1323212737[[#This Row],[h1]],8))</f>
        <v>0</v>
      </c>
      <c r="Q1297" s="56" t="s">
        <v>97</v>
      </c>
      <c r="R1297" s="56">
        <f>HEX2DEC(RIGHT(Table1323212737[[#This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6" t="s">
        <v>97</v>
      </c>
      <c r="P1298" s="56">
        <f>HEX2DEC(RIGHT(Table1323212737[[#This Row],[h1]],8))</f>
        <v>0</v>
      </c>
      <c r="Q1298" s="56" t="s">
        <v>97</v>
      </c>
      <c r="R1298" s="56">
        <f>HEX2DEC(RIGHT(Table1323212737[[#This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6" t="s">
        <v>97</v>
      </c>
      <c r="P1299" s="56">
        <f>HEX2DEC(RIGHT(Table1323212737[[#This Row],[h1]],8))</f>
        <v>0</v>
      </c>
      <c r="Q1299" s="56" t="s">
        <v>97</v>
      </c>
      <c r="R1299" s="56">
        <f>HEX2DEC(RIGHT(Table1323212737[[#This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6" t="s">
        <v>97</v>
      </c>
      <c r="P1300" s="56">
        <f>HEX2DEC(RIGHT(Table1323212737[[#This Row],[h1]],8))</f>
        <v>0</v>
      </c>
      <c r="Q1300" s="56" t="s">
        <v>97</v>
      </c>
      <c r="R1300" s="56">
        <f>HEX2DEC(RIGHT(Table1323212737[[#This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6" t="s">
        <v>97</v>
      </c>
      <c r="P1301" s="56">
        <f>HEX2DEC(RIGHT(Table1323212737[[#This Row],[h1]],8))</f>
        <v>0</v>
      </c>
      <c r="Q1301" s="56" t="s">
        <v>97</v>
      </c>
      <c r="R1301" s="56">
        <f>HEX2DEC(RIGHT(Table1323212737[[#This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6" t="s">
        <v>97</v>
      </c>
      <c r="P1302" s="56">
        <f>HEX2DEC(RIGHT(Table1323212737[[#This Row],[h1]],8))</f>
        <v>0</v>
      </c>
      <c r="Q1302" s="56" t="s">
        <v>97</v>
      </c>
      <c r="R1302" s="56">
        <f>HEX2DEC(RIGHT(Table1323212737[[#This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6" t="s">
        <v>97</v>
      </c>
      <c r="P1303" s="56">
        <f>HEX2DEC(RIGHT(Table1323212737[[#This Row],[h1]],8))</f>
        <v>0</v>
      </c>
      <c r="Q1303" s="56" t="s">
        <v>97</v>
      </c>
      <c r="R1303" s="56">
        <f>HEX2DEC(RIGHT(Table1323212737[[#This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6" t="s">
        <v>97</v>
      </c>
      <c r="P1304" s="56">
        <f>HEX2DEC(RIGHT(Table1323212737[[#This Row],[h1]],8))</f>
        <v>0</v>
      </c>
      <c r="Q1304" s="56" t="s">
        <v>97</v>
      </c>
      <c r="R1304" s="56">
        <f>HEX2DEC(RIGHT(Table1323212737[[#This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6" t="s">
        <v>97</v>
      </c>
      <c r="P1305" s="56">
        <f>HEX2DEC(RIGHT(Table1323212737[[#This Row],[h1]],8))</f>
        <v>0</v>
      </c>
      <c r="Q1305" s="56" t="s">
        <v>97</v>
      </c>
      <c r="R1305" s="56">
        <f>HEX2DEC(RIGHT(Table1323212737[[#This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6" t="s">
        <v>97</v>
      </c>
      <c r="P1306" s="56">
        <f>HEX2DEC(RIGHT(Table1323212737[[#This Row],[h1]],8))</f>
        <v>0</v>
      </c>
      <c r="Q1306" s="56" t="s">
        <v>97</v>
      </c>
      <c r="R1306" s="56">
        <f>HEX2DEC(RIGHT(Table1323212737[[#This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6" t="s">
        <v>97</v>
      </c>
      <c r="P1307" s="56">
        <f>HEX2DEC(RIGHT(Table1323212737[[#This Row],[h1]],8))</f>
        <v>0</v>
      </c>
      <c r="Q1307" s="56" t="s">
        <v>97</v>
      </c>
      <c r="R1307" s="56">
        <f>HEX2DEC(RIGHT(Table1323212737[[#This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6" t="s">
        <v>97</v>
      </c>
      <c r="P1308" s="56">
        <f>HEX2DEC(RIGHT(Table1323212737[[#This Row],[h1]],8))</f>
        <v>0</v>
      </c>
      <c r="Q1308" s="56" t="s">
        <v>97</v>
      </c>
      <c r="R1308" s="56">
        <f>HEX2DEC(RIGHT(Table1323212737[[#This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6" t="s">
        <v>97</v>
      </c>
      <c r="P1309" s="56">
        <f>HEX2DEC(RIGHT(Table1323212737[[#This Row],[h1]],8))</f>
        <v>0</v>
      </c>
      <c r="Q1309" s="56" t="s">
        <v>97</v>
      </c>
      <c r="R1309" s="56">
        <f>HEX2DEC(RIGHT(Table1323212737[[#This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6" t="s">
        <v>97</v>
      </c>
      <c r="P1310" s="56">
        <f>HEX2DEC(RIGHT(Table1323212737[[#This Row],[h1]],8))</f>
        <v>0</v>
      </c>
      <c r="Q1310" s="56" t="s">
        <v>97</v>
      </c>
      <c r="R1310" s="56">
        <f>HEX2DEC(RIGHT(Table1323212737[[#This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6" t="s">
        <v>97</v>
      </c>
      <c r="P1311" s="56">
        <f>HEX2DEC(RIGHT(Table1323212737[[#This Row],[h1]],8))</f>
        <v>0</v>
      </c>
      <c r="Q1311" s="56" t="s">
        <v>97</v>
      </c>
      <c r="R1311" s="56">
        <f>HEX2DEC(RIGHT(Table1323212737[[#This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6" t="s">
        <v>97</v>
      </c>
      <c r="P1312" s="56">
        <f>HEX2DEC(RIGHT(Table1323212737[[#This Row],[h1]],8))</f>
        <v>0</v>
      </c>
      <c r="Q1312" s="56" t="s">
        <v>97</v>
      </c>
      <c r="R1312" s="56">
        <f>HEX2DEC(RIGHT(Table1323212737[[#This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6" t="s">
        <v>97</v>
      </c>
      <c r="P1313" s="56">
        <f>HEX2DEC(RIGHT(Table1323212737[[#This Row],[h1]],8))</f>
        <v>0</v>
      </c>
      <c r="Q1313" s="56" t="s">
        <v>97</v>
      </c>
      <c r="R1313" s="56">
        <f>HEX2DEC(RIGHT(Table1323212737[[#This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6" t="s">
        <v>97</v>
      </c>
      <c r="P1314" s="56">
        <f>HEX2DEC(RIGHT(Table1323212737[[#This Row],[h1]],8))</f>
        <v>0</v>
      </c>
      <c r="Q1314" s="56" t="s">
        <v>97</v>
      </c>
      <c r="R1314" s="56">
        <f>HEX2DEC(RIGHT(Table1323212737[[#This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6" t="s">
        <v>97</v>
      </c>
      <c r="P1315" s="56">
        <f>HEX2DEC(RIGHT(Table1323212737[[#This Row],[h1]],8))</f>
        <v>0</v>
      </c>
      <c r="Q1315" s="56" t="s">
        <v>97</v>
      </c>
      <c r="R1315" s="56">
        <f>HEX2DEC(RIGHT(Table1323212737[[#This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6" t="s">
        <v>97</v>
      </c>
      <c r="P1316" s="56">
        <f>HEX2DEC(RIGHT(Table1323212737[[#This Row],[h1]],8))</f>
        <v>0</v>
      </c>
      <c r="Q1316" s="56" t="s">
        <v>97</v>
      </c>
      <c r="R1316" s="56">
        <f>HEX2DEC(RIGHT(Table1323212737[[#This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6" t="s">
        <v>97</v>
      </c>
      <c r="P1317" s="56">
        <f>HEX2DEC(RIGHT(Table1323212737[[#This Row],[h1]],8))</f>
        <v>0</v>
      </c>
      <c r="Q1317" s="56" t="s">
        <v>97</v>
      </c>
      <c r="R1317" s="56">
        <f>HEX2DEC(RIGHT(Table1323212737[[#This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6" t="s">
        <v>97</v>
      </c>
      <c r="P1318" s="56">
        <f>HEX2DEC(RIGHT(Table1323212737[[#This Row],[h1]],8))</f>
        <v>0</v>
      </c>
      <c r="Q1318" s="56" t="s">
        <v>97</v>
      </c>
      <c r="R1318" s="56">
        <f>HEX2DEC(RIGHT(Table1323212737[[#This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6" t="s">
        <v>97</v>
      </c>
      <c r="P1319" s="56">
        <f>HEX2DEC(RIGHT(Table1323212737[[#This Row],[h1]],8))</f>
        <v>0</v>
      </c>
      <c r="Q1319" s="56" t="s">
        <v>97</v>
      </c>
      <c r="R1319" s="56">
        <f>HEX2DEC(RIGHT(Table1323212737[[#This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6" t="s">
        <v>97</v>
      </c>
      <c r="P1320" s="56">
        <f>HEX2DEC(RIGHT(Table1323212737[[#This Row],[h1]],8))</f>
        <v>0</v>
      </c>
      <c r="Q1320" s="56" t="s">
        <v>97</v>
      </c>
      <c r="R1320" s="56">
        <f>HEX2DEC(RIGHT(Table1323212737[[#This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6" t="s">
        <v>97</v>
      </c>
      <c r="P1321" s="56">
        <f>HEX2DEC(RIGHT(Table1323212737[[#This Row],[h1]],8))</f>
        <v>0</v>
      </c>
      <c r="Q1321" s="56" t="s">
        <v>97</v>
      </c>
      <c r="R1321" s="56">
        <f>HEX2DEC(RIGHT(Table1323212737[[#This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6" t="s">
        <v>97</v>
      </c>
      <c r="P1322" s="56">
        <f>HEX2DEC(RIGHT(Table1323212737[[#This Row],[h1]],8))</f>
        <v>0</v>
      </c>
      <c r="Q1322" s="56" t="s">
        <v>97</v>
      </c>
      <c r="R1322" s="56">
        <f>HEX2DEC(RIGHT(Table1323212737[[#This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6" t="s">
        <v>97</v>
      </c>
      <c r="P1323" s="56">
        <f>HEX2DEC(RIGHT(Table1323212737[[#This Row],[h1]],8))</f>
        <v>0</v>
      </c>
      <c r="Q1323" s="56" t="s">
        <v>97</v>
      </c>
      <c r="R1323" s="56">
        <f>HEX2DEC(RIGHT(Table1323212737[[#This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6" t="s">
        <v>97</v>
      </c>
      <c r="P1324" s="56">
        <f>HEX2DEC(RIGHT(Table1323212737[[#This Row],[h1]],8))</f>
        <v>0</v>
      </c>
      <c r="Q1324" s="56" t="s">
        <v>97</v>
      </c>
      <c r="R1324" s="56">
        <f>HEX2DEC(RIGHT(Table1323212737[[#This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6" t="s">
        <v>97</v>
      </c>
      <c r="P1325" s="56">
        <f>HEX2DEC(RIGHT(Table1323212737[[#This Row],[h1]],8))</f>
        <v>0</v>
      </c>
      <c r="Q1325" s="56" t="s">
        <v>97</v>
      </c>
      <c r="R1325" s="56">
        <f>HEX2DEC(RIGHT(Table1323212737[[#This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6" t="s">
        <v>97</v>
      </c>
      <c r="P1326" s="56">
        <f>HEX2DEC(RIGHT(Table1323212737[[#This Row],[h1]],8))</f>
        <v>0</v>
      </c>
      <c r="Q1326" s="56" t="s">
        <v>97</v>
      </c>
      <c r="R1326" s="56">
        <f>HEX2DEC(RIGHT(Table1323212737[[#This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6" t="s">
        <v>97</v>
      </c>
      <c r="P1327" s="56">
        <f>HEX2DEC(RIGHT(Table1323212737[[#This Row],[h1]],8))</f>
        <v>0</v>
      </c>
      <c r="Q1327" s="56" t="s">
        <v>97</v>
      </c>
      <c r="R1327" s="56">
        <f>HEX2DEC(RIGHT(Table1323212737[[#This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6" t="s">
        <v>97</v>
      </c>
      <c r="P1328" s="56">
        <f>HEX2DEC(RIGHT(Table1323212737[[#This Row],[h1]],8))</f>
        <v>0</v>
      </c>
      <c r="Q1328" s="56" t="s">
        <v>97</v>
      </c>
      <c r="R1328" s="56">
        <f>HEX2DEC(RIGHT(Table1323212737[[#This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6" t="s">
        <v>97</v>
      </c>
      <c r="P1329" s="56">
        <f>HEX2DEC(RIGHT(Table1323212737[[#This Row],[h1]],8))</f>
        <v>0</v>
      </c>
      <c r="Q1329" s="56" t="s">
        <v>97</v>
      </c>
      <c r="R1329" s="56">
        <f>HEX2DEC(RIGHT(Table1323212737[[#This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6" t="s">
        <v>97</v>
      </c>
      <c r="P1330" s="56">
        <f>HEX2DEC(RIGHT(Table1323212737[[#This Row],[h1]],8))</f>
        <v>0</v>
      </c>
      <c r="Q1330" s="56" t="s">
        <v>97</v>
      </c>
      <c r="R1330" s="56">
        <f>HEX2DEC(RIGHT(Table1323212737[[#This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6" t="s">
        <v>97</v>
      </c>
      <c r="P1331" s="56">
        <f>HEX2DEC(RIGHT(Table1323212737[[#This Row],[h1]],8))</f>
        <v>0</v>
      </c>
      <c r="Q1331" s="56" t="s">
        <v>97</v>
      </c>
      <c r="R1331" s="56">
        <f>HEX2DEC(RIGHT(Table1323212737[[#This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6" t="s">
        <v>97</v>
      </c>
      <c r="P1332" s="56">
        <f>HEX2DEC(RIGHT(Table1323212737[[#This Row],[h1]],8))</f>
        <v>0</v>
      </c>
      <c r="Q1332" s="56" t="s">
        <v>97</v>
      </c>
      <c r="R1332" s="56">
        <f>HEX2DEC(RIGHT(Table1323212737[[#This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6" t="s">
        <v>97</v>
      </c>
      <c r="P1333" s="56">
        <f>HEX2DEC(RIGHT(Table1323212737[[#This Row],[h1]],8))</f>
        <v>0</v>
      </c>
      <c r="Q1333" s="56" t="s">
        <v>97</v>
      </c>
      <c r="R1333" s="56">
        <f>HEX2DEC(RIGHT(Table1323212737[[#This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6" t="s">
        <v>97</v>
      </c>
      <c r="P1334" s="56">
        <f>HEX2DEC(RIGHT(Table1323212737[[#This Row],[h1]],8))</f>
        <v>0</v>
      </c>
      <c r="Q1334" s="56" t="s">
        <v>97</v>
      </c>
      <c r="R1334" s="56">
        <f>HEX2DEC(RIGHT(Table1323212737[[#This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6" t="s">
        <v>97</v>
      </c>
      <c r="P1335" s="56">
        <f>HEX2DEC(RIGHT(Table1323212737[[#This Row],[h1]],8))</f>
        <v>0</v>
      </c>
      <c r="Q1335" s="56" t="s">
        <v>97</v>
      </c>
      <c r="R1335" s="56">
        <f>HEX2DEC(RIGHT(Table1323212737[[#This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6" t="s">
        <v>97</v>
      </c>
      <c r="P1336" s="56">
        <f>HEX2DEC(RIGHT(Table1323212737[[#This Row],[h1]],8))</f>
        <v>0</v>
      </c>
      <c r="Q1336" s="56" t="s">
        <v>97</v>
      </c>
      <c r="R1336" s="56">
        <f>HEX2DEC(RIGHT(Table1323212737[[#This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6" t="s">
        <v>97</v>
      </c>
      <c r="P1337" s="56">
        <f>HEX2DEC(RIGHT(Table1323212737[[#This Row],[h1]],8))</f>
        <v>0</v>
      </c>
      <c r="Q1337" s="56" t="s">
        <v>97</v>
      </c>
      <c r="R1337" s="56">
        <f>HEX2DEC(RIGHT(Table1323212737[[#This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6" t="s">
        <v>97</v>
      </c>
      <c r="P1338" s="56">
        <f>HEX2DEC(RIGHT(Table1323212737[[#This Row],[h1]],8))</f>
        <v>0</v>
      </c>
      <c r="Q1338" s="56" t="s">
        <v>97</v>
      </c>
      <c r="R1338" s="56">
        <f>HEX2DEC(RIGHT(Table1323212737[[#This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6" t="s">
        <v>97</v>
      </c>
      <c r="P1339" s="56">
        <f>HEX2DEC(RIGHT(Table1323212737[[#This Row],[h1]],8))</f>
        <v>0</v>
      </c>
      <c r="Q1339" s="56" t="s">
        <v>97</v>
      </c>
      <c r="R1339" s="56">
        <f>HEX2DEC(RIGHT(Table1323212737[[#This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6" t="s">
        <v>97</v>
      </c>
      <c r="P1340" s="56">
        <f>HEX2DEC(RIGHT(Table1323212737[[#This Row],[h1]],8))</f>
        <v>0</v>
      </c>
      <c r="Q1340" s="56" t="s">
        <v>97</v>
      </c>
      <c r="R1340" s="56">
        <f>HEX2DEC(RIGHT(Table1323212737[[#This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6" t="s">
        <v>97</v>
      </c>
      <c r="P1341" s="56">
        <f>HEX2DEC(RIGHT(Table1323212737[[#This Row],[h1]],8))</f>
        <v>0</v>
      </c>
      <c r="Q1341" s="56" t="s">
        <v>97</v>
      </c>
      <c r="R1341" s="56">
        <f>HEX2DEC(RIGHT(Table1323212737[[#This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6" t="s">
        <v>97</v>
      </c>
      <c r="P1342" s="56">
        <f>HEX2DEC(RIGHT(Table1323212737[[#This Row],[h1]],8))</f>
        <v>0</v>
      </c>
      <c r="Q1342" s="56" t="s">
        <v>97</v>
      </c>
      <c r="R1342" s="56">
        <f>HEX2DEC(RIGHT(Table1323212737[[#This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6" t="s">
        <v>97</v>
      </c>
      <c r="P1343" s="56">
        <f>HEX2DEC(RIGHT(Table1323212737[[#This Row],[h1]],8))</f>
        <v>0</v>
      </c>
      <c r="Q1343" s="56" t="s">
        <v>97</v>
      </c>
      <c r="R1343" s="56">
        <f>HEX2DEC(RIGHT(Table1323212737[[#This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6" t="s">
        <v>97</v>
      </c>
      <c r="P1344" s="56">
        <f>HEX2DEC(RIGHT(Table1323212737[[#This Row],[h1]],8))</f>
        <v>0</v>
      </c>
      <c r="Q1344" s="56" t="s">
        <v>97</v>
      </c>
      <c r="R1344" s="56">
        <f>HEX2DEC(RIGHT(Table1323212737[[#This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6" t="s">
        <v>97</v>
      </c>
      <c r="P1345" s="56">
        <f>HEX2DEC(RIGHT(Table1323212737[[#This Row],[h1]],8))</f>
        <v>0</v>
      </c>
      <c r="Q1345" s="56" t="s">
        <v>97</v>
      </c>
      <c r="R1345" s="56">
        <f>HEX2DEC(RIGHT(Table1323212737[[#This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6" t="s">
        <v>97</v>
      </c>
      <c r="P1346" s="56">
        <f>HEX2DEC(RIGHT(Table1323212737[[#This Row],[h1]],8))</f>
        <v>0</v>
      </c>
      <c r="Q1346" s="56" t="s">
        <v>97</v>
      </c>
      <c r="R1346" s="56">
        <f>HEX2DEC(RIGHT(Table1323212737[[#This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6" t="s">
        <v>97</v>
      </c>
      <c r="P1347" s="56">
        <f>HEX2DEC(RIGHT(Table1323212737[[#This Row],[h1]],8))</f>
        <v>0</v>
      </c>
      <c r="Q1347" s="56" t="s">
        <v>97</v>
      </c>
      <c r="R1347" s="56">
        <f>HEX2DEC(RIGHT(Table1323212737[[#This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6" t="s">
        <v>97</v>
      </c>
      <c r="P1348" s="56">
        <f>HEX2DEC(RIGHT(Table1323212737[[#This Row],[h1]],8))</f>
        <v>0</v>
      </c>
      <c r="Q1348" s="56" t="s">
        <v>97</v>
      </c>
      <c r="R1348" s="56">
        <f>HEX2DEC(RIGHT(Table1323212737[[#This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6" t="s">
        <v>97</v>
      </c>
      <c r="P1349" s="56">
        <f>HEX2DEC(RIGHT(Table1323212737[[#This Row],[h1]],8))</f>
        <v>0</v>
      </c>
      <c r="Q1349" s="56" t="s">
        <v>97</v>
      </c>
      <c r="R1349" s="56">
        <f>HEX2DEC(RIGHT(Table1323212737[[#This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6" t="s">
        <v>97</v>
      </c>
      <c r="P1350" s="56">
        <f>HEX2DEC(RIGHT(Table1323212737[[#This Row],[h1]],8))</f>
        <v>0</v>
      </c>
      <c r="Q1350" s="56" t="s">
        <v>97</v>
      </c>
      <c r="R1350" s="56">
        <f>HEX2DEC(RIGHT(Table1323212737[[#This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6" t="s">
        <v>97</v>
      </c>
      <c r="P1351" s="56">
        <f>HEX2DEC(RIGHT(Table1323212737[[#This Row],[h1]],8))</f>
        <v>0</v>
      </c>
      <c r="Q1351" s="56" t="s">
        <v>97</v>
      </c>
      <c r="R1351" s="56">
        <f>HEX2DEC(RIGHT(Table1323212737[[#This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6" t="s">
        <v>97</v>
      </c>
      <c r="P1352" s="56">
        <f>HEX2DEC(RIGHT(Table1323212737[[#This Row],[h1]],8))</f>
        <v>0</v>
      </c>
      <c r="Q1352" s="56" t="s">
        <v>97</v>
      </c>
      <c r="R1352" s="56">
        <f>HEX2DEC(RIGHT(Table1323212737[[#This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6" t="s">
        <v>97</v>
      </c>
      <c r="P1353" s="56">
        <f>HEX2DEC(RIGHT(Table1323212737[[#This Row],[h1]],8))</f>
        <v>0</v>
      </c>
      <c r="Q1353" s="56" t="s">
        <v>97</v>
      </c>
      <c r="R1353" s="56">
        <f>HEX2DEC(RIGHT(Table1323212737[[#This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6" t="s">
        <v>97</v>
      </c>
      <c r="P1354" s="56">
        <f>HEX2DEC(RIGHT(Table1323212737[[#This Row],[h1]],8))</f>
        <v>0</v>
      </c>
      <c r="Q1354" s="56" t="s">
        <v>97</v>
      </c>
      <c r="R1354" s="56">
        <f>HEX2DEC(RIGHT(Table1323212737[[#This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6" t="s">
        <v>97</v>
      </c>
      <c r="P1355" s="56">
        <f>HEX2DEC(RIGHT(Table1323212737[[#This Row],[h1]],8))</f>
        <v>0</v>
      </c>
      <c r="Q1355" s="56" t="s">
        <v>97</v>
      </c>
      <c r="R1355" s="56">
        <f>HEX2DEC(RIGHT(Table1323212737[[#This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6" t="s">
        <v>97</v>
      </c>
      <c r="P1356" s="56">
        <f>HEX2DEC(RIGHT(Table1323212737[[#This Row],[h1]],8))</f>
        <v>0</v>
      </c>
      <c r="Q1356" s="56" t="s">
        <v>97</v>
      </c>
      <c r="R1356" s="56">
        <f>HEX2DEC(RIGHT(Table1323212737[[#This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6" t="s">
        <v>97</v>
      </c>
      <c r="P1357" s="56">
        <f>HEX2DEC(RIGHT(Table1323212737[[#This Row],[h1]],8))</f>
        <v>0</v>
      </c>
      <c r="Q1357" s="56" t="s">
        <v>97</v>
      </c>
      <c r="R1357" s="56">
        <f>HEX2DEC(RIGHT(Table1323212737[[#This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6" t="s">
        <v>97</v>
      </c>
      <c r="P1358" s="56">
        <f>HEX2DEC(RIGHT(Table1323212737[[#This Row],[h1]],8))</f>
        <v>0</v>
      </c>
      <c r="Q1358" s="56" t="s">
        <v>97</v>
      </c>
      <c r="R1358" s="56">
        <f>HEX2DEC(RIGHT(Table1323212737[[#This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6" t="s">
        <v>97</v>
      </c>
      <c r="P1359" s="56">
        <f>HEX2DEC(RIGHT(Table1323212737[[#This Row],[h1]],8))</f>
        <v>0</v>
      </c>
      <c r="Q1359" s="56" t="s">
        <v>97</v>
      </c>
      <c r="R1359" s="56">
        <f>HEX2DEC(RIGHT(Table1323212737[[#This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6" t="s">
        <v>97</v>
      </c>
      <c r="P1360" s="56">
        <f>HEX2DEC(RIGHT(Table1323212737[[#This Row],[h1]],8))</f>
        <v>0</v>
      </c>
      <c r="Q1360" s="56" t="s">
        <v>97</v>
      </c>
      <c r="R1360" s="56">
        <f>HEX2DEC(RIGHT(Table1323212737[[#This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6" t="s">
        <v>97</v>
      </c>
      <c r="P1361" s="56">
        <f>HEX2DEC(RIGHT(Table1323212737[[#This Row],[h1]],8))</f>
        <v>0</v>
      </c>
      <c r="Q1361" s="56" t="s">
        <v>97</v>
      </c>
      <c r="R1361" s="56">
        <f>HEX2DEC(RIGHT(Table1323212737[[#This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6" t="s">
        <v>97</v>
      </c>
      <c r="P1362" s="56">
        <f>HEX2DEC(RIGHT(Table1323212737[[#This Row],[h1]],8))</f>
        <v>0</v>
      </c>
      <c r="Q1362" s="56" t="s">
        <v>97</v>
      </c>
      <c r="R1362" s="56">
        <f>HEX2DEC(RIGHT(Table1323212737[[#This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6" t="s">
        <v>97</v>
      </c>
      <c r="P1363" s="56">
        <f>HEX2DEC(RIGHT(Table1323212737[[#This Row],[h1]],8))</f>
        <v>0</v>
      </c>
      <c r="Q1363" s="56" t="s">
        <v>97</v>
      </c>
      <c r="R1363" s="56">
        <f>HEX2DEC(RIGHT(Table1323212737[[#This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6" t="s">
        <v>97</v>
      </c>
      <c r="P1364" s="56">
        <f>HEX2DEC(RIGHT(Table1323212737[[#This Row],[h1]],8))</f>
        <v>0</v>
      </c>
      <c r="Q1364" s="56" t="s">
        <v>97</v>
      </c>
      <c r="R1364" s="56">
        <f>HEX2DEC(RIGHT(Table1323212737[[#This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6" t="s">
        <v>97</v>
      </c>
      <c r="P1365" s="56">
        <f>HEX2DEC(RIGHT(Table1323212737[[#This Row],[h1]],8))</f>
        <v>0</v>
      </c>
      <c r="Q1365" s="56" t="s">
        <v>97</v>
      </c>
      <c r="R1365" s="56">
        <f>HEX2DEC(RIGHT(Table1323212737[[#This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6" t="s">
        <v>97</v>
      </c>
      <c r="P1366" s="56">
        <f>HEX2DEC(RIGHT(Table1323212737[[#This Row],[h1]],8))</f>
        <v>0</v>
      </c>
      <c r="Q1366" s="56" t="s">
        <v>97</v>
      </c>
      <c r="R1366" s="56">
        <f>HEX2DEC(RIGHT(Table1323212737[[#This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6" t="s">
        <v>97</v>
      </c>
      <c r="P1367" s="56">
        <f>HEX2DEC(RIGHT(Table1323212737[[#This Row],[h1]],8))</f>
        <v>0</v>
      </c>
      <c r="Q1367" s="56" t="s">
        <v>97</v>
      </c>
      <c r="R1367" s="56">
        <f>HEX2DEC(RIGHT(Table1323212737[[#This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6" t="s">
        <v>97</v>
      </c>
      <c r="P1368" s="56">
        <f>HEX2DEC(RIGHT(Table1323212737[[#This Row],[h1]],8))</f>
        <v>0</v>
      </c>
      <c r="Q1368" s="56" t="s">
        <v>97</v>
      </c>
      <c r="R1368" s="56">
        <f>HEX2DEC(RIGHT(Table1323212737[[#This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6" t="s">
        <v>97</v>
      </c>
      <c r="P1369" s="56">
        <f>HEX2DEC(RIGHT(Table1323212737[[#This Row],[h1]],8))</f>
        <v>0</v>
      </c>
      <c r="Q1369" s="56" t="s">
        <v>97</v>
      </c>
      <c r="R1369" s="56">
        <f>HEX2DEC(RIGHT(Table1323212737[[#This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6" t="s">
        <v>97</v>
      </c>
      <c r="P1370" s="56">
        <f>HEX2DEC(RIGHT(Table1323212737[[#This Row],[h1]],8))</f>
        <v>0</v>
      </c>
      <c r="Q1370" s="56" t="s">
        <v>97</v>
      </c>
      <c r="R1370" s="56">
        <f>HEX2DEC(RIGHT(Table1323212737[[#This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6" t="s">
        <v>97</v>
      </c>
      <c r="P1371" s="56">
        <f>HEX2DEC(RIGHT(Table1323212737[[#This Row],[h1]],8))</f>
        <v>0</v>
      </c>
      <c r="Q1371" s="56" t="s">
        <v>97</v>
      </c>
      <c r="R1371" s="56">
        <f>HEX2DEC(RIGHT(Table1323212737[[#This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6" t="s">
        <v>97</v>
      </c>
      <c r="P1372" s="56">
        <f>HEX2DEC(RIGHT(Table1323212737[[#This Row],[h1]],8))</f>
        <v>0</v>
      </c>
      <c r="Q1372" s="56" t="s">
        <v>97</v>
      </c>
      <c r="R1372" s="56">
        <f>HEX2DEC(RIGHT(Table1323212737[[#This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6" t="s">
        <v>97</v>
      </c>
      <c r="P1373" s="56">
        <f>HEX2DEC(RIGHT(Table1323212737[[#This Row],[h1]],8))</f>
        <v>0</v>
      </c>
      <c r="Q1373" s="56" t="s">
        <v>97</v>
      </c>
      <c r="R1373" s="56">
        <f>HEX2DEC(RIGHT(Table1323212737[[#This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6" t="s">
        <v>97</v>
      </c>
      <c r="P1374" s="56">
        <f>HEX2DEC(RIGHT(Table1323212737[[#This Row],[h1]],8))</f>
        <v>0</v>
      </c>
      <c r="Q1374" s="56" t="s">
        <v>97</v>
      </c>
      <c r="R1374" s="56">
        <f>HEX2DEC(RIGHT(Table1323212737[[#This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6" t="s">
        <v>97</v>
      </c>
      <c r="P1375" s="56">
        <f>HEX2DEC(RIGHT(Table1323212737[[#This Row],[h1]],8))</f>
        <v>0</v>
      </c>
      <c r="Q1375" s="56" t="s">
        <v>97</v>
      </c>
      <c r="R1375" s="56">
        <f>HEX2DEC(RIGHT(Table1323212737[[#This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6" t="s">
        <v>97</v>
      </c>
      <c r="P1376" s="56">
        <f>HEX2DEC(RIGHT(Table1323212737[[#This Row],[h1]],8))</f>
        <v>0</v>
      </c>
      <c r="Q1376" s="56" t="s">
        <v>97</v>
      </c>
      <c r="R1376" s="56">
        <f>HEX2DEC(RIGHT(Table1323212737[[#This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6" t="s">
        <v>97</v>
      </c>
      <c r="P1377" s="56">
        <f>HEX2DEC(RIGHT(Table1323212737[[#This Row],[h1]],8))</f>
        <v>0</v>
      </c>
      <c r="Q1377" s="56" t="s">
        <v>97</v>
      </c>
      <c r="R1377" s="56">
        <f>HEX2DEC(RIGHT(Table1323212737[[#This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6" t="s">
        <v>97</v>
      </c>
      <c r="P1378" s="56">
        <f>HEX2DEC(RIGHT(Table1323212737[[#This Row],[h1]],8))</f>
        <v>0</v>
      </c>
      <c r="Q1378" s="56" t="s">
        <v>97</v>
      </c>
      <c r="R1378" s="56">
        <f>HEX2DEC(RIGHT(Table1323212737[[#This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6" t="s">
        <v>97</v>
      </c>
      <c r="P1379" s="56">
        <f>HEX2DEC(RIGHT(Table1323212737[[#This Row],[h1]],8))</f>
        <v>0</v>
      </c>
      <c r="Q1379" s="56" t="s">
        <v>97</v>
      </c>
      <c r="R1379" s="56">
        <f>HEX2DEC(RIGHT(Table1323212737[[#This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6" t="s">
        <v>97</v>
      </c>
      <c r="P1380" s="56">
        <f>HEX2DEC(RIGHT(Table1323212737[[#This Row],[h1]],8))</f>
        <v>0</v>
      </c>
      <c r="Q1380" s="56" t="s">
        <v>97</v>
      </c>
      <c r="R1380" s="56">
        <f>HEX2DEC(RIGHT(Table1323212737[[#This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6" t="s">
        <v>97</v>
      </c>
      <c r="P1381" s="56">
        <f>HEX2DEC(RIGHT(Table1323212737[[#This Row],[h1]],8))</f>
        <v>0</v>
      </c>
      <c r="Q1381" s="56" t="s">
        <v>97</v>
      </c>
      <c r="R1381" s="56">
        <f>HEX2DEC(RIGHT(Table1323212737[[#This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6" t="s">
        <v>97</v>
      </c>
      <c r="P1382" s="56">
        <f>HEX2DEC(RIGHT(Table1323212737[[#This Row],[h1]],8))</f>
        <v>0</v>
      </c>
      <c r="Q1382" s="56" t="s">
        <v>97</v>
      </c>
      <c r="R1382" s="56">
        <f>HEX2DEC(RIGHT(Table1323212737[[#This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6" t="s">
        <v>97</v>
      </c>
      <c r="P1383" s="56">
        <f>HEX2DEC(RIGHT(Table1323212737[[#This Row],[h1]],8))</f>
        <v>0</v>
      </c>
      <c r="Q1383" s="56" t="s">
        <v>97</v>
      </c>
      <c r="R1383" s="56">
        <f>HEX2DEC(RIGHT(Table1323212737[[#This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6" t="s">
        <v>97</v>
      </c>
      <c r="P1384" s="56">
        <f>HEX2DEC(RIGHT(Table1323212737[[#This Row],[h1]],8))</f>
        <v>0</v>
      </c>
      <c r="Q1384" s="56" t="s">
        <v>97</v>
      </c>
      <c r="R1384" s="56">
        <f>HEX2DEC(RIGHT(Table1323212737[[#This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6" t="s">
        <v>97</v>
      </c>
      <c r="P1385" s="56">
        <f>HEX2DEC(RIGHT(Table1323212737[[#This Row],[h1]],8))</f>
        <v>0</v>
      </c>
      <c r="Q1385" s="56" t="s">
        <v>97</v>
      </c>
      <c r="R1385" s="56">
        <f>HEX2DEC(RIGHT(Table1323212737[[#This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6" t="s">
        <v>97</v>
      </c>
      <c r="P1386" s="56">
        <f>HEX2DEC(RIGHT(Table1323212737[[#This Row],[h1]],8))</f>
        <v>0</v>
      </c>
      <c r="Q1386" s="56" t="s">
        <v>97</v>
      </c>
      <c r="R1386" s="56">
        <f>HEX2DEC(RIGHT(Table1323212737[[#This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6" t="s">
        <v>97</v>
      </c>
      <c r="P1387" s="56">
        <f>HEX2DEC(RIGHT(Table1323212737[[#This Row],[h1]],8))</f>
        <v>0</v>
      </c>
      <c r="Q1387" s="56" t="s">
        <v>97</v>
      </c>
      <c r="R1387" s="56">
        <f>HEX2DEC(RIGHT(Table1323212737[[#This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6" t="s">
        <v>97</v>
      </c>
      <c r="P1388" s="56">
        <f>HEX2DEC(RIGHT(Table1323212737[[#This Row],[h1]],8))</f>
        <v>0</v>
      </c>
      <c r="Q1388" s="56" t="s">
        <v>97</v>
      </c>
      <c r="R1388" s="56">
        <f>HEX2DEC(RIGHT(Table1323212737[[#This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6" t="s">
        <v>97</v>
      </c>
      <c r="P1389" s="56">
        <f>HEX2DEC(RIGHT(Table1323212737[[#This Row],[h1]],8))</f>
        <v>0</v>
      </c>
      <c r="Q1389" s="56" t="s">
        <v>97</v>
      </c>
      <c r="R1389" s="56">
        <f>HEX2DEC(RIGHT(Table1323212737[[#This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6" t="s">
        <v>97</v>
      </c>
      <c r="P1390" s="56">
        <f>HEX2DEC(RIGHT(Table1323212737[[#This Row],[h1]],8))</f>
        <v>0</v>
      </c>
      <c r="Q1390" s="56" t="s">
        <v>97</v>
      </c>
      <c r="R1390" s="56">
        <f>HEX2DEC(RIGHT(Table1323212737[[#This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6" t="s">
        <v>97</v>
      </c>
      <c r="P1391" s="56">
        <f>HEX2DEC(RIGHT(Table1323212737[[#This Row],[h1]],8))</f>
        <v>0</v>
      </c>
      <c r="Q1391" s="56" t="s">
        <v>97</v>
      </c>
      <c r="R1391" s="56">
        <f>HEX2DEC(RIGHT(Table1323212737[[#This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6" t="s">
        <v>97</v>
      </c>
      <c r="P1392" s="56">
        <f>HEX2DEC(RIGHT(Table1323212737[[#This Row],[h1]],8))</f>
        <v>0</v>
      </c>
      <c r="Q1392" s="56" t="s">
        <v>97</v>
      </c>
      <c r="R1392" s="56">
        <f>HEX2DEC(RIGHT(Table1323212737[[#This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6" t="s">
        <v>97</v>
      </c>
      <c r="P1393" s="56">
        <f>HEX2DEC(RIGHT(Table1323212737[[#This Row],[h1]],8))</f>
        <v>0</v>
      </c>
      <c r="Q1393" s="56" t="s">
        <v>97</v>
      </c>
      <c r="R1393" s="56">
        <f>HEX2DEC(RIGHT(Table1323212737[[#This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6" t="s">
        <v>97</v>
      </c>
      <c r="P1394" s="56">
        <f>HEX2DEC(RIGHT(Table1323212737[[#This Row],[h1]],8))</f>
        <v>0</v>
      </c>
      <c r="Q1394" s="56" t="s">
        <v>97</v>
      </c>
      <c r="R1394" s="56">
        <f>HEX2DEC(RIGHT(Table1323212737[[#This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6" t="s">
        <v>97</v>
      </c>
      <c r="P1395" s="56">
        <f>HEX2DEC(RIGHT(Table1323212737[[#This Row],[h1]],8))</f>
        <v>0</v>
      </c>
      <c r="Q1395" s="56" t="s">
        <v>97</v>
      </c>
      <c r="R1395" s="56">
        <f>HEX2DEC(RIGHT(Table1323212737[[#This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6" t="s">
        <v>97</v>
      </c>
      <c r="P1396" s="56">
        <f>HEX2DEC(RIGHT(Table1323212737[[#This Row],[h1]],8))</f>
        <v>0</v>
      </c>
      <c r="Q1396" s="56" t="s">
        <v>97</v>
      </c>
      <c r="R1396" s="56">
        <f>HEX2DEC(RIGHT(Table1323212737[[#This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6" t="s">
        <v>97</v>
      </c>
      <c r="P1397" s="56">
        <f>HEX2DEC(RIGHT(Table1323212737[[#This Row],[h1]],8))</f>
        <v>0</v>
      </c>
      <c r="Q1397" s="56" t="s">
        <v>97</v>
      </c>
      <c r="R1397" s="56">
        <f>HEX2DEC(RIGHT(Table1323212737[[#This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6" t="s">
        <v>97</v>
      </c>
      <c r="P1398" s="56">
        <f>HEX2DEC(RIGHT(Table1323212737[[#This Row],[h1]],8))</f>
        <v>0</v>
      </c>
      <c r="Q1398" s="56" t="s">
        <v>97</v>
      </c>
      <c r="R1398" s="56">
        <f>HEX2DEC(RIGHT(Table1323212737[[#This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6" t="s">
        <v>97</v>
      </c>
      <c r="P1399" s="56">
        <f>HEX2DEC(RIGHT(Table1323212737[[#This Row],[h1]],8))</f>
        <v>0</v>
      </c>
      <c r="Q1399" s="56" t="s">
        <v>97</v>
      </c>
      <c r="R1399" s="56">
        <f>HEX2DEC(RIGHT(Table1323212737[[#This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6" t="s">
        <v>97</v>
      </c>
      <c r="P1400" s="56">
        <f>HEX2DEC(RIGHT(Table1323212737[[#This Row],[h1]],8))</f>
        <v>0</v>
      </c>
      <c r="Q1400" s="56" t="s">
        <v>97</v>
      </c>
      <c r="R1400" s="56">
        <f>HEX2DEC(RIGHT(Table1323212737[[#This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6" t="s">
        <v>97</v>
      </c>
      <c r="P1401" s="56">
        <f>HEX2DEC(RIGHT(Table1323212737[[#This Row],[h1]],8))</f>
        <v>0</v>
      </c>
      <c r="Q1401" s="56" t="s">
        <v>97</v>
      </c>
      <c r="R1401" s="56">
        <f>HEX2DEC(RIGHT(Table1323212737[[#This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6" t="s">
        <v>97</v>
      </c>
      <c r="P1402" s="56">
        <f>HEX2DEC(RIGHT(Table1323212737[[#This Row],[h1]],8))</f>
        <v>0</v>
      </c>
      <c r="Q1402" s="56" t="s">
        <v>97</v>
      </c>
      <c r="R1402" s="56">
        <f>HEX2DEC(RIGHT(Table1323212737[[#This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6" t="s">
        <v>97</v>
      </c>
      <c r="P1403" s="56">
        <f>HEX2DEC(RIGHT(Table1323212737[[#This Row],[h1]],8))</f>
        <v>0</v>
      </c>
      <c r="Q1403" s="56" t="s">
        <v>97</v>
      </c>
      <c r="R1403" s="56">
        <f>HEX2DEC(RIGHT(Table1323212737[[#This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6" t="s">
        <v>97</v>
      </c>
      <c r="P1404" s="56">
        <f>HEX2DEC(RIGHT(Table1323212737[[#This Row],[h1]],8))</f>
        <v>0</v>
      </c>
      <c r="Q1404" s="56" t="s">
        <v>97</v>
      </c>
      <c r="R1404" s="56">
        <f>HEX2DEC(RIGHT(Table1323212737[[#This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6" t="s">
        <v>97</v>
      </c>
      <c r="P1405" s="56">
        <f>HEX2DEC(RIGHT(Table1323212737[[#This Row],[h1]],8))</f>
        <v>0</v>
      </c>
      <c r="Q1405" s="56" t="s">
        <v>97</v>
      </c>
      <c r="R1405" s="56">
        <f>HEX2DEC(RIGHT(Table1323212737[[#This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6" t="s">
        <v>97</v>
      </c>
      <c r="P1406" s="56">
        <f>HEX2DEC(RIGHT(Table1323212737[[#This Row],[h1]],8))</f>
        <v>0</v>
      </c>
      <c r="Q1406" s="56" t="s">
        <v>97</v>
      </c>
      <c r="R1406" s="56">
        <f>HEX2DEC(RIGHT(Table1323212737[[#This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6" t="s">
        <v>97</v>
      </c>
      <c r="P1407" s="56">
        <f>HEX2DEC(RIGHT(Table1323212737[[#This Row],[h1]],8))</f>
        <v>0</v>
      </c>
      <c r="Q1407" s="56" t="s">
        <v>97</v>
      </c>
      <c r="R1407" s="56">
        <f>HEX2DEC(RIGHT(Table1323212737[[#This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6" t="s">
        <v>97</v>
      </c>
      <c r="P1408" s="56">
        <f>HEX2DEC(RIGHT(Table1323212737[[#This Row],[h1]],8))</f>
        <v>0</v>
      </c>
      <c r="Q1408" s="56" t="s">
        <v>97</v>
      </c>
      <c r="R1408" s="56">
        <f>HEX2DEC(RIGHT(Table1323212737[[#This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6" t="s">
        <v>97</v>
      </c>
      <c r="P1409" s="56">
        <f>HEX2DEC(RIGHT(Table1323212737[[#This Row],[h1]],8))</f>
        <v>0</v>
      </c>
      <c r="Q1409" s="56" t="s">
        <v>97</v>
      </c>
      <c r="R1409" s="56">
        <f>HEX2DEC(RIGHT(Table1323212737[[#This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6" t="s">
        <v>97</v>
      </c>
      <c r="P1410" s="56">
        <f>HEX2DEC(RIGHT(Table1323212737[[#This Row],[h1]],8))</f>
        <v>0</v>
      </c>
      <c r="Q1410" s="56" t="s">
        <v>97</v>
      </c>
      <c r="R1410" s="56">
        <f>HEX2DEC(RIGHT(Table1323212737[[#This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6" t="s">
        <v>97</v>
      </c>
      <c r="P1411" s="56">
        <f>HEX2DEC(RIGHT(Table1323212737[[#This Row],[h1]],8))</f>
        <v>0</v>
      </c>
      <c r="Q1411" s="56" t="s">
        <v>97</v>
      </c>
      <c r="R1411" s="56">
        <f>HEX2DEC(RIGHT(Table1323212737[[#This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6" t="s">
        <v>97</v>
      </c>
      <c r="P1412" s="56">
        <f>HEX2DEC(RIGHT(Table1323212737[[#This Row],[h1]],8))</f>
        <v>0</v>
      </c>
      <c r="Q1412" s="56" t="s">
        <v>97</v>
      </c>
      <c r="R1412" s="56">
        <f>HEX2DEC(RIGHT(Table1323212737[[#This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6" t="s">
        <v>97</v>
      </c>
      <c r="P1413" s="56">
        <f>HEX2DEC(RIGHT(Table1323212737[[#This Row],[h1]],8))</f>
        <v>0</v>
      </c>
      <c r="Q1413" s="56" t="s">
        <v>97</v>
      </c>
      <c r="R1413" s="56">
        <f>HEX2DEC(RIGHT(Table1323212737[[#This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6" t="s">
        <v>97</v>
      </c>
      <c r="P1414" s="56">
        <f>HEX2DEC(RIGHT(Table1323212737[[#This Row],[h1]],8))</f>
        <v>0</v>
      </c>
      <c r="Q1414" s="56" t="s">
        <v>97</v>
      </c>
      <c r="R1414" s="56">
        <f>HEX2DEC(RIGHT(Table1323212737[[#This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6" t="s">
        <v>97</v>
      </c>
      <c r="P1415" s="56">
        <f>HEX2DEC(RIGHT(Table1323212737[[#This Row],[h1]],8))</f>
        <v>0</v>
      </c>
      <c r="Q1415" s="56" t="s">
        <v>97</v>
      </c>
      <c r="R1415" s="56">
        <f>HEX2DEC(RIGHT(Table1323212737[[#This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6" t="s">
        <v>97</v>
      </c>
      <c r="P1416" s="56">
        <f>HEX2DEC(RIGHT(Table1323212737[[#This Row],[h1]],8))</f>
        <v>0</v>
      </c>
      <c r="Q1416" s="56" t="s">
        <v>97</v>
      </c>
      <c r="R1416" s="56">
        <f>HEX2DEC(RIGHT(Table1323212737[[#This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6" t="s">
        <v>97</v>
      </c>
      <c r="P1417" s="56">
        <f>HEX2DEC(RIGHT(Table1323212737[[#This Row],[h1]],8))</f>
        <v>0</v>
      </c>
      <c r="Q1417" s="56" t="s">
        <v>97</v>
      </c>
      <c r="R1417" s="56">
        <f>HEX2DEC(RIGHT(Table1323212737[[#This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6" t="s">
        <v>97</v>
      </c>
      <c r="P1418" s="56">
        <f>HEX2DEC(RIGHT(Table1323212737[[#This Row],[h1]],8))</f>
        <v>0</v>
      </c>
      <c r="Q1418" s="56" t="s">
        <v>97</v>
      </c>
      <c r="R1418" s="56">
        <f>HEX2DEC(RIGHT(Table1323212737[[#This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6" t="s">
        <v>97</v>
      </c>
      <c r="P1419" s="56">
        <f>HEX2DEC(RIGHT(Table1323212737[[#This Row],[h1]],8))</f>
        <v>0</v>
      </c>
      <c r="Q1419" s="56" t="s">
        <v>97</v>
      </c>
      <c r="R1419" s="56">
        <f>HEX2DEC(RIGHT(Table1323212737[[#This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6" t="s">
        <v>97</v>
      </c>
      <c r="P1420" s="56">
        <f>HEX2DEC(RIGHT(Table1323212737[[#This Row],[h1]],8))</f>
        <v>0</v>
      </c>
      <c r="Q1420" s="56" t="s">
        <v>97</v>
      </c>
      <c r="R1420" s="56">
        <f>HEX2DEC(RIGHT(Table1323212737[[#This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6" t="s">
        <v>97</v>
      </c>
      <c r="P1421" s="56">
        <f>HEX2DEC(RIGHT(Table1323212737[[#This Row],[h1]],8))</f>
        <v>0</v>
      </c>
      <c r="Q1421" s="56" t="s">
        <v>97</v>
      </c>
      <c r="R1421" s="56">
        <f>HEX2DEC(RIGHT(Table1323212737[[#This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6" t="s">
        <v>97</v>
      </c>
      <c r="P1422" s="56">
        <f>HEX2DEC(RIGHT(Table1323212737[[#This Row],[h1]],8))</f>
        <v>0</v>
      </c>
      <c r="Q1422" s="56" t="s">
        <v>97</v>
      </c>
      <c r="R1422" s="56">
        <f>HEX2DEC(RIGHT(Table1323212737[[#This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6" t="s">
        <v>97</v>
      </c>
      <c r="P1423" s="56">
        <f>HEX2DEC(RIGHT(Table1323212737[[#This Row],[h1]],8))</f>
        <v>0</v>
      </c>
      <c r="Q1423" s="56" t="s">
        <v>97</v>
      </c>
      <c r="R1423" s="56">
        <f>HEX2DEC(RIGHT(Table1323212737[[#This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6" t="s">
        <v>97</v>
      </c>
      <c r="P1424" s="56">
        <f>HEX2DEC(RIGHT(Table1323212737[[#This Row],[h1]],8))</f>
        <v>0</v>
      </c>
      <c r="Q1424" s="56" t="s">
        <v>97</v>
      </c>
      <c r="R1424" s="56">
        <f>HEX2DEC(RIGHT(Table1323212737[[#This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6" t="s">
        <v>97</v>
      </c>
      <c r="P1425" s="56">
        <f>HEX2DEC(RIGHT(Table1323212737[[#This Row],[h1]],8))</f>
        <v>0</v>
      </c>
      <c r="Q1425" s="56" t="s">
        <v>97</v>
      </c>
      <c r="R1425" s="56">
        <f>HEX2DEC(RIGHT(Table1323212737[[#This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6" t="s">
        <v>97</v>
      </c>
      <c r="P1426" s="56">
        <f>HEX2DEC(RIGHT(Table1323212737[[#This Row],[h1]],8))</f>
        <v>0</v>
      </c>
      <c r="Q1426" s="56" t="s">
        <v>97</v>
      </c>
      <c r="R1426" s="56">
        <f>HEX2DEC(RIGHT(Table1323212737[[#This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6" t="s">
        <v>97</v>
      </c>
      <c r="P1427" s="56">
        <f>HEX2DEC(RIGHT(Table1323212737[[#This Row],[h1]],8))</f>
        <v>0</v>
      </c>
      <c r="Q1427" s="56" t="s">
        <v>97</v>
      </c>
      <c r="R1427" s="56">
        <f>HEX2DEC(RIGHT(Table1323212737[[#This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6" t="s">
        <v>97</v>
      </c>
      <c r="P1428" s="56">
        <f>HEX2DEC(RIGHT(Table1323212737[[#This Row],[h1]],8))</f>
        <v>0</v>
      </c>
      <c r="Q1428" s="56" t="s">
        <v>97</v>
      </c>
      <c r="R1428" s="56">
        <f>HEX2DEC(RIGHT(Table1323212737[[#This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6" t="s">
        <v>97</v>
      </c>
      <c r="P1429" s="56">
        <f>HEX2DEC(RIGHT(Table1323212737[[#This Row],[h1]],8))</f>
        <v>0</v>
      </c>
      <c r="Q1429" s="56" t="s">
        <v>97</v>
      </c>
      <c r="R1429" s="56">
        <f>HEX2DEC(RIGHT(Table1323212737[[#This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6" t="s">
        <v>97</v>
      </c>
      <c r="P1430" s="56">
        <f>HEX2DEC(RIGHT(Table1323212737[[#This Row],[h1]],8))</f>
        <v>0</v>
      </c>
      <c r="Q1430" s="56" t="s">
        <v>97</v>
      </c>
      <c r="R1430" s="56">
        <f>HEX2DEC(RIGHT(Table1323212737[[#This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6" t="s">
        <v>97</v>
      </c>
      <c r="P1431" s="56">
        <f>HEX2DEC(RIGHT(Table1323212737[[#This Row],[h1]],8))</f>
        <v>0</v>
      </c>
      <c r="Q1431" s="56" t="s">
        <v>97</v>
      </c>
      <c r="R1431" s="56">
        <f>HEX2DEC(RIGHT(Table1323212737[[#This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6" t="s">
        <v>97</v>
      </c>
      <c r="P1432" s="56">
        <f>HEX2DEC(RIGHT(Table1323212737[[#This Row],[h1]],8))</f>
        <v>0</v>
      </c>
      <c r="Q1432" s="56" t="s">
        <v>97</v>
      </c>
      <c r="R1432" s="56">
        <f>HEX2DEC(RIGHT(Table1323212737[[#This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6" t="s">
        <v>97</v>
      </c>
      <c r="P1433" s="56">
        <f>HEX2DEC(RIGHT(Table1323212737[[#This Row],[h1]],8))</f>
        <v>0</v>
      </c>
      <c r="Q1433" s="56" t="s">
        <v>97</v>
      </c>
      <c r="R1433" s="56">
        <f>HEX2DEC(RIGHT(Table1323212737[[#This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6" t="s">
        <v>97</v>
      </c>
      <c r="P1434" s="56">
        <f>HEX2DEC(RIGHT(Table1323212737[[#This Row],[h1]],8))</f>
        <v>0</v>
      </c>
      <c r="Q1434" s="56" t="s">
        <v>97</v>
      </c>
      <c r="R1434" s="56">
        <f>HEX2DEC(RIGHT(Table1323212737[[#This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6" t="s">
        <v>97</v>
      </c>
      <c r="P1435" s="56">
        <f>HEX2DEC(RIGHT(Table1323212737[[#This Row],[h1]],8))</f>
        <v>0</v>
      </c>
      <c r="Q1435" s="56" t="s">
        <v>97</v>
      </c>
      <c r="R1435" s="56">
        <f>HEX2DEC(RIGHT(Table1323212737[[#This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6" t="s">
        <v>97</v>
      </c>
      <c r="P1436" s="56">
        <f>HEX2DEC(RIGHT(Table1323212737[[#This Row],[h1]],8))</f>
        <v>0</v>
      </c>
      <c r="Q1436" s="56" t="s">
        <v>97</v>
      </c>
      <c r="R1436" s="56">
        <f>HEX2DEC(RIGHT(Table1323212737[[#This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6" t="s">
        <v>97</v>
      </c>
      <c r="P1437" s="56">
        <f>HEX2DEC(RIGHT(Table1323212737[[#This Row],[h1]],8))</f>
        <v>0</v>
      </c>
      <c r="Q1437" s="56" t="s">
        <v>97</v>
      </c>
      <c r="R1437" s="56">
        <f>HEX2DEC(RIGHT(Table1323212737[[#This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6" t="s">
        <v>97</v>
      </c>
      <c r="P1438" s="56">
        <f>HEX2DEC(RIGHT(Table1323212737[[#This Row],[h1]],8))</f>
        <v>0</v>
      </c>
      <c r="Q1438" s="56" t="s">
        <v>97</v>
      </c>
      <c r="R1438" s="56">
        <f>HEX2DEC(RIGHT(Table1323212737[[#This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6" t="s">
        <v>97</v>
      </c>
      <c r="P1439" s="56">
        <f>HEX2DEC(RIGHT(Table1323212737[[#This Row],[h1]],8))</f>
        <v>0</v>
      </c>
      <c r="Q1439" s="56" t="s">
        <v>97</v>
      </c>
      <c r="R1439" s="56">
        <f>HEX2DEC(RIGHT(Table1323212737[[#This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6" t="s">
        <v>97</v>
      </c>
      <c r="P1440" s="56">
        <f>HEX2DEC(RIGHT(Table1323212737[[#This Row],[h1]],8))</f>
        <v>0</v>
      </c>
      <c r="Q1440" s="56" t="s">
        <v>97</v>
      </c>
      <c r="R1440" s="56">
        <f>HEX2DEC(RIGHT(Table1323212737[[#This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6" t="s">
        <v>97</v>
      </c>
      <c r="P1441" s="56">
        <f>HEX2DEC(RIGHT(Table1323212737[[#This Row],[h1]],8))</f>
        <v>0</v>
      </c>
      <c r="Q1441" s="56" t="s">
        <v>97</v>
      </c>
      <c r="R1441" s="56">
        <f>HEX2DEC(RIGHT(Table1323212737[[#This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6" t="s">
        <v>97</v>
      </c>
      <c r="P1442" s="56">
        <f>HEX2DEC(RIGHT(Table1323212737[[#This Row],[h1]],8))</f>
        <v>0</v>
      </c>
      <c r="Q1442" s="56" t="s">
        <v>97</v>
      </c>
      <c r="R1442" s="56">
        <f>HEX2DEC(RIGHT(Table1323212737[[#This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6" t="s">
        <v>97</v>
      </c>
      <c r="P1443" s="56">
        <f>HEX2DEC(RIGHT(Table1323212737[[#This Row],[h1]],8))</f>
        <v>0</v>
      </c>
      <c r="Q1443" s="56" t="s">
        <v>97</v>
      </c>
      <c r="R1443" s="56">
        <f>HEX2DEC(RIGHT(Table1323212737[[#This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6" t="s">
        <v>97</v>
      </c>
      <c r="P1444" s="56">
        <f>HEX2DEC(RIGHT(Table1323212737[[#This Row],[h1]],8))</f>
        <v>0</v>
      </c>
      <c r="Q1444" s="56" t="s">
        <v>97</v>
      </c>
      <c r="R1444" s="56">
        <f>HEX2DEC(RIGHT(Table1323212737[[#This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6" t="s">
        <v>97</v>
      </c>
      <c r="P1445" s="56">
        <f>HEX2DEC(RIGHT(Table1323212737[[#This Row],[h1]],8))</f>
        <v>0</v>
      </c>
      <c r="Q1445" s="56" t="s">
        <v>97</v>
      </c>
      <c r="R1445" s="56">
        <f>HEX2DEC(RIGHT(Table1323212737[[#This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6" t="s">
        <v>97</v>
      </c>
      <c r="P1446" s="56">
        <f>HEX2DEC(RIGHT(Table1323212737[[#This Row],[h1]],8))</f>
        <v>0</v>
      </c>
      <c r="Q1446" s="56" t="s">
        <v>97</v>
      </c>
      <c r="R1446" s="56">
        <f>HEX2DEC(RIGHT(Table1323212737[[#This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6" t="s">
        <v>97</v>
      </c>
      <c r="P1447" s="56">
        <f>HEX2DEC(RIGHT(Table1323212737[[#This Row],[h1]],8))</f>
        <v>0</v>
      </c>
      <c r="Q1447" s="56" t="s">
        <v>97</v>
      </c>
      <c r="R1447" s="56">
        <f>HEX2DEC(RIGHT(Table1323212737[[#This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6" t="s">
        <v>97</v>
      </c>
      <c r="P1448" s="56">
        <f>HEX2DEC(RIGHT(Table1323212737[[#This Row],[h1]],8))</f>
        <v>0</v>
      </c>
      <c r="Q1448" s="56" t="s">
        <v>97</v>
      </c>
      <c r="R1448" s="56">
        <f>HEX2DEC(RIGHT(Table1323212737[[#This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6" t="s">
        <v>97</v>
      </c>
      <c r="P1449" s="56">
        <f>HEX2DEC(RIGHT(Table1323212737[[#This Row],[h1]],8))</f>
        <v>0</v>
      </c>
      <c r="Q1449" s="56" t="s">
        <v>97</v>
      </c>
      <c r="R1449" s="56">
        <f>HEX2DEC(RIGHT(Table1323212737[[#This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6" t="s">
        <v>97</v>
      </c>
      <c r="P1450" s="56">
        <f>HEX2DEC(RIGHT(Table1323212737[[#This Row],[h1]],8))</f>
        <v>0</v>
      </c>
      <c r="Q1450" s="56" t="s">
        <v>97</v>
      </c>
      <c r="R1450" s="56">
        <f>HEX2DEC(RIGHT(Table1323212737[[#This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6" t="s">
        <v>97</v>
      </c>
      <c r="P1451" s="56">
        <f>HEX2DEC(RIGHT(Table1323212737[[#This Row],[h1]],8))</f>
        <v>0</v>
      </c>
      <c r="Q1451" s="56" t="s">
        <v>97</v>
      </c>
      <c r="R1451" s="56">
        <f>HEX2DEC(RIGHT(Table1323212737[[#This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6" t="s">
        <v>97</v>
      </c>
      <c r="P1452" s="56">
        <f>HEX2DEC(RIGHT(Table1323212737[[#This Row],[h1]],8))</f>
        <v>0</v>
      </c>
      <c r="Q1452" s="56" t="s">
        <v>97</v>
      </c>
      <c r="R1452" s="56">
        <f>HEX2DEC(RIGHT(Table1323212737[[#This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6" t="s">
        <v>97</v>
      </c>
      <c r="P1453" s="56">
        <f>HEX2DEC(RIGHT(Table1323212737[[#This Row],[h1]],8))</f>
        <v>0</v>
      </c>
      <c r="Q1453" s="56" t="s">
        <v>97</v>
      </c>
      <c r="R1453" s="56">
        <f>HEX2DEC(RIGHT(Table1323212737[[#This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6" t="s">
        <v>97</v>
      </c>
      <c r="P1454" s="56">
        <f>HEX2DEC(RIGHT(Table1323212737[[#This Row],[h1]],8))</f>
        <v>0</v>
      </c>
      <c r="Q1454" s="56" t="s">
        <v>97</v>
      </c>
      <c r="R1454" s="56">
        <f>HEX2DEC(RIGHT(Table1323212737[[#This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6" t="s">
        <v>97</v>
      </c>
      <c r="P1455" s="56">
        <f>HEX2DEC(RIGHT(Table1323212737[[#This Row],[h1]],8))</f>
        <v>0</v>
      </c>
      <c r="Q1455" s="56" t="s">
        <v>97</v>
      </c>
      <c r="R1455" s="56">
        <f>HEX2DEC(RIGHT(Table1323212737[[#This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6" t="s">
        <v>97</v>
      </c>
      <c r="P1456" s="56">
        <f>HEX2DEC(RIGHT(Table1323212737[[#This Row],[h1]],8))</f>
        <v>0</v>
      </c>
      <c r="Q1456" s="56" t="s">
        <v>97</v>
      </c>
      <c r="R1456" s="56">
        <f>HEX2DEC(RIGHT(Table1323212737[[#This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6" t="s">
        <v>97</v>
      </c>
      <c r="P1457" s="56">
        <f>HEX2DEC(RIGHT(Table1323212737[[#This Row],[h1]],8))</f>
        <v>0</v>
      </c>
      <c r="Q1457" s="56" t="s">
        <v>97</v>
      </c>
      <c r="R1457" s="56">
        <f>HEX2DEC(RIGHT(Table1323212737[[#This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6" t="s">
        <v>97</v>
      </c>
      <c r="P1458" s="56">
        <f>HEX2DEC(RIGHT(Table1323212737[[#This Row],[h1]],8))</f>
        <v>0</v>
      </c>
      <c r="Q1458" s="56" t="s">
        <v>97</v>
      </c>
      <c r="R1458" s="56">
        <f>HEX2DEC(RIGHT(Table1323212737[[#This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6" t="s">
        <v>97</v>
      </c>
      <c r="P1459" s="56">
        <f>HEX2DEC(RIGHT(Table1323212737[[#This Row],[h1]],8))</f>
        <v>0</v>
      </c>
      <c r="Q1459" s="56" t="s">
        <v>97</v>
      </c>
      <c r="R1459" s="56">
        <f>HEX2DEC(RIGHT(Table1323212737[[#This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6" t="s">
        <v>97</v>
      </c>
      <c r="P1460" s="56">
        <f>HEX2DEC(RIGHT(Table1323212737[[#This Row],[h1]],8))</f>
        <v>0</v>
      </c>
      <c r="Q1460" s="56" t="s">
        <v>97</v>
      </c>
      <c r="R1460" s="56">
        <f>HEX2DEC(RIGHT(Table1323212737[[#This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6" t="s">
        <v>97</v>
      </c>
      <c r="P1461" s="56">
        <f>HEX2DEC(RIGHT(Table1323212737[[#This Row],[h1]],8))</f>
        <v>0</v>
      </c>
      <c r="Q1461" s="56" t="s">
        <v>97</v>
      </c>
      <c r="R1461" s="56">
        <f>HEX2DEC(RIGHT(Table1323212737[[#This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6" t="s">
        <v>97</v>
      </c>
      <c r="P1462" s="56">
        <f>HEX2DEC(RIGHT(Table1323212737[[#This Row],[h1]],8))</f>
        <v>0</v>
      </c>
      <c r="Q1462" s="56" t="s">
        <v>97</v>
      </c>
      <c r="R1462" s="56">
        <f>HEX2DEC(RIGHT(Table1323212737[[#This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6" t="s">
        <v>97</v>
      </c>
      <c r="P1463" s="56">
        <f>HEX2DEC(RIGHT(Table1323212737[[#This Row],[h1]],8))</f>
        <v>0</v>
      </c>
      <c r="Q1463" s="56" t="s">
        <v>97</v>
      </c>
      <c r="R1463" s="56">
        <f>HEX2DEC(RIGHT(Table1323212737[[#This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6" t="s">
        <v>97</v>
      </c>
      <c r="P1464" s="56">
        <f>HEX2DEC(RIGHT(Table1323212737[[#This Row],[h1]],8))</f>
        <v>0</v>
      </c>
      <c r="Q1464" s="56" t="s">
        <v>97</v>
      </c>
      <c r="R1464" s="56">
        <f>HEX2DEC(RIGHT(Table1323212737[[#This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6" t="s">
        <v>97</v>
      </c>
      <c r="P1465" s="56">
        <f>HEX2DEC(RIGHT(Table1323212737[[#This Row],[h1]],8))</f>
        <v>0</v>
      </c>
      <c r="Q1465" s="56" t="s">
        <v>97</v>
      </c>
      <c r="R1465" s="56">
        <f>HEX2DEC(RIGHT(Table1323212737[[#This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6" t="s">
        <v>97</v>
      </c>
      <c r="P1466" s="56">
        <f>HEX2DEC(RIGHT(Table1323212737[[#This Row],[h1]],8))</f>
        <v>0</v>
      </c>
      <c r="Q1466" s="56" t="s">
        <v>97</v>
      </c>
      <c r="R1466" s="56">
        <f>HEX2DEC(RIGHT(Table1323212737[[#This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6" t="s">
        <v>97</v>
      </c>
      <c r="P1467" s="56">
        <f>HEX2DEC(RIGHT(Table1323212737[[#This Row],[h1]],8))</f>
        <v>0</v>
      </c>
      <c r="Q1467" s="56" t="s">
        <v>97</v>
      </c>
      <c r="R1467" s="56">
        <f>HEX2DEC(RIGHT(Table1323212737[[#This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6" t="s">
        <v>97</v>
      </c>
      <c r="P1468" s="56">
        <f>HEX2DEC(RIGHT(Table1323212737[[#This Row],[h1]],8))</f>
        <v>0</v>
      </c>
      <c r="Q1468" s="56" t="s">
        <v>97</v>
      </c>
      <c r="R1468" s="56">
        <f>HEX2DEC(RIGHT(Table1323212737[[#This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6" t="s">
        <v>97</v>
      </c>
      <c r="P1469" s="56">
        <f>HEX2DEC(RIGHT(Table1323212737[[#This Row],[h1]],8))</f>
        <v>0</v>
      </c>
      <c r="Q1469" s="56" t="s">
        <v>97</v>
      </c>
      <c r="R1469" s="56">
        <f>HEX2DEC(RIGHT(Table1323212737[[#This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6" t="s">
        <v>97</v>
      </c>
      <c r="P1470" s="56">
        <f>HEX2DEC(RIGHT(Table1323212737[[#This Row],[h1]],8))</f>
        <v>0</v>
      </c>
      <c r="Q1470" s="56" t="s">
        <v>97</v>
      </c>
      <c r="R1470" s="56">
        <f>HEX2DEC(RIGHT(Table1323212737[[#This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6" t="s">
        <v>97</v>
      </c>
      <c r="P1471" s="56">
        <f>HEX2DEC(RIGHT(Table1323212737[[#This Row],[h1]],8))</f>
        <v>0</v>
      </c>
      <c r="Q1471" s="56" t="s">
        <v>97</v>
      </c>
      <c r="R1471" s="56">
        <f>HEX2DEC(RIGHT(Table1323212737[[#This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6" t="s">
        <v>97</v>
      </c>
      <c r="P1472" s="56">
        <f>HEX2DEC(RIGHT(Table1323212737[[#This Row],[h1]],8))</f>
        <v>0</v>
      </c>
      <c r="Q1472" s="56" t="s">
        <v>97</v>
      </c>
      <c r="R1472" s="56">
        <f>HEX2DEC(RIGHT(Table1323212737[[#This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6" t="s">
        <v>97</v>
      </c>
      <c r="P1473" s="56">
        <f>HEX2DEC(RIGHT(Table1323212737[[#This Row],[h1]],8))</f>
        <v>0</v>
      </c>
      <c r="Q1473" s="56" t="s">
        <v>97</v>
      </c>
      <c r="R1473" s="56">
        <f>HEX2DEC(RIGHT(Table1323212737[[#This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6" t="s">
        <v>97</v>
      </c>
      <c r="P1474" s="56">
        <f>HEX2DEC(RIGHT(Table1323212737[[#This Row],[h1]],8))</f>
        <v>0</v>
      </c>
      <c r="Q1474" s="56" t="s">
        <v>97</v>
      </c>
      <c r="R1474" s="56">
        <f>HEX2DEC(RIGHT(Table1323212737[[#This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6" t="s">
        <v>97</v>
      </c>
      <c r="P1475" s="56">
        <f>HEX2DEC(RIGHT(Table1323212737[[#This Row],[h1]],8))</f>
        <v>0</v>
      </c>
      <c r="Q1475" s="56" t="s">
        <v>97</v>
      </c>
      <c r="R1475" s="56">
        <f>HEX2DEC(RIGHT(Table1323212737[[#This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6" t="s">
        <v>97</v>
      </c>
      <c r="P1476" s="56">
        <f>HEX2DEC(RIGHT(Table1323212737[[#This Row],[h1]],8))</f>
        <v>0</v>
      </c>
      <c r="Q1476" s="56" t="s">
        <v>97</v>
      </c>
      <c r="R1476" s="56">
        <f>HEX2DEC(RIGHT(Table1323212737[[#This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6" t="s">
        <v>97</v>
      </c>
      <c r="P1477" s="56">
        <f>HEX2DEC(RIGHT(Table1323212737[[#This Row],[h1]],8))</f>
        <v>0</v>
      </c>
      <c r="Q1477" s="56" t="s">
        <v>97</v>
      </c>
      <c r="R1477" s="56">
        <f>HEX2DEC(RIGHT(Table1323212737[[#This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6" t="s">
        <v>97</v>
      </c>
      <c r="P1478" s="56">
        <f>HEX2DEC(RIGHT(Table1323212737[[#This Row],[h1]],8))</f>
        <v>0</v>
      </c>
      <c r="Q1478" s="56" t="s">
        <v>97</v>
      </c>
      <c r="R1478" s="56">
        <f>HEX2DEC(RIGHT(Table1323212737[[#This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6" t="s">
        <v>97</v>
      </c>
      <c r="P1479" s="56">
        <f>HEX2DEC(RIGHT(Table1323212737[[#This Row],[h1]],8))</f>
        <v>0</v>
      </c>
      <c r="Q1479" s="56" t="s">
        <v>97</v>
      </c>
      <c r="R1479" s="56">
        <f>HEX2DEC(RIGHT(Table1323212737[[#This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6" t="s">
        <v>97</v>
      </c>
      <c r="P1480" s="56">
        <f>HEX2DEC(RIGHT(Table1323212737[[#This Row],[h1]],8))</f>
        <v>0</v>
      </c>
      <c r="Q1480" s="56" t="s">
        <v>97</v>
      </c>
      <c r="R1480" s="56">
        <f>HEX2DEC(RIGHT(Table1323212737[[#This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6" t="s">
        <v>97</v>
      </c>
      <c r="P1481" s="56">
        <f>HEX2DEC(RIGHT(Table1323212737[[#This Row],[h1]],8))</f>
        <v>0</v>
      </c>
      <c r="Q1481" s="56" t="s">
        <v>97</v>
      </c>
      <c r="R1481" s="56">
        <f>HEX2DEC(RIGHT(Table1323212737[[#This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6" t="s">
        <v>97</v>
      </c>
      <c r="P1482" s="56">
        <f>HEX2DEC(RIGHT(Table1323212737[[#This Row],[h1]],8))</f>
        <v>0</v>
      </c>
      <c r="Q1482" s="56" t="s">
        <v>97</v>
      </c>
      <c r="R1482" s="56">
        <f>HEX2DEC(RIGHT(Table1323212737[[#This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6" t="s">
        <v>97</v>
      </c>
      <c r="P1483" s="56">
        <f>HEX2DEC(RIGHT(Table1323212737[[#This Row],[h1]],8))</f>
        <v>0</v>
      </c>
      <c r="Q1483" s="56" t="s">
        <v>97</v>
      </c>
      <c r="R1483" s="56">
        <f>HEX2DEC(RIGHT(Table1323212737[[#This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6" t="s">
        <v>97</v>
      </c>
      <c r="P1484" s="56">
        <f>HEX2DEC(RIGHT(Table1323212737[[#This Row],[h1]],8))</f>
        <v>0</v>
      </c>
      <c r="Q1484" s="56" t="s">
        <v>97</v>
      </c>
      <c r="R1484" s="56">
        <f>HEX2DEC(RIGHT(Table1323212737[[#This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6" t="s">
        <v>97</v>
      </c>
      <c r="P1485" s="56">
        <f>HEX2DEC(RIGHT(Table1323212737[[#This Row],[h1]],8))</f>
        <v>0</v>
      </c>
      <c r="Q1485" s="56" t="s">
        <v>97</v>
      </c>
      <c r="R1485" s="56">
        <f>HEX2DEC(RIGHT(Table1323212737[[#This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6" t="s">
        <v>97</v>
      </c>
      <c r="P1486" s="56">
        <f>HEX2DEC(RIGHT(Table1323212737[[#This Row],[h1]],8))</f>
        <v>0</v>
      </c>
      <c r="Q1486" s="56" t="s">
        <v>97</v>
      </c>
      <c r="R1486" s="56">
        <f>HEX2DEC(RIGHT(Table1323212737[[#This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6" t="s">
        <v>97</v>
      </c>
      <c r="P1487" s="56">
        <f>HEX2DEC(RIGHT(Table1323212737[[#This Row],[h1]],8))</f>
        <v>0</v>
      </c>
      <c r="Q1487" s="56" t="s">
        <v>97</v>
      </c>
      <c r="R1487" s="56">
        <f>HEX2DEC(RIGHT(Table1323212737[[#This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6" t="s">
        <v>97</v>
      </c>
      <c r="P1488" s="56">
        <f>HEX2DEC(RIGHT(Table1323212737[[#This Row],[h1]],8))</f>
        <v>0</v>
      </c>
      <c r="Q1488" s="56" t="s">
        <v>97</v>
      </c>
      <c r="R1488" s="56">
        <f>HEX2DEC(RIGHT(Table1323212737[[#This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6" t="s">
        <v>97</v>
      </c>
      <c r="P1489" s="56">
        <f>HEX2DEC(RIGHT(Table1323212737[[#This Row],[h1]],8))</f>
        <v>0</v>
      </c>
      <c r="Q1489" s="56" t="s">
        <v>97</v>
      </c>
      <c r="R1489" s="56">
        <f>HEX2DEC(RIGHT(Table1323212737[[#This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6" t="s">
        <v>97</v>
      </c>
      <c r="P1490" s="56">
        <f>HEX2DEC(RIGHT(Table1323212737[[#This Row],[h1]],8))</f>
        <v>0</v>
      </c>
      <c r="Q1490" s="56" t="s">
        <v>97</v>
      </c>
      <c r="R1490" s="56">
        <f>HEX2DEC(RIGHT(Table1323212737[[#This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6" t="s">
        <v>97</v>
      </c>
      <c r="P1491" s="56">
        <f>HEX2DEC(RIGHT(Table1323212737[[#This Row],[h1]],8))</f>
        <v>0</v>
      </c>
      <c r="Q1491" s="56" t="s">
        <v>97</v>
      </c>
      <c r="R1491" s="56">
        <f>HEX2DEC(RIGHT(Table1323212737[[#This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6" t="s">
        <v>97</v>
      </c>
      <c r="P1492" s="56">
        <f>HEX2DEC(RIGHT(Table1323212737[[#This Row],[h1]],8))</f>
        <v>0</v>
      </c>
      <c r="Q1492" s="56" t="s">
        <v>97</v>
      </c>
      <c r="R1492" s="56">
        <f>HEX2DEC(RIGHT(Table1323212737[[#This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6" t="s">
        <v>97</v>
      </c>
      <c r="P1493" s="56">
        <f>HEX2DEC(RIGHT(Table1323212737[[#This Row],[h1]],8))</f>
        <v>0</v>
      </c>
      <c r="Q1493" s="56" t="s">
        <v>97</v>
      </c>
      <c r="R1493" s="56">
        <f>HEX2DEC(RIGHT(Table1323212737[[#This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6" t="s">
        <v>97</v>
      </c>
      <c r="P1494" s="56">
        <f>HEX2DEC(RIGHT(Table1323212737[[#This Row],[h1]],8))</f>
        <v>0</v>
      </c>
      <c r="Q1494" s="56" t="s">
        <v>97</v>
      </c>
      <c r="R1494" s="56">
        <f>HEX2DEC(RIGHT(Table1323212737[[#This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6" t="s">
        <v>97</v>
      </c>
      <c r="P1495" s="56">
        <f>HEX2DEC(RIGHT(Table1323212737[[#This Row],[h1]],8))</f>
        <v>0</v>
      </c>
      <c r="Q1495" s="56" t="s">
        <v>97</v>
      </c>
      <c r="R1495" s="56">
        <f>HEX2DEC(RIGHT(Table1323212737[[#This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6" t="s">
        <v>97</v>
      </c>
      <c r="P1496" s="56">
        <f>HEX2DEC(RIGHT(Table1323212737[[#This Row],[h1]],8))</f>
        <v>0</v>
      </c>
      <c r="Q1496" s="56" t="s">
        <v>97</v>
      </c>
      <c r="R1496" s="56">
        <f>HEX2DEC(RIGHT(Table1323212737[[#This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6" t="s">
        <v>97</v>
      </c>
      <c r="P1497" s="56">
        <f>HEX2DEC(RIGHT(Table1323212737[[#This Row],[h1]],8))</f>
        <v>0</v>
      </c>
      <c r="Q1497" s="56" t="s">
        <v>97</v>
      </c>
      <c r="R1497" s="56">
        <f>HEX2DEC(RIGHT(Table1323212737[[#This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6" t="s">
        <v>97</v>
      </c>
      <c r="P1498" s="56">
        <f>HEX2DEC(RIGHT(Table1323212737[[#This Row],[h1]],8))</f>
        <v>0</v>
      </c>
      <c r="Q1498" s="56" t="s">
        <v>97</v>
      </c>
      <c r="R1498" s="56">
        <f>HEX2DEC(RIGHT(Table1323212737[[#This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6" t="s">
        <v>97</v>
      </c>
      <c r="P1499" s="56">
        <f>HEX2DEC(RIGHT(Table1323212737[[#This Row],[h1]],8))</f>
        <v>0</v>
      </c>
      <c r="Q1499" s="56" t="s">
        <v>97</v>
      </c>
      <c r="R1499" s="56">
        <f>HEX2DEC(RIGHT(Table1323212737[[#This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6" t="s">
        <v>97</v>
      </c>
      <c r="P1500" s="56">
        <f>HEX2DEC(RIGHT(Table1323212737[[#This Row],[h1]],8))</f>
        <v>0</v>
      </c>
      <c r="Q1500" s="56" t="s">
        <v>97</v>
      </c>
      <c r="R1500" s="56">
        <f>HEX2DEC(RIGHT(Table1323212737[[#This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6" t="s">
        <v>97</v>
      </c>
      <c r="P1501" s="56">
        <f>HEX2DEC(RIGHT(Table1323212737[[#This Row],[h1]],8))</f>
        <v>0</v>
      </c>
      <c r="Q1501" s="56" t="s">
        <v>97</v>
      </c>
      <c r="R1501" s="56">
        <f>HEX2DEC(RIGHT(Table1323212737[[#This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6" t="s">
        <v>97</v>
      </c>
      <c r="P1502" s="56">
        <f>HEX2DEC(RIGHT(Table1323212737[[#This Row],[h1]],8))</f>
        <v>0</v>
      </c>
      <c r="Q1502" s="56" t="s">
        <v>97</v>
      </c>
      <c r="R1502" s="56">
        <f>HEX2DEC(RIGHT(Table1323212737[[#This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6" t="s">
        <v>97</v>
      </c>
      <c r="P1503" s="56">
        <f>HEX2DEC(RIGHT(Table1323212737[[#This Row],[h1]],8))</f>
        <v>0</v>
      </c>
      <c r="Q1503" s="56" t="s">
        <v>97</v>
      </c>
      <c r="R1503" s="56">
        <f>HEX2DEC(RIGHT(Table1323212737[[#This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6" t="s">
        <v>97</v>
      </c>
      <c r="P1504" s="56">
        <f>HEX2DEC(RIGHT(Table1323212737[[#This Row],[h1]],8))</f>
        <v>0</v>
      </c>
      <c r="Q1504" s="56" t="s">
        <v>97</v>
      </c>
      <c r="R1504" s="56">
        <f>HEX2DEC(RIGHT(Table1323212737[[#This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6" t="s">
        <v>97</v>
      </c>
      <c r="P1505" s="56">
        <f>HEX2DEC(RIGHT(Table1323212737[[#This Row],[h1]],8))</f>
        <v>0</v>
      </c>
      <c r="Q1505" s="56" t="s">
        <v>97</v>
      </c>
      <c r="R1505" s="56">
        <f>HEX2DEC(RIGHT(Table1323212737[[#This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6" t="s">
        <v>97</v>
      </c>
      <c r="P1506" s="56">
        <f>HEX2DEC(RIGHT(Table1323212737[[#This Row],[h1]],8))</f>
        <v>0</v>
      </c>
      <c r="Q1506" s="56" t="s">
        <v>97</v>
      </c>
      <c r="R1506" s="56">
        <f>HEX2DEC(RIGHT(Table1323212737[[#This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6" t="s">
        <v>97</v>
      </c>
      <c r="P1507" s="56">
        <f>HEX2DEC(RIGHT(Table1323212737[[#This Row],[h1]],8))</f>
        <v>0</v>
      </c>
      <c r="Q1507" s="56" t="s">
        <v>97</v>
      </c>
      <c r="R1507" s="56">
        <f>HEX2DEC(RIGHT(Table1323212737[[#This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6" t="s">
        <v>97</v>
      </c>
      <c r="P1508" s="56">
        <f>HEX2DEC(RIGHT(Table1323212737[[#This Row],[h1]],8))</f>
        <v>0</v>
      </c>
      <c r="Q1508" s="56" t="s">
        <v>97</v>
      </c>
      <c r="R1508" s="56">
        <f>HEX2DEC(RIGHT(Table1323212737[[#This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6" t="s">
        <v>97</v>
      </c>
      <c r="P1509" s="56">
        <f>HEX2DEC(RIGHT(Table1323212737[[#This Row],[h1]],8))</f>
        <v>0</v>
      </c>
      <c r="Q1509" s="56" t="s">
        <v>97</v>
      </c>
      <c r="R1509" s="56">
        <f>HEX2DEC(RIGHT(Table1323212737[[#This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6" t="s">
        <v>97</v>
      </c>
      <c r="P1510" s="56">
        <f>HEX2DEC(RIGHT(Table1323212737[[#This Row],[h1]],8))</f>
        <v>0</v>
      </c>
      <c r="Q1510" s="56" t="s">
        <v>97</v>
      </c>
      <c r="R1510" s="56">
        <f>HEX2DEC(RIGHT(Table1323212737[[#This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6" t="s">
        <v>97</v>
      </c>
      <c r="P1511" s="56">
        <f>HEX2DEC(RIGHT(Table1323212737[[#This Row],[h1]],8))</f>
        <v>0</v>
      </c>
      <c r="Q1511" s="56" t="s">
        <v>97</v>
      </c>
      <c r="R1511" s="56">
        <f>HEX2DEC(RIGHT(Table1323212737[[#This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6" t="s">
        <v>97</v>
      </c>
      <c r="P1512" s="56">
        <f>HEX2DEC(RIGHT(Table1323212737[[#This Row],[h1]],8))</f>
        <v>0</v>
      </c>
      <c r="Q1512" s="56" t="s">
        <v>97</v>
      </c>
      <c r="R1512" s="56">
        <f>HEX2DEC(RIGHT(Table1323212737[[#This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6" t="s">
        <v>97</v>
      </c>
      <c r="P1513" s="56">
        <f>HEX2DEC(RIGHT(Table1323212737[[#This Row],[h1]],8))</f>
        <v>0</v>
      </c>
      <c r="Q1513" s="56" t="s">
        <v>97</v>
      </c>
      <c r="R1513" s="56">
        <f>HEX2DEC(RIGHT(Table1323212737[[#This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6" t="s">
        <v>97</v>
      </c>
      <c r="P1514" s="56">
        <f>HEX2DEC(RIGHT(Table1323212737[[#This Row],[h1]],8))</f>
        <v>0</v>
      </c>
      <c r="Q1514" s="56" t="s">
        <v>97</v>
      </c>
      <c r="R1514" s="56">
        <f>HEX2DEC(RIGHT(Table1323212737[[#This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6" t="s">
        <v>97</v>
      </c>
      <c r="P1515" s="56">
        <f>HEX2DEC(RIGHT(Table1323212737[[#This Row],[h1]],8))</f>
        <v>0</v>
      </c>
      <c r="Q1515" s="56" t="s">
        <v>97</v>
      </c>
      <c r="R1515" s="56">
        <f>HEX2DEC(RIGHT(Table1323212737[[#This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6" t="s">
        <v>97</v>
      </c>
      <c r="P1516" s="56">
        <f>HEX2DEC(RIGHT(Table1323212737[[#This Row],[h1]],8))</f>
        <v>0</v>
      </c>
      <c r="Q1516" s="56" t="s">
        <v>97</v>
      </c>
      <c r="R1516" s="56">
        <f>HEX2DEC(RIGHT(Table1323212737[[#This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6" t="s">
        <v>97</v>
      </c>
      <c r="P1517" s="56">
        <f>HEX2DEC(RIGHT(Table1323212737[[#This Row],[h1]],8))</f>
        <v>0</v>
      </c>
      <c r="Q1517" s="56" t="s">
        <v>97</v>
      </c>
      <c r="R1517" s="56">
        <f>HEX2DEC(RIGHT(Table1323212737[[#This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6" t="s">
        <v>97</v>
      </c>
      <c r="P1518" s="56">
        <f>HEX2DEC(RIGHT(Table1323212737[[#This Row],[h1]],8))</f>
        <v>0</v>
      </c>
      <c r="Q1518" s="56" t="s">
        <v>97</v>
      </c>
      <c r="R1518" s="56">
        <f>HEX2DEC(RIGHT(Table1323212737[[#This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6" t="s">
        <v>97</v>
      </c>
      <c r="P1519" s="56">
        <f>HEX2DEC(RIGHT(Table1323212737[[#This Row],[h1]],8))</f>
        <v>0</v>
      </c>
      <c r="Q1519" s="56" t="s">
        <v>97</v>
      </c>
      <c r="R1519" s="56">
        <f>HEX2DEC(RIGHT(Table1323212737[[#This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6" t="s">
        <v>97</v>
      </c>
      <c r="P1520" s="56">
        <f>HEX2DEC(RIGHT(Table1323212737[[#This Row],[h1]],8))</f>
        <v>0</v>
      </c>
      <c r="Q1520" s="56" t="s">
        <v>97</v>
      </c>
      <c r="R1520" s="56">
        <f>HEX2DEC(RIGHT(Table1323212737[[#This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6" t="s">
        <v>97</v>
      </c>
      <c r="P1521" s="56">
        <f>HEX2DEC(RIGHT(Table1323212737[[#This Row],[h1]],8))</f>
        <v>0</v>
      </c>
      <c r="Q1521" s="56" t="s">
        <v>97</v>
      </c>
      <c r="R1521" s="56">
        <f>HEX2DEC(RIGHT(Table1323212737[[#This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6" t="s">
        <v>97</v>
      </c>
      <c r="P1522" s="56">
        <f>HEX2DEC(RIGHT(Table1323212737[[#This Row],[h1]],8))</f>
        <v>0</v>
      </c>
      <c r="Q1522" s="56" t="s">
        <v>97</v>
      </c>
      <c r="R1522" s="56">
        <f>HEX2DEC(RIGHT(Table1323212737[[#This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6" t="s">
        <v>97</v>
      </c>
      <c r="P1523" s="56">
        <f>HEX2DEC(RIGHT(Table1323212737[[#This Row],[h1]],8))</f>
        <v>0</v>
      </c>
      <c r="Q1523" s="56" t="s">
        <v>97</v>
      </c>
      <c r="R1523" s="56">
        <f>HEX2DEC(RIGHT(Table1323212737[[#This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6" t="s">
        <v>97</v>
      </c>
      <c r="P1524" s="56">
        <f>HEX2DEC(RIGHT(Table1323212737[[#This Row],[h1]],8))</f>
        <v>0</v>
      </c>
      <c r="Q1524" s="56" t="s">
        <v>97</v>
      </c>
      <c r="R1524" s="56">
        <f>HEX2DEC(RIGHT(Table1323212737[[#This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6" t="s">
        <v>97</v>
      </c>
      <c r="P1525" s="56">
        <f>HEX2DEC(RIGHT(Table1323212737[[#This Row],[h1]],8))</f>
        <v>0</v>
      </c>
      <c r="Q1525" s="56" t="s">
        <v>97</v>
      </c>
      <c r="R1525" s="56">
        <f>HEX2DEC(RIGHT(Table1323212737[[#This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6" t="s">
        <v>97</v>
      </c>
      <c r="P1526" s="56">
        <f>HEX2DEC(RIGHT(Table1323212737[[#This Row],[h1]],8))</f>
        <v>0</v>
      </c>
      <c r="Q1526" s="56" t="s">
        <v>97</v>
      </c>
      <c r="R1526" s="56">
        <f>HEX2DEC(RIGHT(Table1323212737[[#This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6" t="s">
        <v>97</v>
      </c>
      <c r="P1527" s="56">
        <f>HEX2DEC(RIGHT(Table1323212737[[#This Row],[h1]],8))</f>
        <v>0</v>
      </c>
      <c r="Q1527" s="56" t="s">
        <v>97</v>
      </c>
      <c r="R1527" s="56">
        <f>HEX2DEC(RIGHT(Table1323212737[[#This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6" t="s">
        <v>97</v>
      </c>
      <c r="P1528" s="56">
        <f>HEX2DEC(RIGHT(Table1323212737[[#This Row],[h1]],8))</f>
        <v>0</v>
      </c>
      <c r="Q1528" s="56" t="s">
        <v>97</v>
      </c>
      <c r="R1528" s="56">
        <f>HEX2DEC(RIGHT(Table1323212737[[#This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6" t="s">
        <v>97</v>
      </c>
      <c r="P1529" s="56">
        <f>HEX2DEC(RIGHT(Table1323212737[[#This Row],[h1]],8))</f>
        <v>0</v>
      </c>
      <c r="Q1529" s="56" t="s">
        <v>97</v>
      </c>
      <c r="R1529" s="56">
        <f>HEX2DEC(RIGHT(Table1323212737[[#This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6" t="s">
        <v>97</v>
      </c>
      <c r="P1530" s="56">
        <f>HEX2DEC(RIGHT(Table1323212737[[#This Row],[h1]],8))</f>
        <v>0</v>
      </c>
      <c r="Q1530" s="56" t="s">
        <v>97</v>
      </c>
      <c r="R1530" s="56">
        <f>HEX2DEC(RIGHT(Table1323212737[[#This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6" t="s">
        <v>97</v>
      </c>
      <c r="P1531" s="56">
        <f>HEX2DEC(RIGHT(Table1323212737[[#This Row],[h1]],8))</f>
        <v>0</v>
      </c>
      <c r="Q1531" s="56" t="s">
        <v>97</v>
      </c>
      <c r="R1531" s="56">
        <f>HEX2DEC(RIGHT(Table1323212737[[#This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6" t="s">
        <v>97</v>
      </c>
      <c r="P1532" s="56">
        <f>HEX2DEC(RIGHT(Table1323212737[[#This Row],[h1]],8))</f>
        <v>0</v>
      </c>
      <c r="Q1532" s="56" t="s">
        <v>97</v>
      </c>
      <c r="R1532" s="56">
        <f>HEX2DEC(RIGHT(Table1323212737[[#This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6" t="s">
        <v>97</v>
      </c>
      <c r="P1533" s="56">
        <f>HEX2DEC(RIGHT(Table1323212737[[#This Row],[h1]],8))</f>
        <v>0</v>
      </c>
      <c r="Q1533" s="56" t="s">
        <v>97</v>
      </c>
      <c r="R1533" s="56">
        <f>HEX2DEC(RIGHT(Table1323212737[[#This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6" t="s">
        <v>97</v>
      </c>
      <c r="P1534" s="56">
        <f>HEX2DEC(RIGHT(Table1323212737[[#This Row],[h1]],8))</f>
        <v>0</v>
      </c>
      <c r="Q1534" s="56" t="s">
        <v>97</v>
      </c>
      <c r="R1534" s="56">
        <f>HEX2DEC(RIGHT(Table1323212737[[#This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6" t="s">
        <v>97</v>
      </c>
      <c r="P1535" s="56">
        <f>HEX2DEC(RIGHT(Table1323212737[[#This Row],[h1]],8))</f>
        <v>0</v>
      </c>
      <c r="Q1535" s="56" t="s">
        <v>97</v>
      </c>
      <c r="R1535" s="56">
        <f>HEX2DEC(RIGHT(Table1323212737[[#This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6" t="s">
        <v>97</v>
      </c>
      <c r="P1536" s="56">
        <f>HEX2DEC(RIGHT(Table1323212737[[#This Row],[h1]],8))</f>
        <v>0</v>
      </c>
      <c r="Q1536" s="56" t="s">
        <v>97</v>
      </c>
      <c r="R1536" s="56">
        <f>HEX2DEC(RIGHT(Table1323212737[[#This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6" t="s">
        <v>97</v>
      </c>
      <c r="P1537" s="56">
        <f>HEX2DEC(RIGHT(Table1323212737[[#This Row],[h1]],8))</f>
        <v>0</v>
      </c>
      <c r="Q1537" s="56" t="s">
        <v>97</v>
      </c>
      <c r="R1537" s="56">
        <f>HEX2DEC(RIGHT(Table1323212737[[#This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6" t="s">
        <v>97</v>
      </c>
      <c r="P1538" s="56">
        <f>HEX2DEC(RIGHT(Table1323212737[[#This Row],[h1]],8))</f>
        <v>0</v>
      </c>
      <c r="Q1538" s="56" t="s">
        <v>97</v>
      </c>
      <c r="R1538" s="56">
        <f>HEX2DEC(RIGHT(Table1323212737[[#This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6" t="s">
        <v>97</v>
      </c>
      <c r="P1539" s="56">
        <f>HEX2DEC(RIGHT(Table1323212737[[#This Row],[h1]],8))</f>
        <v>0</v>
      </c>
      <c r="Q1539" s="56" t="s">
        <v>97</v>
      </c>
      <c r="R1539" s="56">
        <f>HEX2DEC(RIGHT(Table1323212737[[#This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6" t="s">
        <v>97</v>
      </c>
      <c r="P1540" s="56">
        <f>HEX2DEC(RIGHT(Table1323212737[[#This Row],[h1]],8))</f>
        <v>0</v>
      </c>
      <c r="Q1540" s="56" t="s">
        <v>97</v>
      </c>
      <c r="R1540" s="56">
        <f>HEX2DEC(RIGHT(Table1323212737[[#This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6" t="s">
        <v>97</v>
      </c>
      <c r="P1541" s="56">
        <f>HEX2DEC(RIGHT(Table1323212737[[#This Row],[h1]],8))</f>
        <v>0</v>
      </c>
      <c r="Q1541" s="56" t="s">
        <v>97</v>
      </c>
      <c r="R1541" s="56">
        <f>HEX2DEC(RIGHT(Table1323212737[[#This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6" t="s">
        <v>97</v>
      </c>
      <c r="P1542" s="56">
        <f>HEX2DEC(RIGHT(Table1323212737[[#This Row],[h1]],8))</f>
        <v>0</v>
      </c>
      <c r="Q1542" s="56" t="s">
        <v>97</v>
      </c>
      <c r="R1542" s="56">
        <f>HEX2DEC(RIGHT(Table1323212737[[#This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6" t="s">
        <v>97</v>
      </c>
      <c r="P1543" s="56">
        <f>HEX2DEC(RIGHT(Table1323212737[[#This Row],[h1]],8))</f>
        <v>0</v>
      </c>
      <c r="Q1543" s="56" t="s">
        <v>97</v>
      </c>
      <c r="R1543" s="56">
        <f>HEX2DEC(RIGHT(Table1323212737[[#This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6" t="s">
        <v>97</v>
      </c>
      <c r="P1544" s="56">
        <f>HEX2DEC(RIGHT(Table1323212737[[#This Row],[h1]],8))</f>
        <v>0</v>
      </c>
      <c r="Q1544" s="56" t="s">
        <v>97</v>
      </c>
      <c r="R1544" s="56">
        <f>HEX2DEC(RIGHT(Table1323212737[[#This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6" t="s">
        <v>97</v>
      </c>
      <c r="P1545" s="56">
        <f>HEX2DEC(RIGHT(Table1323212737[[#This Row],[h1]],8))</f>
        <v>0</v>
      </c>
      <c r="Q1545" s="56" t="s">
        <v>97</v>
      </c>
      <c r="R1545" s="56">
        <f>HEX2DEC(RIGHT(Table1323212737[[#This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6" t="s">
        <v>97</v>
      </c>
      <c r="P1546" s="56">
        <f>HEX2DEC(RIGHT(Table1323212737[[#This Row],[h1]],8))</f>
        <v>0</v>
      </c>
      <c r="Q1546" s="56" t="s">
        <v>97</v>
      </c>
      <c r="R1546" s="56">
        <f>HEX2DEC(RIGHT(Table1323212737[[#This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6" t="s">
        <v>97</v>
      </c>
      <c r="P1547" s="56">
        <f>HEX2DEC(RIGHT(Table1323212737[[#This Row],[h1]],8))</f>
        <v>0</v>
      </c>
      <c r="Q1547" s="56" t="s">
        <v>97</v>
      </c>
      <c r="R1547" s="56">
        <f>HEX2DEC(RIGHT(Table1323212737[[#This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6" t="s">
        <v>97</v>
      </c>
      <c r="P1548" s="56">
        <f>HEX2DEC(RIGHT(Table1323212737[[#This Row],[h1]],8))</f>
        <v>0</v>
      </c>
      <c r="Q1548" s="56" t="s">
        <v>97</v>
      </c>
      <c r="R1548" s="56">
        <f>HEX2DEC(RIGHT(Table1323212737[[#This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6" t="s">
        <v>97</v>
      </c>
      <c r="P1549" s="56">
        <f>HEX2DEC(RIGHT(Table1323212737[[#This Row],[h1]],8))</f>
        <v>0</v>
      </c>
      <c r="Q1549" s="56" t="s">
        <v>97</v>
      </c>
      <c r="R1549" s="56">
        <f>HEX2DEC(RIGHT(Table1323212737[[#This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6" t="s">
        <v>97</v>
      </c>
      <c r="P1550" s="56">
        <f>HEX2DEC(RIGHT(Table1323212737[[#This Row],[h1]],8))</f>
        <v>0</v>
      </c>
      <c r="Q1550" s="56" t="s">
        <v>97</v>
      </c>
      <c r="R1550" s="56">
        <f>HEX2DEC(RIGHT(Table1323212737[[#This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6" t="s">
        <v>97</v>
      </c>
      <c r="P1551" s="56">
        <f>HEX2DEC(RIGHT(Table1323212737[[#This Row],[h1]],8))</f>
        <v>0</v>
      </c>
      <c r="Q1551" s="56" t="s">
        <v>97</v>
      </c>
      <c r="R1551" s="56">
        <f>HEX2DEC(RIGHT(Table1323212737[[#This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6" t="s">
        <v>97</v>
      </c>
      <c r="P1552" s="56">
        <f>HEX2DEC(RIGHT(Table1323212737[[#This Row],[h1]],8))</f>
        <v>0</v>
      </c>
      <c r="Q1552" s="56" t="s">
        <v>97</v>
      </c>
      <c r="R1552" s="56">
        <f>HEX2DEC(RIGHT(Table1323212737[[#This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6" t="s">
        <v>97</v>
      </c>
      <c r="P1553" s="56">
        <f>HEX2DEC(RIGHT(Table1323212737[[#This Row],[h1]],8))</f>
        <v>0</v>
      </c>
      <c r="Q1553" s="56" t="s">
        <v>97</v>
      </c>
      <c r="R1553" s="56">
        <f>HEX2DEC(RIGHT(Table1323212737[[#This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6" t="s">
        <v>97</v>
      </c>
      <c r="P1554" s="56">
        <f>HEX2DEC(RIGHT(Table1323212737[[#This Row],[h1]],8))</f>
        <v>0</v>
      </c>
      <c r="Q1554" s="56" t="s">
        <v>97</v>
      </c>
      <c r="R1554" s="56">
        <f>HEX2DEC(RIGHT(Table1323212737[[#This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6" t="s">
        <v>97</v>
      </c>
      <c r="P1555" s="56">
        <f>HEX2DEC(RIGHT(Table1323212737[[#This Row],[h1]],8))</f>
        <v>0</v>
      </c>
      <c r="Q1555" s="56" t="s">
        <v>97</v>
      </c>
      <c r="R1555" s="56">
        <f>HEX2DEC(RIGHT(Table1323212737[[#This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6" t="s">
        <v>97</v>
      </c>
      <c r="P1556" s="56">
        <f>HEX2DEC(RIGHT(Table1323212737[[#This Row],[h1]],8))</f>
        <v>0</v>
      </c>
      <c r="Q1556" s="56" t="s">
        <v>97</v>
      </c>
      <c r="R1556" s="56">
        <f>HEX2DEC(RIGHT(Table1323212737[[#This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6" t="s">
        <v>97</v>
      </c>
      <c r="P1557" s="56">
        <f>HEX2DEC(RIGHT(Table1323212737[[#This Row],[h1]],8))</f>
        <v>0</v>
      </c>
      <c r="Q1557" s="56" t="s">
        <v>97</v>
      </c>
      <c r="R1557" s="56">
        <f>HEX2DEC(RIGHT(Table1323212737[[#This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6" t="s">
        <v>97</v>
      </c>
      <c r="P1558" s="56">
        <f>HEX2DEC(RIGHT(Table1323212737[[#This Row],[h1]],8))</f>
        <v>0</v>
      </c>
      <c r="Q1558" s="56" t="s">
        <v>97</v>
      </c>
      <c r="R1558" s="56">
        <f>HEX2DEC(RIGHT(Table1323212737[[#This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6" t="s">
        <v>97</v>
      </c>
      <c r="P1559" s="56">
        <f>HEX2DEC(RIGHT(Table1323212737[[#This Row],[h1]],8))</f>
        <v>0</v>
      </c>
      <c r="Q1559" s="56" t="s">
        <v>97</v>
      </c>
      <c r="R1559" s="56">
        <f>HEX2DEC(RIGHT(Table1323212737[[#This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6" t="s">
        <v>97</v>
      </c>
      <c r="P1560" s="56">
        <f>HEX2DEC(RIGHT(Table1323212737[[#This Row],[h1]],8))</f>
        <v>0</v>
      </c>
      <c r="Q1560" s="56" t="s">
        <v>97</v>
      </c>
      <c r="R1560" s="56">
        <f>HEX2DEC(RIGHT(Table1323212737[[#This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6" t="s">
        <v>97</v>
      </c>
      <c r="P1561" s="56">
        <f>HEX2DEC(RIGHT(Table1323212737[[#This Row],[h1]],8))</f>
        <v>0</v>
      </c>
      <c r="Q1561" s="56" t="s">
        <v>97</v>
      </c>
      <c r="R1561" s="56">
        <f>HEX2DEC(RIGHT(Table1323212737[[#This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6" t="s">
        <v>97</v>
      </c>
      <c r="P1562" s="56">
        <f>HEX2DEC(RIGHT(Table1323212737[[#This Row],[h1]],8))</f>
        <v>0</v>
      </c>
      <c r="Q1562" s="56" t="s">
        <v>97</v>
      </c>
      <c r="R1562" s="56">
        <f>HEX2DEC(RIGHT(Table1323212737[[#This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6" t="s">
        <v>97</v>
      </c>
      <c r="P1563" s="56">
        <f>HEX2DEC(RIGHT(Table1323212737[[#This Row],[h1]],8))</f>
        <v>0</v>
      </c>
      <c r="Q1563" s="56" t="s">
        <v>97</v>
      </c>
      <c r="R1563" s="56">
        <f>HEX2DEC(RIGHT(Table1323212737[[#This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6" t="s">
        <v>97</v>
      </c>
      <c r="P1564" s="56">
        <f>HEX2DEC(RIGHT(Table1323212737[[#This Row],[h1]],8))</f>
        <v>0</v>
      </c>
      <c r="Q1564" s="56" t="s">
        <v>97</v>
      </c>
      <c r="R1564" s="56">
        <f>HEX2DEC(RIGHT(Table1323212737[[#This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6" t="s">
        <v>97</v>
      </c>
      <c r="P1565" s="56">
        <f>HEX2DEC(RIGHT(Table1323212737[[#This Row],[h1]],8))</f>
        <v>0</v>
      </c>
      <c r="Q1565" s="56" t="s">
        <v>97</v>
      </c>
      <c r="R1565" s="56">
        <f>HEX2DEC(RIGHT(Table1323212737[[#This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6" t="s">
        <v>97</v>
      </c>
      <c r="P1566" s="56">
        <f>HEX2DEC(RIGHT(Table1323212737[[#This Row],[h1]],8))</f>
        <v>0</v>
      </c>
      <c r="Q1566" s="56" t="s">
        <v>97</v>
      </c>
      <c r="R1566" s="56">
        <f>HEX2DEC(RIGHT(Table1323212737[[#This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6" t="s">
        <v>97</v>
      </c>
      <c r="P1567" s="56">
        <f>HEX2DEC(RIGHT(Table1323212737[[#This Row],[h1]],8))</f>
        <v>0</v>
      </c>
      <c r="Q1567" s="56" t="s">
        <v>97</v>
      </c>
      <c r="R1567" s="56">
        <f>HEX2DEC(RIGHT(Table1323212737[[#This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6" t="s">
        <v>97</v>
      </c>
      <c r="P1568" s="56">
        <f>HEX2DEC(RIGHT(Table1323212737[[#This Row],[h1]],8))</f>
        <v>0</v>
      </c>
      <c r="Q1568" s="56" t="s">
        <v>97</v>
      </c>
      <c r="R1568" s="56">
        <f>HEX2DEC(RIGHT(Table1323212737[[#This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6" t="s">
        <v>97</v>
      </c>
      <c r="P1569" s="56">
        <f>HEX2DEC(RIGHT(Table1323212737[[#This Row],[h1]],8))</f>
        <v>0</v>
      </c>
      <c r="Q1569" s="56" t="s">
        <v>97</v>
      </c>
      <c r="R1569" s="56">
        <f>HEX2DEC(RIGHT(Table1323212737[[#This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6" t="s">
        <v>97</v>
      </c>
      <c r="P1570" s="56">
        <f>HEX2DEC(RIGHT(Table1323212737[[#This Row],[h1]],8))</f>
        <v>0</v>
      </c>
      <c r="Q1570" s="56" t="s">
        <v>97</v>
      </c>
      <c r="R1570" s="56">
        <f>HEX2DEC(RIGHT(Table1323212737[[#This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6" t="s">
        <v>97</v>
      </c>
      <c r="P1571" s="56">
        <f>HEX2DEC(RIGHT(Table1323212737[[#This Row],[h1]],8))</f>
        <v>0</v>
      </c>
      <c r="Q1571" s="56" t="s">
        <v>97</v>
      </c>
      <c r="R1571" s="56">
        <f>HEX2DEC(RIGHT(Table1323212737[[#This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6" t="s">
        <v>97</v>
      </c>
      <c r="P1572" s="56">
        <f>HEX2DEC(RIGHT(Table1323212737[[#This Row],[h1]],8))</f>
        <v>0</v>
      </c>
      <c r="Q1572" s="56" t="s">
        <v>97</v>
      </c>
      <c r="R1572" s="56">
        <f>HEX2DEC(RIGHT(Table1323212737[[#This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6" t="s">
        <v>97</v>
      </c>
      <c r="P1573" s="56">
        <f>HEX2DEC(RIGHT(Table1323212737[[#This Row],[h1]],8))</f>
        <v>0</v>
      </c>
      <c r="Q1573" s="56" t="s">
        <v>97</v>
      </c>
      <c r="R1573" s="56">
        <f>HEX2DEC(RIGHT(Table1323212737[[#This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6" t="s">
        <v>97</v>
      </c>
      <c r="P1574" s="56">
        <f>HEX2DEC(RIGHT(Table1323212737[[#This Row],[h1]],8))</f>
        <v>0</v>
      </c>
      <c r="Q1574" s="56" t="s">
        <v>97</v>
      </c>
      <c r="R1574" s="56">
        <f>HEX2DEC(RIGHT(Table1323212737[[#This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6" t="s">
        <v>97</v>
      </c>
      <c r="P1575" s="56">
        <f>HEX2DEC(RIGHT(Table1323212737[[#This Row],[h1]],8))</f>
        <v>0</v>
      </c>
      <c r="Q1575" s="56" t="s">
        <v>97</v>
      </c>
      <c r="R1575" s="56">
        <f>HEX2DEC(RIGHT(Table1323212737[[#This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6" t="s">
        <v>97</v>
      </c>
      <c r="P1576" s="56">
        <f>HEX2DEC(RIGHT(Table1323212737[[#This Row],[h1]],8))</f>
        <v>0</v>
      </c>
      <c r="Q1576" s="56" t="s">
        <v>97</v>
      </c>
      <c r="R1576" s="56">
        <f>HEX2DEC(RIGHT(Table1323212737[[#This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6" t="s">
        <v>97</v>
      </c>
      <c r="P1577" s="56">
        <f>HEX2DEC(RIGHT(Table1323212737[[#This Row],[h1]],8))</f>
        <v>0</v>
      </c>
      <c r="Q1577" s="56" t="s">
        <v>97</v>
      </c>
      <c r="R1577" s="56">
        <f>HEX2DEC(RIGHT(Table1323212737[[#This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6" t="s">
        <v>97</v>
      </c>
      <c r="P1578" s="56">
        <f>HEX2DEC(RIGHT(Table1323212737[[#This Row],[h1]],8))</f>
        <v>0</v>
      </c>
      <c r="Q1578" s="56" t="s">
        <v>97</v>
      </c>
      <c r="R1578" s="56">
        <f>HEX2DEC(RIGHT(Table1323212737[[#This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6" t="s">
        <v>97</v>
      </c>
      <c r="P1579" s="56">
        <f>HEX2DEC(RIGHT(Table1323212737[[#This Row],[h1]],8))</f>
        <v>0</v>
      </c>
      <c r="Q1579" s="56" t="s">
        <v>97</v>
      </c>
      <c r="R1579" s="56">
        <f>HEX2DEC(RIGHT(Table1323212737[[#This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6" t="s">
        <v>97</v>
      </c>
      <c r="P1580" s="56">
        <f>HEX2DEC(RIGHT(Table1323212737[[#This Row],[h1]],8))</f>
        <v>0</v>
      </c>
      <c r="Q1580" s="56" t="s">
        <v>97</v>
      </c>
      <c r="R1580" s="56">
        <f>HEX2DEC(RIGHT(Table1323212737[[#This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6" t="s">
        <v>97</v>
      </c>
      <c r="P1581" s="56">
        <f>HEX2DEC(RIGHT(Table1323212737[[#This Row],[h1]],8))</f>
        <v>0</v>
      </c>
      <c r="Q1581" s="56" t="s">
        <v>97</v>
      </c>
      <c r="R1581" s="56">
        <f>HEX2DEC(RIGHT(Table1323212737[[#This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6" t="s">
        <v>97</v>
      </c>
      <c r="P1582" s="56">
        <f>HEX2DEC(RIGHT(Table1323212737[[#This Row],[h1]],8))</f>
        <v>0</v>
      </c>
      <c r="Q1582" s="56" t="s">
        <v>97</v>
      </c>
      <c r="R1582" s="56">
        <f>HEX2DEC(RIGHT(Table1323212737[[#This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6" t="s">
        <v>97</v>
      </c>
      <c r="P1583" s="56">
        <f>HEX2DEC(RIGHT(Table1323212737[[#This Row],[h1]],8))</f>
        <v>0</v>
      </c>
      <c r="Q1583" s="56" t="s">
        <v>97</v>
      </c>
      <c r="R1583" s="56">
        <f>HEX2DEC(RIGHT(Table1323212737[[#This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6" t="s">
        <v>97</v>
      </c>
      <c r="P1584" s="56">
        <f>HEX2DEC(RIGHT(Table1323212737[[#This Row],[h1]],8))</f>
        <v>0</v>
      </c>
      <c r="Q1584" s="56" t="s">
        <v>97</v>
      </c>
      <c r="R1584" s="56">
        <f>HEX2DEC(RIGHT(Table1323212737[[#This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6" t="s">
        <v>97</v>
      </c>
      <c r="P1585" s="56">
        <f>HEX2DEC(RIGHT(Table1323212737[[#This Row],[h1]],8))</f>
        <v>0</v>
      </c>
      <c r="Q1585" s="56" t="s">
        <v>97</v>
      </c>
      <c r="R1585" s="56">
        <f>HEX2DEC(RIGHT(Table1323212737[[#This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6" t="s">
        <v>97</v>
      </c>
      <c r="P1586" s="56">
        <f>HEX2DEC(RIGHT(Table1323212737[[#This Row],[h1]],8))</f>
        <v>0</v>
      </c>
      <c r="Q1586" s="56" t="s">
        <v>97</v>
      </c>
      <c r="R1586" s="56">
        <f>HEX2DEC(RIGHT(Table1323212737[[#This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6" t="s">
        <v>97</v>
      </c>
      <c r="P1587" s="56">
        <f>HEX2DEC(RIGHT(Table1323212737[[#This Row],[h1]],8))</f>
        <v>0</v>
      </c>
      <c r="Q1587" s="56" t="s">
        <v>97</v>
      </c>
      <c r="R1587" s="56">
        <f>HEX2DEC(RIGHT(Table1323212737[[#This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6" t="s">
        <v>97</v>
      </c>
      <c r="P1588" s="56">
        <f>HEX2DEC(RIGHT(Table1323212737[[#This Row],[h1]],8))</f>
        <v>0</v>
      </c>
      <c r="Q1588" s="56" t="s">
        <v>97</v>
      </c>
      <c r="R1588" s="56">
        <f>HEX2DEC(RIGHT(Table1323212737[[#This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6" t="s">
        <v>97</v>
      </c>
      <c r="P1589" s="56">
        <f>HEX2DEC(RIGHT(Table1323212737[[#This Row],[h1]],8))</f>
        <v>0</v>
      </c>
      <c r="Q1589" s="56" t="s">
        <v>97</v>
      </c>
      <c r="R1589" s="56">
        <f>HEX2DEC(RIGHT(Table1323212737[[#This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6" t="s">
        <v>97</v>
      </c>
      <c r="P1590" s="56">
        <f>HEX2DEC(RIGHT(Table1323212737[[#This Row],[h1]],8))</f>
        <v>0</v>
      </c>
      <c r="Q1590" s="56" t="s">
        <v>97</v>
      </c>
      <c r="R1590" s="56">
        <f>HEX2DEC(RIGHT(Table1323212737[[#This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6" t="s">
        <v>97</v>
      </c>
      <c r="P1591" s="56">
        <f>HEX2DEC(RIGHT(Table1323212737[[#This Row],[h1]],8))</f>
        <v>0</v>
      </c>
      <c r="Q1591" s="56" t="s">
        <v>97</v>
      </c>
      <c r="R1591" s="56">
        <f>HEX2DEC(RIGHT(Table1323212737[[#This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6" t="s">
        <v>97</v>
      </c>
      <c r="P1592" s="56">
        <f>HEX2DEC(RIGHT(Table1323212737[[#This Row],[h1]],8))</f>
        <v>0</v>
      </c>
      <c r="Q1592" s="56" t="s">
        <v>97</v>
      </c>
      <c r="R1592" s="56">
        <f>HEX2DEC(RIGHT(Table1323212737[[#This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6" t="s">
        <v>97</v>
      </c>
      <c r="P1593" s="56">
        <f>HEX2DEC(RIGHT(Table1323212737[[#This Row],[h1]],8))</f>
        <v>0</v>
      </c>
      <c r="Q1593" s="56" t="s">
        <v>97</v>
      </c>
      <c r="R1593" s="56">
        <f>HEX2DEC(RIGHT(Table1323212737[[#This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6" t="s">
        <v>97</v>
      </c>
      <c r="P1594" s="56">
        <f>HEX2DEC(RIGHT(Table1323212737[[#This Row],[h1]],8))</f>
        <v>0</v>
      </c>
      <c r="Q1594" s="56" t="s">
        <v>97</v>
      </c>
      <c r="R1594" s="56">
        <f>HEX2DEC(RIGHT(Table1323212737[[#This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6" t="s">
        <v>97</v>
      </c>
      <c r="P1595" s="56">
        <f>HEX2DEC(RIGHT(Table1323212737[[#This Row],[h1]],8))</f>
        <v>0</v>
      </c>
      <c r="Q1595" s="56" t="s">
        <v>97</v>
      </c>
      <c r="R1595" s="56">
        <f>HEX2DEC(RIGHT(Table1323212737[[#This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6" t="s">
        <v>97</v>
      </c>
      <c r="P1596" s="56">
        <f>HEX2DEC(RIGHT(Table1323212737[[#This Row],[h1]],8))</f>
        <v>0</v>
      </c>
      <c r="Q1596" s="56" t="s">
        <v>97</v>
      </c>
      <c r="R1596" s="56">
        <f>HEX2DEC(RIGHT(Table1323212737[[#This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6" t="s">
        <v>97</v>
      </c>
      <c r="P1597" s="56">
        <f>HEX2DEC(RIGHT(Table1323212737[[#This Row],[h1]],8))</f>
        <v>0</v>
      </c>
      <c r="Q1597" s="56" t="s">
        <v>97</v>
      </c>
      <c r="R1597" s="56">
        <f>HEX2DEC(RIGHT(Table1323212737[[#This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6" t="s">
        <v>97</v>
      </c>
      <c r="P1598" s="56">
        <f>HEX2DEC(RIGHT(Table1323212737[[#This Row],[h1]],8))</f>
        <v>0</v>
      </c>
      <c r="Q1598" s="56" t="s">
        <v>97</v>
      </c>
      <c r="R1598" s="56">
        <f>HEX2DEC(RIGHT(Table1323212737[[#This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6" t="s">
        <v>97</v>
      </c>
      <c r="P1599" s="56">
        <f>HEX2DEC(RIGHT(Table1323212737[[#This Row],[h1]],8))</f>
        <v>0</v>
      </c>
      <c r="Q1599" s="56" t="s">
        <v>97</v>
      </c>
      <c r="R1599" s="56">
        <f>HEX2DEC(RIGHT(Table1323212737[[#This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6" t="s">
        <v>97</v>
      </c>
      <c r="P1600" s="56">
        <f>HEX2DEC(RIGHT(Table1323212737[[#This Row],[h1]],8))</f>
        <v>0</v>
      </c>
      <c r="Q1600" s="56" t="s">
        <v>97</v>
      </c>
      <c r="R1600" s="56">
        <f>HEX2DEC(RIGHT(Table1323212737[[#This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6" t="s">
        <v>97</v>
      </c>
      <c r="P1601" s="56">
        <f>HEX2DEC(RIGHT(Table1323212737[[#This Row],[h1]],8))</f>
        <v>0</v>
      </c>
      <c r="Q1601" s="56" t="s">
        <v>97</v>
      </c>
      <c r="R1601" s="56">
        <f>HEX2DEC(RIGHT(Table1323212737[[#This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6" t="s">
        <v>97</v>
      </c>
      <c r="P1602" s="56">
        <f>HEX2DEC(RIGHT(Table1323212737[[#This Row],[h1]],8))</f>
        <v>0</v>
      </c>
      <c r="Q1602" s="56" t="s">
        <v>97</v>
      </c>
      <c r="R1602" s="56">
        <f>HEX2DEC(RIGHT(Table1323212737[[#This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6" t="s">
        <v>97</v>
      </c>
      <c r="P1603" s="56">
        <f>HEX2DEC(RIGHT(Table1323212737[[#This Row],[h1]],8))</f>
        <v>0</v>
      </c>
      <c r="Q1603" s="56" t="s">
        <v>97</v>
      </c>
      <c r="R1603" s="56">
        <f>HEX2DEC(RIGHT(Table1323212737[[#This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6" t="s">
        <v>97</v>
      </c>
      <c r="P1604" s="56">
        <f>HEX2DEC(RIGHT(Table1323212737[[#This Row],[h1]],8))</f>
        <v>0</v>
      </c>
      <c r="Q1604" s="56" t="s">
        <v>97</v>
      </c>
      <c r="R1604" s="56">
        <f>HEX2DEC(RIGHT(Table1323212737[[#This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6" t="s">
        <v>97</v>
      </c>
      <c r="P1605" s="56">
        <f>HEX2DEC(RIGHT(Table1323212737[[#This Row],[h1]],8))</f>
        <v>0</v>
      </c>
      <c r="Q1605" s="56" t="s">
        <v>97</v>
      </c>
      <c r="R1605" s="56">
        <f>HEX2DEC(RIGHT(Table1323212737[[#This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6" t="s">
        <v>97</v>
      </c>
      <c r="P1606" s="56">
        <f>HEX2DEC(RIGHT(Table1323212737[[#This Row],[h1]],8))</f>
        <v>0</v>
      </c>
      <c r="Q1606" s="56" t="s">
        <v>97</v>
      </c>
      <c r="R1606" s="56">
        <f>HEX2DEC(RIGHT(Table1323212737[[#This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6" t="s">
        <v>97</v>
      </c>
      <c r="P1607" s="56">
        <f>HEX2DEC(RIGHT(Table1323212737[[#This Row],[h1]],8))</f>
        <v>0</v>
      </c>
      <c r="Q1607" s="56" t="s">
        <v>97</v>
      </c>
      <c r="R1607" s="56">
        <f>HEX2DEC(RIGHT(Table1323212737[[#This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6" t="s">
        <v>97</v>
      </c>
      <c r="P1608" s="56">
        <f>HEX2DEC(RIGHT(Table1323212737[[#This Row],[h1]],8))</f>
        <v>0</v>
      </c>
      <c r="Q1608" s="56" t="s">
        <v>97</v>
      </c>
      <c r="R1608" s="56">
        <f>HEX2DEC(RIGHT(Table1323212737[[#This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6" t="s">
        <v>97</v>
      </c>
      <c r="P1609" s="56">
        <f>HEX2DEC(RIGHT(Table1323212737[[#This Row],[h1]],8))</f>
        <v>0</v>
      </c>
      <c r="Q1609" s="56" t="s">
        <v>97</v>
      </c>
      <c r="R1609" s="56">
        <f>HEX2DEC(RIGHT(Table1323212737[[#This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6" t="s">
        <v>97</v>
      </c>
      <c r="P1610" s="56">
        <f>HEX2DEC(RIGHT(Table1323212737[[#This Row],[h1]],8))</f>
        <v>0</v>
      </c>
      <c r="Q1610" s="56" t="s">
        <v>97</v>
      </c>
      <c r="R1610" s="56">
        <f>HEX2DEC(RIGHT(Table1323212737[[#This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6" t="s">
        <v>97</v>
      </c>
      <c r="P1611" s="56">
        <f>HEX2DEC(RIGHT(Table1323212737[[#This Row],[h1]],8))</f>
        <v>0</v>
      </c>
      <c r="Q1611" s="56" t="s">
        <v>97</v>
      </c>
      <c r="R1611" s="56">
        <f>HEX2DEC(RIGHT(Table1323212737[[#This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6" t="s">
        <v>97</v>
      </c>
      <c r="P1612" s="56">
        <f>HEX2DEC(RIGHT(Table1323212737[[#This Row],[h1]],8))</f>
        <v>0</v>
      </c>
      <c r="Q1612" s="56" t="s">
        <v>97</v>
      </c>
      <c r="R1612" s="56">
        <f>HEX2DEC(RIGHT(Table1323212737[[#This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6" t="s">
        <v>97</v>
      </c>
      <c r="P1613" s="56">
        <f>HEX2DEC(RIGHT(Table1323212737[[#This Row],[h1]],8))</f>
        <v>0</v>
      </c>
      <c r="Q1613" s="56" t="s">
        <v>97</v>
      </c>
      <c r="R1613" s="56">
        <f>HEX2DEC(RIGHT(Table1323212737[[#This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6" t="s">
        <v>97</v>
      </c>
      <c r="P1614" s="56">
        <f>HEX2DEC(RIGHT(Table1323212737[[#This Row],[h1]],8))</f>
        <v>0</v>
      </c>
      <c r="Q1614" s="56" t="s">
        <v>97</v>
      </c>
      <c r="R1614" s="56">
        <f>HEX2DEC(RIGHT(Table1323212737[[#This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6" t="s">
        <v>97</v>
      </c>
      <c r="P1615" s="56">
        <f>HEX2DEC(RIGHT(Table1323212737[[#This Row],[h1]],8))</f>
        <v>0</v>
      </c>
      <c r="Q1615" s="56" t="s">
        <v>97</v>
      </c>
      <c r="R1615" s="56">
        <f>HEX2DEC(RIGHT(Table1323212737[[#This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6" t="s">
        <v>97</v>
      </c>
      <c r="P1616" s="56">
        <f>HEX2DEC(RIGHT(Table1323212737[[#This Row],[h1]],8))</f>
        <v>0</v>
      </c>
      <c r="Q1616" s="56" t="s">
        <v>97</v>
      </c>
      <c r="R1616" s="56">
        <f>HEX2DEC(RIGHT(Table1323212737[[#This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6" t="s">
        <v>97</v>
      </c>
      <c r="P1617" s="56">
        <f>HEX2DEC(RIGHT(Table1323212737[[#This Row],[h1]],8))</f>
        <v>0</v>
      </c>
      <c r="Q1617" s="56" t="s">
        <v>97</v>
      </c>
      <c r="R1617" s="56">
        <f>HEX2DEC(RIGHT(Table1323212737[[#This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6" t="s">
        <v>97</v>
      </c>
      <c r="P1618" s="56">
        <f>HEX2DEC(RIGHT(Table1323212737[[#This Row],[h1]],8))</f>
        <v>0</v>
      </c>
      <c r="Q1618" s="56" t="s">
        <v>97</v>
      </c>
      <c r="R1618" s="56">
        <f>HEX2DEC(RIGHT(Table1323212737[[#This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6" t="s">
        <v>97</v>
      </c>
      <c r="P1619" s="56">
        <f>HEX2DEC(RIGHT(Table1323212737[[#This Row],[h1]],8))</f>
        <v>0</v>
      </c>
      <c r="Q1619" s="56" t="s">
        <v>97</v>
      </c>
      <c r="R1619" s="56">
        <f>HEX2DEC(RIGHT(Table1323212737[[#This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6" t="s">
        <v>97</v>
      </c>
      <c r="P1620" s="56">
        <f>HEX2DEC(RIGHT(Table1323212737[[#This Row],[h1]],8))</f>
        <v>0</v>
      </c>
      <c r="Q1620" s="56" t="s">
        <v>97</v>
      </c>
      <c r="R1620" s="56">
        <f>HEX2DEC(RIGHT(Table1323212737[[#This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6" t="s">
        <v>97</v>
      </c>
      <c r="P1621" s="56">
        <f>HEX2DEC(RIGHT(Table1323212737[[#This Row],[h1]],8))</f>
        <v>0</v>
      </c>
      <c r="Q1621" s="56" t="s">
        <v>97</v>
      </c>
      <c r="R1621" s="56">
        <f>HEX2DEC(RIGHT(Table1323212737[[#This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6" t="s">
        <v>97</v>
      </c>
      <c r="P1622" s="56">
        <f>HEX2DEC(RIGHT(Table1323212737[[#This Row],[h1]],8))</f>
        <v>0</v>
      </c>
      <c r="Q1622" s="56" t="s">
        <v>97</v>
      </c>
      <c r="R1622" s="56">
        <f>HEX2DEC(RIGHT(Table1323212737[[#This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6" t="s">
        <v>97</v>
      </c>
      <c r="P1623" s="56">
        <f>HEX2DEC(RIGHT(Table1323212737[[#This Row],[h1]],8))</f>
        <v>0</v>
      </c>
      <c r="Q1623" s="56" t="s">
        <v>97</v>
      </c>
      <c r="R1623" s="56">
        <f>HEX2DEC(RIGHT(Table1323212737[[#This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6" t="s">
        <v>97</v>
      </c>
      <c r="P1624" s="56">
        <f>HEX2DEC(RIGHT(Table1323212737[[#This Row],[h1]],8))</f>
        <v>0</v>
      </c>
      <c r="Q1624" s="56" t="s">
        <v>97</v>
      </c>
      <c r="R1624" s="56">
        <f>HEX2DEC(RIGHT(Table1323212737[[#This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6" t="s">
        <v>97</v>
      </c>
      <c r="P1625" s="56">
        <f>HEX2DEC(RIGHT(Table1323212737[[#This Row],[h1]],8))</f>
        <v>0</v>
      </c>
      <c r="Q1625" s="56" t="s">
        <v>97</v>
      </c>
      <c r="R1625" s="56">
        <f>HEX2DEC(RIGHT(Table1323212737[[#This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6" t="s">
        <v>97</v>
      </c>
      <c r="P1626" s="56">
        <f>HEX2DEC(RIGHT(Table1323212737[[#This Row],[h1]],8))</f>
        <v>0</v>
      </c>
      <c r="Q1626" s="56" t="s">
        <v>97</v>
      </c>
      <c r="R1626" s="56">
        <f>HEX2DEC(RIGHT(Table1323212737[[#This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6" t="s">
        <v>97</v>
      </c>
      <c r="P1627" s="56">
        <f>HEX2DEC(RIGHT(Table1323212737[[#This Row],[h1]],8))</f>
        <v>0</v>
      </c>
      <c r="Q1627" s="56" t="s">
        <v>97</v>
      </c>
      <c r="R1627" s="56">
        <f>HEX2DEC(RIGHT(Table1323212737[[#This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6" t="s">
        <v>97</v>
      </c>
      <c r="P1628" s="56">
        <f>HEX2DEC(RIGHT(Table1323212737[[#This Row],[h1]],8))</f>
        <v>0</v>
      </c>
      <c r="Q1628" s="56" t="s">
        <v>97</v>
      </c>
      <c r="R1628" s="56">
        <f>HEX2DEC(RIGHT(Table1323212737[[#This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6" t="s">
        <v>97</v>
      </c>
      <c r="P1629" s="56">
        <f>HEX2DEC(RIGHT(Table1323212737[[#This Row],[h1]],8))</f>
        <v>0</v>
      </c>
      <c r="Q1629" s="56" t="s">
        <v>97</v>
      </c>
      <c r="R1629" s="56">
        <f>HEX2DEC(RIGHT(Table1323212737[[#This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6" t="s">
        <v>97</v>
      </c>
      <c r="P1630" s="56">
        <f>HEX2DEC(RIGHT(Table1323212737[[#This Row],[h1]],8))</f>
        <v>0</v>
      </c>
      <c r="Q1630" s="56" t="s">
        <v>97</v>
      </c>
      <c r="R1630" s="56">
        <f>HEX2DEC(RIGHT(Table1323212737[[#This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6" t="s">
        <v>97</v>
      </c>
      <c r="P1631" s="56">
        <f>HEX2DEC(RIGHT(Table1323212737[[#This Row],[h1]],8))</f>
        <v>0</v>
      </c>
      <c r="Q1631" s="56" t="s">
        <v>97</v>
      </c>
      <c r="R1631" s="56">
        <f>HEX2DEC(RIGHT(Table1323212737[[#This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6" t="s">
        <v>97</v>
      </c>
      <c r="P1632" s="56">
        <f>HEX2DEC(RIGHT(Table1323212737[[#This Row],[h1]],8))</f>
        <v>0</v>
      </c>
      <c r="Q1632" s="56" t="s">
        <v>97</v>
      </c>
      <c r="R1632" s="56">
        <f>HEX2DEC(RIGHT(Table1323212737[[#This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6" t="s">
        <v>97</v>
      </c>
      <c r="P1633" s="56">
        <f>HEX2DEC(RIGHT(Table1323212737[[#This Row],[h1]],8))</f>
        <v>0</v>
      </c>
      <c r="Q1633" s="56" t="s">
        <v>97</v>
      </c>
      <c r="R1633" s="56">
        <f>HEX2DEC(RIGHT(Table1323212737[[#This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6" t="s">
        <v>97</v>
      </c>
      <c r="P1634" s="56">
        <f>HEX2DEC(RIGHT(Table1323212737[[#This Row],[h1]],8))</f>
        <v>0</v>
      </c>
      <c r="Q1634" s="56" t="s">
        <v>97</v>
      </c>
      <c r="R1634" s="56">
        <f>HEX2DEC(RIGHT(Table1323212737[[#This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6" t="s">
        <v>97</v>
      </c>
      <c r="P1635" s="56">
        <f>HEX2DEC(RIGHT(Table1323212737[[#This Row],[h1]],8))</f>
        <v>0</v>
      </c>
      <c r="Q1635" s="56" t="s">
        <v>97</v>
      </c>
      <c r="R1635" s="56">
        <f>HEX2DEC(RIGHT(Table1323212737[[#This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6" t="s">
        <v>97</v>
      </c>
      <c r="P1636" s="56">
        <f>HEX2DEC(RIGHT(Table1323212737[[#This Row],[h1]],8))</f>
        <v>0</v>
      </c>
      <c r="Q1636" s="56" t="s">
        <v>97</v>
      </c>
      <c r="R1636" s="56">
        <f>HEX2DEC(RIGHT(Table1323212737[[#This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6" t="s">
        <v>97</v>
      </c>
      <c r="P1637" s="56">
        <f>HEX2DEC(RIGHT(Table1323212737[[#This Row],[h1]],8))</f>
        <v>0</v>
      </c>
      <c r="Q1637" s="56" t="s">
        <v>97</v>
      </c>
      <c r="R1637" s="56">
        <f>HEX2DEC(RIGHT(Table1323212737[[#This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6" t="s">
        <v>97</v>
      </c>
      <c r="P1638" s="56">
        <f>HEX2DEC(RIGHT(Table1323212737[[#This Row],[h1]],8))</f>
        <v>0</v>
      </c>
      <c r="Q1638" s="56" t="s">
        <v>97</v>
      </c>
      <c r="R1638" s="56">
        <f>HEX2DEC(RIGHT(Table1323212737[[#This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6" t="s">
        <v>97</v>
      </c>
      <c r="P1639" s="56">
        <f>HEX2DEC(RIGHT(Table1323212737[[#This Row],[h1]],8))</f>
        <v>0</v>
      </c>
      <c r="Q1639" s="56" t="s">
        <v>97</v>
      </c>
      <c r="R1639" s="56">
        <f>HEX2DEC(RIGHT(Table1323212737[[#This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6" t="s">
        <v>97</v>
      </c>
      <c r="P1640" s="56">
        <f>HEX2DEC(RIGHT(Table1323212737[[#This Row],[h1]],8))</f>
        <v>0</v>
      </c>
      <c r="Q1640" s="56" t="s">
        <v>97</v>
      </c>
      <c r="R1640" s="56">
        <f>HEX2DEC(RIGHT(Table1323212737[[#This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6" t="s">
        <v>97</v>
      </c>
      <c r="P1641" s="56">
        <f>HEX2DEC(RIGHT(Table1323212737[[#This Row],[h1]],8))</f>
        <v>0</v>
      </c>
      <c r="Q1641" s="56" t="s">
        <v>97</v>
      </c>
      <c r="R1641" s="56">
        <f>HEX2DEC(RIGHT(Table1323212737[[#This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6" t="s">
        <v>97</v>
      </c>
      <c r="P1642" s="56">
        <f>HEX2DEC(RIGHT(Table1323212737[[#This Row],[h1]],8))</f>
        <v>0</v>
      </c>
      <c r="Q1642" s="56" t="s">
        <v>97</v>
      </c>
      <c r="R1642" s="56">
        <f>HEX2DEC(RIGHT(Table1323212737[[#This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6" t="s">
        <v>97</v>
      </c>
      <c r="P1643" s="56">
        <f>HEX2DEC(RIGHT(Table1323212737[[#This Row],[h1]],8))</f>
        <v>0</v>
      </c>
      <c r="Q1643" s="56" t="s">
        <v>97</v>
      </c>
      <c r="R1643" s="56">
        <f>HEX2DEC(RIGHT(Table1323212737[[#This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6" t="s">
        <v>97</v>
      </c>
      <c r="P1644" s="56">
        <f>HEX2DEC(RIGHT(Table1323212737[[#This Row],[h1]],8))</f>
        <v>0</v>
      </c>
      <c r="Q1644" s="56" t="s">
        <v>97</v>
      </c>
      <c r="R1644" s="56">
        <f>HEX2DEC(RIGHT(Table1323212737[[#This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6" t="s">
        <v>97</v>
      </c>
      <c r="P1645" s="56">
        <f>HEX2DEC(RIGHT(Table1323212737[[#This Row],[h1]],8))</f>
        <v>0</v>
      </c>
      <c r="Q1645" s="56" t="s">
        <v>97</v>
      </c>
      <c r="R1645" s="56">
        <f>HEX2DEC(RIGHT(Table1323212737[[#This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6" t="s">
        <v>97</v>
      </c>
      <c r="P1646" s="56">
        <f>HEX2DEC(RIGHT(Table1323212737[[#This Row],[h1]],8))</f>
        <v>0</v>
      </c>
      <c r="Q1646" s="56" t="s">
        <v>97</v>
      </c>
      <c r="R1646" s="56">
        <f>HEX2DEC(RIGHT(Table1323212737[[#This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6" t="s">
        <v>97</v>
      </c>
      <c r="P1647" s="56">
        <f>HEX2DEC(RIGHT(Table1323212737[[#This Row],[h1]],8))</f>
        <v>0</v>
      </c>
      <c r="Q1647" s="56" t="s">
        <v>97</v>
      </c>
      <c r="R1647" s="56">
        <f>HEX2DEC(RIGHT(Table1323212737[[#This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6" t="s">
        <v>97</v>
      </c>
      <c r="P1648" s="56">
        <f>HEX2DEC(RIGHT(Table1323212737[[#This Row],[h1]],8))</f>
        <v>0</v>
      </c>
      <c r="Q1648" s="56" t="s">
        <v>97</v>
      </c>
      <c r="R1648" s="56">
        <f>HEX2DEC(RIGHT(Table1323212737[[#This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6" t="s">
        <v>97</v>
      </c>
      <c r="P1649" s="56">
        <f>HEX2DEC(RIGHT(Table1323212737[[#This Row],[h1]],8))</f>
        <v>0</v>
      </c>
      <c r="Q1649" s="56" t="s">
        <v>97</v>
      </c>
      <c r="R1649" s="56">
        <f>HEX2DEC(RIGHT(Table1323212737[[#This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6" t="s">
        <v>97</v>
      </c>
      <c r="P1650" s="56">
        <f>HEX2DEC(RIGHT(Table1323212737[[#This Row],[h1]],8))</f>
        <v>0</v>
      </c>
      <c r="Q1650" s="56" t="s">
        <v>97</v>
      </c>
      <c r="R1650" s="56">
        <f>HEX2DEC(RIGHT(Table1323212737[[#This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6" t="s">
        <v>97</v>
      </c>
      <c r="P1651" s="56">
        <f>HEX2DEC(RIGHT(Table1323212737[[#This Row],[h1]],8))</f>
        <v>0</v>
      </c>
      <c r="Q1651" s="56" t="s">
        <v>97</v>
      </c>
      <c r="R1651" s="56">
        <f>HEX2DEC(RIGHT(Table1323212737[[#This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6" t="s">
        <v>97</v>
      </c>
      <c r="P1652" s="56">
        <f>HEX2DEC(RIGHT(Table1323212737[[#This Row],[h1]],8))</f>
        <v>0</v>
      </c>
      <c r="Q1652" s="56" t="s">
        <v>97</v>
      </c>
      <c r="R1652" s="56">
        <f>HEX2DEC(RIGHT(Table1323212737[[#This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6" t="s">
        <v>97</v>
      </c>
      <c r="P1653" s="56">
        <f>HEX2DEC(RIGHT(Table1323212737[[#This Row],[h1]],8))</f>
        <v>0</v>
      </c>
      <c r="Q1653" s="56" t="s">
        <v>97</v>
      </c>
      <c r="R1653" s="56">
        <f>HEX2DEC(RIGHT(Table1323212737[[#This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6" t="s">
        <v>97</v>
      </c>
      <c r="P1654" s="56">
        <f>HEX2DEC(RIGHT(Table1323212737[[#This Row],[h1]],8))</f>
        <v>0</v>
      </c>
      <c r="Q1654" s="56" t="s">
        <v>97</v>
      </c>
      <c r="R1654" s="56">
        <f>HEX2DEC(RIGHT(Table1323212737[[#This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6" t="s">
        <v>97</v>
      </c>
      <c r="P1655" s="56">
        <f>HEX2DEC(RIGHT(Table1323212737[[#This Row],[h1]],8))</f>
        <v>0</v>
      </c>
      <c r="Q1655" s="56" t="s">
        <v>97</v>
      </c>
      <c r="R1655" s="56">
        <f>HEX2DEC(RIGHT(Table1323212737[[#This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6" t="s">
        <v>97</v>
      </c>
      <c r="P1656" s="56">
        <f>HEX2DEC(RIGHT(Table1323212737[[#This Row],[h1]],8))</f>
        <v>0</v>
      </c>
      <c r="Q1656" s="56" t="s">
        <v>97</v>
      </c>
      <c r="R1656" s="56">
        <f>HEX2DEC(RIGHT(Table1323212737[[#This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6" t="s">
        <v>97</v>
      </c>
      <c r="P1657" s="56">
        <f>HEX2DEC(RIGHT(Table1323212737[[#This Row],[h1]],8))</f>
        <v>0</v>
      </c>
      <c r="Q1657" s="56" t="s">
        <v>97</v>
      </c>
      <c r="R1657" s="56">
        <f>HEX2DEC(RIGHT(Table1323212737[[#This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6" t="s">
        <v>97</v>
      </c>
      <c r="P1658" s="56">
        <f>HEX2DEC(RIGHT(Table1323212737[[#This Row],[h1]],8))</f>
        <v>0</v>
      </c>
      <c r="Q1658" s="56" t="s">
        <v>97</v>
      </c>
      <c r="R1658" s="56">
        <f>HEX2DEC(RIGHT(Table1323212737[[#This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6" t="s">
        <v>97</v>
      </c>
      <c r="P1659" s="56">
        <f>HEX2DEC(RIGHT(Table1323212737[[#This Row],[h1]],8))</f>
        <v>0</v>
      </c>
      <c r="Q1659" s="56" t="s">
        <v>97</v>
      </c>
      <c r="R1659" s="56">
        <f>HEX2DEC(RIGHT(Table1323212737[[#This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6" t="s">
        <v>97</v>
      </c>
      <c r="P1660" s="56">
        <f>HEX2DEC(RIGHT(Table1323212737[[#This Row],[h1]],8))</f>
        <v>0</v>
      </c>
      <c r="Q1660" s="56" t="s">
        <v>97</v>
      </c>
      <c r="R1660" s="56">
        <f>HEX2DEC(RIGHT(Table1323212737[[#This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6" t="s">
        <v>97</v>
      </c>
      <c r="P1661" s="56">
        <f>HEX2DEC(RIGHT(Table1323212737[[#This Row],[h1]],8))</f>
        <v>0</v>
      </c>
      <c r="Q1661" s="56" t="s">
        <v>97</v>
      </c>
      <c r="R1661" s="56">
        <f>HEX2DEC(RIGHT(Table1323212737[[#This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6" t="s">
        <v>97</v>
      </c>
      <c r="P1662" s="56">
        <f>HEX2DEC(RIGHT(Table1323212737[[#This Row],[h1]],8))</f>
        <v>0</v>
      </c>
      <c r="Q1662" s="56" t="s">
        <v>97</v>
      </c>
      <c r="R1662" s="56">
        <f>HEX2DEC(RIGHT(Table1323212737[[#This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6" t="s">
        <v>97</v>
      </c>
      <c r="P1663" s="56">
        <f>HEX2DEC(RIGHT(Table1323212737[[#This Row],[h1]],8))</f>
        <v>0</v>
      </c>
      <c r="Q1663" s="56" t="s">
        <v>97</v>
      </c>
      <c r="R1663" s="56">
        <f>HEX2DEC(RIGHT(Table1323212737[[#This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6" t="s">
        <v>97</v>
      </c>
      <c r="P1664" s="56">
        <f>HEX2DEC(RIGHT(Table1323212737[[#This Row],[h1]],8))</f>
        <v>0</v>
      </c>
      <c r="Q1664" s="56" t="s">
        <v>97</v>
      </c>
      <c r="R1664" s="56">
        <f>HEX2DEC(RIGHT(Table1323212737[[#This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6" t="s">
        <v>97</v>
      </c>
      <c r="P1665" s="56">
        <f>HEX2DEC(RIGHT(Table1323212737[[#This Row],[h1]],8))</f>
        <v>0</v>
      </c>
      <c r="Q1665" s="56" t="s">
        <v>97</v>
      </c>
      <c r="R1665" s="56">
        <f>HEX2DEC(RIGHT(Table1323212737[[#This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6" t="s">
        <v>97</v>
      </c>
      <c r="P1666" s="56">
        <f>HEX2DEC(RIGHT(Table1323212737[[#This Row],[h1]],8))</f>
        <v>0</v>
      </c>
      <c r="Q1666" s="56" t="s">
        <v>97</v>
      </c>
      <c r="R1666" s="56">
        <f>HEX2DEC(RIGHT(Table1323212737[[#This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6" t="s">
        <v>97</v>
      </c>
      <c r="P1667" s="56">
        <f>HEX2DEC(RIGHT(Table1323212737[[#This Row],[h1]],8))</f>
        <v>0</v>
      </c>
      <c r="Q1667" s="56" t="s">
        <v>97</v>
      </c>
      <c r="R1667" s="56">
        <f>HEX2DEC(RIGHT(Table1323212737[[#This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6" t="s">
        <v>97</v>
      </c>
      <c r="P1668" s="56">
        <f>HEX2DEC(RIGHT(Table1323212737[[#This Row],[h1]],8))</f>
        <v>0</v>
      </c>
      <c r="Q1668" s="56" t="s">
        <v>97</v>
      </c>
      <c r="R1668" s="56">
        <f>HEX2DEC(RIGHT(Table1323212737[[#This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6" t="s">
        <v>97</v>
      </c>
      <c r="P1669" s="56">
        <f>HEX2DEC(RIGHT(Table1323212737[[#This Row],[h1]],8))</f>
        <v>0</v>
      </c>
      <c r="Q1669" s="56" t="s">
        <v>97</v>
      </c>
      <c r="R1669" s="56">
        <f>HEX2DEC(RIGHT(Table1323212737[[#This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6" t="s">
        <v>97</v>
      </c>
      <c r="P1670" s="56">
        <f>HEX2DEC(RIGHT(Table1323212737[[#This Row],[h1]],8))</f>
        <v>0</v>
      </c>
      <c r="Q1670" s="56" t="s">
        <v>97</v>
      </c>
      <c r="R1670" s="56">
        <f>HEX2DEC(RIGHT(Table1323212737[[#This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6" t="s">
        <v>97</v>
      </c>
      <c r="P1671" s="56">
        <f>HEX2DEC(RIGHT(Table1323212737[[#This Row],[h1]],8))</f>
        <v>0</v>
      </c>
      <c r="Q1671" s="56" t="s">
        <v>97</v>
      </c>
      <c r="R1671" s="56">
        <f>HEX2DEC(RIGHT(Table1323212737[[#This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6" t="s">
        <v>97</v>
      </c>
      <c r="P1672" s="56">
        <f>HEX2DEC(RIGHT(Table1323212737[[#This Row],[h1]],8))</f>
        <v>0</v>
      </c>
      <c r="Q1672" s="56" t="s">
        <v>97</v>
      </c>
      <c r="R1672" s="56">
        <f>HEX2DEC(RIGHT(Table1323212737[[#This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6" t="s">
        <v>97</v>
      </c>
      <c r="P1673" s="56">
        <f>HEX2DEC(RIGHT(Table1323212737[[#This Row],[h1]],8))</f>
        <v>0</v>
      </c>
      <c r="Q1673" s="56" t="s">
        <v>97</v>
      </c>
      <c r="R1673" s="56">
        <f>HEX2DEC(RIGHT(Table1323212737[[#This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6" t="s">
        <v>97</v>
      </c>
      <c r="P1674" s="56">
        <f>HEX2DEC(RIGHT(Table1323212737[[#This Row],[h1]],8))</f>
        <v>0</v>
      </c>
      <c r="Q1674" s="56" t="s">
        <v>97</v>
      </c>
      <c r="R1674" s="56">
        <f>HEX2DEC(RIGHT(Table1323212737[[#This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6" t="s">
        <v>97</v>
      </c>
      <c r="P1675" s="56">
        <f>HEX2DEC(RIGHT(Table1323212737[[#This Row],[h1]],8))</f>
        <v>0</v>
      </c>
      <c r="Q1675" s="56" t="s">
        <v>97</v>
      </c>
      <c r="R1675" s="56">
        <f>HEX2DEC(RIGHT(Table1323212737[[#This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6" t="s">
        <v>97</v>
      </c>
      <c r="P1676" s="56">
        <f>HEX2DEC(RIGHT(Table1323212737[[#This Row],[h1]],8))</f>
        <v>0</v>
      </c>
      <c r="Q1676" s="56" t="s">
        <v>97</v>
      </c>
      <c r="R1676" s="56">
        <f>HEX2DEC(RIGHT(Table1323212737[[#This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6" t="s">
        <v>97</v>
      </c>
      <c r="P1677" s="56">
        <f>HEX2DEC(RIGHT(Table1323212737[[#This Row],[h1]],8))</f>
        <v>0</v>
      </c>
      <c r="Q1677" s="56" t="s">
        <v>97</v>
      </c>
      <c r="R1677" s="56">
        <f>HEX2DEC(RIGHT(Table1323212737[[#This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6" t="s">
        <v>97</v>
      </c>
      <c r="P1678" s="56">
        <f>HEX2DEC(RIGHT(Table1323212737[[#This Row],[h1]],8))</f>
        <v>0</v>
      </c>
      <c r="Q1678" s="56" t="s">
        <v>97</v>
      </c>
      <c r="R1678" s="56">
        <f>HEX2DEC(RIGHT(Table1323212737[[#This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6" t="s">
        <v>97</v>
      </c>
      <c r="P1679" s="56">
        <f>HEX2DEC(RIGHT(Table1323212737[[#This Row],[h1]],8))</f>
        <v>0</v>
      </c>
      <c r="Q1679" s="56" t="s">
        <v>97</v>
      </c>
      <c r="R1679" s="56">
        <f>HEX2DEC(RIGHT(Table1323212737[[#This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6" t="s">
        <v>97</v>
      </c>
      <c r="P1680" s="56">
        <f>HEX2DEC(RIGHT(Table1323212737[[#This Row],[h1]],8))</f>
        <v>0</v>
      </c>
      <c r="Q1680" s="56" t="s">
        <v>97</v>
      </c>
      <c r="R1680" s="56">
        <f>HEX2DEC(RIGHT(Table1323212737[[#This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6" t="s">
        <v>97</v>
      </c>
      <c r="P1681" s="56">
        <f>HEX2DEC(RIGHT(Table1323212737[[#This Row],[h1]],8))</f>
        <v>0</v>
      </c>
      <c r="Q1681" s="56" t="s">
        <v>97</v>
      </c>
      <c r="R1681" s="56">
        <f>HEX2DEC(RIGHT(Table1323212737[[#This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6" t="s">
        <v>97</v>
      </c>
      <c r="P1682" s="56">
        <f>HEX2DEC(RIGHT(Table1323212737[[#This Row],[h1]],8))</f>
        <v>0</v>
      </c>
      <c r="Q1682" s="56" t="s">
        <v>97</v>
      </c>
      <c r="R1682" s="56">
        <f>HEX2DEC(RIGHT(Table1323212737[[#This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6" t="s">
        <v>97</v>
      </c>
      <c r="P1683" s="56">
        <f>HEX2DEC(RIGHT(Table1323212737[[#This Row],[h1]],8))</f>
        <v>0</v>
      </c>
      <c r="Q1683" s="56" t="s">
        <v>97</v>
      </c>
      <c r="R1683" s="56">
        <f>HEX2DEC(RIGHT(Table1323212737[[#This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6" t="s">
        <v>97</v>
      </c>
      <c r="P1684" s="56">
        <f>HEX2DEC(RIGHT(Table1323212737[[#This Row],[h1]],8))</f>
        <v>0</v>
      </c>
      <c r="Q1684" s="56" t="s">
        <v>97</v>
      </c>
      <c r="R1684" s="56">
        <f>HEX2DEC(RIGHT(Table1323212737[[#This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6" t="s">
        <v>97</v>
      </c>
      <c r="P1685" s="56">
        <f>HEX2DEC(RIGHT(Table1323212737[[#This Row],[h1]],8))</f>
        <v>0</v>
      </c>
      <c r="Q1685" s="56" t="s">
        <v>97</v>
      </c>
      <c r="R1685" s="56">
        <f>HEX2DEC(RIGHT(Table1323212737[[#This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6" t="s">
        <v>97</v>
      </c>
      <c r="P1686" s="56">
        <f>HEX2DEC(RIGHT(Table1323212737[[#This Row],[h1]],8))</f>
        <v>0</v>
      </c>
      <c r="Q1686" s="56" t="s">
        <v>97</v>
      </c>
      <c r="R1686" s="56">
        <f>HEX2DEC(RIGHT(Table1323212737[[#This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6" t="s">
        <v>97</v>
      </c>
      <c r="P1687" s="56">
        <f>HEX2DEC(RIGHT(Table1323212737[[#This Row],[h1]],8))</f>
        <v>0</v>
      </c>
      <c r="Q1687" s="56" t="s">
        <v>97</v>
      </c>
      <c r="R1687" s="56">
        <f>HEX2DEC(RIGHT(Table1323212737[[#This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6" t="s">
        <v>97</v>
      </c>
      <c r="P1688" s="56">
        <f>HEX2DEC(RIGHT(Table1323212737[[#This Row],[h1]],8))</f>
        <v>0</v>
      </c>
      <c r="Q1688" s="56" t="s">
        <v>97</v>
      </c>
      <c r="R1688" s="56">
        <f>HEX2DEC(RIGHT(Table1323212737[[#This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6" t="s">
        <v>97</v>
      </c>
      <c r="P1689" s="56">
        <f>HEX2DEC(RIGHT(Table1323212737[[#This Row],[h1]],8))</f>
        <v>0</v>
      </c>
      <c r="Q1689" s="56" t="s">
        <v>97</v>
      </c>
      <c r="R1689" s="56">
        <f>HEX2DEC(RIGHT(Table1323212737[[#This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6" t="s">
        <v>97</v>
      </c>
      <c r="P1690" s="56">
        <f>HEX2DEC(RIGHT(Table1323212737[[#This Row],[h1]],8))</f>
        <v>0</v>
      </c>
      <c r="Q1690" s="56" t="s">
        <v>97</v>
      </c>
      <c r="R1690" s="56">
        <f>HEX2DEC(RIGHT(Table1323212737[[#This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6" t="s">
        <v>97</v>
      </c>
      <c r="P1691" s="56">
        <f>HEX2DEC(RIGHT(Table1323212737[[#This Row],[h1]],8))</f>
        <v>0</v>
      </c>
      <c r="Q1691" s="56" t="s">
        <v>97</v>
      </c>
      <c r="R1691" s="56">
        <f>HEX2DEC(RIGHT(Table1323212737[[#This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6" t="s">
        <v>97</v>
      </c>
      <c r="P1692" s="56">
        <f>HEX2DEC(RIGHT(Table1323212737[[#This Row],[h1]],8))</f>
        <v>0</v>
      </c>
      <c r="Q1692" s="56" t="s">
        <v>97</v>
      </c>
      <c r="R1692" s="56">
        <f>HEX2DEC(RIGHT(Table1323212737[[#This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6" t="s">
        <v>97</v>
      </c>
      <c r="P1693" s="56">
        <f>HEX2DEC(RIGHT(Table1323212737[[#This Row],[h1]],8))</f>
        <v>0</v>
      </c>
      <c r="Q1693" s="56" t="s">
        <v>97</v>
      </c>
      <c r="R1693" s="56">
        <f>HEX2DEC(RIGHT(Table1323212737[[#This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6" t="s">
        <v>97</v>
      </c>
      <c r="P1694" s="56">
        <f>HEX2DEC(RIGHT(Table1323212737[[#This Row],[h1]],8))</f>
        <v>0</v>
      </c>
      <c r="Q1694" s="56" t="s">
        <v>97</v>
      </c>
      <c r="R1694" s="56">
        <f>HEX2DEC(RIGHT(Table1323212737[[#This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6" t="s">
        <v>97</v>
      </c>
      <c r="P1695" s="56">
        <f>HEX2DEC(RIGHT(Table1323212737[[#This Row],[h1]],8))</f>
        <v>0</v>
      </c>
      <c r="Q1695" s="56" t="s">
        <v>97</v>
      </c>
      <c r="R1695" s="56">
        <f>HEX2DEC(RIGHT(Table1323212737[[#This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6" t="s">
        <v>97</v>
      </c>
      <c r="P1696" s="56">
        <f>HEX2DEC(RIGHT(Table1323212737[[#This Row],[h1]],8))</f>
        <v>0</v>
      </c>
      <c r="Q1696" s="56" t="s">
        <v>97</v>
      </c>
      <c r="R1696" s="56">
        <f>HEX2DEC(RIGHT(Table1323212737[[#This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6" t="s">
        <v>97</v>
      </c>
      <c r="P1697" s="56">
        <f>HEX2DEC(RIGHT(Table1323212737[[#This Row],[h1]],8))</f>
        <v>0</v>
      </c>
      <c r="Q1697" s="56" t="s">
        <v>97</v>
      </c>
      <c r="R1697" s="56">
        <f>HEX2DEC(RIGHT(Table1323212737[[#This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6" t="s">
        <v>97</v>
      </c>
      <c r="P1698" s="56">
        <f>HEX2DEC(RIGHT(Table1323212737[[#This Row],[h1]],8))</f>
        <v>0</v>
      </c>
      <c r="Q1698" s="56" t="s">
        <v>97</v>
      </c>
      <c r="R1698" s="56">
        <f>HEX2DEC(RIGHT(Table1323212737[[#This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6" t="s">
        <v>97</v>
      </c>
      <c r="P1699" s="56">
        <f>HEX2DEC(RIGHT(Table1323212737[[#This Row],[h1]],8))</f>
        <v>0</v>
      </c>
      <c r="Q1699" s="56" t="s">
        <v>97</v>
      </c>
      <c r="R1699" s="56">
        <f>HEX2DEC(RIGHT(Table1323212737[[#This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6" t="s">
        <v>97</v>
      </c>
      <c r="P1700" s="56">
        <f>HEX2DEC(RIGHT(Table1323212737[[#This Row],[h1]],8))</f>
        <v>0</v>
      </c>
      <c r="Q1700" s="56" t="s">
        <v>97</v>
      </c>
      <c r="R1700" s="56">
        <f>HEX2DEC(RIGHT(Table1323212737[[#This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6" t="s">
        <v>97</v>
      </c>
      <c r="P1701" s="56">
        <f>HEX2DEC(RIGHT(Table1323212737[[#This Row],[h1]],8))</f>
        <v>0</v>
      </c>
      <c r="Q1701" s="56" t="s">
        <v>97</v>
      </c>
      <c r="R1701" s="56">
        <f>HEX2DEC(RIGHT(Table1323212737[[#This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6" t="s">
        <v>97</v>
      </c>
      <c r="P1702" s="56">
        <f>HEX2DEC(RIGHT(Table1323212737[[#This Row],[h1]],8))</f>
        <v>0</v>
      </c>
      <c r="Q1702" s="56" t="s">
        <v>97</v>
      </c>
      <c r="R1702" s="56">
        <f>HEX2DEC(RIGHT(Table1323212737[[#This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6" t="s">
        <v>97</v>
      </c>
      <c r="P1703" s="56">
        <f>HEX2DEC(RIGHT(Table1323212737[[#This Row],[h1]],8))</f>
        <v>0</v>
      </c>
      <c r="Q1703" s="56" t="s">
        <v>97</v>
      </c>
      <c r="R1703" s="56">
        <f>HEX2DEC(RIGHT(Table1323212737[[#This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6" t="s">
        <v>97</v>
      </c>
      <c r="P1704" s="56">
        <f>HEX2DEC(RIGHT(Table1323212737[[#This Row],[h1]],8))</f>
        <v>0</v>
      </c>
      <c r="Q1704" s="56" t="s">
        <v>97</v>
      </c>
      <c r="R1704" s="56">
        <f>HEX2DEC(RIGHT(Table1323212737[[#This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6" t="s">
        <v>97</v>
      </c>
      <c r="P1705" s="56">
        <f>HEX2DEC(RIGHT(Table1323212737[[#This Row],[h1]],8))</f>
        <v>0</v>
      </c>
      <c r="Q1705" s="56" t="s">
        <v>97</v>
      </c>
      <c r="R1705" s="56">
        <f>HEX2DEC(RIGHT(Table1323212737[[#This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6" t="s">
        <v>97</v>
      </c>
      <c r="P1706" s="56">
        <f>HEX2DEC(RIGHT(Table1323212737[[#This Row],[h1]],8))</f>
        <v>0</v>
      </c>
      <c r="Q1706" s="56" t="s">
        <v>97</v>
      </c>
      <c r="R1706" s="56">
        <f>HEX2DEC(RIGHT(Table1323212737[[#This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6" t="s">
        <v>97</v>
      </c>
      <c r="P1707" s="56">
        <f>HEX2DEC(RIGHT(Table1323212737[[#This Row],[h1]],8))</f>
        <v>0</v>
      </c>
      <c r="Q1707" s="56" t="s">
        <v>97</v>
      </c>
      <c r="R1707" s="56">
        <f>HEX2DEC(RIGHT(Table1323212737[[#This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6" t="s">
        <v>97</v>
      </c>
      <c r="P1708" s="56">
        <f>HEX2DEC(RIGHT(Table1323212737[[#This Row],[h1]],8))</f>
        <v>0</v>
      </c>
      <c r="Q1708" s="56" t="s">
        <v>97</v>
      </c>
      <c r="R1708" s="56">
        <f>HEX2DEC(RIGHT(Table1323212737[[#This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6" t="s">
        <v>97</v>
      </c>
      <c r="P1709" s="56">
        <f>HEX2DEC(RIGHT(Table1323212737[[#This Row],[h1]],8))</f>
        <v>0</v>
      </c>
      <c r="Q1709" s="56" t="s">
        <v>97</v>
      </c>
      <c r="R1709" s="56">
        <f>HEX2DEC(RIGHT(Table1323212737[[#This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6" t="s">
        <v>97</v>
      </c>
      <c r="P1710" s="56">
        <f>HEX2DEC(RIGHT(Table1323212737[[#This Row],[h1]],8))</f>
        <v>0</v>
      </c>
      <c r="Q1710" s="56" t="s">
        <v>97</v>
      </c>
      <c r="R1710" s="56">
        <f>HEX2DEC(RIGHT(Table1323212737[[#This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6" t="s">
        <v>97</v>
      </c>
      <c r="P1711" s="56">
        <f>HEX2DEC(RIGHT(Table1323212737[[#This Row],[h1]],8))</f>
        <v>0</v>
      </c>
      <c r="Q1711" s="56" t="s">
        <v>97</v>
      </c>
      <c r="R1711" s="56">
        <f>HEX2DEC(RIGHT(Table1323212737[[#This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6" t="s">
        <v>97</v>
      </c>
      <c r="P1712" s="56">
        <f>HEX2DEC(RIGHT(Table1323212737[[#This Row],[h1]],8))</f>
        <v>0</v>
      </c>
      <c r="Q1712" s="56" t="s">
        <v>97</v>
      </c>
      <c r="R1712" s="56">
        <f>HEX2DEC(RIGHT(Table1323212737[[#This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6" t="s">
        <v>97</v>
      </c>
      <c r="P1713" s="56">
        <f>HEX2DEC(RIGHT(Table1323212737[[#This Row],[h1]],8))</f>
        <v>0</v>
      </c>
      <c r="Q1713" s="56" t="s">
        <v>97</v>
      </c>
      <c r="R1713" s="56">
        <f>HEX2DEC(RIGHT(Table1323212737[[#This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6" t="s">
        <v>97</v>
      </c>
      <c r="P1714" s="56">
        <f>HEX2DEC(RIGHT(Table1323212737[[#This Row],[h1]],8))</f>
        <v>0</v>
      </c>
      <c r="Q1714" s="56" t="s">
        <v>97</v>
      </c>
      <c r="R1714" s="56">
        <f>HEX2DEC(RIGHT(Table1323212737[[#This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6" t="s">
        <v>97</v>
      </c>
      <c r="P1715" s="56">
        <f>HEX2DEC(RIGHT(Table1323212737[[#This Row],[h1]],8))</f>
        <v>0</v>
      </c>
      <c r="Q1715" s="56" t="s">
        <v>97</v>
      </c>
      <c r="R1715" s="56">
        <f>HEX2DEC(RIGHT(Table1323212737[[#This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6" t="s">
        <v>97</v>
      </c>
      <c r="P1716" s="56">
        <f>HEX2DEC(RIGHT(Table1323212737[[#This Row],[h1]],8))</f>
        <v>0</v>
      </c>
      <c r="Q1716" s="56" t="s">
        <v>97</v>
      </c>
      <c r="R1716" s="56">
        <f>HEX2DEC(RIGHT(Table1323212737[[#This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6" t="s">
        <v>97</v>
      </c>
      <c r="P1717" s="56">
        <f>HEX2DEC(RIGHT(Table1323212737[[#This Row],[h1]],8))</f>
        <v>0</v>
      </c>
      <c r="Q1717" s="56" t="s">
        <v>97</v>
      </c>
      <c r="R1717" s="56">
        <f>HEX2DEC(RIGHT(Table1323212737[[#This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6" t="s">
        <v>97</v>
      </c>
      <c r="P1718" s="56">
        <f>HEX2DEC(RIGHT(Table1323212737[[#This Row],[h1]],8))</f>
        <v>0</v>
      </c>
      <c r="Q1718" s="56" t="s">
        <v>97</v>
      </c>
      <c r="R1718" s="56">
        <f>HEX2DEC(RIGHT(Table1323212737[[#This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6" t="s">
        <v>97</v>
      </c>
      <c r="P1719" s="56">
        <f>HEX2DEC(RIGHT(Table1323212737[[#This Row],[h1]],8))</f>
        <v>0</v>
      </c>
      <c r="Q1719" s="56" t="s">
        <v>97</v>
      </c>
      <c r="R1719" s="56">
        <f>HEX2DEC(RIGHT(Table1323212737[[#This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6" t="s">
        <v>97</v>
      </c>
      <c r="P1720" s="56">
        <f>HEX2DEC(RIGHT(Table1323212737[[#This Row],[h1]],8))</f>
        <v>0</v>
      </c>
      <c r="Q1720" s="56" t="s">
        <v>97</v>
      </c>
      <c r="R1720" s="56">
        <f>HEX2DEC(RIGHT(Table1323212737[[#This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6" t="s">
        <v>97</v>
      </c>
      <c r="P1721" s="56">
        <f>HEX2DEC(RIGHT(Table1323212737[[#This Row],[h1]],8))</f>
        <v>0</v>
      </c>
      <c r="Q1721" s="56" t="s">
        <v>97</v>
      </c>
      <c r="R1721" s="56">
        <f>HEX2DEC(RIGHT(Table1323212737[[#This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6" t="s">
        <v>97</v>
      </c>
      <c r="P1722" s="56">
        <f>HEX2DEC(RIGHT(Table1323212737[[#This Row],[h1]],8))</f>
        <v>0</v>
      </c>
      <c r="Q1722" s="56" t="s">
        <v>97</v>
      </c>
      <c r="R1722" s="56">
        <f>HEX2DEC(RIGHT(Table1323212737[[#This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6" t="s">
        <v>97</v>
      </c>
      <c r="P1723" s="56">
        <f>HEX2DEC(RIGHT(Table1323212737[[#This Row],[h1]],8))</f>
        <v>0</v>
      </c>
      <c r="Q1723" s="56" t="s">
        <v>97</v>
      </c>
      <c r="R1723" s="56">
        <f>HEX2DEC(RIGHT(Table1323212737[[#This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6" t="s">
        <v>97</v>
      </c>
      <c r="P1724" s="56">
        <f>HEX2DEC(RIGHT(Table1323212737[[#This Row],[h1]],8))</f>
        <v>0</v>
      </c>
      <c r="Q1724" s="56" t="s">
        <v>97</v>
      </c>
      <c r="R1724" s="56">
        <f>HEX2DEC(RIGHT(Table1323212737[[#This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6" t="s">
        <v>97</v>
      </c>
      <c r="P1725" s="56">
        <f>HEX2DEC(RIGHT(Table1323212737[[#This Row],[h1]],8))</f>
        <v>0</v>
      </c>
      <c r="Q1725" s="56" t="s">
        <v>97</v>
      </c>
      <c r="R1725" s="56">
        <f>HEX2DEC(RIGHT(Table1323212737[[#This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6" t="s">
        <v>97</v>
      </c>
      <c r="P1726" s="56">
        <f>HEX2DEC(RIGHT(Table1323212737[[#This Row],[h1]],8))</f>
        <v>0</v>
      </c>
      <c r="Q1726" s="56" t="s">
        <v>97</v>
      </c>
      <c r="R1726" s="56">
        <f>HEX2DEC(RIGHT(Table1323212737[[#This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6" t="s">
        <v>97</v>
      </c>
      <c r="P1727" s="56">
        <f>HEX2DEC(RIGHT(Table1323212737[[#This Row],[h1]],8))</f>
        <v>0</v>
      </c>
      <c r="Q1727" s="56" t="s">
        <v>97</v>
      </c>
      <c r="R1727" s="56">
        <f>HEX2DEC(RIGHT(Table1323212737[[#This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6" t="s">
        <v>97</v>
      </c>
      <c r="P1728" s="56">
        <f>HEX2DEC(RIGHT(Table1323212737[[#This Row],[h1]],8))</f>
        <v>0</v>
      </c>
      <c r="Q1728" s="56" t="s">
        <v>97</v>
      </c>
      <c r="R1728" s="56">
        <f>HEX2DEC(RIGHT(Table1323212737[[#This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6" t="s">
        <v>97</v>
      </c>
      <c r="P1729" s="56">
        <f>HEX2DEC(RIGHT(Table1323212737[[#This Row],[h1]],8))</f>
        <v>0</v>
      </c>
      <c r="Q1729" s="56" t="s">
        <v>97</v>
      </c>
      <c r="R1729" s="56">
        <f>HEX2DEC(RIGHT(Table1323212737[[#This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6" t="s">
        <v>97</v>
      </c>
      <c r="P1730" s="56">
        <f>HEX2DEC(RIGHT(Table1323212737[[#This Row],[h1]],8))</f>
        <v>0</v>
      </c>
      <c r="Q1730" s="56" t="s">
        <v>97</v>
      </c>
      <c r="R1730" s="56">
        <f>HEX2DEC(RIGHT(Table1323212737[[#This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6" t="s">
        <v>97</v>
      </c>
      <c r="P1731" s="56">
        <f>HEX2DEC(RIGHT(Table1323212737[[#This Row],[h1]],8))</f>
        <v>0</v>
      </c>
      <c r="Q1731" s="56" t="s">
        <v>97</v>
      </c>
      <c r="R1731" s="56">
        <f>HEX2DEC(RIGHT(Table1323212737[[#This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6" t="s">
        <v>97</v>
      </c>
      <c r="P1732" s="56">
        <f>HEX2DEC(RIGHT(Table1323212737[[#This Row],[h1]],8))</f>
        <v>0</v>
      </c>
      <c r="Q1732" s="56" t="s">
        <v>97</v>
      </c>
      <c r="R1732" s="56">
        <f>HEX2DEC(RIGHT(Table1323212737[[#This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6" t="s">
        <v>97</v>
      </c>
      <c r="P1733" s="56">
        <f>HEX2DEC(RIGHT(Table1323212737[[#This Row],[h1]],8))</f>
        <v>0</v>
      </c>
      <c r="Q1733" s="56" t="s">
        <v>97</v>
      </c>
      <c r="R1733" s="56">
        <f>HEX2DEC(RIGHT(Table1323212737[[#This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6" t="s">
        <v>97</v>
      </c>
      <c r="P1734" s="56">
        <f>HEX2DEC(RIGHT(Table1323212737[[#This Row],[h1]],8))</f>
        <v>0</v>
      </c>
      <c r="Q1734" s="56" t="s">
        <v>97</v>
      </c>
      <c r="R1734" s="56">
        <f>HEX2DEC(RIGHT(Table1323212737[[#This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6" t="s">
        <v>97</v>
      </c>
      <c r="P1735" s="56">
        <f>HEX2DEC(RIGHT(Table1323212737[[#This Row],[h1]],8))</f>
        <v>0</v>
      </c>
      <c r="Q1735" s="56" t="s">
        <v>97</v>
      </c>
      <c r="R1735" s="56">
        <f>HEX2DEC(RIGHT(Table1323212737[[#This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6" t="s">
        <v>97</v>
      </c>
      <c r="P1736" s="56">
        <f>HEX2DEC(RIGHT(Table1323212737[[#This Row],[h1]],8))</f>
        <v>0</v>
      </c>
      <c r="Q1736" s="56" t="s">
        <v>97</v>
      </c>
      <c r="R1736" s="56">
        <f>HEX2DEC(RIGHT(Table1323212737[[#This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6" t="s">
        <v>97</v>
      </c>
      <c r="P1737" s="56">
        <f>HEX2DEC(RIGHT(Table1323212737[[#This Row],[h1]],8))</f>
        <v>0</v>
      </c>
      <c r="Q1737" s="56" t="s">
        <v>97</v>
      </c>
      <c r="R1737" s="56">
        <f>HEX2DEC(RIGHT(Table1323212737[[#This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6" t="s">
        <v>97</v>
      </c>
      <c r="P1738" s="56">
        <f>HEX2DEC(RIGHT(Table1323212737[[#This Row],[h1]],8))</f>
        <v>0</v>
      </c>
      <c r="Q1738" s="56" t="s">
        <v>97</v>
      </c>
      <c r="R1738" s="56">
        <f>HEX2DEC(RIGHT(Table1323212737[[#This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6" t="s">
        <v>97</v>
      </c>
      <c r="P1739" s="56">
        <f>HEX2DEC(RIGHT(Table1323212737[[#This Row],[h1]],8))</f>
        <v>0</v>
      </c>
      <c r="Q1739" s="56" t="s">
        <v>97</v>
      </c>
      <c r="R1739" s="56">
        <f>HEX2DEC(RIGHT(Table1323212737[[#This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6" t="s">
        <v>97</v>
      </c>
      <c r="P1740" s="56">
        <f>HEX2DEC(RIGHT(Table1323212737[[#This Row],[h1]],8))</f>
        <v>0</v>
      </c>
      <c r="Q1740" s="56" t="s">
        <v>97</v>
      </c>
      <c r="R1740" s="56">
        <f>HEX2DEC(RIGHT(Table1323212737[[#This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6" t="s">
        <v>97</v>
      </c>
      <c r="P1741" s="56">
        <f>HEX2DEC(RIGHT(Table1323212737[[#This Row],[h1]],8))</f>
        <v>0</v>
      </c>
      <c r="Q1741" s="56" t="s">
        <v>97</v>
      </c>
      <c r="R1741" s="56">
        <f>HEX2DEC(RIGHT(Table1323212737[[#This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6" t="s">
        <v>97</v>
      </c>
      <c r="P1742" s="56">
        <f>HEX2DEC(RIGHT(Table1323212737[[#This Row],[h1]],8))</f>
        <v>0</v>
      </c>
      <c r="Q1742" s="56" t="s">
        <v>97</v>
      </c>
      <c r="R1742" s="56">
        <f>HEX2DEC(RIGHT(Table1323212737[[#This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6" t="s">
        <v>97</v>
      </c>
      <c r="P1743" s="56">
        <f>HEX2DEC(RIGHT(Table1323212737[[#This Row],[h1]],8))</f>
        <v>0</v>
      </c>
      <c r="Q1743" s="56" t="s">
        <v>97</v>
      </c>
      <c r="R1743" s="56">
        <f>HEX2DEC(RIGHT(Table1323212737[[#This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6" t="s">
        <v>97</v>
      </c>
      <c r="P1744" s="56">
        <f>HEX2DEC(RIGHT(Table1323212737[[#This Row],[h1]],8))</f>
        <v>0</v>
      </c>
      <c r="Q1744" s="56" t="s">
        <v>97</v>
      </c>
      <c r="R1744" s="56">
        <f>HEX2DEC(RIGHT(Table1323212737[[#This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6" t="s">
        <v>97</v>
      </c>
      <c r="P1745" s="56">
        <f>HEX2DEC(RIGHT(Table1323212737[[#This Row],[h1]],8))</f>
        <v>0</v>
      </c>
      <c r="Q1745" s="56" t="s">
        <v>97</v>
      </c>
      <c r="R1745" s="56">
        <f>HEX2DEC(RIGHT(Table1323212737[[#This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6" t="s">
        <v>97</v>
      </c>
      <c r="P1746" s="56">
        <f>HEX2DEC(RIGHT(Table1323212737[[#This Row],[h1]],8))</f>
        <v>0</v>
      </c>
      <c r="Q1746" s="56" t="s">
        <v>97</v>
      </c>
      <c r="R1746" s="56">
        <f>HEX2DEC(RIGHT(Table1323212737[[#This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6" t="s">
        <v>97</v>
      </c>
      <c r="P1747" s="56">
        <f>HEX2DEC(RIGHT(Table1323212737[[#This Row],[h1]],8))</f>
        <v>0</v>
      </c>
      <c r="Q1747" s="56" t="s">
        <v>97</v>
      </c>
      <c r="R1747" s="56">
        <f>HEX2DEC(RIGHT(Table1323212737[[#This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6" t="s">
        <v>97</v>
      </c>
      <c r="P1748" s="56">
        <f>HEX2DEC(RIGHT(Table1323212737[[#This Row],[h1]],8))</f>
        <v>0</v>
      </c>
      <c r="Q1748" s="56" t="s">
        <v>97</v>
      </c>
      <c r="R1748" s="56">
        <f>HEX2DEC(RIGHT(Table1323212737[[#This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6" t="s">
        <v>97</v>
      </c>
      <c r="P1749" s="56">
        <f>HEX2DEC(RIGHT(Table1323212737[[#This Row],[h1]],8))</f>
        <v>0</v>
      </c>
      <c r="Q1749" s="56" t="s">
        <v>97</v>
      </c>
      <c r="R1749" s="56">
        <f>HEX2DEC(RIGHT(Table1323212737[[#This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6" t="s">
        <v>97</v>
      </c>
      <c r="P1750" s="56">
        <f>HEX2DEC(RIGHT(Table1323212737[[#This Row],[h1]],8))</f>
        <v>0</v>
      </c>
      <c r="Q1750" s="56" t="s">
        <v>97</v>
      </c>
      <c r="R1750" s="56">
        <f>HEX2DEC(RIGHT(Table1323212737[[#This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6" t="s">
        <v>97</v>
      </c>
      <c r="P1751" s="56">
        <f>HEX2DEC(RIGHT(Table1323212737[[#This Row],[h1]],8))</f>
        <v>0</v>
      </c>
      <c r="Q1751" s="56" t="s">
        <v>97</v>
      </c>
      <c r="R1751" s="56">
        <f>HEX2DEC(RIGHT(Table1323212737[[#This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6" t="s">
        <v>97</v>
      </c>
      <c r="P1752" s="56">
        <f>HEX2DEC(RIGHT(Table1323212737[[#This Row],[h1]],8))</f>
        <v>0</v>
      </c>
      <c r="Q1752" s="56" t="s">
        <v>97</v>
      </c>
      <c r="R1752" s="56">
        <f>HEX2DEC(RIGHT(Table1323212737[[#This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6" t="s">
        <v>97</v>
      </c>
      <c r="P1753" s="56">
        <f>HEX2DEC(RIGHT(Table1323212737[[#This Row],[h1]],8))</f>
        <v>0</v>
      </c>
      <c r="Q1753" s="56" t="s">
        <v>97</v>
      </c>
      <c r="R1753" s="56">
        <f>HEX2DEC(RIGHT(Table1323212737[[#This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6" t="s">
        <v>97</v>
      </c>
      <c r="P1754" s="56">
        <f>HEX2DEC(RIGHT(Table1323212737[[#This Row],[h1]],8))</f>
        <v>0</v>
      </c>
      <c r="Q1754" s="56" t="s">
        <v>97</v>
      </c>
      <c r="R1754" s="56">
        <f>HEX2DEC(RIGHT(Table1323212737[[#This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6" t="s">
        <v>97</v>
      </c>
      <c r="P1755" s="56">
        <f>HEX2DEC(RIGHT(Table1323212737[[#This Row],[h1]],8))</f>
        <v>0</v>
      </c>
      <c r="Q1755" s="56" t="s">
        <v>97</v>
      </c>
      <c r="R1755" s="56">
        <f>HEX2DEC(RIGHT(Table1323212737[[#This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6" t="s">
        <v>97</v>
      </c>
      <c r="P1756" s="56">
        <f>HEX2DEC(RIGHT(Table1323212737[[#This Row],[h1]],8))</f>
        <v>0</v>
      </c>
      <c r="Q1756" s="56" t="s">
        <v>97</v>
      </c>
      <c r="R1756" s="56">
        <f>HEX2DEC(RIGHT(Table1323212737[[#This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6" t="s">
        <v>97</v>
      </c>
      <c r="P1757" s="56">
        <f>HEX2DEC(RIGHT(Table1323212737[[#This Row],[h1]],8))</f>
        <v>0</v>
      </c>
      <c r="Q1757" s="56" t="s">
        <v>97</v>
      </c>
      <c r="R1757" s="56">
        <f>HEX2DEC(RIGHT(Table1323212737[[#This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6" t="s">
        <v>97</v>
      </c>
      <c r="P1758" s="56">
        <f>HEX2DEC(RIGHT(Table1323212737[[#This Row],[h1]],8))</f>
        <v>0</v>
      </c>
      <c r="Q1758" s="56" t="s">
        <v>97</v>
      </c>
      <c r="R1758" s="56">
        <f>HEX2DEC(RIGHT(Table1323212737[[#This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6" t="s">
        <v>97</v>
      </c>
      <c r="P1759" s="56">
        <f>HEX2DEC(RIGHT(Table1323212737[[#This Row],[h1]],8))</f>
        <v>0</v>
      </c>
      <c r="Q1759" s="56" t="s">
        <v>97</v>
      </c>
      <c r="R1759" s="56">
        <f>HEX2DEC(RIGHT(Table1323212737[[#This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6" t="s">
        <v>97</v>
      </c>
      <c r="P1760" s="56">
        <f>HEX2DEC(RIGHT(Table1323212737[[#This Row],[h1]],8))</f>
        <v>0</v>
      </c>
      <c r="Q1760" s="56" t="s">
        <v>97</v>
      </c>
      <c r="R1760" s="56">
        <f>HEX2DEC(RIGHT(Table1323212737[[#This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6" t="s">
        <v>97</v>
      </c>
      <c r="P1761" s="56">
        <f>HEX2DEC(RIGHT(Table1323212737[[#This Row],[h1]],8))</f>
        <v>0</v>
      </c>
      <c r="Q1761" s="56" t="s">
        <v>97</v>
      </c>
      <c r="R1761" s="56">
        <f>HEX2DEC(RIGHT(Table1323212737[[#This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6" t="s">
        <v>97</v>
      </c>
      <c r="P1762" s="56">
        <f>HEX2DEC(RIGHT(Table1323212737[[#This Row],[h1]],8))</f>
        <v>0</v>
      </c>
      <c r="Q1762" s="56" t="s">
        <v>97</v>
      </c>
      <c r="R1762" s="56">
        <f>HEX2DEC(RIGHT(Table1323212737[[#This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6" t="s">
        <v>97</v>
      </c>
      <c r="P1763" s="56">
        <f>HEX2DEC(RIGHT(Table1323212737[[#This Row],[h1]],8))</f>
        <v>0</v>
      </c>
      <c r="Q1763" s="56" t="s">
        <v>97</v>
      </c>
      <c r="R1763" s="56">
        <f>HEX2DEC(RIGHT(Table1323212737[[#This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6" t="s">
        <v>97</v>
      </c>
      <c r="P1764" s="56">
        <f>HEX2DEC(RIGHT(Table1323212737[[#This Row],[h1]],8))</f>
        <v>0</v>
      </c>
      <c r="Q1764" s="56" t="s">
        <v>97</v>
      </c>
      <c r="R1764" s="56">
        <f>HEX2DEC(RIGHT(Table1323212737[[#This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6" t="s">
        <v>97</v>
      </c>
      <c r="P1765" s="56">
        <f>HEX2DEC(RIGHT(Table1323212737[[#This Row],[h1]],8))</f>
        <v>0</v>
      </c>
      <c r="Q1765" s="56" t="s">
        <v>97</v>
      </c>
      <c r="R1765" s="56">
        <f>HEX2DEC(RIGHT(Table1323212737[[#This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6" t="s">
        <v>97</v>
      </c>
      <c r="P1766" s="56">
        <f>HEX2DEC(RIGHT(Table1323212737[[#This Row],[h1]],8))</f>
        <v>0</v>
      </c>
      <c r="Q1766" s="56" t="s">
        <v>97</v>
      </c>
      <c r="R1766" s="56">
        <f>HEX2DEC(RIGHT(Table1323212737[[#This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6" t="s">
        <v>97</v>
      </c>
      <c r="P1767" s="56">
        <f>HEX2DEC(RIGHT(Table1323212737[[#This Row],[h1]],8))</f>
        <v>0</v>
      </c>
      <c r="Q1767" s="56" t="s">
        <v>97</v>
      </c>
      <c r="R1767" s="56">
        <f>HEX2DEC(RIGHT(Table1323212737[[#This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6" t="s">
        <v>97</v>
      </c>
      <c r="P1768" s="56">
        <f>HEX2DEC(RIGHT(Table1323212737[[#This Row],[h1]],8))</f>
        <v>0</v>
      </c>
      <c r="Q1768" s="56" t="s">
        <v>97</v>
      </c>
      <c r="R1768" s="56">
        <f>HEX2DEC(RIGHT(Table1323212737[[#This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6" t="s">
        <v>97</v>
      </c>
      <c r="P1769" s="56">
        <f>HEX2DEC(RIGHT(Table1323212737[[#This Row],[h1]],8))</f>
        <v>0</v>
      </c>
      <c r="Q1769" s="56" t="s">
        <v>97</v>
      </c>
      <c r="R1769" s="56">
        <f>HEX2DEC(RIGHT(Table1323212737[[#This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6" t="s">
        <v>97</v>
      </c>
      <c r="P1770" s="56">
        <f>HEX2DEC(RIGHT(Table1323212737[[#This Row],[h1]],8))</f>
        <v>0</v>
      </c>
      <c r="Q1770" s="56" t="s">
        <v>97</v>
      </c>
      <c r="R1770" s="56">
        <f>HEX2DEC(RIGHT(Table1323212737[[#This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6" t="s">
        <v>97</v>
      </c>
      <c r="P1771" s="56">
        <f>HEX2DEC(RIGHT(Table1323212737[[#This Row],[h1]],8))</f>
        <v>0</v>
      </c>
      <c r="Q1771" s="56" t="s">
        <v>97</v>
      </c>
      <c r="R1771" s="56">
        <f>HEX2DEC(RIGHT(Table1323212737[[#This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6" t="s">
        <v>97</v>
      </c>
      <c r="P1772" s="56">
        <f>HEX2DEC(RIGHT(Table1323212737[[#This Row],[h1]],8))</f>
        <v>0</v>
      </c>
      <c r="Q1772" s="56" t="s">
        <v>97</v>
      </c>
      <c r="R1772" s="56">
        <f>HEX2DEC(RIGHT(Table1323212737[[#This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6" t="s">
        <v>97</v>
      </c>
      <c r="P1773" s="56">
        <f>HEX2DEC(RIGHT(Table1323212737[[#This Row],[h1]],8))</f>
        <v>0</v>
      </c>
      <c r="Q1773" s="56" t="s">
        <v>97</v>
      </c>
      <c r="R1773" s="56">
        <f>HEX2DEC(RIGHT(Table1323212737[[#This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6" t="s">
        <v>97</v>
      </c>
      <c r="P1774" s="56">
        <f>HEX2DEC(RIGHT(Table1323212737[[#This Row],[h1]],8))</f>
        <v>0</v>
      </c>
      <c r="Q1774" s="56" t="s">
        <v>97</v>
      </c>
      <c r="R1774" s="56">
        <f>HEX2DEC(RIGHT(Table1323212737[[#This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6" t="s">
        <v>97</v>
      </c>
      <c r="P1775" s="56">
        <f>HEX2DEC(RIGHT(Table1323212737[[#This Row],[h1]],8))</f>
        <v>0</v>
      </c>
      <c r="Q1775" s="56" t="s">
        <v>97</v>
      </c>
      <c r="R1775" s="56">
        <f>HEX2DEC(RIGHT(Table1323212737[[#This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6" t="s">
        <v>97</v>
      </c>
      <c r="P1776" s="56">
        <f>HEX2DEC(RIGHT(Table1323212737[[#This Row],[h1]],8))</f>
        <v>0</v>
      </c>
      <c r="Q1776" s="56" t="s">
        <v>97</v>
      </c>
      <c r="R1776" s="56">
        <f>HEX2DEC(RIGHT(Table1323212737[[#This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6" t="s">
        <v>97</v>
      </c>
      <c r="P1777" s="56">
        <f>HEX2DEC(RIGHT(Table1323212737[[#This Row],[h1]],8))</f>
        <v>0</v>
      </c>
      <c r="Q1777" s="56" t="s">
        <v>97</v>
      </c>
      <c r="R1777" s="56">
        <f>HEX2DEC(RIGHT(Table1323212737[[#This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6" t="s">
        <v>97</v>
      </c>
      <c r="P1778" s="56">
        <f>HEX2DEC(RIGHT(Table1323212737[[#This Row],[h1]],8))</f>
        <v>0</v>
      </c>
      <c r="Q1778" s="56" t="s">
        <v>97</v>
      </c>
      <c r="R1778" s="56">
        <f>HEX2DEC(RIGHT(Table1323212737[[#This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6" t="s">
        <v>97</v>
      </c>
      <c r="P1779" s="56">
        <f>HEX2DEC(RIGHT(Table1323212737[[#This Row],[h1]],8))</f>
        <v>0</v>
      </c>
      <c r="Q1779" s="56" t="s">
        <v>97</v>
      </c>
      <c r="R1779" s="56">
        <f>HEX2DEC(RIGHT(Table1323212737[[#This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6" t="s">
        <v>97</v>
      </c>
      <c r="P1780" s="56">
        <f>HEX2DEC(RIGHT(Table1323212737[[#This Row],[h1]],8))</f>
        <v>0</v>
      </c>
      <c r="Q1780" s="56" t="s">
        <v>97</v>
      </c>
      <c r="R1780" s="56">
        <f>HEX2DEC(RIGHT(Table1323212737[[#This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6" t="s">
        <v>97</v>
      </c>
      <c r="P1781" s="56">
        <f>HEX2DEC(RIGHT(Table1323212737[[#This Row],[h1]],8))</f>
        <v>0</v>
      </c>
      <c r="Q1781" s="56" t="s">
        <v>97</v>
      </c>
      <c r="R1781" s="56">
        <f>HEX2DEC(RIGHT(Table1323212737[[#This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6" t="s">
        <v>97</v>
      </c>
      <c r="P1782" s="56">
        <f>HEX2DEC(RIGHT(Table1323212737[[#This Row],[h1]],8))</f>
        <v>0</v>
      </c>
      <c r="Q1782" s="56" t="s">
        <v>97</v>
      </c>
      <c r="R1782" s="56">
        <f>HEX2DEC(RIGHT(Table1323212737[[#This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6" t="s">
        <v>97</v>
      </c>
      <c r="P1783" s="56">
        <f>HEX2DEC(RIGHT(Table1323212737[[#This Row],[h1]],8))</f>
        <v>0</v>
      </c>
      <c r="Q1783" s="56" t="s">
        <v>97</v>
      </c>
      <c r="R1783" s="56">
        <f>HEX2DEC(RIGHT(Table1323212737[[#This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6" t="s">
        <v>97</v>
      </c>
      <c r="P1784" s="56">
        <f>HEX2DEC(RIGHT(Table1323212737[[#This Row],[h1]],8))</f>
        <v>0</v>
      </c>
      <c r="Q1784" s="56" t="s">
        <v>97</v>
      </c>
      <c r="R1784" s="56">
        <f>HEX2DEC(RIGHT(Table1323212737[[#This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6" t="s">
        <v>97</v>
      </c>
      <c r="P1785" s="56">
        <f>HEX2DEC(RIGHT(Table1323212737[[#This Row],[h1]],8))</f>
        <v>0</v>
      </c>
      <c r="Q1785" s="56" t="s">
        <v>97</v>
      </c>
      <c r="R1785" s="56">
        <f>HEX2DEC(RIGHT(Table1323212737[[#This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6" t="s">
        <v>97</v>
      </c>
      <c r="P1786" s="56">
        <f>HEX2DEC(RIGHT(Table1323212737[[#This Row],[h1]],8))</f>
        <v>0</v>
      </c>
      <c r="Q1786" s="56" t="s">
        <v>97</v>
      </c>
      <c r="R1786" s="56">
        <f>HEX2DEC(RIGHT(Table1323212737[[#This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6" t="s">
        <v>97</v>
      </c>
      <c r="P1787" s="56">
        <f>HEX2DEC(RIGHT(Table1323212737[[#This Row],[h1]],8))</f>
        <v>0</v>
      </c>
      <c r="Q1787" s="56" t="s">
        <v>97</v>
      </c>
      <c r="R1787" s="56">
        <f>HEX2DEC(RIGHT(Table1323212737[[#This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6" t="s">
        <v>97</v>
      </c>
      <c r="P1788" s="56">
        <f>HEX2DEC(RIGHT(Table1323212737[[#This Row],[h1]],8))</f>
        <v>0</v>
      </c>
      <c r="Q1788" s="56" t="s">
        <v>97</v>
      </c>
      <c r="R1788" s="56">
        <f>HEX2DEC(RIGHT(Table1323212737[[#This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6" t="s">
        <v>97</v>
      </c>
      <c r="P1789" s="56">
        <f>HEX2DEC(RIGHT(Table1323212737[[#This Row],[h1]],8))</f>
        <v>0</v>
      </c>
      <c r="Q1789" s="56" t="s">
        <v>97</v>
      </c>
      <c r="R1789" s="56">
        <f>HEX2DEC(RIGHT(Table1323212737[[#This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6" t="s">
        <v>97</v>
      </c>
      <c r="P1790" s="56">
        <f>HEX2DEC(RIGHT(Table1323212737[[#This Row],[h1]],8))</f>
        <v>0</v>
      </c>
      <c r="Q1790" s="56" t="s">
        <v>97</v>
      </c>
      <c r="R1790" s="56">
        <f>HEX2DEC(RIGHT(Table1323212737[[#This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6" t="s">
        <v>97</v>
      </c>
      <c r="P1791" s="56">
        <f>HEX2DEC(RIGHT(Table1323212737[[#This Row],[h1]],8))</f>
        <v>0</v>
      </c>
      <c r="Q1791" s="56" t="s">
        <v>97</v>
      </c>
      <c r="R1791" s="56">
        <f>HEX2DEC(RIGHT(Table1323212737[[#This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6" t="s">
        <v>97</v>
      </c>
      <c r="P1792" s="56">
        <f>HEX2DEC(RIGHT(Table1323212737[[#This Row],[h1]],8))</f>
        <v>0</v>
      </c>
      <c r="Q1792" s="56" t="s">
        <v>97</v>
      </c>
      <c r="R1792" s="56">
        <f>HEX2DEC(RIGHT(Table1323212737[[#This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6" t="s">
        <v>97</v>
      </c>
      <c r="P1793" s="56">
        <f>HEX2DEC(RIGHT(Table1323212737[[#This Row],[h1]],8))</f>
        <v>0</v>
      </c>
      <c r="Q1793" s="56" t="s">
        <v>97</v>
      </c>
      <c r="R1793" s="56">
        <f>HEX2DEC(RIGHT(Table1323212737[[#This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6" t="s">
        <v>97</v>
      </c>
      <c r="P1794" s="56">
        <f>HEX2DEC(RIGHT(Table1323212737[[#This Row],[h1]],8))</f>
        <v>0</v>
      </c>
      <c r="Q1794" s="56" t="s">
        <v>97</v>
      </c>
      <c r="R1794" s="56">
        <f>HEX2DEC(RIGHT(Table1323212737[[#This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6" t="s">
        <v>97</v>
      </c>
      <c r="P1795" s="56">
        <f>HEX2DEC(RIGHT(Table1323212737[[#This Row],[h1]],8))</f>
        <v>0</v>
      </c>
      <c r="Q1795" s="56" t="s">
        <v>97</v>
      </c>
      <c r="R1795" s="56">
        <f>HEX2DEC(RIGHT(Table1323212737[[#This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6" t="s">
        <v>97</v>
      </c>
      <c r="P1796" s="56">
        <f>HEX2DEC(RIGHT(Table1323212737[[#This Row],[h1]],8))</f>
        <v>0</v>
      </c>
      <c r="Q1796" s="56" t="s">
        <v>97</v>
      </c>
      <c r="R1796" s="56">
        <f>HEX2DEC(RIGHT(Table1323212737[[#This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6" t="s">
        <v>97</v>
      </c>
      <c r="P1797" s="56">
        <f>HEX2DEC(RIGHT(Table1323212737[[#This Row],[h1]],8))</f>
        <v>0</v>
      </c>
      <c r="Q1797" s="56" t="s">
        <v>97</v>
      </c>
      <c r="R1797" s="56">
        <f>HEX2DEC(RIGHT(Table1323212737[[#This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6" t="s">
        <v>97</v>
      </c>
      <c r="P1798" s="56">
        <f>HEX2DEC(RIGHT(Table1323212737[[#This Row],[h1]],8))</f>
        <v>0</v>
      </c>
      <c r="Q1798" s="56" t="s">
        <v>97</v>
      </c>
      <c r="R1798" s="56">
        <f>HEX2DEC(RIGHT(Table1323212737[[#This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6" t="s">
        <v>97</v>
      </c>
      <c r="P1799" s="56">
        <f>HEX2DEC(RIGHT(Table1323212737[[#This Row],[h1]],8))</f>
        <v>0</v>
      </c>
      <c r="Q1799" s="56" t="s">
        <v>97</v>
      </c>
      <c r="R1799" s="56">
        <f>HEX2DEC(RIGHT(Table1323212737[[#This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6" t="s">
        <v>97</v>
      </c>
      <c r="P1800" s="56">
        <f>HEX2DEC(RIGHT(Table1323212737[[#This Row],[h1]],8))</f>
        <v>0</v>
      </c>
      <c r="Q1800" s="56" t="s">
        <v>97</v>
      </c>
      <c r="R1800" s="56">
        <f>HEX2DEC(RIGHT(Table1323212737[[#This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6" t="s">
        <v>97</v>
      </c>
      <c r="P1801" s="56">
        <f>HEX2DEC(RIGHT(Table1323212737[[#This Row],[h1]],8))</f>
        <v>0</v>
      </c>
      <c r="Q1801" s="56" t="s">
        <v>97</v>
      </c>
      <c r="R1801" s="56">
        <f>HEX2DEC(RIGHT(Table1323212737[[#This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6" t="s">
        <v>97</v>
      </c>
      <c r="P1802" s="56">
        <f>HEX2DEC(RIGHT(Table1323212737[[#This Row],[h1]],8))</f>
        <v>0</v>
      </c>
      <c r="Q1802" s="56" t="s">
        <v>97</v>
      </c>
      <c r="R1802" s="56">
        <f>HEX2DEC(RIGHT(Table1323212737[[#This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6" t="s">
        <v>97</v>
      </c>
      <c r="P1803" s="56">
        <f>HEX2DEC(RIGHT(Table1323212737[[#This Row],[h1]],8))</f>
        <v>0</v>
      </c>
      <c r="Q1803" s="56" t="s">
        <v>97</v>
      </c>
      <c r="R1803" s="56">
        <f>HEX2DEC(RIGHT(Table1323212737[[#This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6" t="s">
        <v>97</v>
      </c>
      <c r="P1804" s="56">
        <f>HEX2DEC(RIGHT(Table1323212737[[#This Row],[h1]],8))</f>
        <v>0</v>
      </c>
      <c r="Q1804" s="56" t="s">
        <v>97</v>
      </c>
      <c r="R1804" s="56">
        <f>HEX2DEC(RIGHT(Table1323212737[[#This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6" t="s">
        <v>97</v>
      </c>
      <c r="P1805" s="56">
        <f>HEX2DEC(RIGHT(Table1323212737[[#This Row],[h1]],8))</f>
        <v>0</v>
      </c>
      <c r="Q1805" s="56" t="s">
        <v>97</v>
      </c>
      <c r="R1805" s="56">
        <f>HEX2DEC(RIGHT(Table1323212737[[#This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6" t="s">
        <v>97</v>
      </c>
      <c r="P1806" s="56">
        <f>HEX2DEC(RIGHT(Table1323212737[[#This Row],[h1]],8))</f>
        <v>0</v>
      </c>
      <c r="Q1806" s="56" t="s">
        <v>97</v>
      </c>
      <c r="R1806" s="56">
        <f>HEX2DEC(RIGHT(Table1323212737[[#This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6" t="s">
        <v>97</v>
      </c>
      <c r="P1807" s="56">
        <f>HEX2DEC(RIGHT(Table1323212737[[#This Row],[h1]],8))</f>
        <v>0</v>
      </c>
      <c r="Q1807" s="56" t="s">
        <v>97</v>
      </c>
      <c r="R1807" s="56">
        <f>HEX2DEC(RIGHT(Table1323212737[[#This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6" t="s">
        <v>97</v>
      </c>
      <c r="P1808" s="56">
        <f>HEX2DEC(RIGHT(Table1323212737[[#This Row],[h1]],8))</f>
        <v>0</v>
      </c>
      <c r="Q1808" s="56" t="s">
        <v>97</v>
      </c>
      <c r="R1808" s="56">
        <f>HEX2DEC(RIGHT(Table1323212737[[#This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6" t="s">
        <v>97</v>
      </c>
      <c r="P1809" s="56">
        <f>HEX2DEC(RIGHT(Table1323212737[[#This Row],[h1]],8))</f>
        <v>0</v>
      </c>
      <c r="Q1809" s="56" t="s">
        <v>97</v>
      </c>
      <c r="R1809" s="56">
        <f>HEX2DEC(RIGHT(Table1323212737[[#This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6" t="s">
        <v>97</v>
      </c>
      <c r="P1810" s="56">
        <f>HEX2DEC(RIGHT(Table1323212737[[#This Row],[h1]],8))</f>
        <v>0</v>
      </c>
      <c r="Q1810" s="56" t="s">
        <v>97</v>
      </c>
      <c r="R1810" s="56">
        <f>HEX2DEC(RIGHT(Table1323212737[[#This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6" t="s">
        <v>97</v>
      </c>
      <c r="P1811" s="56">
        <f>HEX2DEC(RIGHT(Table1323212737[[#This Row],[h1]],8))</f>
        <v>0</v>
      </c>
      <c r="Q1811" s="56" t="s">
        <v>97</v>
      </c>
      <c r="R1811" s="56">
        <f>HEX2DEC(RIGHT(Table1323212737[[#This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6" t="s">
        <v>97</v>
      </c>
      <c r="P1812" s="56">
        <f>HEX2DEC(RIGHT(Table1323212737[[#This Row],[h1]],8))</f>
        <v>0</v>
      </c>
      <c r="Q1812" s="56" t="s">
        <v>97</v>
      </c>
      <c r="R1812" s="56">
        <f>HEX2DEC(RIGHT(Table1323212737[[#This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6" t="s">
        <v>97</v>
      </c>
      <c r="P1813" s="56">
        <f>HEX2DEC(RIGHT(Table1323212737[[#This Row],[h1]],8))</f>
        <v>0</v>
      </c>
      <c r="Q1813" s="56" t="s">
        <v>97</v>
      </c>
      <c r="R1813" s="56">
        <f>HEX2DEC(RIGHT(Table1323212737[[#This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6" t="s">
        <v>97</v>
      </c>
      <c r="P1814" s="56">
        <f>HEX2DEC(RIGHT(Table1323212737[[#This Row],[h1]],8))</f>
        <v>0</v>
      </c>
      <c r="Q1814" s="56" t="s">
        <v>97</v>
      </c>
      <c r="R1814" s="56">
        <f>HEX2DEC(RIGHT(Table1323212737[[#This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6" t="s">
        <v>97</v>
      </c>
      <c r="P1815" s="56">
        <f>HEX2DEC(RIGHT(Table1323212737[[#This Row],[h1]],8))</f>
        <v>0</v>
      </c>
      <c r="Q1815" s="56" t="s">
        <v>97</v>
      </c>
      <c r="R1815" s="56">
        <f>HEX2DEC(RIGHT(Table1323212737[[#This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6" t="s">
        <v>97</v>
      </c>
      <c r="P1816" s="56">
        <f>HEX2DEC(RIGHT(Table1323212737[[#This Row],[h1]],8))</f>
        <v>0</v>
      </c>
      <c r="Q1816" s="56" t="s">
        <v>97</v>
      </c>
      <c r="R1816" s="56">
        <f>HEX2DEC(RIGHT(Table1323212737[[#This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6" t="s">
        <v>97</v>
      </c>
      <c r="P1817" s="56">
        <f>HEX2DEC(RIGHT(Table1323212737[[#This Row],[h1]],8))</f>
        <v>0</v>
      </c>
      <c r="Q1817" s="56" t="s">
        <v>97</v>
      </c>
      <c r="R1817" s="56">
        <f>HEX2DEC(RIGHT(Table1323212737[[#This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6" t="s">
        <v>97</v>
      </c>
      <c r="P1818" s="56">
        <f>HEX2DEC(RIGHT(Table1323212737[[#This Row],[h1]],8))</f>
        <v>0</v>
      </c>
      <c r="Q1818" s="56" t="s">
        <v>97</v>
      </c>
      <c r="R1818" s="56">
        <f>HEX2DEC(RIGHT(Table1323212737[[#This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6" t="s">
        <v>97</v>
      </c>
      <c r="P1819" s="56">
        <f>HEX2DEC(RIGHT(Table1323212737[[#This Row],[h1]],8))</f>
        <v>0</v>
      </c>
      <c r="Q1819" s="56" t="s">
        <v>97</v>
      </c>
      <c r="R1819" s="56">
        <f>HEX2DEC(RIGHT(Table1323212737[[#This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6" t="s">
        <v>97</v>
      </c>
      <c r="P1820" s="56">
        <f>HEX2DEC(RIGHT(Table1323212737[[#This Row],[h1]],8))</f>
        <v>0</v>
      </c>
      <c r="Q1820" s="56" t="s">
        <v>97</v>
      </c>
      <c r="R1820" s="56">
        <f>HEX2DEC(RIGHT(Table1323212737[[#This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6" t="s">
        <v>97</v>
      </c>
      <c r="P1821" s="56">
        <f>HEX2DEC(RIGHT(Table1323212737[[#This Row],[h1]],8))</f>
        <v>0</v>
      </c>
      <c r="Q1821" s="56" t="s">
        <v>97</v>
      </c>
      <c r="R1821" s="56">
        <f>HEX2DEC(RIGHT(Table1323212737[[#This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6" t="s">
        <v>97</v>
      </c>
      <c r="P1822" s="56">
        <f>HEX2DEC(RIGHT(Table1323212737[[#This Row],[h1]],8))</f>
        <v>0</v>
      </c>
      <c r="Q1822" s="56" t="s">
        <v>97</v>
      </c>
      <c r="R1822" s="56">
        <f>HEX2DEC(RIGHT(Table1323212737[[#This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6" t="s">
        <v>97</v>
      </c>
      <c r="P1823" s="56">
        <f>HEX2DEC(RIGHT(Table1323212737[[#This Row],[h1]],8))</f>
        <v>0</v>
      </c>
      <c r="Q1823" s="56" t="s">
        <v>97</v>
      </c>
      <c r="R1823" s="56">
        <f>HEX2DEC(RIGHT(Table1323212737[[#This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6" t="s">
        <v>97</v>
      </c>
      <c r="P1824" s="56">
        <f>HEX2DEC(RIGHT(Table1323212737[[#This Row],[h1]],8))</f>
        <v>0</v>
      </c>
      <c r="Q1824" s="56" t="s">
        <v>97</v>
      </c>
      <c r="R1824" s="56">
        <f>HEX2DEC(RIGHT(Table1323212737[[#This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6" t="s">
        <v>97</v>
      </c>
      <c r="P1825" s="56">
        <f>HEX2DEC(RIGHT(Table1323212737[[#This Row],[h1]],8))</f>
        <v>0</v>
      </c>
      <c r="Q1825" s="56" t="s">
        <v>97</v>
      </c>
      <c r="R1825" s="56">
        <f>HEX2DEC(RIGHT(Table1323212737[[#This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6" t="s">
        <v>97</v>
      </c>
      <c r="P1826" s="56">
        <f>HEX2DEC(RIGHT(Table1323212737[[#This Row],[h1]],8))</f>
        <v>0</v>
      </c>
      <c r="Q1826" s="56" t="s">
        <v>97</v>
      </c>
      <c r="R1826" s="56">
        <f>HEX2DEC(RIGHT(Table1323212737[[#This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6" t="s">
        <v>97</v>
      </c>
      <c r="P1827" s="56">
        <f>HEX2DEC(RIGHT(Table1323212737[[#This Row],[h1]],8))</f>
        <v>0</v>
      </c>
      <c r="Q1827" s="56" t="s">
        <v>97</v>
      </c>
      <c r="R1827" s="56">
        <f>HEX2DEC(RIGHT(Table1323212737[[#This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6" t="s">
        <v>97</v>
      </c>
      <c r="P1828" s="56">
        <f>HEX2DEC(RIGHT(Table1323212737[[#This Row],[h1]],8))</f>
        <v>0</v>
      </c>
      <c r="Q1828" s="56" t="s">
        <v>97</v>
      </c>
      <c r="R1828" s="56">
        <f>HEX2DEC(RIGHT(Table1323212737[[#This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6" t="s">
        <v>97</v>
      </c>
      <c r="P1829" s="56">
        <f>HEX2DEC(RIGHT(Table1323212737[[#This Row],[h1]],8))</f>
        <v>0</v>
      </c>
      <c r="Q1829" s="56" t="s">
        <v>97</v>
      </c>
      <c r="R1829" s="56">
        <f>HEX2DEC(RIGHT(Table1323212737[[#This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6" t="s">
        <v>97</v>
      </c>
      <c r="P1830" s="56">
        <f>HEX2DEC(RIGHT(Table1323212737[[#This Row],[h1]],8))</f>
        <v>0</v>
      </c>
      <c r="Q1830" s="56" t="s">
        <v>97</v>
      </c>
      <c r="R1830" s="56">
        <f>HEX2DEC(RIGHT(Table1323212737[[#This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6" t="s">
        <v>97</v>
      </c>
      <c r="P1831" s="56">
        <f>HEX2DEC(RIGHT(Table1323212737[[#This Row],[h1]],8))</f>
        <v>0</v>
      </c>
      <c r="Q1831" s="56" t="s">
        <v>97</v>
      </c>
      <c r="R1831" s="56">
        <f>HEX2DEC(RIGHT(Table1323212737[[#This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6" t="s">
        <v>97</v>
      </c>
      <c r="P1832" s="56">
        <f>HEX2DEC(RIGHT(Table1323212737[[#This Row],[h1]],8))</f>
        <v>0</v>
      </c>
      <c r="Q1832" s="56" t="s">
        <v>97</v>
      </c>
      <c r="R1832" s="56">
        <f>HEX2DEC(RIGHT(Table1323212737[[#This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6" t="s">
        <v>97</v>
      </c>
      <c r="P1833" s="56">
        <f>HEX2DEC(RIGHT(Table1323212737[[#This Row],[h1]],8))</f>
        <v>0</v>
      </c>
      <c r="Q1833" s="56" t="s">
        <v>97</v>
      </c>
      <c r="R1833" s="56">
        <f>HEX2DEC(RIGHT(Table1323212737[[#This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6" t="s">
        <v>97</v>
      </c>
      <c r="P1834" s="56">
        <f>HEX2DEC(RIGHT(Table1323212737[[#This Row],[h1]],8))</f>
        <v>0</v>
      </c>
      <c r="Q1834" s="56" t="s">
        <v>97</v>
      </c>
      <c r="R1834" s="56">
        <f>HEX2DEC(RIGHT(Table1323212737[[#This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6" t="s">
        <v>97</v>
      </c>
      <c r="P1835" s="56">
        <f>HEX2DEC(RIGHT(Table1323212737[[#This Row],[h1]],8))</f>
        <v>0</v>
      </c>
      <c r="Q1835" s="56" t="s">
        <v>97</v>
      </c>
      <c r="R1835" s="56">
        <f>HEX2DEC(RIGHT(Table1323212737[[#This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6" t="s">
        <v>97</v>
      </c>
      <c r="P1836" s="56">
        <f>HEX2DEC(RIGHT(Table1323212737[[#This Row],[h1]],8))</f>
        <v>0</v>
      </c>
      <c r="Q1836" s="56" t="s">
        <v>97</v>
      </c>
      <c r="R1836" s="56">
        <f>HEX2DEC(RIGHT(Table1323212737[[#This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6" t="s">
        <v>97</v>
      </c>
      <c r="P1837" s="56">
        <f>HEX2DEC(RIGHT(Table1323212737[[#This Row],[h1]],8))</f>
        <v>0</v>
      </c>
      <c r="Q1837" s="56" t="s">
        <v>97</v>
      </c>
      <c r="R1837" s="56">
        <f>HEX2DEC(RIGHT(Table1323212737[[#This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6" t="s">
        <v>97</v>
      </c>
      <c r="P1838" s="56">
        <f>HEX2DEC(RIGHT(Table1323212737[[#This Row],[h1]],8))</f>
        <v>0</v>
      </c>
      <c r="Q1838" s="56" t="s">
        <v>97</v>
      </c>
      <c r="R1838" s="56">
        <f>HEX2DEC(RIGHT(Table1323212737[[#This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6" t="s">
        <v>97</v>
      </c>
      <c r="P1839" s="56">
        <f>HEX2DEC(RIGHT(Table1323212737[[#This Row],[h1]],8))</f>
        <v>0</v>
      </c>
      <c r="Q1839" s="56" t="s">
        <v>97</v>
      </c>
      <c r="R1839" s="56">
        <f>HEX2DEC(RIGHT(Table1323212737[[#This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6" t="s">
        <v>97</v>
      </c>
      <c r="P1840" s="56">
        <f>HEX2DEC(RIGHT(Table1323212737[[#This Row],[h1]],8))</f>
        <v>0</v>
      </c>
      <c r="Q1840" s="56" t="s">
        <v>97</v>
      </c>
      <c r="R1840" s="56">
        <f>HEX2DEC(RIGHT(Table1323212737[[#This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6" t="s">
        <v>97</v>
      </c>
      <c r="P1841" s="56">
        <f>HEX2DEC(RIGHT(Table1323212737[[#This Row],[h1]],8))</f>
        <v>0</v>
      </c>
      <c r="Q1841" s="56" t="s">
        <v>97</v>
      </c>
      <c r="R1841" s="56">
        <f>HEX2DEC(RIGHT(Table1323212737[[#This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6" t="s">
        <v>97</v>
      </c>
      <c r="P1842" s="56">
        <f>HEX2DEC(RIGHT(Table1323212737[[#This Row],[h1]],8))</f>
        <v>0</v>
      </c>
      <c r="Q1842" s="56" t="s">
        <v>97</v>
      </c>
      <c r="R1842" s="56">
        <f>HEX2DEC(RIGHT(Table1323212737[[#This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6" t="s">
        <v>97</v>
      </c>
      <c r="P1843" s="56">
        <f>HEX2DEC(RIGHT(Table1323212737[[#This Row],[h1]],8))</f>
        <v>0</v>
      </c>
      <c r="Q1843" s="56" t="s">
        <v>97</v>
      </c>
      <c r="R1843" s="56">
        <f>HEX2DEC(RIGHT(Table1323212737[[#This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6" t="s">
        <v>97</v>
      </c>
      <c r="P1844" s="56">
        <f>HEX2DEC(RIGHT(Table1323212737[[#This Row],[h1]],8))</f>
        <v>0</v>
      </c>
      <c r="Q1844" s="56" t="s">
        <v>97</v>
      </c>
      <c r="R1844" s="56">
        <f>HEX2DEC(RIGHT(Table1323212737[[#This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6" t="s">
        <v>97</v>
      </c>
      <c r="P1845" s="56">
        <f>HEX2DEC(RIGHT(Table1323212737[[#This Row],[h1]],8))</f>
        <v>0</v>
      </c>
      <c r="Q1845" s="56" t="s">
        <v>97</v>
      </c>
      <c r="R1845" s="56">
        <f>HEX2DEC(RIGHT(Table1323212737[[#This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6" t="s">
        <v>97</v>
      </c>
      <c r="P1846" s="56">
        <f>HEX2DEC(RIGHT(Table1323212737[[#This Row],[h1]],8))</f>
        <v>0</v>
      </c>
      <c r="Q1846" s="56" t="s">
        <v>97</v>
      </c>
      <c r="R1846" s="56">
        <f>HEX2DEC(RIGHT(Table1323212737[[#This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6" t="s">
        <v>97</v>
      </c>
      <c r="P1847" s="56">
        <f>HEX2DEC(RIGHT(Table1323212737[[#This Row],[h1]],8))</f>
        <v>0</v>
      </c>
      <c r="Q1847" s="56" t="s">
        <v>97</v>
      </c>
      <c r="R1847" s="56">
        <f>HEX2DEC(RIGHT(Table1323212737[[#This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6" t="s">
        <v>97</v>
      </c>
      <c r="P1848" s="56">
        <f>HEX2DEC(RIGHT(Table1323212737[[#This Row],[h1]],8))</f>
        <v>0</v>
      </c>
      <c r="Q1848" s="56" t="s">
        <v>97</v>
      </c>
      <c r="R1848" s="56">
        <f>HEX2DEC(RIGHT(Table1323212737[[#This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6" t="s">
        <v>97</v>
      </c>
      <c r="P1849" s="56">
        <f>HEX2DEC(RIGHT(Table1323212737[[#This Row],[h1]],8))</f>
        <v>0</v>
      </c>
      <c r="Q1849" s="56" t="s">
        <v>97</v>
      </c>
      <c r="R1849" s="56">
        <f>HEX2DEC(RIGHT(Table1323212737[[#This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6" t="s">
        <v>97</v>
      </c>
      <c r="P1850" s="56">
        <f>HEX2DEC(RIGHT(Table1323212737[[#This Row],[h1]],8))</f>
        <v>0</v>
      </c>
      <c r="Q1850" s="56" t="s">
        <v>97</v>
      </c>
      <c r="R1850" s="56">
        <f>HEX2DEC(RIGHT(Table1323212737[[#This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6" t="s">
        <v>97</v>
      </c>
      <c r="P1851" s="56">
        <f>HEX2DEC(RIGHT(Table1323212737[[#This Row],[h1]],8))</f>
        <v>0</v>
      </c>
      <c r="Q1851" s="56" t="s">
        <v>97</v>
      </c>
      <c r="R1851" s="56">
        <f>HEX2DEC(RIGHT(Table1323212737[[#This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6" t="s">
        <v>97</v>
      </c>
      <c r="P1852" s="56">
        <f>HEX2DEC(RIGHT(Table1323212737[[#This Row],[h1]],8))</f>
        <v>0</v>
      </c>
      <c r="Q1852" s="56" t="s">
        <v>97</v>
      </c>
      <c r="R1852" s="56">
        <f>HEX2DEC(RIGHT(Table1323212737[[#This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6" t="s">
        <v>97</v>
      </c>
      <c r="P1853" s="56">
        <f>HEX2DEC(RIGHT(Table1323212737[[#This Row],[h1]],8))</f>
        <v>0</v>
      </c>
      <c r="Q1853" s="56" t="s">
        <v>97</v>
      </c>
      <c r="R1853" s="56">
        <f>HEX2DEC(RIGHT(Table1323212737[[#This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6" t="s">
        <v>97</v>
      </c>
      <c r="P1854" s="56">
        <f>HEX2DEC(RIGHT(Table1323212737[[#This Row],[h1]],8))</f>
        <v>0</v>
      </c>
      <c r="Q1854" s="56" t="s">
        <v>97</v>
      </c>
      <c r="R1854" s="56">
        <f>HEX2DEC(RIGHT(Table1323212737[[#This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6" t="s">
        <v>97</v>
      </c>
      <c r="P1855" s="56">
        <f>HEX2DEC(RIGHT(Table1323212737[[#This Row],[h1]],8))</f>
        <v>0</v>
      </c>
      <c r="Q1855" s="56" t="s">
        <v>97</v>
      </c>
      <c r="R1855" s="56">
        <f>HEX2DEC(RIGHT(Table1323212737[[#This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6" t="s">
        <v>97</v>
      </c>
      <c r="P1856" s="56">
        <f>HEX2DEC(RIGHT(Table1323212737[[#This Row],[h1]],8))</f>
        <v>0</v>
      </c>
      <c r="Q1856" s="56" t="s">
        <v>97</v>
      </c>
      <c r="R1856" s="56">
        <f>HEX2DEC(RIGHT(Table1323212737[[#This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6" t="s">
        <v>97</v>
      </c>
      <c r="P1857" s="56">
        <f>HEX2DEC(RIGHT(Table1323212737[[#This Row],[h1]],8))</f>
        <v>0</v>
      </c>
      <c r="Q1857" s="56" t="s">
        <v>97</v>
      </c>
      <c r="R1857" s="56">
        <f>HEX2DEC(RIGHT(Table1323212737[[#This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6" t="s">
        <v>97</v>
      </c>
      <c r="P1858" s="56">
        <f>HEX2DEC(RIGHT(Table1323212737[[#This Row],[h1]],8))</f>
        <v>0</v>
      </c>
      <c r="Q1858" s="56" t="s">
        <v>97</v>
      </c>
      <c r="R1858" s="56">
        <f>HEX2DEC(RIGHT(Table1323212737[[#This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6" t="s">
        <v>97</v>
      </c>
      <c r="P1859" s="56">
        <f>HEX2DEC(RIGHT(Table1323212737[[#This Row],[h1]],8))</f>
        <v>0</v>
      </c>
      <c r="Q1859" s="56" t="s">
        <v>97</v>
      </c>
      <c r="R1859" s="56">
        <f>HEX2DEC(RIGHT(Table1323212737[[#This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6" t="s">
        <v>97</v>
      </c>
      <c r="P1860" s="56">
        <f>HEX2DEC(RIGHT(Table1323212737[[#This Row],[h1]],8))</f>
        <v>0</v>
      </c>
      <c r="Q1860" s="56" t="s">
        <v>97</v>
      </c>
      <c r="R1860" s="56">
        <f>HEX2DEC(RIGHT(Table1323212737[[#This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6" t="s">
        <v>97</v>
      </c>
      <c r="P1861" s="56">
        <f>HEX2DEC(RIGHT(Table1323212737[[#This Row],[h1]],8))</f>
        <v>0</v>
      </c>
      <c r="Q1861" s="56" t="s">
        <v>97</v>
      </c>
      <c r="R1861" s="56">
        <f>HEX2DEC(RIGHT(Table1323212737[[#This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6" t="s">
        <v>97</v>
      </c>
      <c r="P1862" s="56">
        <f>HEX2DEC(RIGHT(Table1323212737[[#This Row],[h1]],8))</f>
        <v>0</v>
      </c>
      <c r="Q1862" s="56" t="s">
        <v>97</v>
      </c>
      <c r="R1862" s="56">
        <f>HEX2DEC(RIGHT(Table1323212737[[#This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6" t="s">
        <v>97</v>
      </c>
      <c r="P1863" s="56">
        <f>HEX2DEC(RIGHT(Table1323212737[[#This Row],[h1]],8))</f>
        <v>0</v>
      </c>
      <c r="Q1863" s="56" t="s">
        <v>97</v>
      </c>
      <c r="R1863" s="56">
        <f>HEX2DEC(RIGHT(Table1323212737[[#This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6" t="s">
        <v>97</v>
      </c>
      <c r="P1864" s="56">
        <f>HEX2DEC(RIGHT(Table1323212737[[#This Row],[h1]],8))</f>
        <v>0</v>
      </c>
      <c r="Q1864" s="56" t="s">
        <v>97</v>
      </c>
      <c r="R1864" s="56">
        <f>HEX2DEC(RIGHT(Table1323212737[[#This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6" t="s">
        <v>97</v>
      </c>
      <c r="P1865" s="56">
        <f>HEX2DEC(RIGHT(Table1323212737[[#This Row],[h1]],8))</f>
        <v>0</v>
      </c>
      <c r="Q1865" s="56" t="s">
        <v>97</v>
      </c>
      <c r="R1865" s="56">
        <f>HEX2DEC(RIGHT(Table1323212737[[#This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6" t="s">
        <v>97</v>
      </c>
      <c r="P1866" s="56">
        <f>HEX2DEC(RIGHT(Table1323212737[[#This Row],[h1]],8))</f>
        <v>0</v>
      </c>
      <c r="Q1866" s="56" t="s">
        <v>97</v>
      </c>
      <c r="R1866" s="56">
        <f>HEX2DEC(RIGHT(Table1323212737[[#This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6" t="s">
        <v>97</v>
      </c>
      <c r="P1867" s="56">
        <f>HEX2DEC(RIGHT(Table1323212737[[#This Row],[h1]],8))</f>
        <v>0</v>
      </c>
      <c r="Q1867" s="56" t="s">
        <v>97</v>
      </c>
      <c r="R1867" s="56">
        <f>HEX2DEC(RIGHT(Table1323212737[[#This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6" t="s">
        <v>97</v>
      </c>
      <c r="P1868" s="56">
        <f>HEX2DEC(RIGHT(Table1323212737[[#This Row],[h1]],8))</f>
        <v>0</v>
      </c>
      <c r="Q1868" s="56" t="s">
        <v>97</v>
      </c>
      <c r="R1868" s="56">
        <f>HEX2DEC(RIGHT(Table1323212737[[#This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6" t="s">
        <v>97</v>
      </c>
      <c r="P1869" s="56">
        <f>HEX2DEC(RIGHT(Table1323212737[[#This Row],[h1]],8))</f>
        <v>0</v>
      </c>
      <c r="Q1869" s="56" t="s">
        <v>97</v>
      </c>
      <c r="R1869" s="56">
        <f>HEX2DEC(RIGHT(Table1323212737[[#This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6" t="s">
        <v>97</v>
      </c>
      <c r="P1870" s="56">
        <f>HEX2DEC(RIGHT(Table1323212737[[#This Row],[h1]],8))</f>
        <v>0</v>
      </c>
      <c r="Q1870" s="56" t="s">
        <v>97</v>
      </c>
      <c r="R1870" s="56">
        <f>HEX2DEC(RIGHT(Table1323212737[[#This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6" t="s">
        <v>97</v>
      </c>
      <c r="P1871" s="56">
        <f>HEX2DEC(RIGHT(Table1323212737[[#This Row],[h1]],8))</f>
        <v>0</v>
      </c>
      <c r="Q1871" s="56" t="s">
        <v>97</v>
      </c>
      <c r="R1871" s="56">
        <f>HEX2DEC(RIGHT(Table1323212737[[#This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6" t="s">
        <v>97</v>
      </c>
      <c r="P1872" s="56">
        <f>HEX2DEC(RIGHT(Table1323212737[[#This Row],[h1]],8))</f>
        <v>0</v>
      </c>
      <c r="Q1872" s="56" t="s">
        <v>97</v>
      </c>
      <c r="R1872" s="56">
        <f>HEX2DEC(RIGHT(Table1323212737[[#This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6" t="s">
        <v>97</v>
      </c>
      <c r="P1873" s="56">
        <f>HEX2DEC(RIGHT(Table1323212737[[#This Row],[h1]],8))</f>
        <v>0</v>
      </c>
      <c r="Q1873" s="56" t="s">
        <v>97</v>
      </c>
      <c r="R1873" s="56">
        <f>HEX2DEC(RIGHT(Table1323212737[[#This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6" t="s">
        <v>97</v>
      </c>
      <c r="P1874" s="56">
        <f>HEX2DEC(RIGHT(Table1323212737[[#This Row],[h1]],8))</f>
        <v>0</v>
      </c>
      <c r="Q1874" s="56" t="s">
        <v>97</v>
      </c>
      <c r="R1874" s="56">
        <f>HEX2DEC(RIGHT(Table1323212737[[#This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6" t="s">
        <v>97</v>
      </c>
      <c r="P1875" s="56">
        <f>HEX2DEC(RIGHT(Table1323212737[[#This Row],[h1]],8))</f>
        <v>0</v>
      </c>
      <c r="Q1875" s="56" t="s">
        <v>97</v>
      </c>
      <c r="R1875" s="56">
        <f>HEX2DEC(RIGHT(Table1323212737[[#This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6" t="s">
        <v>97</v>
      </c>
      <c r="P1876" s="56">
        <f>HEX2DEC(RIGHT(Table1323212737[[#This Row],[h1]],8))</f>
        <v>0</v>
      </c>
      <c r="Q1876" s="56" t="s">
        <v>97</v>
      </c>
      <c r="R1876" s="56">
        <f>HEX2DEC(RIGHT(Table1323212737[[#This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6" t="s">
        <v>97</v>
      </c>
      <c r="P1877" s="56">
        <f>HEX2DEC(RIGHT(Table1323212737[[#This Row],[h1]],8))</f>
        <v>0</v>
      </c>
      <c r="Q1877" s="56" t="s">
        <v>97</v>
      </c>
      <c r="R1877" s="56">
        <f>HEX2DEC(RIGHT(Table1323212737[[#This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6" t="s">
        <v>97</v>
      </c>
      <c r="P1878" s="56">
        <f>HEX2DEC(RIGHT(Table1323212737[[#This Row],[h1]],8))</f>
        <v>0</v>
      </c>
      <c r="Q1878" s="56" t="s">
        <v>97</v>
      </c>
      <c r="R1878" s="56">
        <f>HEX2DEC(RIGHT(Table1323212737[[#This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6" t="s">
        <v>97</v>
      </c>
      <c r="P1879" s="56">
        <f>HEX2DEC(RIGHT(Table1323212737[[#This Row],[h1]],8))</f>
        <v>0</v>
      </c>
      <c r="Q1879" s="56" t="s">
        <v>97</v>
      </c>
      <c r="R1879" s="56">
        <f>HEX2DEC(RIGHT(Table1323212737[[#This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6" t="s">
        <v>97</v>
      </c>
      <c r="P1880" s="56">
        <f>HEX2DEC(RIGHT(Table1323212737[[#This Row],[h1]],8))</f>
        <v>0</v>
      </c>
      <c r="Q1880" s="56" t="s">
        <v>97</v>
      </c>
      <c r="R1880" s="56">
        <f>HEX2DEC(RIGHT(Table1323212737[[#This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6" t="s">
        <v>97</v>
      </c>
      <c r="P1881" s="56">
        <f>HEX2DEC(RIGHT(Table1323212737[[#This Row],[h1]],8))</f>
        <v>0</v>
      </c>
      <c r="Q1881" s="56" t="s">
        <v>97</v>
      </c>
      <c r="R1881" s="56">
        <f>HEX2DEC(RIGHT(Table1323212737[[#This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6" t="s">
        <v>97</v>
      </c>
      <c r="P1882" s="56">
        <f>HEX2DEC(RIGHT(Table1323212737[[#This Row],[h1]],8))</f>
        <v>0</v>
      </c>
      <c r="Q1882" s="56" t="s">
        <v>97</v>
      </c>
      <c r="R1882" s="56">
        <f>HEX2DEC(RIGHT(Table1323212737[[#This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6" t="s">
        <v>97</v>
      </c>
      <c r="P1883" s="56">
        <f>HEX2DEC(RIGHT(Table1323212737[[#This Row],[h1]],8))</f>
        <v>0</v>
      </c>
      <c r="Q1883" s="56" t="s">
        <v>97</v>
      </c>
      <c r="R1883" s="56">
        <f>HEX2DEC(RIGHT(Table1323212737[[#This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6" t="s">
        <v>97</v>
      </c>
      <c r="P1884" s="56">
        <f>HEX2DEC(RIGHT(Table1323212737[[#This Row],[h1]],8))</f>
        <v>0</v>
      </c>
      <c r="Q1884" s="56" t="s">
        <v>97</v>
      </c>
      <c r="R1884" s="56">
        <f>HEX2DEC(RIGHT(Table1323212737[[#This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6" t="s">
        <v>97</v>
      </c>
      <c r="P1885" s="56">
        <f>HEX2DEC(RIGHT(Table1323212737[[#This Row],[h1]],8))</f>
        <v>0</v>
      </c>
      <c r="Q1885" s="56" t="s">
        <v>97</v>
      </c>
      <c r="R1885" s="56">
        <f>HEX2DEC(RIGHT(Table1323212737[[#This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6" t="s">
        <v>97</v>
      </c>
      <c r="P1886" s="56">
        <f>HEX2DEC(RIGHT(Table1323212737[[#This Row],[h1]],8))</f>
        <v>0</v>
      </c>
      <c r="Q1886" s="56" t="s">
        <v>97</v>
      </c>
      <c r="R1886" s="56">
        <f>HEX2DEC(RIGHT(Table1323212737[[#This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6" t="s">
        <v>97</v>
      </c>
      <c r="P1887" s="56">
        <f>HEX2DEC(RIGHT(Table1323212737[[#This Row],[h1]],8))</f>
        <v>0</v>
      </c>
      <c r="Q1887" s="56" t="s">
        <v>97</v>
      </c>
      <c r="R1887" s="56">
        <f>HEX2DEC(RIGHT(Table1323212737[[#This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6" t="s">
        <v>97</v>
      </c>
      <c r="P1888" s="56">
        <f>HEX2DEC(RIGHT(Table1323212737[[#This Row],[h1]],8))</f>
        <v>0</v>
      </c>
      <c r="Q1888" s="56" t="s">
        <v>97</v>
      </c>
      <c r="R1888" s="56">
        <f>HEX2DEC(RIGHT(Table1323212737[[#This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6" t="s">
        <v>97</v>
      </c>
      <c r="P1889" s="56">
        <f>HEX2DEC(RIGHT(Table1323212737[[#This Row],[h1]],8))</f>
        <v>0</v>
      </c>
      <c r="Q1889" s="56" t="s">
        <v>97</v>
      </c>
      <c r="R1889" s="56">
        <f>HEX2DEC(RIGHT(Table1323212737[[#This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6" t="s">
        <v>97</v>
      </c>
      <c r="P1890" s="56">
        <f>HEX2DEC(RIGHT(Table1323212737[[#This Row],[h1]],8))</f>
        <v>0</v>
      </c>
      <c r="Q1890" s="56" t="s">
        <v>97</v>
      </c>
      <c r="R1890" s="56">
        <f>HEX2DEC(RIGHT(Table1323212737[[#This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6" t="s">
        <v>97</v>
      </c>
      <c r="P1891" s="56">
        <f>HEX2DEC(RIGHT(Table1323212737[[#This Row],[h1]],8))</f>
        <v>0</v>
      </c>
      <c r="Q1891" s="56" t="s">
        <v>97</v>
      </c>
      <c r="R1891" s="56">
        <f>HEX2DEC(RIGHT(Table1323212737[[#This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6" t="s">
        <v>97</v>
      </c>
      <c r="P1892" s="56">
        <f>HEX2DEC(RIGHT(Table1323212737[[#This Row],[h1]],8))</f>
        <v>0</v>
      </c>
      <c r="Q1892" s="56" t="s">
        <v>97</v>
      </c>
      <c r="R1892" s="56">
        <f>HEX2DEC(RIGHT(Table1323212737[[#This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6" t="s">
        <v>97</v>
      </c>
      <c r="P1893" s="56">
        <f>HEX2DEC(RIGHT(Table1323212737[[#This Row],[h1]],8))</f>
        <v>0</v>
      </c>
      <c r="Q1893" s="56" t="s">
        <v>97</v>
      </c>
      <c r="R1893" s="56">
        <f>HEX2DEC(RIGHT(Table1323212737[[#This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6" t="s">
        <v>97</v>
      </c>
      <c r="P1894" s="56">
        <f>HEX2DEC(RIGHT(Table1323212737[[#This Row],[h1]],8))</f>
        <v>0</v>
      </c>
      <c r="Q1894" s="56" t="s">
        <v>97</v>
      </c>
      <c r="R1894" s="56">
        <f>HEX2DEC(RIGHT(Table1323212737[[#This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6" t="s">
        <v>97</v>
      </c>
      <c r="P1895" s="56">
        <f>HEX2DEC(RIGHT(Table1323212737[[#This Row],[h1]],8))</f>
        <v>0</v>
      </c>
      <c r="Q1895" s="56" t="s">
        <v>97</v>
      </c>
      <c r="R1895" s="56">
        <f>HEX2DEC(RIGHT(Table1323212737[[#This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6" t="s">
        <v>97</v>
      </c>
      <c r="P1896" s="56">
        <f>HEX2DEC(RIGHT(Table1323212737[[#This Row],[h1]],8))</f>
        <v>0</v>
      </c>
      <c r="Q1896" s="56" t="s">
        <v>97</v>
      </c>
      <c r="R1896" s="56">
        <f>HEX2DEC(RIGHT(Table1323212737[[#This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6" t="s">
        <v>97</v>
      </c>
      <c r="P1897" s="56">
        <f>HEX2DEC(RIGHT(Table1323212737[[#This Row],[h1]],8))</f>
        <v>0</v>
      </c>
      <c r="Q1897" s="56" t="s">
        <v>97</v>
      </c>
      <c r="R1897" s="56">
        <f>HEX2DEC(RIGHT(Table1323212737[[#This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6" t="s">
        <v>97</v>
      </c>
      <c r="P1898" s="56">
        <f>HEX2DEC(RIGHT(Table1323212737[[#This Row],[h1]],8))</f>
        <v>0</v>
      </c>
      <c r="Q1898" s="56" t="s">
        <v>97</v>
      </c>
      <c r="R1898" s="56">
        <f>HEX2DEC(RIGHT(Table1323212737[[#This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6" t="s">
        <v>97</v>
      </c>
      <c r="P1899" s="56">
        <f>HEX2DEC(RIGHT(Table1323212737[[#This Row],[h1]],8))</f>
        <v>0</v>
      </c>
      <c r="Q1899" s="56" t="s">
        <v>97</v>
      </c>
      <c r="R1899" s="56">
        <f>HEX2DEC(RIGHT(Table1323212737[[#This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6" t="s">
        <v>97</v>
      </c>
      <c r="P1900" s="56">
        <f>HEX2DEC(RIGHT(Table1323212737[[#This Row],[h1]],8))</f>
        <v>0</v>
      </c>
      <c r="Q1900" s="56" t="s">
        <v>97</v>
      </c>
      <c r="R1900" s="56">
        <f>HEX2DEC(RIGHT(Table1323212737[[#This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6" t="s">
        <v>97</v>
      </c>
      <c r="P1901" s="56">
        <f>HEX2DEC(RIGHT(Table1323212737[[#This Row],[h1]],8))</f>
        <v>0</v>
      </c>
      <c r="Q1901" s="56" t="s">
        <v>97</v>
      </c>
      <c r="R1901" s="56">
        <f>HEX2DEC(RIGHT(Table1323212737[[#This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6" t="s">
        <v>97</v>
      </c>
      <c r="P1902" s="56">
        <f>HEX2DEC(RIGHT(Table1323212737[[#This Row],[h1]],8))</f>
        <v>0</v>
      </c>
      <c r="Q1902" s="56" t="s">
        <v>97</v>
      </c>
      <c r="R1902" s="56">
        <f>HEX2DEC(RIGHT(Table1323212737[[#This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6" t="s">
        <v>97</v>
      </c>
      <c r="P1903" s="56">
        <f>HEX2DEC(RIGHT(Table1323212737[[#This Row],[h1]],8))</f>
        <v>0</v>
      </c>
      <c r="Q1903" s="56" t="s">
        <v>97</v>
      </c>
      <c r="R1903" s="56">
        <f>HEX2DEC(RIGHT(Table1323212737[[#This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6" t="s">
        <v>97</v>
      </c>
      <c r="P1904" s="56">
        <f>HEX2DEC(RIGHT(Table1323212737[[#This Row],[h1]],8))</f>
        <v>0</v>
      </c>
      <c r="Q1904" s="56" t="s">
        <v>97</v>
      </c>
      <c r="R1904" s="56">
        <f>HEX2DEC(RIGHT(Table1323212737[[#This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6" t="s">
        <v>97</v>
      </c>
      <c r="P1905" s="56">
        <f>HEX2DEC(RIGHT(Table1323212737[[#This Row],[h1]],8))</f>
        <v>0</v>
      </c>
      <c r="Q1905" s="56" t="s">
        <v>97</v>
      </c>
      <c r="R1905" s="56">
        <f>HEX2DEC(RIGHT(Table1323212737[[#This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6" t="s">
        <v>97</v>
      </c>
      <c r="P1906" s="56">
        <f>HEX2DEC(RIGHT(Table1323212737[[#This Row],[h1]],8))</f>
        <v>0</v>
      </c>
      <c r="Q1906" s="56" t="s">
        <v>97</v>
      </c>
      <c r="R1906" s="56">
        <f>HEX2DEC(RIGHT(Table1323212737[[#This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6" t="s">
        <v>97</v>
      </c>
      <c r="P1907" s="56">
        <f>HEX2DEC(RIGHT(Table1323212737[[#This Row],[h1]],8))</f>
        <v>0</v>
      </c>
      <c r="Q1907" s="56" t="s">
        <v>97</v>
      </c>
      <c r="R1907" s="56">
        <f>HEX2DEC(RIGHT(Table1323212737[[#This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6" t="s">
        <v>97</v>
      </c>
      <c r="P1908" s="56">
        <f>HEX2DEC(RIGHT(Table1323212737[[#This Row],[h1]],8))</f>
        <v>0</v>
      </c>
      <c r="Q1908" s="56" t="s">
        <v>97</v>
      </c>
      <c r="R1908" s="56">
        <f>HEX2DEC(RIGHT(Table1323212737[[#This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6" t="s">
        <v>97</v>
      </c>
      <c r="P1909" s="56">
        <f>HEX2DEC(RIGHT(Table1323212737[[#This Row],[h1]],8))</f>
        <v>0</v>
      </c>
      <c r="Q1909" s="56" t="s">
        <v>97</v>
      </c>
      <c r="R1909" s="56">
        <f>HEX2DEC(RIGHT(Table1323212737[[#This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6" t="s">
        <v>97</v>
      </c>
      <c r="P1910" s="56">
        <f>HEX2DEC(RIGHT(Table1323212737[[#This Row],[h1]],8))</f>
        <v>0</v>
      </c>
      <c r="Q1910" s="56" t="s">
        <v>97</v>
      </c>
      <c r="R1910" s="56">
        <f>HEX2DEC(RIGHT(Table1323212737[[#This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6" t="s">
        <v>97</v>
      </c>
      <c r="P1911" s="56">
        <f>HEX2DEC(RIGHT(Table1323212737[[#This Row],[h1]],8))</f>
        <v>0</v>
      </c>
      <c r="Q1911" s="56" t="s">
        <v>97</v>
      </c>
      <c r="R1911" s="56">
        <f>HEX2DEC(RIGHT(Table1323212737[[#This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6" t="s">
        <v>97</v>
      </c>
      <c r="P1912" s="56">
        <f>HEX2DEC(RIGHT(Table1323212737[[#This Row],[h1]],8))</f>
        <v>0</v>
      </c>
      <c r="Q1912" s="56" t="s">
        <v>97</v>
      </c>
      <c r="R1912" s="56">
        <f>HEX2DEC(RIGHT(Table1323212737[[#This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6" t="s">
        <v>97</v>
      </c>
      <c r="P1913" s="56">
        <f>HEX2DEC(RIGHT(Table1323212737[[#This Row],[h1]],8))</f>
        <v>0</v>
      </c>
      <c r="Q1913" s="56" t="s">
        <v>97</v>
      </c>
      <c r="R1913" s="56">
        <f>HEX2DEC(RIGHT(Table1323212737[[#This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6" t="s">
        <v>97</v>
      </c>
      <c r="P1914" s="56">
        <f>HEX2DEC(RIGHT(Table1323212737[[#This Row],[h1]],8))</f>
        <v>0</v>
      </c>
      <c r="Q1914" s="56" t="s">
        <v>97</v>
      </c>
      <c r="R1914" s="56">
        <f>HEX2DEC(RIGHT(Table1323212737[[#This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6" t="s">
        <v>97</v>
      </c>
      <c r="P1915" s="56">
        <f>HEX2DEC(RIGHT(Table1323212737[[#This Row],[h1]],8))</f>
        <v>0</v>
      </c>
      <c r="Q1915" s="56" t="s">
        <v>97</v>
      </c>
      <c r="R1915" s="56">
        <f>HEX2DEC(RIGHT(Table1323212737[[#This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6" t="s">
        <v>97</v>
      </c>
      <c r="P1916" s="56">
        <f>HEX2DEC(RIGHT(Table1323212737[[#This Row],[h1]],8))</f>
        <v>0</v>
      </c>
      <c r="Q1916" s="56" t="s">
        <v>97</v>
      </c>
      <c r="R1916" s="56">
        <f>HEX2DEC(RIGHT(Table1323212737[[#This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6" t="s">
        <v>97</v>
      </c>
      <c r="P1917" s="56">
        <f>HEX2DEC(RIGHT(Table1323212737[[#This Row],[h1]],8))</f>
        <v>0</v>
      </c>
      <c r="Q1917" s="56" t="s">
        <v>97</v>
      </c>
      <c r="R1917" s="56">
        <f>HEX2DEC(RIGHT(Table1323212737[[#This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6" t="s">
        <v>97</v>
      </c>
      <c r="P1918" s="56">
        <f>HEX2DEC(RIGHT(Table1323212737[[#This Row],[h1]],8))</f>
        <v>0</v>
      </c>
      <c r="Q1918" s="56" t="s">
        <v>97</v>
      </c>
      <c r="R1918" s="56">
        <f>HEX2DEC(RIGHT(Table1323212737[[#This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6" t="s">
        <v>97</v>
      </c>
      <c r="P1919" s="56">
        <f>HEX2DEC(RIGHT(Table1323212737[[#This Row],[h1]],8))</f>
        <v>0</v>
      </c>
      <c r="Q1919" s="56" t="s">
        <v>97</v>
      </c>
      <c r="R1919" s="56">
        <f>HEX2DEC(RIGHT(Table1323212737[[#This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6" t="s">
        <v>97</v>
      </c>
      <c r="P1920" s="56">
        <f>HEX2DEC(RIGHT(Table1323212737[[#This Row],[h1]],8))</f>
        <v>0</v>
      </c>
      <c r="Q1920" s="56" t="s">
        <v>97</v>
      </c>
      <c r="R1920" s="56">
        <f>HEX2DEC(RIGHT(Table1323212737[[#This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6" t="s">
        <v>97</v>
      </c>
      <c r="P1921" s="56">
        <f>HEX2DEC(RIGHT(Table1323212737[[#This Row],[h1]],8))</f>
        <v>0</v>
      </c>
      <c r="Q1921" s="56" t="s">
        <v>97</v>
      </c>
      <c r="R1921" s="56">
        <f>HEX2DEC(RIGHT(Table1323212737[[#This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6" t="s">
        <v>97</v>
      </c>
      <c r="P1922" s="56">
        <f>HEX2DEC(RIGHT(Table1323212737[[#This Row],[h1]],8))</f>
        <v>0</v>
      </c>
      <c r="Q1922" s="56" t="s">
        <v>97</v>
      </c>
      <c r="R1922" s="56">
        <f>HEX2DEC(RIGHT(Table1323212737[[#This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6" t="s">
        <v>97</v>
      </c>
      <c r="P1923" s="56">
        <f>HEX2DEC(RIGHT(Table1323212737[[#This Row],[h1]],8))</f>
        <v>0</v>
      </c>
      <c r="Q1923" s="56" t="s">
        <v>97</v>
      </c>
      <c r="R1923" s="56">
        <f>HEX2DEC(RIGHT(Table1323212737[[#This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6" t="s">
        <v>97</v>
      </c>
      <c r="P1924" s="56">
        <f>HEX2DEC(RIGHT(Table1323212737[[#This Row],[h1]],8))</f>
        <v>0</v>
      </c>
      <c r="Q1924" s="56" t="s">
        <v>97</v>
      </c>
      <c r="R1924" s="56">
        <f>HEX2DEC(RIGHT(Table1323212737[[#This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6" t="s">
        <v>97</v>
      </c>
      <c r="P1925" s="56">
        <f>HEX2DEC(RIGHT(Table1323212737[[#This Row],[h1]],8))</f>
        <v>0</v>
      </c>
      <c r="Q1925" s="56" t="s">
        <v>97</v>
      </c>
      <c r="R1925" s="56">
        <f>HEX2DEC(RIGHT(Table1323212737[[#This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6" t="s">
        <v>97</v>
      </c>
      <c r="P1926" s="56">
        <f>HEX2DEC(RIGHT(Table1323212737[[#This Row],[h1]],8))</f>
        <v>0</v>
      </c>
      <c r="Q1926" s="56" t="s">
        <v>97</v>
      </c>
      <c r="R1926" s="56">
        <f>HEX2DEC(RIGHT(Table1323212737[[#This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6" t="s">
        <v>97</v>
      </c>
      <c r="P1927" s="56">
        <f>HEX2DEC(RIGHT(Table1323212737[[#This Row],[h1]],8))</f>
        <v>0</v>
      </c>
      <c r="Q1927" s="56" t="s">
        <v>97</v>
      </c>
      <c r="R1927" s="56">
        <f>HEX2DEC(RIGHT(Table1323212737[[#This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6" t="s">
        <v>97</v>
      </c>
      <c r="P1928" s="56">
        <f>HEX2DEC(RIGHT(Table1323212737[[#This Row],[h1]],8))</f>
        <v>0</v>
      </c>
      <c r="Q1928" s="56" t="s">
        <v>97</v>
      </c>
      <c r="R1928" s="56">
        <f>HEX2DEC(RIGHT(Table1323212737[[#This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6" t="s">
        <v>97</v>
      </c>
      <c r="P1929" s="56">
        <f>HEX2DEC(RIGHT(Table1323212737[[#This Row],[h1]],8))</f>
        <v>0</v>
      </c>
      <c r="Q1929" s="56" t="s">
        <v>97</v>
      </c>
      <c r="R1929" s="56">
        <f>HEX2DEC(RIGHT(Table1323212737[[#This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6" t="s">
        <v>97</v>
      </c>
      <c r="P1930" s="56">
        <f>HEX2DEC(RIGHT(Table1323212737[[#This Row],[h1]],8))</f>
        <v>0</v>
      </c>
      <c r="Q1930" s="56" t="s">
        <v>97</v>
      </c>
      <c r="R1930" s="56">
        <f>HEX2DEC(RIGHT(Table1323212737[[#This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6" t="s">
        <v>97</v>
      </c>
      <c r="P1931" s="56">
        <f>HEX2DEC(RIGHT(Table1323212737[[#This Row],[h1]],8))</f>
        <v>0</v>
      </c>
      <c r="Q1931" s="56" t="s">
        <v>97</v>
      </c>
      <c r="R1931" s="56">
        <f>HEX2DEC(RIGHT(Table1323212737[[#This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6" t="s">
        <v>97</v>
      </c>
      <c r="P1932" s="56">
        <f>HEX2DEC(RIGHT(Table1323212737[[#This Row],[h1]],8))</f>
        <v>0</v>
      </c>
      <c r="Q1932" s="56" t="s">
        <v>97</v>
      </c>
      <c r="R1932" s="56">
        <f>HEX2DEC(RIGHT(Table1323212737[[#This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6" t="s">
        <v>97</v>
      </c>
      <c r="P1933" s="56">
        <f>HEX2DEC(RIGHT(Table1323212737[[#This Row],[h1]],8))</f>
        <v>0</v>
      </c>
      <c r="Q1933" s="56" t="s">
        <v>97</v>
      </c>
      <c r="R1933" s="56">
        <f>HEX2DEC(RIGHT(Table1323212737[[#This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6" t="s">
        <v>97</v>
      </c>
      <c r="P1934" s="56">
        <f>HEX2DEC(RIGHT(Table1323212737[[#This Row],[h1]],8))</f>
        <v>0</v>
      </c>
      <c r="Q1934" s="56" t="s">
        <v>97</v>
      </c>
      <c r="R1934" s="56">
        <f>HEX2DEC(RIGHT(Table1323212737[[#This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6" t="s">
        <v>97</v>
      </c>
      <c r="P1935" s="56">
        <f>HEX2DEC(RIGHT(Table1323212737[[#This Row],[h1]],8))</f>
        <v>0</v>
      </c>
      <c r="Q1935" s="56" t="s">
        <v>97</v>
      </c>
      <c r="R1935" s="56">
        <f>HEX2DEC(RIGHT(Table1323212737[[#This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6" t="s">
        <v>97</v>
      </c>
      <c r="P1936" s="56">
        <f>HEX2DEC(RIGHT(Table1323212737[[#This Row],[h1]],8))</f>
        <v>0</v>
      </c>
      <c r="Q1936" s="56" t="s">
        <v>97</v>
      </c>
      <c r="R1936" s="56">
        <f>HEX2DEC(RIGHT(Table1323212737[[#This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6" t="s">
        <v>97</v>
      </c>
      <c r="P1937" s="56">
        <f>HEX2DEC(RIGHT(Table1323212737[[#This Row],[h1]],8))</f>
        <v>0</v>
      </c>
      <c r="Q1937" s="56" t="s">
        <v>97</v>
      </c>
      <c r="R1937" s="56">
        <f>HEX2DEC(RIGHT(Table1323212737[[#This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6" t="s">
        <v>97</v>
      </c>
      <c r="P1938" s="56">
        <f>HEX2DEC(RIGHT(Table1323212737[[#This Row],[h1]],8))</f>
        <v>0</v>
      </c>
      <c r="Q1938" s="56" t="s">
        <v>97</v>
      </c>
      <c r="R1938" s="56">
        <f>HEX2DEC(RIGHT(Table1323212737[[#This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6" t="s">
        <v>97</v>
      </c>
      <c r="P1939" s="56">
        <f>HEX2DEC(RIGHT(Table1323212737[[#This Row],[h1]],8))</f>
        <v>0</v>
      </c>
      <c r="Q1939" s="56" t="s">
        <v>97</v>
      </c>
      <c r="R1939" s="56">
        <f>HEX2DEC(RIGHT(Table1323212737[[#This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6" t="s">
        <v>97</v>
      </c>
      <c r="P1940" s="56">
        <f>HEX2DEC(RIGHT(Table1323212737[[#This Row],[h1]],8))</f>
        <v>0</v>
      </c>
      <c r="Q1940" s="56" t="s">
        <v>97</v>
      </c>
      <c r="R1940" s="56">
        <f>HEX2DEC(RIGHT(Table1323212737[[#This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6" t="s">
        <v>97</v>
      </c>
      <c r="P1941" s="56">
        <f>HEX2DEC(RIGHT(Table1323212737[[#This Row],[h1]],8))</f>
        <v>0</v>
      </c>
      <c r="Q1941" s="56" t="s">
        <v>97</v>
      </c>
      <c r="R1941" s="56">
        <f>HEX2DEC(RIGHT(Table1323212737[[#This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6" t="s">
        <v>97</v>
      </c>
      <c r="P1942" s="56">
        <f>HEX2DEC(RIGHT(Table1323212737[[#This Row],[h1]],8))</f>
        <v>0</v>
      </c>
      <c r="Q1942" s="56" t="s">
        <v>97</v>
      </c>
      <c r="R1942" s="56">
        <f>HEX2DEC(RIGHT(Table1323212737[[#This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6" t="s">
        <v>97</v>
      </c>
      <c r="P1943" s="56">
        <f>HEX2DEC(RIGHT(Table1323212737[[#This Row],[h1]],8))</f>
        <v>0</v>
      </c>
      <c r="Q1943" s="56" t="s">
        <v>97</v>
      </c>
      <c r="R1943" s="56">
        <f>HEX2DEC(RIGHT(Table1323212737[[#This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6" t="s">
        <v>97</v>
      </c>
      <c r="P1944" s="56">
        <f>HEX2DEC(RIGHT(Table1323212737[[#This Row],[h1]],8))</f>
        <v>0</v>
      </c>
      <c r="Q1944" s="56" t="s">
        <v>97</v>
      </c>
      <c r="R1944" s="56">
        <f>HEX2DEC(RIGHT(Table1323212737[[#This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6" t="s">
        <v>97</v>
      </c>
      <c r="P1945" s="56">
        <f>HEX2DEC(RIGHT(Table1323212737[[#This Row],[h1]],8))</f>
        <v>0</v>
      </c>
      <c r="Q1945" s="56" t="s">
        <v>97</v>
      </c>
      <c r="R1945" s="56">
        <f>HEX2DEC(RIGHT(Table1323212737[[#This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6" t="s">
        <v>97</v>
      </c>
      <c r="P1946" s="56">
        <f>HEX2DEC(RIGHT(Table1323212737[[#This Row],[h1]],8))</f>
        <v>0</v>
      </c>
      <c r="Q1946" s="56" t="s">
        <v>97</v>
      </c>
      <c r="R1946" s="56">
        <f>HEX2DEC(RIGHT(Table1323212737[[#This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6" t="s">
        <v>97</v>
      </c>
      <c r="P1947" s="56">
        <f>HEX2DEC(RIGHT(Table1323212737[[#This Row],[h1]],8))</f>
        <v>0</v>
      </c>
      <c r="Q1947" s="56" t="s">
        <v>97</v>
      </c>
      <c r="R1947" s="56">
        <f>HEX2DEC(RIGHT(Table1323212737[[#This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6" t="s">
        <v>97</v>
      </c>
      <c r="P1948" s="56">
        <f>HEX2DEC(RIGHT(Table1323212737[[#This Row],[h1]],8))</f>
        <v>0</v>
      </c>
      <c r="Q1948" s="56" t="s">
        <v>97</v>
      </c>
      <c r="R1948" s="56">
        <f>HEX2DEC(RIGHT(Table1323212737[[#This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6" t="s">
        <v>97</v>
      </c>
      <c r="P1949" s="56">
        <f>HEX2DEC(RIGHT(Table1323212737[[#This Row],[h1]],8))</f>
        <v>0</v>
      </c>
      <c r="Q1949" s="56" t="s">
        <v>97</v>
      </c>
      <c r="R1949" s="56">
        <f>HEX2DEC(RIGHT(Table1323212737[[#This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6" t="s">
        <v>97</v>
      </c>
      <c r="P1950" s="56">
        <f>HEX2DEC(RIGHT(Table1323212737[[#This Row],[h1]],8))</f>
        <v>0</v>
      </c>
      <c r="Q1950" s="56" t="s">
        <v>97</v>
      </c>
      <c r="R1950" s="56">
        <f>HEX2DEC(RIGHT(Table1323212737[[#This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6" t="s">
        <v>97</v>
      </c>
      <c r="P1951" s="56">
        <f>HEX2DEC(RIGHT(Table1323212737[[#This Row],[h1]],8))</f>
        <v>0</v>
      </c>
      <c r="Q1951" s="56" t="s">
        <v>97</v>
      </c>
      <c r="R1951" s="56">
        <f>HEX2DEC(RIGHT(Table1323212737[[#This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6" t="s">
        <v>97</v>
      </c>
      <c r="P1952" s="56">
        <f>HEX2DEC(RIGHT(Table1323212737[[#This Row],[h1]],8))</f>
        <v>0</v>
      </c>
      <c r="Q1952" s="56" t="s">
        <v>97</v>
      </c>
      <c r="R1952" s="56">
        <f>HEX2DEC(RIGHT(Table1323212737[[#This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6" t="s">
        <v>97</v>
      </c>
      <c r="P1953" s="56">
        <f>HEX2DEC(RIGHT(Table1323212737[[#This Row],[h1]],8))</f>
        <v>0</v>
      </c>
      <c r="Q1953" s="56" t="s">
        <v>97</v>
      </c>
      <c r="R1953" s="56">
        <f>HEX2DEC(RIGHT(Table1323212737[[#This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6" t="s">
        <v>97</v>
      </c>
      <c r="P1954" s="56">
        <f>HEX2DEC(RIGHT(Table1323212737[[#This Row],[h1]],8))</f>
        <v>0</v>
      </c>
      <c r="Q1954" s="56" t="s">
        <v>97</v>
      </c>
      <c r="R1954" s="56">
        <f>HEX2DEC(RIGHT(Table1323212737[[#This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6" t="s">
        <v>97</v>
      </c>
      <c r="P1955" s="56">
        <f>HEX2DEC(RIGHT(Table1323212737[[#This Row],[h1]],8))</f>
        <v>0</v>
      </c>
      <c r="Q1955" s="56" t="s">
        <v>97</v>
      </c>
      <c r="R1955" s="56">
        <f>HEX2DEC(RIGHT(Table1323212737[[#This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6" t="s">
        <v>97</v>
      </c>
      <c r="P1956" s="56">
        <f>HEX2DEC(RIGHT(Table1323212737[[#This Row],[h1]],8))</f>
        <v>0</v>
      </c>
      <c r="Q1956" s="56" t="s">
        <v>97</v>
      </c>
      <c r="R1956" s="56">
        <f>HEX2DEC(RIGHT(Table1323212737[[#This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6" t="s">
        <v>97</v>
      </c>
      <c r="P1957" s="56">
        <f>HEX2DEC(RIGHT(Table1323212737[[#This Row],[h1]],8))</f>
        <v>0</v>
      </c>
      <c r="Q1957" s="56" t="s">
        <v>97</v>
      </c>
      <c r="R1957" s="56">
        <f>HEX2DEC(RIGHT(Table1323212737[[#This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6" t="s">
        <v>97</v>
      </c>
      <c r="P1958" s="56">
        <f>HEX2DEC(RIGHT(Table1323212737[[#This Row],[h1]],8))</f>
        <v>0</v>
      </c>
      <c r="Q1958" s="56" t="s">
        <v>97</v>
      </c>
      <c r="R1958" s="56">
        <f>HEX2DEC(RIGHT(Table1323212737[[#This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6" t="s">
        <v>97</v>
      </c>
      <c r="P1959" s="56">
        <f>HEX2DEC(RIGHT(Table1323212737[[#This Row],[h1]],8))</f>
        <v>0</v>
      </c>
      <c r="Q1959" s="56" t="s">
        <v>97</v>
      </c>
      <c r="R1959" s="56">
        <f>HEX2DEC(RIGHT(Table1323212737[[#This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6" t="s">
        <v>97</v>
      </c>
      <c r="P1960" s="56">
        <f>HEX2DEC(RIGHT(Table1323212737[[#This Row],[h1]],8))</f>
        <v>0</v>
      </c>
      <c r="Q1960" s="56" t="s">
        <v>97</v>
      </c>
      <c r="R1960" s="56">
        <f>HEX2DEC(RIGHT(Table1323212737[[#This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6" t="s">
        <v>97</v>
      </c>
      <c r="P1961" s="56">
        <f>HEX2DEC(RIGHT(Table1323212737[[#This Row],[h1]],8))</f>
        <v>0</v>
      </c>
      <c r="Q1961" s="56" t="s">
        <v>97</v>
      </c>
      <c r="R1961" s="56">
        <f>HEX2DEC(RIGHT(Table1323212737[[#This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6" t="s">
        <v>97</v>
      </c>
      <c r="P1962" s="56">
        <f>HEX2DEC(RIGHT(Table1323212737[[#This Row],[h1]],8))</f>
        <v>0</v>
      </c>
      <c r="Q1962" s="56" t="s">
        <v>97</v>
      </c>
      <c r="R1962" s="56">
        <f>HEX2DEC(RIGHT(Table1323212737[[#This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6" t="s">
        <v>97</v>
      </c>
      <c r="P1963" s="56">
        <f>HEX2DEC(RIGHT(Table1323212737[[#This Row],[h1]],8))</f>
        <v>0</v>
      </c>
      <c r="Q1963" s="56" t="s">
        <v>97</v>
      </c>
      <c r="R1963" s="56">
        <f>HEX2DEC(RIGHT(Table1323212737[[#This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6" t="s">
        <v>97</v>
      </c>
      <c r="P1964" s="56">
        <f>HEX2DEC(RIGHT(Table1323212737[[#This Row],[h1]],8))</f>
        <v>0</v>
      </c>
      <c r="Q1964" s="56" t="s">
        <v>97</v>
      </c>
      <c r="R1964" s="56">
        <f>HEX2DEC(RIGHT(Table1323212737[[#This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6" t="s">
        <v>97</v>
      </c>
      <c r="P1965" s="56">
        <f>HEX2DEC(RIGHT(Table1323212737[[#This Row],[h1]],8))</f>
        <v>0</v>
      </c>
      <c r="Q1965" s="56" t="s">
        <v>97</v>
      </c>
      <c r="R1965" s="56">
        <f>HEX2DEC(RIGHT(Table1323212737[[#This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6" t="s">
        <v>97</v>
      </c>
      <c r="P1966" s="56">
        <f>HEX2DEC(RIGHT(Table1323212737[[#This Row],[h1]],8))</f>
        <v>0</v>
      </c>
      <c r="Q1966" s="56" t="s">
        <v>97</v>
      </c>
      <c r="R1966" s="56">
        <f>HEX2DEC(RIGHT(Table1323212737[[#This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6" t="s">
        <v>97</v>
      </c>
      <c r="P1967" s="56">
        <f>HEX2DEC(RIGHT(Table1323212737[[#This Row],[h1]],8))</f>
        <v>0</v>
      </c>
      <c r="Q1967" s="56" t="s">
        <v>97</v>
      </c>
      <c r="R1967" s="56">
        <f>HEX2DEC(RIGHT(Table1323212737[[#This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6" t="s">
        <v>97</v>
      </c>
      <c r="P1968" s="56">
        <f>HEX2DEC(RIGHT(Table1323212737[[#This Row],[h1]],8))</f>
        <v>0</v>
      </c>
      <c r="Q1968" s="56" t="s">
        <v>97</v>
      </c>
      <c r="R1968" s="56">
        <f>HEX2DEC(RIGHT(Table1323212737[[#This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6" t="s">
        <v>97</v>
      </c>
      <c r="P1969" s="56">
        <f>HEX2DEC(RIGHT(Table1323212737[[#This Row],[h1]],8))</f>
        <v>0</v>
      </c>
      <c r="Q1969" s="56" t="s">
        <v>97</v>
      </c>
      <c r="R1969" s="56">
        <f>HEX2DEC(RIGHT(Table1323212737[[#This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6" t="s">
        <v>97</v>
      </c>
      <c r="P1970" s="56">
        <f>HEX2DEC(RIGHT(Table1323212737[[#This Row],[h1]],8))</f>
        <v>0</v>
      </c>
      <c r="Q1970" s="56" t="s">
        <v>97</v>
      </c>
      <c r="R1970" s="56">
        <f>HEX2DEC(RIGHT(Table1323212737[[#This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6" t="s">
        <v>97</v>
      </c>
      <c r="P1971" s="56">
        <f>HEX2DEC(RIGHT(Table1323212737[[#This Row],[h1]],8))</f>
        <v>0</v>
      </c>
      <c r="Q1971" s="56" t="s">
        <v>97</v>
      </c>
      <c r="R1971" s="56">
        <f>HEX2DEC(RIGHT(Table1323212737[[#This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6" t="s">
        <v>97</v>
      </c>
      <c r="P1972" s="56">
        <f>HEX2DEC(RIGHT(Table1323212737[[#This Row],[h1]],8))</f>
        <v>0</v>
      </c>
      <c r="Q1972" s="56" t="s">
        <v>97</v>
      </c>
      <c r="R1972" s="56">
        <f>HEX2DEC(RIGHT(Table1323212737[[#This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6" t="s">
        <v>97</v>
      </c>
      <c r="P1973" s="56">
        <f>HEX2DEC(RIGHT(Table1323212737[[#This Row],[h1]],8))</f>
        <v>0</v>
      </c>
      <c r="Q1973" s="56" t="s">
        <v>97</v>
      </c>
      <c r="R1973" s="56">
        <f>HEX2DEC(RIGHT(Table1323212737[[#This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6" t="s">
        <v>97</v>
      </c>
      <c r="P1974" s="56">
        <f>HEX2DEC(RIGHT(Table1323212737[[#This Row],[h1]],8))</f>
        <v>0</v>
      </c>
      <c r="Q1974" s="56" t="s">
        <v>97</v>
      </c>
      <c r="R1974" s="56">
        <f>HEX2DEC(RIGHT(Table1323212737[[#This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6" t="s">
        <v>97</v>
      </c>
      <c r="P1975" s="56">
        <f>HEX2DEC(RIGHT(Table1323212737[[#This Row],[h1]],8))</f>
        <v>0</v>
      </c>
      <c r="Q1975" s="56" t="s">
        <v>97</v>
      </c>
      <c r="R1975" s="56">
        <f>HEX2DEC(RIGHT(Table1323212737[[#This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6" t="s">
        <v>97</v>
      </c>
      <c r="P1976" s="56">
        <f>HEX2DEC(RIGHT(Table1323212737[[#This Row],[h1]],8))</f>
        <v>0</v>
      </c>
      <c r="Q1976" s="56" t="s">
        <v>97</v>
      </c>
      <c r="R1976" s="56">
        <f>HEX2DEC(RIGHT(Table1323212737[[#This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6" t="s">
        <v>97</v>
      </c>
      <c r="P1977" s="56">
        <f>HEX2DEC(RIGHT(Table1323212737[[#This Row],[h1]],8))</f>
        <v>0</v>
      </c>
      <c r="Q1977" s="56" t="s">
        <v>97</v>
      </c>
      <c r="R1977" s="56">
        <f>HEX2DEC(RIGHT(Table1323212737[[#This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6" t="s">
        <v>97</v>
      </c>
      <c r="P1978" s="56">
        <f>HEX2DEC(RIGHT(Table1323212737[[#This Row],[h1]],8))</f>
        <v>0</v>
      </c>
      <c r="Q1978" s="56" t="s">
        <v>97</v>
      </c>
      <c r="R1978" s="56">
        <f>HEX2DEC(RIGHT(Table1323212737[[#This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6" t="s">
        <v>97</v>
      </c>
      <c r="P1979" s="56">
        <f>HEX2DEC(RIGHT(Table1323212737[[#This Row],[h1]],8))</f>
        <v>0</v>
      </c>
      <c r="Q1979" s="56" t="s">
        <v>97</v>
      </c>
      <c r="R1979" s="56">
        <f>HEX2DEC(RIGHT(Table1323212737[[#This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6" t="s">
        <v>97</v>
      </c>
      <c r="P1980" s="56">
        <f>HEX2DEC(RIGHT(Table1323212737[[#This Row],[h1]],8))</f>
        <v>0</v>
      </c>
      <c r="Q1980" s="56" t="s">
        <v>97</v>
      </c>
      <c r="R1980" s="56">
        <f>HEX2DEC(RIGHT(Table1323212737[[#This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6" t="s">
        <v>97</v>
      </c>
      <c r="P1981" s="56">
        <f>HEX2DEC(RIGHT(Table1323212737[[#This Row],[h1]],8))</f>
        <v>0</v>
      </c>
      <c r="Q1981" s="56" t="s">
        <v>97</v>
      </c>
      <c r="R1981" s="56">
        <f>HEX2DEC(RIGHT(Table1323212737[[#This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6" t="s">
        <v>97</v>
      </c>
      <c r="P1982" s="56">
        <f>HEX2DEC(RIGHT(Table1323212737[[#This Row],[h1]],8))</f>
        <v>0</v>
      </c>
      <c r="Q1982" s="56" t="s">
        <v>97</v>
      </c>
      <c r="R1982" s="56">
        <f>HEX2DEC(RIGHT(Table1323212737[[#This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6" t="s">
        <v>97</v>
      </c>
      <c r="P1983" s="56">
        <f>HEX2DEC(RIGHT(Table1323212737[[#This Row],[h1]],8))</f>
        <v>0</v>
      </c>
      <c r="Q1983" s="56" t="s">
        <v>97</v>
      </c>
      <c r="R1983" s="56">
        <f>HEX2DEC(RIGHT(Table1323212737[[#This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6" t="s">
        <v>97</v>
      </c>
      <c r="P1984" s="56">
        <f>HEX2DEC(RIGHT(Table1323212737[[#This Row],[h1]],8))</f>
        <v>0</v>
      </c>
      <c r="Q1984" s="56" t="s">
        <v>97</v>
      </c>
      <c r="R1984" s="56">
        <f>HEX2DEC(RIGHT(Table1323212737[[#This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6" t="s">
        <v>97</v>
      </c>
      <c r="P1985" s="56">
        <f>HEX2DEC(RIGHT(Table1323212737[[#This Row],[h1]],8))</f>
        <v>0</v>
      </c>
      <c r="Q1985" s="56" t="s">
        <v>97</v>
      </c>
      <c r="R1985" s="56">
        <f>HEX2DEC(RIGHT(Table1323212737[[#This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6" t="s">
        <v>97</v>
      </c>
      <c r="P1986" s="56">
        <f>HEX2DEC(RIGHT(Table1323212737[[#This Row],[h1]],8))</f>
        <v>0</v>
      </c>
      <c r="Q1986" s="56" t="s">
        <v>97</v>
      </c>
      <c r="R1986" s="56">
        <f>HEX2DEC(RIGHT(Table1323212737[[#This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6" t="s">
        <v>97</v>
      </c>
      <c r="P1987" s="56">
        <f>HEX2DEC(RIGHT(Table1323212737[[#This Row],[h1]],8))</f>
        <v>0</v>
      </c>
      <c r="Q1987" s="56" t="s">
        <v>97</v>
      </c>
      <c r="R1987" s="56">
        <f>HEX2DEC(RIGHT(Table1323212737[[#This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6" t="s">
        <v>97</v>
      </c>
      <c r="P1988" s="56">
        <f>HEX2DEC(RIGHT(Table1323212737[[#This Row],[h1]],8))</f>
        <v>0</v>
      </c>
      <c r="Q1988" s="56" t="s">
        <v>97</v>
      </c>
      <c r="R1988" s="56">
        <f>HEX2DEC(RIGHT(Table1323212737[[#This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6" t="s">
        <v>97</v>
      </c>
      <c r="P1989" s="56">
        <f>HEX2DEC(RIGHT(Table1323212737[[#This Row],[h1]],8))</f>
        <v>0</v>
      </c>
      <c r="Q1989" s="56" t="s">
        <v>97</v>
      </c>
      <c r="R1989" s="56">
        <f>HEX2DEC(RIGHT(Table1323212737[[#This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6" t="s">
        <v>97</v>
      </c>
      <c r="P1990" s="56">
        <f>HEX2DEC(RIGHT(Table1323212737[[#This Row],[h1]],8))</f>
        <v>0</v>
      </c>
      <c r="Q1990" s="56" t="s">
        <v>97</v>
      </c>
      <c r="R1990" s="56">
        <f>HEX2DEC(RIGHT(Table1323212737[[#This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6" t="s">
        <v>97</v>
      </c>
      <c r="P1991" s="56">
        <f>HEX2DEC(RIGHT(Table1323212737[[#This Row],[h1]],8))</f>
        <v>0</v>
      </c>
      <c r="Q1991" s="56" t="s">
        <v>97</v>
      </c>
      <c r="R1991" s="56">
        <f>HEX2DEC(RIGHT(Table1323212737[[#This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6" t="s">
        <v>97</v>
      </c>
      <c r="P1992" s="56">
        <f>HEX2DEC(RIGHT(Table1323212737[[#This Row],[h1]],8))</f>
        <v>0</v>
      </c>
      <c r="Q1992" s="56" t="s">
        <v>97</v>
      </c>
      <c r="R1992" s="56">
        <f>HEX2DEC(RIGHT(Table1323212737[[#This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6" t="s">
        <v>97</v>
      </c>
      <c r="P1993" s="56">
        <f>HEX2DEC(RIGHT(Table1323212737[[#This Row],[h1]],8))</f>
        <v>0</v>
      </c>
      <c r="Q1993" s="56" t="s">
        <v>97</v>
      </c>
      <c r="R1993" s="56">
        <f>HEX2DEC(RIGHT(Table1323212737[[#This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6" t="s">
        <v>97</v>
      </c>
      <c r="P1994" s="56">
        <f>HEX2DEC(RIGHT(Table1323212737[[#This Row],[h1]],8))</f>
        <v>0</v>
      </c>
      <c r="Q1994" s="56" t="s">
        <v>97</v>
      </c>
      <c r="R1994" s="56">
        <f>HEX2DEC(RIGHT(Table1323212737[[#This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6" t="s">
        <v>97</v>
      </c>
      <c r="P1995" s="56">
        <f>HEX2DEC(RIGHT(Table1323212737[[#This Row],[h1]],8))</f>
        <v>0</v>
      </c>
      <c r="Q1995" s="56" t="s">
        <v>97</v>
      </c>
      <c r="R1995" s="56">
        <f>HEX2DEC(RIGHT(Table1323212737[[#This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6" t="s">
        <v>97</v>
      </c>
      <c r="P1996" s="56">
        <f>HEX2DEC(RIGHT(Table1323212737[[#This Row],[h1]],8))</f>
        <v>0</v>
      </c>
      <c r="Q1996" s="56" t="s">
        <v>97</v>
      </c>
      <c r="R1996" s="56">
        <f>HEX2DEC(RIGHT(Table1323212737[[#This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6" t="s">
        <v>97</v>
      </c>
      <c r="P1997" s="56">
        <f>HEX2DEC(RIGHT(Table1323212737[[#This Row],[h1]],8))</f>
        <v>0</v>
      </c>
      <c r="Q1997" s="56" t="s">
        <v>97</v>
      </c>
      <c r="R1997" s="56">
        <f>HEX2DEC(RIGHT(Table1323212737[[#This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6" t="s">
        <v>97</v>
      </c>
      <c r="P1998" s="56">
        <f>HEX2DEC(RIGHT(Table1323212737[[#This Row],[h1]],8))</f>
        <v>0</v>
      </c>
      <c r="Q1998" s="56" t="s">
        <v>97</v>
      </c>
      <c r="R1998" s="56">
        <f>HEX2DEC(RIGHT(Table1323212737[[#This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6" t="s">
        <v>97</v>
      </c>
      <c r="P1999" s="56">
        <f>HEX2DEC(RIGHT(Table1323212737[[#This Row],[h1]],8))</f>
        <v>0</v>
      </c>
      <c r="Q1999" s="56" t="s">
        <v>97</v>
      </c>
      <c r="R1999" s="56">
        <f>HEX2DEC(RIGHT(Table1323212737[[#This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6" t="s">
        <v>97</v>
      </c>
      <c r="P2000" s="56">
        <f>HEX2DEC(RIGHT(Table1323212737[[#This Row],[h1]],8))</f>
        <v>0</v>
      </c>
      <c r="Q2000" s="56" t="s">
        <v>97</v>
      </c>
      <c r="R2000" s="56">
        <f>HEX2DEC(RIGHT(Table1323212737[[#This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6" t="s">
        <v>97</v>
      </c>
      <c r="P2001" s="56">
        <f>HEX2DEC(RIGHT(Table1323212737[[#This Row],[h1]],8))</f>
        <v>0</v>
      </c>
      <c r="Q2001" s="56" t="s">
        <v>97</v>
      </c>
      <c r="R2001" s="56">
        <f>HEX2DEC(RIGHT(Table1323212737[[#This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6" t="s">
        <v>97</v>
      </c>
      <c r="P2002" s="56">
        <f>HEX2DEC(RIGHT(Table1323212737[[#This Row],[h1]],8))</f>
        <v>0</v>
      </c>
      <c r="Q2002" s="56" t="s">
        <v>97</v>
      </c>
      <c r="R2002" s="56">
        <f>HEX2DEC(RIGHT(Table1323212737[[#This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6" t="s">
        <v>97</v>
      </c>
      <c r="P2003" s="56">
        <f>HEX2DEC(RIGHT(Table1323212737[[#This Row],[h1]],8))</f>
        <v>0</v>
      </c>
      <c r="Q2003" s="56" t="s">
        <v>97</v>
      </c>
      <c r="R2003" s="56">
        <f>HEX2DEC(RIGHT(Table1323212737[[#This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6" t="s">
        <v>97</v>
      </c>
      <c r="P2004" s="56">
        <f>HEX2DEC(RIGHT(Table1323212737[[#This Row],[h1]],8))</f>
        <v>0</v>
      </c>
      <c r="Q2004" s="56" t="s">
        <v>97</v>
      </c>
      <c r="R2004" s="56">
        <f>HEX2DEC(RIGHT(Table1323212737[[#This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6" t="s">
        <v>97</v>
      </c>
      <c r="P2005" s="56">
        <f>HEX2DEC(RIGHT(Table1323212737[[#This Row],[h1]],8))</f>
        <v>0</v>
      </c>
      <c r="Q2005" s="56" t="s">
        <v>97</v>
      </c>
      <c r="R2005" s="56">
        <f>HEX2DEC(RIGHT(Table1323212737[[#This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6" t="s">
        <v>97</v>
      </c>
      <c r="P2006" s="56">
        <f>HEX2DEC(RIGHT(Table1323212737[[#This Row],[h1]],8))</f>
        <v>0</v>
      </c>
      <c r="Q2006" s="56" t="s">
        <v>97</v>
      </c>
      <c r="R2006" s="56">
        <f>HEX2DEC(RIGHT(Table1323212737[[#This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6" t="s">
        <v>97</v>
      </c>
      <c r="P2007" s="56">
        <f>HEX2DEC(RIGHT(Table1323212737[[#This Row],[h1]],8))</f>
        <v>0</v>
      </c>
      <c r="Q2007" s="56" t="s">
        <v>97</v>
      </c>
      <c r="R2007" s="56">
        <f>HEX2DEC(RIGHT(Table1323212737[[#This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6" t="s">
        <v>97</v>
      </c>
      <c r="P2008" s="56">
        <f>HEX2DEC(RIGHT(Table1323212737[[#This Row],[h1]],8))</f>
        <v>0</v>
      </c>
      <c r="Q2008" s="56" t="s">
        <v>97</v>
      </c>
      <c r="R2008" s="56">
        <f>HEX2DEC(RIGHT(Table1323212737[[#This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6" t="s">
        <v>97</v>
      </c>
      <c r="P2009" s="56">
        <f>HEX2DEC(RIGHT(Table1323212737[[#This Row],[h1]],8))</f>
        <v>0</v>
      </c>
      <c r="Q2009" s="56" t="s">
        <v>97</v>
      </c>
      <c r="R2009" s="56">
        <f>HEX2DEC(RIGHT(Table1323212737[[#This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6" t="s">
        <v>97</v>
      </c>
      <c r="P2010" s="56">
        <f>HEX2DEC(RIGHT(Table1323212737[[#This Row],[h1]],8))</f>
        <v>0</v>
      </c>
      <c r="Q2010" s="56" t="s">
        <v>97</v>
      </c>
      <c r="R2010" s="56">
        <f>HEX2DEC(RIGHT(Table1323212737[[#This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6" t="s">
        <v>97</v>
      </c>
      <c r="P2011" s="56">
        <f>HEX2DEC(RIGHT(Table1323212737[[#This Row],[h1]],8))</f>
        <v>0</v>
      </c>
      <c r="Q2011" s="56" t="s">
        <v>97</v>
      </c>
      <c r="R2011" s="56">
        <f>HEX2DEC(RIGHT(Table1323212737[[#This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6" t="s">
        <v>97</v>
      </c>
      <c r="P2012" s="56">
        <f>HEX2DEC(RIGHT(Table1323212737[[#This Row],[h1]],8))</f>
        <v>0</v>
      </c>
      <c r="Q2012" s="56" t="s">
        <v>97</v>
      </c>
      <c r="R2012" s="56">
        <f>HEX2DEC(RIGHT(Table1323212737[[#This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6" t="s">
        <v>97</v>
      </c>
      <c r="P2013" s="56">
        <f>HEX2DEC(RIGHT(Table1323212737[[#This Row],[h1]],8))</f>
        <v>0</v>
      </c>
      <c r="Q2013" s="56" t="s">
        <v>97</v>
      </c>
      <c r="R2013" s="56">
        <f>HEX2DEC(RIGHT(Table1323212737[[#This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6" t="s">
        <v>97</v>
      </c>
      <c r="P2014" s="56">
        <f>HEX2DEC(RIGHT(Table1323212737[[#This Row],[h1]],8))</f>
        <v>0</v>
      </c>
      <c r="Q2014" s="56" t="s">
        <v>97</v>
      </c>
      <c r="R2014" s="56">
        <f>HEX2DEC(RIGHT(Table1323212737[[#This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6" t="s">
        <v>97</v>
      </c>
      <c r="P2015" s="56">
        <f>HEX2DEC(RIGHT(Table1323212737[[#This Row],[h1]],8))</f>
        <v>0</v>
      </c>
      <c r="Q2015" s="56" t="s">
        <v>97</v>
      </c>
      <c r="R2015" s="56">
        <f>HEX2DEC(RIGHT(Table1323212737[[#This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6" t="s">
        <v>97</v>
      </c>
      <c r="P2016" s="56">
        <f>HEX2DEC(RIGHT(Table1323212737[[#This Row],[h1]],8))</f>
        <v>0</v>
      </c>
      <c r="Q2016" s="56" t="s">
        <v>97</v>
      </c>
      <c r="R2016" s="56">
        <f>HEX2DEC(RIGHT(Table1323212737[[#This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6" t="s">
        <v>97</v>
      </c>
      <c r="P2017" s="56">
        <f>HEX2DEC(RIGHT(Table1323212737[[#This Row],[h1]],8))</f>
        <v>0</v>
      </c>
      <c r="Q2017" s="56" t="s">
        <v>97</v>
      </c>
      <c r="R2017" s="56">
        <f>HEX2DEC(RIGHT(Table1323212737[[#This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6" t="s">
        <v>97</v>
      </c>
      <c r="P2018" s="56">
        <f>HEX2DEC(RIGHT(Table1323212737[[#This Row],[h1]],8))</f>
        <v>0</v>
      </c>
      <c r="Q2018" s="56" t="s">
        <v>97</v>
      </c>
      <c r="R2018" s="56">
        <f>HEX2DEC(RIGHT(Table1323212737[[#This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6" t="s">
        <v>97</v>
      </c>
      <c r="P2019" s="56">
        <f>HEX2DEC(RIGHT(Table1323212737[[#This Row],[h1]],8))</f>
        <v>0</v>
      </c>
      <c r="Q2019" s="56" t="s">
        <v>97</v>
      </c>
      <c r="R2019" s="56">
        <f>HEX2DEC(RIGHT(Table1323212737[[#This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6" t="s">
        <v>97</v>
      </c>
      <c r="P2020" s="56">
        <f>HEX2DEC(RIGHT(Table1323212737[[#This Row],[h1]],8))</f>
        <v>0</v>
      </c>
      <c r="Q2020" s="56" t="s">
        <v>97</v>
      </c>
      <c r="R2020" s="56">
        <f>HEX2DEC(RIGHT(Table1323212737[[#This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6" t="s">
        <v>97</v>
      </c>
      <c r="P2021" s="56">
        <f>HEX2DEC(RIGHT(Table1323212737[[#This Row],[h1]],8))</f>
        <v>0</v>
      </c>
      <c r="Q2021" s="56" t="s">
        <v>97</v>
      </c>
      <c r="R2021" s="56">
        <f>HEX2DEC(RIGHT(Table1323212737[[#This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6" t="s">
        <v>97</v>
      </c>
      <c r="P2022" s="56">
        <f>HEX2DEC(RIGHT(Table1323212737[[#This Row],[h1]],8))</f>
        <v>0</v>
      </c>
      <c r="Q2022" s="56" t="s">
        <v>97</v>
      </c>
      <c r="R2022" s="56">
        <f>HEX2DEC(RIGHT(Table1323212737[[#This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6" t="s">
        <v>97</v>
      </c>
      <c r="P2023" s="56">
        <f>HEX2DEC(RIGHT(Table1323212737[[#This Row],[h1]],8))</f>
        <v>0</v>
      </c>
      <c r="Q2023" s="56" t="s">
        <v>97</v>
      </c>
      <c r="R2023" s="56">
        <f>HEX2DEC(RIGHT(Table1323212737[[#This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6" t="s">
        <v>97</v>
      </c>
      <c r="P2024" s="56">
        <f>HEX2DEC(RIGHT(Table1323212737[[#This Row],[h1]],8))</f>
        <v>0</v>
      </c>
      <c r="Q2024" s="56" t="s">
        <v>97</v>
      </c>
      <c r="R2024" s="56">
        <f>HEX2DEC(RIGHT(Table1323212737[[#This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6" t="s">
        <v>97</v>
      </c>
      <c r="P2025" s="56">
        <f>HEX2DEC(RIGHT(Table1323212737[[#This Row],[h1]],8))</f>
        <v>0</v>
      </c>
      <c r="Q2025" s="56" t="s">
        <v>97</v>
      </c>
      <c r="R2025" s="56">
        <f>HEX2DEC(RIGHT(Table1323212737[[#This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6" t="s">
        <v>97</v>
      </c>
      <c r="P2026" s="56">
        <f>HEX2DEC(RIGHT(Table1323212737[[#This Row],[h1]],8))</f>
        <v>0</v>
      </c>
      <c r="Q2026" s="56" t="s">
        <v>97</v>
      </c>
      <c r="R2026" s="56">
        <f>HEX2DEC(RIGHT(Table1323212737[[#This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6" t="s">
        <v>97</v>
      </c>
      <c r="P2027" s="56">
        <f>HEX2DEC(RIGHT(Table1323212737[[#This Row],[h1]],8))</f>
        <v>0</v>
      </c>
      <c r="Q2027" s="56" t="s">
        <v>97</v>
      </c>
      <c r="R2027" s="56">
        <f>HEX2DEC(RIGHT(Table1323212737[[#This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6" t="s">
        <v>97</v>
      </c>
      <c r="P2028" s="56">
        <f>HEX2DEC(RIGHT(Table1323212737[[#This Row],[h1]],8))</f>
        <v>0</v>
      </c>
      <c r="Q2028" s="56" t="s">
        <v>97</v>
      </c>
      <c r="R2028" s="56">
        <f>HEX2DEC(RIGHT(Table1323212737[[#This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6" t="s">
        <v>97</v>
      </c>
      <c r="P2029" s="56">
        <f>HEX2DEC(RIGHT(Table1323212737[[#This Row],[h1]],8))</f>
        <v>0</v>
      </c>
      <c r="Q2029" s="56" t="s">
        <v>97</v>
      </c>
      <c r="R2029" s="56">
        <f>HEX2DEC(RIGHT(Table1323212737[[#This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6" t="s">
        <v>97</v>
      </c>
      <c r="P2030" s="56">
        <f>HEX2DEC(RIGHT(Table1323212737[[#This Row],[h1]],8))</f>
        <v>0</v>
      </c>
      <c r="Q2030" s="56" t="s">
        <v>97</v>
      </c>
      <c r="R2030" s="56">
        <f>HEX2DEC(RIGHT(Table1323212737[[#This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6" t="s">
        <v>97</v>
      </c>
      <c r="P2031" s="56">
        <f>HEX2DEC(RIGHT(Table1323212737[[#This Row],[h1]],8))</f>
        <v>0</v>
      </c>
      <c r="Q2031" s="56" t="s">
        <v>97</v>
      </c>
      <c r="R2031" s="56">
        <f>HEX2DEC(RIGHT(Table1323212737[[#This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6" t="s">
        <v>97</v>
      </c>
      <c r="P2032" s="56">
        <f>HEX2DEC(RIGHT(Table1323212737[[#This Row],[h1]],8))</f>
        <v>0</v>
      </c>
      <c r="Q2032" s="56" t="s">
        <v>97</v>
      </c>
      <c r="R2032" s="56">
        <f>HEX2DEC(RIGHT(Table1323212737[[#This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6" t="s">
        <v>97</v>
      </c>
      <c r="P2033" s="56">
        <f>HEX2DEC(RIGHT(Table1323212737[[#This Row],[h1]],8))</f>
        <v>0</v>
      </c>
      <c r="Q2033" s="56" t="s">
        <v>97</v>
      </c>
      <c r="R2033" s="56">
        <f>HEX2DEC(RIGHT(Table1323212737[[#This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6" t="s">
        <v>97</v>
      </c>
      <c r="P2034" s="56">
        <f>HEX2DEC(RIGHT(Table1323212737[[#This Row],[h1]],8))</f>
        <v>0</v>
      </c>
      <c r="Q2034" s="56" t="s">
        <v>97</v>
      </c>
      <c r="R2034" s="56">
        <f>HEX2DEC(RIGHT(Table1323212737[[#This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6" t="s">
        <v>97</v>
      </c>
      <c r="P2035" s="56">
        <f>HEX2DEC(RIGHT(Table1323212737[[#This Row],[h1]],8))</f>
        <v>0</v>
      </c>
      <c r="Q2035" s="56" t="s">
        <v>97</v>
      </c>
      <c r="R2035" s="56">
        <f>HEX2DEC(RIGHT(Table1323212737[[#This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6" t="s">
        <v>97</v>
      </c>
      <c r="P2036" s="56">
        <f>HEX2DEC(RIGHT(Table1323212737[[#This Row],[h1]],8))</f>
        <v>0</v>
      </c>
      <c r="Q2036" s="56" t="s">
        <v>97</v>
      </c>
      <c r="R2036" s="56">
        <f>HEX2DEC(RIGHT(Table1323212737[[#This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6" t="s">
        <v>97</v>
      </c>
      <c r="P2037" s="56">
        <f>HEX2DEC(RIGHT(Table1323212737[[#This Row],[h1]],8))</f>
        <v>0</v>
      </c>
      <c r="Q2037" s="56" t="s">
        <v>97</v>
      </c>
      <c r="R2037" s="56">
        <f>HEX2DEC(RIGHT(Table1323212737[[#This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6" t="s">
        <v>97</v>
      </c>
      <c r="P2038" s="56">
        <f>HEX2DEC(RIGHT(Table1323212737[[#This Row],[h1]],8))</f>
        <v>0</v>
      </c>
      <c r="Q2038" s="56" t="s">
        <v>97</v>
      </c>
      <c r="R2038" s="56">
        <f>HEX2DEC(RIGHT(Table1323212737[[#This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6" t="s">
        <v>97</v>
      </c>
      <c r="P2039" s="56">
        <f>HEX2DEC(RIGHT(Table1323212737[[#This Row],[h1]],8))</f>
        <v>0</v>
      </c>
      <c r="Q2039" s="56" t="s">
        <v>97</v>
      </c>
      <c r="R2039" s="56">
        <f>HEX2DEC(RIGHT(Table1323212737[[#This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6" t="s">
        <v>97</v>
      </c>
      <c r="P2040" s="56">
        <f>HEX2DEC(RIGHT(Table1323212737[[#This Row],[h1]],8))</f>
        <v>0</v>
      </c>
      <c r="Q2040" s="56" t="s">
        <v>97</v>
      </c>
      <c r="R2040" s="56">
        <f>HEX2DEC(RIGHT(Table1323212737[[#This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6" t="s">
        <v>97</v>
      </c>
      <c r="P2041" s="56">
        <f>HEX2DEC(RIGHT(Table1323212737[[#This Row],[h1]],8))</f>
        <v>0</v>
      </c>
      <c r="Q2041" s="56" t="s">
        <v>97</v>
      </c>
      <c r="R2041" s="56">
        <f>HEX2DEC(RIGHT(Table1323212737[[#This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6" t="s">
        <v>27</v>
      </c>
      <c r="Q2042" s="56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6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94"/>
  <sheetViews>
    <sheetView zoomScaleNormal="100" workbookViewId="0">
      <pane xSplit="3" ySplit="6" topLeftCell="D7" activePane="bottomRight" state="frozen"/>
      <selection pane="topRight" activeCell="C1" sqref="C1"/>
      <selection pane="bottomLeft" activeCell="A7" sqref="A7"/>
      <selection pane="bottomRight" activeCell="G107" sqref="G107:G138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7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7" bestFit="1" customWidth="1"/>
    <col min="16" max="16" width="12.25" style="47" customWidth="1"/>
    <col min="17" max="17" width="14.125" style="47" bestFit="1" customWidth="1"/>
    <col min="18" max="18" width="14.125" style="47" customWidth="1"/>
    <col min="19" max="19" width="1.75" style="47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7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7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7" customFormat="1" x14ac:dyDescent="0.3">
      <c r="A3" s="12" t="s">
        <v>32</v>
      </c>
      <c r="C3" s="47" t="s">
        <v>23</v>
      </c>
      <c r="D3" s="47" t="s">
        <v>9</v>
      </c>
      <c r="E3" s="47" t="s">
        <v>10</v>
      </c>
      <c r="F3" s="47" t="s">
        <v>11</v>
      </c>
      <c r="G3" s="47" t="s">
        <v>105</v>
      </c>
      <c r="I3" s="47" t="s">
        <v>6</v>
      </c>
      <c r="J3" s="47" t="s">
        <v>7</v>
      </c>
      <c r="L3" s="47" t="s">
        <v>6</v>
      </c>
      <c r="M3" s="47" t="s">
        <v>7</v>
      </c>
      <c r="O3" s="47" t="s">
        <v>98</v>
      </c>
      <c r="P3" s="34" t="s">
        <v>99</v>
      </c>
      <c r="Q3" s="47" t="s">
        <v>100</v>
      </c>
      <c r="R3" s="47" t="s">
        <v>101</v>
      </c>
      <c r="T3" s="47" t="s">
        <v>5</v>
      </c>
      <c r="U3" s="47" t="s">
        <v>6</v>
      </c>
      <c r="V3" s="47" t="s">
        <v>8</v>
      </c>
      <c r="W3" s="47" t="s">
        <v>7</v>
      </c>
    </row>
    <row r="4" spans="1:23" s="47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7" customFormat="1" x14ac:dyDescent="0.3">
      <c r="A5" s="12" t="s">
        <v>511</v>
      </c>
      <c r="B5" s="47" t="str">
        <f>A3&amp;"."&amp;A4&amp;"."&amp;A5&amp;A6&amp;"."</f>
        <v>SCL3.TS.EVR001.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7" customFormat="1" x14ac:dyDescent="0.3">
      <c r="A6" s="12" t="s">
        <v>41</v>
      </c>
      <c r="B6" s="47" t="str">
        <f>A3&amp;":"&amp;A4&amp;":"&amp;A5&amp;A6&amp;":"</f>
        <v>SCL3:TS:EVR001: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7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7"/>
      <c r="I8" s="20">
        <v>32768</v>
      </c>
      <c r="J8" s="21">
        <v>10</v>
      </c>
      <c r="K8" s="47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7"/>
      <c r="I9" s="20">
        <v>0</v>
      </c>
      <c r="J9" s="21">
        <v>10</v>
      </c>
      <c r="K9" s="47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7"/>
      <c r="I10" s="24">
        <v>0</v>
      </c>
      <c r="J10" s="24">
        <v>20</v>
      </c>
      <c r="K10" s="47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7"/>
      <c r="I11" s="24">
        <v>0</v>
      </c>
      <c r="J11" s="24">
        <v>20</v>
      </c>
      <c r="K11" s="47"/>
      <c r="L11" s="24">
        <v>11</v>
      </c>
      <c r="M11" s="24">
        <v>50000</v>
      </c>
      <c r="O11" s="56" t="s">
        <v>670</v>
      </c>
      <c r="P11" s="47">
        <f>HEX2DEC(RIGHT(Table1323214[[#This Row],[h1]],8))</f>
        <v>0</v>
      </c>
      <c r="Q11" s="47" t="s">
        <v>97</v>
      </c>
      <c r="R11" s="47">
        <f>HEX2DEC(RIGHT(Table1323214[[#This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7"/>
      <c r="I12" s="24">
        <v>0</v>
      </c>
      <c r="J12" s="24">
        <v>20</v>
      </c>
      <c r="K12" s="47"/>
      <c r="L12" s="24">
        <v>12</v>
      </c>
      <c r="M12" s="24">
        <v>50000</v>
      </c>
      <c r="O12" s="56" t="s">
        <v>670</v>
      </c>
      <c r="P12" s="47">
        <f>HEX2DEC(RIGHT(Table1323214[[#This Row],[h1]],8))</f>
        <v>0</v>
      </c>
      <c r="Q12" s="47" t="s">
        <v>97</v>
      </c>
      <c r="R12" s="47">
        <f>HEX2DEC(RIGHT(Table1323214[[#This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7"/>
      <c r="I13" s="20" t="s">
        <v>27</v>
      </c>
      <c r="J13" s="24">
        <v>50000</v>
      </c>
      <c r="K13" s="47"/>
      <c r="L13" s="24">
        <v>13</v>
      </c>
      <c r="M13" s="24">
        <v>50000</v>
      </c>
      <c r="O13" s="56" t="s">
        <v>670</v>
      </c>
      <c r="P13" s="47">
        <f>HEX2DEC(RIGHT(Table1323214[[#This Row],[h1]],8))</f>
        <v>0</v>
      </c>
      <c r="Q13" s="47" t="s">
        <v>97</v>
      </c>
      <c r="R13" s="47">
        <f>HEX2DEC(RIGHT(Table1323214[[#This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7"/>
      <c r="J14" s="24">
        <v>50000</v>
      </c>
      <c r="K14" s="47"/>
      <c r="L14" s="24">
        <v>14</v>
      </c>
      <c r="M14" s="24">
        <v>50000</v>
      </c>
      <c r="O14" s="56" t="s">
        <v>670</v>
      </c>
      <c r="P14" s="47">
        <f>HEX2DEC(RIGHT(Table1323214[[#This Row],[h1]],8))</f>
        <v>0</v>
      </c>
      <c r="Q14" s="47" t="s">
        <v>97</v>
      </c>
      <c r="R14" s="47">
        <f>HEX2DEC(RIGHT(Table1323214[[#This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7"/>
      <c r="J15" s="24">
        <v>50000</v>
      </c>
      <c r="K15" s="47"/>
      <c r="L15" s="24">
        <v>15</v>
      </c>
      <c r="M15" s="24">
        <v>50000</v>
      </c>
      <c r="O15" s="56" t="s">
        <v>681</v>
      </c>
      <c r="P15" s="47">
        <f>HEX2DEC(RIGHT(Table1323214[[#This Row],[h1]],8))</f>
        <v>1022</v>
      </c>
      <c r="Q15" s="47" t="s">
        <v>97</v>
      </c>
      <c r="R15" s="47">
        <f>HEX2DEC(RIGHT(Table1323214[[#This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7"/>
      <c r="J16" s="24">
        <v>50000</v>
      </c>
      <c r="K16" s="47"/>
      <c r="L16" s="24">
        <v>16</v>
      </c>
      <c r="M16" s="24">
        <v>50000</v>
      </c>
      <c r="O16" s="56" t="s">
        <v>670</v>
      </c>
      <c r="P16" s="47">
        <f>HEX2DEC(RIGHT(Table1323214[[#This Row],[h1]],8))</f>
        <v>0</v>
      </c>
      <c r="Q16" s="47" t="s">
        <v>97</v>
      </c>
      <c r="R16" s="47">
        <f>HEX2DEC(RIGHT(Table1323214[[#This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7"/>
      <c r="J17" s="24">
        <v>50000</v>
      </c>
      <c r="K17" s="47"/>
      <c r="L17" s="24">
        <v>17</v>
      </c>
      <c r="M17" s="24">
        <v>50000</v>
      </c>
      <c r="O17" s="56" t="s">
        <v>670</v>
      </c>
      <c r="P17" s="47">
        <f>HEX2DEC(RIGHT(Table1323214[[#This Row],[h1]],8))</f>
        <v>0</v>
      </c>
      <c r="Q17" s="47" t="s">
        <v>97</v>
      </c>
      <c r="R17" s="47">
        <f>HEX2DEC(RIGHT(Table1323214[[#This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7"/>
      <c r="J18" s="24">
        <v>50000</v>
      </c>
      <c r="K18" s="47"/>
      <c r="L18" s="24">
        <v>18</v>
      </c>
      <c r="M18" s="24">
        <v>50000</v>
      </c>
      <c r="O18" s="56" t="s">
        <v>670</v>
      </c>
      <c r="P18" s="47">
        <f>HEX2DEC(RIGHT(Table1323214[[#This Row],[h1]],8))</f>
        <v>0</v>
      </c>
      <c r="Q18" s="47" t="s">
        <v>97</v>
      </c>
      <c r="R18" s="47">
        <f>HEX2DEC(RIGHT(Table1323214[[#This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7"/>
      <c r="J19" s="24">
        <v>50000</v>
      </c>
      <c r="K19" s="47"/>
      <c r="L19" s="24">
        <v>19</v>
      </c>
      <c r="M19" s="24">
        <v>50000</v>
      </c>
      <c r="O19" s="56" t="s">
        <v>670</v>
      </c>
      <c r="P19" s="47">
        <f>HEX2DEC(RIGHT(Table1323214[[#This Row],[h1]],8))</f>
        <v>0</v>
      </c>
      <c r="Q19" s="47" t="s">
        <v>97</v>
      </c>
      <c r="R19" s="47">
        <f>HEX2DEC(RIGHT(Table1323214[[#This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7"/>
      <c r="J20" s="24">
        <v>50000</v>
      </c>
      <c r="K20" s="47"/>
      <c r="L20" s="24">
        <v>20</v>
      </c>
      <c r="M20" s="24">
        <v>50000</v>
      </c>
      <c r="O20" s="56" t="s">
        <v>670</v>
      </c>
      <c r="P20" s="47">
        <f>HEX2DEC(RIGHT(Table1323214[[#This Row],[h1]],8))</f>
        <v>0</v>
      </c>
      <c r="Q20" s="47" t="s">
        <v>97</v>
      </c>
      <c r="R20" s="47">
        <f>HEX2DEC(RIGHT(Table1323214[[#This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7"/>
      <c r="J21" s="24">
        <v>50000</v>
      </c>
      <c r="K21" s="47"/>
      <c r="L21" s="24">
        <v>21</v>
      </c>
      <c r="M21" s="24">
        <v>50000</v>
      </c>
      <c r="O21" s="56" t="s">
        <v>682</v>
      </c>
      <c r="P21" s="47">
        <f>HEX2DEC(RIGHT(Table1323214[[#This Row],[h1]],8))</f>
        <v>1047552</v>
      </c>
      <c r="Q21" s="47" t="s">
        <v>97</v>
      </c>
      <c r="R21" s="47">
        <f>HEX2DEC(RIGHT(Table1323214[[#This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7"/>
      <c r="J22" s="24">
        <v>50000</v>
      </c>
      <c r="K22" s="47"/>
      <c r="L22" s="24">
        <v>22</v>
      </c>
      <c r="M22" s="24">
        <v>50000</v>
      </c>
      <c r="O22" s="56" t="s">
        <v>683</v>
      </c>
      <c r="P22" s="47">
        <f>HEX2DEC(RIGHT(Table1323214[[#This Row],[h1]],8))</f>
        <v>4293918720</v>
      </c>
      <c r="Q22" s="47" t="s">
        <v>97</v>
      </c>
      <c r="R22" s="47">
        <f>HEX2DEC(RIGHT(Table1323214[[#This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7"/>
      <c r="J23" s="24">
        <v>50000</v>
      </c>
      <c r="K23" s="47"/>
      <c r="L23" s="24">
        <v>23</v>
      </c>
      <c r="M23" s="24">
        <v>50000</v>
      </c>
      <c r="O23" s="56" t="s">
        <v>97</v>
      </c>
      <c r="P23" s="47">
        <f>HEX2DEC(RIGHT(Table1323214[[#This Row],[h1]],8))</f>
        <v>0</v>
      </c>
      <c r="Q23" s="47" t="s">
        <v>97</v>
      </c>
      <c r="R23" s="47">
        <f>HEX2DEC(RIGHT(Table1323214[[#This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7"/>
      <c r="J24" s="24">
        <v>50000</v>
      </c>
      <c r="K24" s="47"/>
      <c r="L24" s="24">
        <v>24</v>
      </c>
      <c r="M24" s="24">
        <v>50000</v>
      </c>
      <c r="O24" s="56" t="s">
        <v>97</v>
      </c>
      <c r="P24" s="47">
        <f>HEX2DEC(RIGHT(Table1323214[[#This Row],[h1]],8))</f>
        <v>0</v>
      </c>
      <c r="Q24" s="47" t="s">
        <v>97</v>
      </c>
      <c r="R24" s="47">
        <f>HEX2DEC(RIGHT(Table1323214[[#This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7"/>
      <c r="J25" s="24">
        <v>50000</v>
      </c>
      <c r="K25" s="47"/>
      <c r="L25" s="24">
        <v>25</v>
      </c>
      <c r="M25" s="24">
        <v>50000</v>
      </c>
      <c r="O25" s="56" t="s">
        <v>97</v>
      </c>
      <c r="P25" s="47">
        <f>HEX2DEC(RIGHT(Table1323214[[#This Row],[h1]],8))</f>
        <v>0</v>
      </c>
      <c r="Q25" s="47" t="s">
        <v>97</v>
      </c>
      <c r="R25" s="47">
        <f>HEX2DEC(RIGHT(Table1323214[[#This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7"/>
      <c r="J26" s="24">
        <v>50000</v>
      </c>
      <c r="K26" s="47"/>
      <c r="L26" s="24">
        <v>26</v>
      </c>
      <c r="M26" s="24">
        <v>50000</v>
      </c>
      <c r="O26" s="56" t="s">
        <v>97</v>
      </c>
      <c r="P26" s="47">
        <f>HEX2DEC(RIGHT(Table1323214[[#This Row],[h1]],8))</f>
        <v>0</v>
      </c>
      <c r="Q26" s="47" t="s">
        <v>97</v>
      </c>
      <c r="R26" s="47">
        <f>HEX2DEC(RIGHT(Table1323214[[#This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7"/>
      <c r="J27" s="24">
        <v>50000</v>
      </c>
      <c r="K27" s="47"/>
      <c r="L27" s="24">
        <v>27</v>
      </c>
      <c r="M27" s="24">
        <v>50000</v>
      </c>
      <c r="O27" s="56" t="s">
        <v>97</v>
      </c>
      <c r="P27" s="47">
        <f>HEX2DEC(RIGHT(Table1323214[[#This Row],[h1]],8))</f>
        <v>0</v>
      </c>
      <c r="Q27" s="47" t="s">
        <v>97</v>
      </c>
      <c r="R27" s="47">
        <f>HEX2DEC(RIGHT(Table1323214[[#This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7"/>
      <c r="J28" s="24">
        <v>50000</v>
      </c>
      <c r="K28" s="47"/>
      <c r="L28" s="24">
        <v>28</v>
      </c>
      <c r="M28" s="24">
        <v>50000</v>
      </c>
      <c r="O28" s="56" t="s">
        <v>97</v>
      </c>
      <c r="P28" s="47">
        <f>HEX2DEC(RIGHT(Table1323214[[#This Row],[h1]],8))</f>
        <v>0</v>
      </c>
      <c r="Q28" s="47" t="s">
        <v>97</v>
      </c>
      <c r="R28" s="47">
        <f>HEX2DEC(RIGHT(Table1323214[[#This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7"/>
      <c r="J29" s="24">
        <v>50000</v>
      </c>
      <c r="K29" s="47"/>
      <c r="L29" s="24">
        <v>29</v>
      </c>
      <c r="M29" s="24">
        <v>50000</v>
      </c>
      <c r="O29" s="56" t="s">
        <v>97</v>
      </c>
      <c r="P29" s="47">
        <f>HEX2DEC(RIGHT(Table1323214[[#This Row],[h1]],8))</f>
        <v>0</v>
      </c>
      <c r="Q29" s="47" t="s">
        <v>97</v>
      </c>
      <c r="R29" s="47">
        <f>HEX2DEC(RIGHT(Table1323214[[#This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7"/>
      <c r="J30" s="24">
        <v>50000</v>
      </c>
      <c r="K30" s="47"/>
      <c r="L30" s="24">
        <v>30</v>
      </c>
      <c r="M30" s="24">
        <v>50000</v>
      </c>
      <c r="O30" s="56" t="s">
        <v>97</v>
      </c>
      <c r="P30" s="47">
        <f>HEX2DEC(RIGHT(Table1323214[[#This Row],[h1]],8))</f>
        <v>0</v>
      </c>
      <c r="Q30" s="47" t="s">
        <v>97</v>
      </c>
      <c r="R30" s="47">
        <f>HEX2DEC(RIGHT(Table1323214[[#This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7"/>
      <c r="J31" s="24">
        <v>50000</v>
      </c>
      <c r="K31" s="47"/>
      <c r="L31" s="20"/>
      <c r="M31" s="24">
        <v>50000</v>
      </c>
      <c r="O31" s="56" t="s">
        <v>97</v>
      </c>
      <c r="P31" s="47">
        <f>HEX2DEC(RIGHT(Table1323214[[#This Row],[h1]],8))</f>
        <v>0</v>
      </c>
      <c r="Q31" s="47" t="s">
        <v>97</v>
      </c>
      <c r="R31" s="47">
        <f>HEX2DEC(RIGHT(Table1323214[[#This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7"/>
      <c r="J32" s="24">
        <v>50000</v>
      </c>
      <c r="K32" s="47"/>
      <c r="M32" s="24">
        <v>50000</v>
      </c>
      <c r="O32" s="56" t="s">
        <v>97</v>
      </c>
      <c r="P32" s="47">
        <f>HEX2DEC(RIGHT(Table1323214[[#This Row],[h1]],8))</f>
        <v>0</v>
      </c>
      <c r="Q32" s="47" t="s">
        <v>97</v>
      </c>
      <c r="R32" s="47">
        <f>HEX2DEC(RIGHT(Table1323214[[#This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7"/>
      <c r="J33" s="24">
        <v>50000</v>
      </c>
      <c r="K33" s="47"/>
      <c r="M33" s="24">
        <v>50000</v>
      </c>
      <c r="O33" s="56" t="s">
        <v>97</v>
      </c>
      <c r="P33" s="47">
        <f>HEX2DEC(RIGHT(Table1323214[[#This Row],[h1]],8))</f>
        <v>0</v>
      </c>
      <c r="Q33" s="47" t="s">
        <v>97</v>
      </c>
      <c r="R33" s="47">
        <f>HEX2DEC(RIGHT(Table1323214[[#This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7"/>
      <c r="J34" s="24">
        <v>50000</v>
      </c>
      <c r="K34" s="47"/>
      <c r="M34" s="24">
        <v>50000</v>
      </c>
      <c r="O34" s="47" t="s">
        <v>97</v>
      </c>
      <c r="P34" s="47">
        <f>HEX2DEC(RIGHT(Table1323214[[#This Row],[h1]],8))</f>
        <v>0</v>
      </c>
      <c r="Q34" s="47" t="s">
        <v>97</v>
      </c>
      <c r="R34" s="47">
        <f>HEX2DEC(RIGHT(Table1323214[[#This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7"/>
      <c r="J35" s="24">
        <v>50000</v>
      </c>
      <c r="K35" s="47"/>
      <c r="M35" s="24">
        <v>50000</v>
      </c>
      <c r="O35" s="56" t="s">
        <v>97</v>
      </c>
      <c r="P35" s="47">
        <f>HEX2DEC(RIGHT(Table1323214[[#This Row],[h1]],8))</f>
        <v>0</v>
      </c>
      <c r="Q35" s="47" t="s">
        <v>97</v>
      </c>
      <c r="R35" s="47">
        <f>HEX2DEC(RIGHT(Table1323214[[#This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7"/>
      <c r="J36" s="24">
        <v>50000</v>
      </c>
      <c r="K36" s="47"/>
      <c r="M36" s="24">
        <v>50000</v>
      </c>
      <c r="O36" s="56" t="s">
        <v>97</v>
      </c>
      <c r="P36" s="47">
        <f>HEX2DEC(RIGHT(Table1323214[[#This Row],[h1]],8))</f>
        <v>0</v>
      </c>
      <c r="Q36" s="47" t="s">
        <v>97</v>
      </c>
      <c r="R36" s="47">
        <f>HEX2DEC(RIGHT(Table1323214[[#This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7"/>
      <c r="J37" s="24">
        <v>50000</v>
      </c>
      <c r="K37" s="47"/>
      <c r="M37" s="24">
        <v>50000</v>
      </c>
      <c r="O37" s="56" t="s">
        <v>97</v>
      </c>
      <c r="P37" s="47">
        <f>HEX2DEC(RIGHT(Table1323214[[#This Row],[h1]],8))</f>
        <v>0</v>
      </c>
      <c r="Q37" s="47" t="s">
        <v>97</v>
      </c>
      <c r="R37" s="47">
        <f>HEX2DEC(RIGHT(Table1323214[[#This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7"/>
      <c r="J38" s="24">
        <v>50000</v>
      </c>
      <c r="K38" s="47"/>
      <c r="L38" s="20" t="s">
        <v>88</v>
      </c>
      <c r="M38" s="24">
        <v>50000</v>
      </c>
      <c r="O38" s="56" t="s">
        <v>97</v>
      </c>
      <c r="P38" s="47">
        <f>HEX2DEC(RIGHT(Table1323214[[#This Row],[h1]],8))</f>
        <v>0</v>
      </c>
      <c r="Q38" s="47" t="s">
        <v>97</v>
      </c>
      <c r="R38" s="47">
        <f>HEX2DEC(RIGHT(Table1323214[[#This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7"/>
      <c r="J39" s="24">
        <v>50000</v>
      </c>
      <c r="K39" s="47"/>
      <c r="M39" s="24">
        <v>50000</v>
      </c>
      <c r="O39" s="56" t="s">
        <v>97</v>
      </c>
      <c r="P39" s="47">
        <f>HEX2DEC(RIGHT(Table1323214[[#This Row],[h1]],8))</f>
        <v>0</v>
      </c>
      <c r="Q39" s="47" t="s">
        <v>97</v>
      </c>
      <c r="R39" s="47">
        <f>HEX2DEC(RIGHT(Table1323214[[#This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7"/>
      <c r="J40" s="24">
        <v>50000</v>
      </c>
      <c r="K40" s="47"/>
      <c r="M40" s="24">
        <v>50000</v>
      </c>
      <c r="O40" s="56" t="s">
        <v>97</v>
      </c>
      <c r="P40" s="47">
        <f>HEX2DEC(RIGHT(Table1323214[[#This Row],[h1]],8))</f>
        <v>0</v>
      </c>
      <c r="Q40" s="47" t="s">
        <v>97</v>
      </c>
      <c r="R40" s="47">
        <f>HEX2DEC(RIGHT(Table1323214[[#This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7"/>
      <c r="J41" s="24">
        <v>50000</v>
      </c>
      <c r="K41" s="47"/>
      <c r="M41" s="24">
        <v>50000</v>
      </c>
      <c r="O41" s="56" t="s">
        <v>97</v>
      </c>
      <c r="P41" s="47">
        <f>HEX2DEC(RIGHT(Table1323214[[#This Row],[h1]],8))</f>
        <v>0</v>
      </c>
      <c r="Q41" s="47" t="s">
        <v>97</v>
      </c>
      <c r="R41" s="47">
        <f>HEX2DEC(RIGHT(Table1323214[[#This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7"/>
      <c r="J42" s="24">
        <v>50000</v>
      </c>
      <c r="K42" s="47"/>
      <c r="M42" s="24">
        <v>50000</v>
      </c>
      <c r="O42" s="56" t="s">
        <v>97</v>
      </c>
      <c r="P42" s="47">
        <f>HEX2DEC(RIGHT(Table1323214[[#This Row],[h1]],8))</f>
        <v>0</v>
      </c>
      <c r="Q42" s="47" t="s">
        <v>97</v>
      </c>
      <c r="R42" s="47">
        <f>HEX2DEC(RIGHT(Table1323214[[#This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7"/>
      <c r="J43" s="24">
        <v>50000</v>
      </c>
      <c r="K43" s="47"/>
      <c r="M43" s="24">
        <v>50000</v>
      </c>
      <c r="O43" s="56" t="s">
        <v>97</v>
      </c>
      <c r="P43" s="47">
        <f>HEX2DEC(RIGHT(Table1323214[[#This Row],[h1]],8))</f>
        <v>0</v>
      </c>
      <c r="Q43" s="47" t="s">
        <v>97</v>
      </c>
      <c r="R43" s="47">
        <f>HEX2DEC(RIGHT(Table1323214[[#This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7"/>
      <c r="J44" s="24">
        <v>50000</v>
      </c>
      <c r="K44" s="47"/>
      <c r="M44" s="24">
        <v>50000</v>
      </c>
      <c r="O44" s="56" t="s">
        <v>97</v>
      </c>
      <c r="P44" s="47">
        <f>HEX2DEC(RIGHT(Table1323214[[#This Row],[h1]],8))</f>
        <v>0</v>
      </c>
      <c r="Q44" s="47" t="s">
        <v>97</v>
      </c>
      <c r="R44" s="47">
        <f>HEX2DEC(RIGHT(Table1323214[[#This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7"/>
      <c r="J45" s="24">
        <v>50000</v>
      </c>
      <c r="K45" s="47"/>
      <c r="M45" s="24">
        <v>50000</v>
      </c>
      <c r="O45" s="56" t="s">
        <v>97</v>
      </c>
      <c r="P45" s="47">
        <f>HEX2DEC(RIGHT(Table1323214[[#This Row],[h1]],8))</f>
        <v>0</v>
      </c>
      <c r="Q45" s="47" t="s">
        <v>97</v>
      </c>
      <c r="R45" s="47">
        <f>HEX2DEC(RIGHT(Table1323214[[#This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7"/>
      <c r="I46" s="20" t="s">
        <v>88</v>
      </c>
      <c r="J46" s="24">
        <v>50000</v>
      </c>
      <c r="K46" s="47"/>
      <c r="M46" s="24">
        <v>50000</v>
      </c>
      <c r="O46" s="56" t="s">
        <v>97</v>
      </c>
      <c r="P46" s="47">
        <f>HEX2DEC(RIGHT(Table1323214[[#This Row],[h1]],8))</f>
        <v>0</v>
      </c>
      <c r="Q46" s="47" t="s">
        <v>97</v>
      </c>
      <c r="R46" s="47">
        <f>HEX2DEC(RIGHT(Table1323214[[#This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7"/>
      <c r="J47" s="24">
        <v>50000</v>
      </c>
      <c r="K47" s="47"/>
      <c r="M47" s="24">
        <v>50000</v>
      </c>
      <c r="O47" s="56" t="s">
        <v>97</v>
      </c>
      <c r="P47" s="47">
        <f>HEX2DEC(RIGHT(Table1323214[[#This Row],[h1]],8))</f>
        <v>0</v>
      </c>
      <c r="Q47" s="47" t="s">
        <v>97</v>
      </c>
      <c r="R47" s="47">
        <f>HEX2DEC(RIGHT(Table1323214[[#This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7"/>
      <c r="J48" s="24">
        <v>50000</v>
      </c>
      <c r="K48" s="47"/>
      <c r="M48" s="24">
        <v>50000</v>
      </c>
      <c r="O48" s="56" t="s">
        <v>97</v>
      </c>
      <c r="P48" s="47">
        <f>HEX2DEC(RIGHT(Table1323214[[#This Row],[h1]],8))</f>
        <v>0</v>
      </c>
      <c r="Q48" s="47" t="s">
        <v>97</v>
      </c>
      <c r="R48" s="47">
        <f>HEX2DEC(RIGHT(Table1323214[[#This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7"/>
      <c r="J49" s="24">
        <v>50000</v>
      </c>
      <c r="K49" s="47"/>
      <c r="M49" s="24">
        <v>50000</v>
      </c>
      <c r="O49" s="56" t="s">
        <v>97</v>
      </c>
      <c r="P49" s="47">
        <f>HEX2DEC(RIGHT(Table1323214[[#This Row],[h1]],8))</f>
        <v>0</v>
      </c>
      <c r="Q49" s="47" t="s">
        <v>97</v>
      </c>
      <c r="R49" s="47">
        <f>HEX2DEC(RIGHT(Table1323214[[#This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7"/>
      <c r="J50" s="24">
        <v>50000</v>
      </c>
      <c r="K50" s="47"/>
      <c r="M50" s="24">
        <v>50000</v>
      </c>
      <c r="O50" s="56" t="s">
        <v>97</v>
      </c>
      <c r="P50" s="47">
        <f>HEX2DEC(RIGHT(Table1323214[[#This Row],[h1]],8))</f>
        <v>0</v>
      </c>
      <c r="Q50" s="47" t="s">
        <v>97</v>
      </c>
      <c r="R50" s="47">
        <f>HEX2DEC(RIGHT(Table1323214[[#This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7"/>
      <c r="J51" s="24">
        <v>50000</v>
      </c>
      <c r="K51" s="47"/>
      <c r="M51" s="24">
        <v>50000</v>
      </c>
      <c r="O51" s="56" t="s">
        <v>97</v>
      </c>
      <c r="P51" s="47">
        <f>HEX2DEC(RIGHT(Table1323214[[#This Row],[h1]],8))</f>
        <v>0</v>
      </c>
      <c r="Q51" s="47" t="s">
        <v>97</v>
      </c>
      <c r="R51" s="47">
        <f>HEX2DEC(RIGHT(Table1323214[[#This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7"/>
      <c r="J52" s="24">
        <v>50000</v>
      </c>
      <c r="K52" s="47"/>
      <c r="M52" s="24">
        <v>50000</v>
      </c>
      <c r="O52" s="56" t="s">
        <v>97</v>
      </c>
      <c r="P52" s="47">
        <f>HEX2DEC(RIGHT(Table1323214[[#This Row],[h1]],8))</f>
        <v>0</v>
      </c>
      <c r="Q52" s="47" t="s">
        <v>97</v>
      </c>
      <c r="R52" s="47">
        <f>HEX2DEC(RIGHT(Table1323214[[#This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7"/>
      <c r="J53" s="24">
        <v>50000</v>
      </c>
      <c r="K53" s="47"/>
      <c r="M53" s="24">
        <v>50000</v>
      </c>
      <c r="O53" s="56" t="s">
        <v>97</v>
      </c>
      <c r="P53" s="47">
        <f>HEX2DEC(RIGHT(Table1323214[[#This Row],[h1]],8))</f>
        <v>0</v>
      </c>
      <c r="Q53" s="47" t="s">
        <v>97</v>
      </c>
      <c r="R53" s="47">
        <f>HEX2DEC(RIGHT(Table1323214[[#This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7"/>
      <c r="J54" s="24">
        <v>50000</v>
      </c>
      <c r="K54" s="47"/>
      <c r="M54" s="24">
        <v>50000</v>
      </c>
      <c r="O54" s="56" t="s">
        <v>97</v>
      </c>
      <c r="P54" s="47">
        <f>HEX2DEC(RIGHT(Table1323214[[#This Row],[h1]],8))</f>
        <v>0</v>
      </c>
      <c r="Q54" s="47" t="s">
        <v>97</v>
      </c>
      <c r="R54" s="47">
        <f>HEX2DEC(RIGHT(Table1323214[[#This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7"/>
      <c r="J55" s="24">
        <v>50000</v>
      </c>
      <c r="K55" s="47"/>
      <c r="M55" s="24">
        <v>50000</v>
      </c>
      <c r="O55" s="56" t="s">
        <v>97</v>
      </c>
      <c r="P55" s="47">
        <f>HEX2DEC(RIGHT(Table1323214[[#This Row],[h1]],8))</f>
        <v>0</v>
      </c>
      <c r="Q55" s="47" t="s">
        <v>97</v>
      </c>
      <c r="R55" s="47">
        <f>HEX2DEC(RIGHT(Table1323214[[#This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7"/>
      <c r="J56" s="24">
        <v>50000</v>
      </c>
      <c r="K56" s="47"/>
      <c r="M56" s="24">
        <v>50000</v>
      </c>
      <c r="O56" s="56" t="s">
        <v>97</v>
      </c>
      <c r="P56" s="47">
        <f>HEX2DEC(RIGHT(Table1323214[[#This Row],[h1]],8))</f>
        <v>0</v>
      </c>
      <c r="Q56" s="47" t="s">
        <v>97</v>
      </c>
      <c r="R56" s="47">
        <f>HEX2DEC(RIGHT(Table1323214[[#This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7"/>
      <c r="J57" s="24">
        <v>50000</v>
      </c>
      <c r="K57" s="47"/>
      <c r="M57" s="24">
        <v>50000</v>
      </c>
      <c r="O57" s="56" t="s">
        <v>97</v>
      </c>
      <c r="P57" s="47">
        <f>HEX2DEC(RIGHT(Table1323214[[#This Row],[h1]],8))</f>
        <v>0</v>
      </c>
      <c r="Q57" s="47" t="s">
        <v>97</v>
      </c>
      <c r="R57" s="47">
        <f>HEX2DEC(RIGHT(Table1323214[[#This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7"/>
      <c r="J58" s="24">
        <v>50000</v>
      </c>
      <c r="K58" s="47"/>
      <c r="M58" s="24">
        <v>50000</v>
      </c>
      <c r="O58" s="56" t="s">
        <v>97</v>
      </c>
      <c r="P58" s="47">
        <f>HEX2DEC(RIGHT(Table1323214[[#This Row],[h1]],8))</f>
        <v>0</v>
      </c>
      <c r="Q58" s="47" t="s">
        <v>97</v>
      </c>
      <c r="R58" s="47">
        <f>HEX2DEC(RIGHT(Table1323214[[#This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7"/>
      <c r="J59" s="24">
        <v>50000</v>
      </c>
      <c r="K59" s="47"/>
      <c r="M59" s="24">
        <v>50000</v>
      </c>
      <c r="O59" s="56" t="s">
        <v>97</v>
      </c>
      <c r="P59" s="47">
        <f>HEX2DEC(RIGHT(Table1323214[[#This Row],[h1]],8))</f>
        <v>0</v>
      </c>
      <c r="Q59" s="47" t="s">
        <v>97</v>
      </c>
      <c r="R59" s="47">
        <f>HEX2DEC(RIGHT(Table1323214[[#This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7"/>
      <c r="J60" s="24">
        <v>50000</v>
      </c>
      <c r="K60" s="47"/>
      <c r="M60" s="24">
        <v>50000</v>
      </c>
      <c r="O60" s="56" t="s">
        <v>97</v>
      </c>
      <c r="P60" s="47">
        <f>HEX2DEC(RIGHT(Table1323214[[#This Row],[h1]],8))</f>
        <v>0</v>
      </c>
      <c r="Q60" s="47" t="s">
        <v>97</v>
      </c>
      <c r="R60" s="47">
        <f>HEX2DEC(RIGHT(Table1323214[[#This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7"/>
      <c r="J61" s="24">
        <v>50000</v>
      </c>
      <c r="K61" s="47"/>
      <c r="M61" s="24">
        <v>50000</v>
      </c>
      <c r="O61" s="56" t="s">
        <v>97</v>
      </c>
      <c r="P61" s="47">
        <f>HEX2DEC(RIGHT(Table1323214[[#This Row],[h1]],8))</f>
        <v>0</v>
      </c>
      <c r="Q61" s="47" t="s">
        <v>97</v>
      </c>
      <c r="R61" s="47">
        <f>HEX2DEC(RIGHT(Table1323214[[#This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6" t="s">
        <v>97</v>
      </c>
      <c r="P62" s="47">
        <f>HEX2DEC(RIGHT(Table1323214[[#This Row],[h1]],8))</f>
        <v>0</v>
      </c>
      <c r="Q62" s="47" t="s">
        <v>97</v>
      </c>
      <c r="R62" s="47">
        <f>HEX2DEC(RIGHT(Table1323214[[#This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6" t="s">
        <v>97</v>
      </c>
      <c r="P63" s="47">
        <f>HEX2DEC(RIGHT(Table1323214[[#This Row],[h1]],8))</f>
        <v>0</v>
      </c>
      <c r="Q63" s="47" t="s">
        <v>97</v>
      </c>
      <c r="R63" s="47">
        <f>HEX2DEC(RIGHT(Table1323214[[#This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6" t="s">
        <v>97</v>
      </c>
      <c r="P64" s="47">
        <f>HEX2DEC(RIGHT(Table1323214[[#This Row],[h1]],8))</f>
        <v>0</v>
      </c>
      <c r="Q64" s="47" t="s">
        <v>97</v>
      </c>
      <c r="R64" s="47">
        <f>HEX2DEC(RIGHT(Table1323214[[#This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6" t="s">
        <v>97</v>
      </c>
      <c r="P65" s="47">
        <f>HEX2DEC(RIGHT(Table1323214[[#This Row],[h1]],8))</f>
        <v>0</v>
      </c>
      <c r="Q65" s="47" t="s">
        <v>97</v>
      </c>
      <c r="R65" s="47">
        <f>HEX2DEC(RIGHT(Table1323214[[#This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6" t="s">
        <v>97</v>
      </c>
      <c r="P66" s="47">
        <f>HEX2DEC(RIGHT(Table1323214[[#This Row],[h1]],8))</f>
        <v>0</v>
      </c>
      <c r="Q66" s="47" t="s">
        <v>97</v>
      </c>
      <c r="R66" s="47">
        <f>HEX2DEC(RIGHT(Table1323214[[#This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6" t="s">
        <v>97</v>
      </c>
      <c r="P67" s="47">
        <f>HEX2DEC(RIGHT(Table1323214[[#This Row],[h1]],8))</f>
        <v>0</v>
      </c>
      <c r="Q67" s="47" t="s">
        <v>97</v>
      </c>
      <c r="R67" s="47">
        <f>HEX2DEC(RIGHT(Table1323214[[#This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6" t="s">
        <v>97</v>
      </c>
      <c r="P68" s="47">
        <f>HEX2DEC(RIGHT(Table1323214[[#This Row],[h1]],8))</f>
        <v>0</v>
      </c>
      <c r="Q68" s="47" t="s">
        <v>97</v>
      </c>
      <c r="R68" s="47">
        <f>HEX2DEC(RIGHT(Table1323214[[#This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6" t="s">
        <v>97</v>
      </c>
      <c r="P69" s="47">
        <f>HEX2DEC(RIGHT(Table1323214[[#This Row],[h1]],8))</f>
        <v>0</v>
      </c>
      <c r="Q69" s="47" t="s">
        <v>97</v>
      </c>
      <c r="R69" s="47">
        <f>HEX2DEC(RIGHT(Table1323214[[#This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6" t="s">
        <v>97</v>
      </c>
      <c r="P70" s="47">
        <f>HEX2DEC(RIGHT(Table1323214[[#This Row],[h1]],8))</f>
        <v>0</v>
      </c>
      <c r="Q70" s="47" t="s">
        <v>97</v>
      </c>
      <c r="R70" s="47">
        <f>HEX2DEC(RIGHT(Table1323214[[#This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7" t="s">
        <v>97</v>
      </c>
      <c r="P71" s="47">
        <f>HEX2DEC(RIGHT(Table1323214[[#This Row],[h1]],8))</f>
        <v>0</v>
      </c>
      <c r="Q71" s="47" t="s">
        <v>97</v>
      </c>
      <c r="R71" s="47">
        <f>HEX2DEC(RIGHT(Table1323214[[#This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7" t="s">
        <v>97</v>
      </c>
      <c r="P72" s="47">
        <f>HEX2DEC(RIGHT(Table1323214[[#This Row],[h1]],8))</f>
        <v>0</v>
      </c>
      <c r="Q72" s="47" t="s">
        <v>97</v>
      </c>
      <c r="R72" s="47">
        <f>HEX2DEC(RIGHT(Table1323214[[#This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7" t="s">
        <v>97</v>
      </c>
      <c r="P73" s="47">
        <f>HEX2DEC(RIGHT(Table1323214[[#This Row],[h1]],8))</f>
        <v>0</v>
      </c>
      <c r="Q73" s="47" t="s">
        <v>97</v>
      </c>
      <c r="R73" s="47">
        <f>HEX2DEC(RIGHT(Table1323214[[#This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47" t="s">
        <v>97</v>
      </c>
      <c r="P74" s="47">
        <f>HEX2DEC(RIGHT(Table1323214[[#This Row],[h1]],8))</f>
        <v>0</v>
      </c>
      <c r="Q74" s="47" t="s">
        <v>97</v>
      </c>
      <c r="R74" s="47">
        <f>HEX2DEC(RIGHT(Table1323214[[#This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47" t="s">
        <v>97</v>
      </c>
      <c r="P75" s="47">
        <f>HEX2DEC(RIGHT(Table1323214[[#This Row],[h1]],8))</f>
        <v>0</v>
      </c>
      <c r="Q75" s="47" t="s">
        <v>97</v>
      </c>
      <c r="R75" s="47">
        <f>HEX2DEC(RIGHT(Table1323214[[#This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47" t="s">
        <v>97</v>
      </c>
      <c r="P76" s="47">
        <f>HEX2DEC(RIGHT(Table1323214[[#This Row],[h1]],8))</f>
        <v>0</v>
      </c>
      <c r="Q76" s="47" t="s">
        <v>97</v>
      </c>
      <c r="R76" s="47">
        <f>HEX2DEC(RIGHT(Table1323214[[#This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7" t="s">
        <v>97</v>
      </c>
      <c r="P77" s="47">
        <f>HEX2DEC(RIGHT(Table1323214[[#This Row],[h1]],8))</f>
        <v>0</v>
      </c>
      <c r="Q77" s="47" t="s">
        <v>97</v>
      </c>
      <c r="R77" s="47">
        <f>HEX2DEC(RIGHT(Table1323214[[#This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7" t="s">
        <v>97</v>
      </c>
      <c r="P78" s="47">
        <f>HEX2DEC(RIGHT(Table1323214[[#This Row],[h1]],8))</f>
        <v>0</v>
      </c>
      <c r="Q78" s="47" t="s">
        <v>97</v>
      </c>
      <c r="R78" s="47">
        <f>HEX2DEC(RIGHT(Table1323214[[#This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7" t="s">
        <v>97</v>
      </c>
      <c r="P79" s="47">
        <f>HEX2DEC(RIGHT(Table1323214[[#This Row],[h1]],8))</f>
        <v>0</v>
      </c>
      <c r="Q79" s="47" t="s">
        <v>97</v>
      </c>
      <c r="R79" s="47">
        <f>HEX2DEC(RIGHT(Table1323214[[#This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7" t="s">
        <v>97</v>
      </c>
      <c r="P80" s="47">
        <f>HEX2DEC(RIGHT(Table1323214[[#This Row],[h1]],8))</f>
        <v>0</v>
      </c>
      <c r="Q80" s="47" t="s">
        <v>97</v>
      </c>
      <c r="R80" s="47">
        <f>HEX2DEC(RIGHT(Table1323214[[#This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7" t="s">
        <v>97</v>
      </c>
      <c r="P81" s="47">
        <f>HEX2DEC(RIGHT(Table1323214[[#This Row],[h1]],8))</f>
        <v>0</v>
      </c>
      <c r="Q81" s="47" t="s">
        <v>97</v>
      </c>
      <c r="R81" s="47">
        <f>HEX2DEC(RIGHT(Table1323214[[#This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7" t="s">
        <v>97</v>
      </c>
      <c r="P82" s="47">
        <f>HEX2DEC(RIGHT(Table1323214[[#This Row],[h1]],8))</f>
        <v>0</v>
      </c>
      <c r="Q82" s="47" t="s">
        <v>97</v>
      </c>
      <c r="R82" s="47">
        <f>HEX2DEC(RIGHT(Table1323214[[#This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7" t="s">
        <v>97</v>
      </c>
      <c r="P83" s="47">
        <f>HEX2DEC(RIGHT(Table1323214[[#This Row],[h1]],8))</f>
        <v>0</v>
      </c>
      <c r="Q83" s="47" t="s">
        <v>97</v>
      </c>
      <c r="R83" s="47">
        <f>HEX2DEC(RIGHT(Table1323214[[#This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7" t="s">
        <v>97</v>
      </c>
      <c r="P84" s="47">
        <f>HEX2DEC(RIGHT(Table1323214[[#This Row],[h1]],8))</f>
        <v>0</v>
      </c>
      <c r="Q84" s="47" t="s">
        <v>97</v>
      </c>
      <c r="R84" s="47">
        <f>HEX2DEC(RIGHT(Table1323214[[#This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7" t="s">
        <v>97</v>
      </c>
      <c r="P85" s="47">
        <f>HEX2DEC(RIGHT(Table1323214[[#This Row],[h1]],8))</f>
        <v>0</v>
      </c>
      <c r="Q85" s="47" t="s">
        <v>97</v>
      </c>
      <c r="R85" s="47">
        <f>HEX2DEC(RIGHT(Table1323214[[#This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7" t="s">
        <v>97</v>
      </c>
      <c r="P86" s="47">
        <f>HEX2DEC(RIGHT(Table1323214[[#This Row],[h1]],8))</f>
        <v>0</v>
      </c>
      <c r="Q86" s="47" t="s">
        <v>97</v>
      </c>
      <c r="R86" s="47">
        <f>HEX2DEC(RIGHT(Table1323214[[#This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7" t="s">
        <v>97</v>
      </c>
      <c r="P87" s="47">
        <f>HEX2DEC(RIGHT(Table1323214[[#This Row],[h1]],8))</f>
        <v>0</v>
      </c>
      <c r="Q87" s="47" t="s">
        <v>97</v>
      </c>
      <c r="R87" s="47">
        <f>HEX2DEC(RIGHT(Table1323214[[#This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7" t="s">
        <v>97</v>
      </c>
      <c r="P88" s="47">
        <f>HEX2DEC(RIGHT(Table1323214[[#This Row],[h1]],8))</f>
        <v>0</v>
      </c>
      <c r="Q88" s="47" t="s">
        <v>97</v>
      </c>
      <c r="R88" s="47">
        <f>HEX2DEC(RIGHT(Table1323214[[#This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7" t="s">
        <v>97</v>
      </c>
      <c r="P89" s="47">
        <f>HEX2DEC(RIGHT(Table1323214[[#This Row],[h1]],8))</f>
        <v>0</v>
      </c>
      <c r="Q89" s="47" t="s">
        <v>97</v>
      </c>
      <c r="R89" s="47">
        <f>HEX2DEC(RIGHT(Table1323214[[#This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7" t="s">
        <v>97</v>
      </c>
      <c r="P90" s="47">
        <f>HEX2DEC(RIGHT(Table1323214[[#This Row],[h1]],8))</f>
        <v>0</v>
      </c>
      <c r="Q90" s="47" t="s">
        <v>97</v>
      </c>
      <c r="R90" s="47">
        <f>HEX2DEC(RIGHT(Table1323214[[#This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7" t="s">
        <v>97</v>
      </c>
      <c r="P91" s="47">
        <f>HEX2DEC(RIGHT(Table1323214[[#This Row],[h1]],8))</f>
        <v>0</v>
      </c>
      <c r="Q91" s="47" t="s">
        <v>97</v>
      </c>
      <c r="R91" s="47">
        <f>HEX2DEC(RIGHT(Table1323214[[#This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7" t="s">
        <v>97</v>
      </c>
      <c r="P92" s="47">
        <f>HEX2DEC(RIGHT(Table1323214[[#This Row],[h1]],8))</f>
        <v>0</v>
      </c>
      <c r="Q92" s="47" t="s">
        <v>97</v>
      </c>
      <c r="R92" s="47">
        <f>HEX2DEC(RIGHT(Table1323214[[#This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7" t="s">
        <v>97</v>
      </c>
      <c r="P93" s="47">
        <f>HEX2DEC(RIGHT(Table1323214[[#This Row],[h1]],8))</f>
        <v>0</v>
      </c>
      <c r="Q93" s="47" t="s">
        <v>97</v>
      </c>
      <c r="R93" s="47">
        <f>HEX2DEC(RIGHT(Table1323214[[#This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7" t="s">
        <v>97</v>
      </c>
      <c r="P94" s="47">
        <f>HEX2DEC(RIGHT(Table1323214[[#This Row],[h1]],8))</f>
        <v>0</v>
      </c>
      <c r="Q94" s="47" t="s">
        <v>97</v>
      </c>
      <c r="R94" s="47">
        <f>HEX2DEC(RIGHT(Table1323214[[#This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7" t="s">
        <v>97</v>
      </c>
      <c r="P95" s="47">
        <f>HEX2DEC(RIGHT(Table1323214[[#This Row],[h1]],8))</f>
        <v>0</v>
      </c>
      <c r="Q95" s="47" t="s">
        <v>97</v>
      </c>
      <c r="R95" s="47">
        <f>HEX2DEC(RIGHT(Table1323214[[#This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7" t="s">
        <v>97</v>
      </c>
      <c r="P96" s="47">
        <f>HEX2DEC(RIGHT(Table1323214[[#This Row],[h1]],8))</f>
        <v>0</v>
      </c>
      <c r="Q96" s="47" t="s">
        <v>97</v>
      </c>
      <c r="R96" s="47">
        <f>HEX2DEC(RIGHT(Table1323214[[#This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7" t="s">
        <v>97</v>
      </c>
      <c r="P97" s="47">
        <f>HEX2DEC(RIGHT(Table1323214[[#This Row],[h1]],8))</f>
        <v>0</v>
      </c>
      <c r="Q97" s="47" t="s">
        <v>97</v>
      </c>
      <c r="R97" s="47">
        <f>HEX2DEC(RIGHT(Table1323214[[#This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7" t="s">
        <v>97</v>
      </c>
      <c r="P98" s="47">
        <f>HEX2DEC(RIGHT(Table1323214[[#This Row],[h1]],8))</f>
        <v>0</v>
      </c>
      <c r="Q98" s="47" t="s">
        <v>97</v>
      </c>
      <c r="R98" s="47">
        <f>HEX2DEC(RIGHT(Table1323214[[#This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7" t="s">
        <v>97</v>
      </c>
      <c r="P99" s="47">
        <f>HEX2DEC(RIGHT(Table1323214[[#This Row],[h1]],8))</f>
        <v>0</v>
      </c>
      <c r="Q99" s="47" t="s">
        <v>97</v>
      </c>
      <c r="R99" s="47">
        <f>HEX2DEC(RIGHT(Table1323214[[#This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7" t="s">
        <v>97</v>
      </c>
      <c r="P100" s="47">
        <f>HEX2DEC(RIGHT(Table1323214[[#This Row],[h1]],8))</f>
        <v>0</v>
      </c>
      <c r="Q100" s="47" t="s">
        <v>97</v>
      </c>
      <c r="R100" s="47">
        <f>HEX2DEC(RIGHT(Table1323214[[#This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7" t="s">
        <v>97</v>
      </c>
      <c r="P101" s="47">
        <f>HEX2DEC(RIGHT(Table1323214[[#This Row],[h1]],8))</f>
        <v>0</v>
      </c>
      <c r="Q101" s="47" t="s">
        <v>97</v>
      </c>
      <c r="R101" s="47">
        <f>HEX2DEC(RIGHT(Table1323214[[#This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7" t="s">
        <v>97</v>
      </c>
      <c r="P102" s="47">
        <f>HEX2DEC(RIGHT(Table1323214[[#This Row],[h1]],8))</f>
        <v>0</v>
      </c>
      <c r="Q102" s="47" t="s">
        <v>97</v>
      </c>
      <c r="R102" s="47">
        <f>HEX2DEC(RIGHT(Table1323214[[#This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7" t="s">
        <v>97</v>
      </c>
      <c r="P103" s="47">
        <f>HEX2DEC(RIGHT(Table1323214[[#This Row],[h1]],8))</f>
        <v>0</v>
      </c>
      <c r="Q103" s="47" t="s">
        <v>97</v>
      </c>
      <c r="R103" s="47">
        <f>HEX2DEC(RIGHT(Table1323214[[#This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7" t="s">
        <v>97</v>
      </c>
      <c r="P104" s="47">
        <f>HEX2DEC(RIGHT(Table1323214[[#This Row],[h1]],8))</f>
        <v>0</v>
      </c>
      <c r="Q104" s="47" t="s">
        <v>97</v>
      </c>
      <c r="R104" s="47">
        <f>HEX2DEC(RIGHT(Table1323214[[#This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7" t="s">
        <v>97</v>
      </c>
      <c r="P105" s="47">
        <f>HEX2DEC(RIGHT(Table1323214[[#This Row],[h1]],8))</f>
        <v>0</v>
      </c>
      <c r="Q105" s="47" t="s">
        <v>97</v>
      </c>
      <c r="R105" s="47">
        <f>HEX2DEC(RIGHT(Table1323214[[#This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7" t="s">
        <v>97</v>
      </c>
      <c r="P106" s="47">
        <f>HEX2DEC(RIGHT(Table1323214[[#This Row],[h1]],8))</f>
        <v>0</v>
      </c>
      <c r="Q106" s="47" t="s">
        <v>97</v>
      </c>
      <c r="R106" s="47">
        <f>HEX2DEC(RIGHT(Table1323214[[#This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13</v>
      </c>
      <c r="J107" s="24">
        <v>50000</v>
      </c>
      <c r="M107" s="24">
        <v>50000</v>
      </c>
      <c r="O107" s="47" t="s">
        <v>97</v>
      </c>
      <c r="P107" s="47">
        <f>HEX2DEC(RIGHT(Table1323214[[#This Row],[h1]],8))</f>
        <v>0</v>
      </c>
      <c r="Q107" s="47" t="s">
        <v>97</v>
      </c>
      <c r="R107" s="47">
        <f>HEX2DEC(RIGHT(Table1323214[[#This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13</v>
      </c>
      <c r="J108" s="24">
        <v>50000</v>
      </c>
      <c r="M108" s="24">
        <v>50000</v>
      </c>
      <c r="O108" s="47" t="s">
        <v>97</v>
      </c>
      <c r="P108" s="47">
        <f>HEX2DEC(RIGHT(Table1323214[[#This Row],[h1]],8))</f>
        <v>0</v>
      </c>
      <c r="Q108" s="47" t="s">
        <v>97</v>
      </c>
      <c r="R108" s="47">
        <f>HEX2DEC(RIGHT(Table1323214[[#This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13</v>
      </c>
      <c r="J109" s="24">
        <v>50000</v>
      </c>
      <c r="M109" s="24">
        <v>50000</v>
      </c>
      <c r="O109" s="47" t="s">
        <v>97</v>
      </c>
      <c r="P109" s="47">
        <f>HEX2DEC(RIGHT(Table1323214[[#This Row],[h1]],8))</f>
        <v>0</v>
      </c>
      <c r="Q109" s="47" t="s">
        <v>97</v>
      </c>
      <c r="R109" s="47">
        <f>HEX2DEC(RIGHT(Table1323214[[#This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13</v>
      </c>
      <c r="J110" s="24">
        <v>50000</v>
      </c>
      <c r="M110" s="24">
        <v>50000</v>
      </c>
      <c r="O110" s="47" t="s">
        <v>97</v>
      </c>
      <c r="P110" s="47">
        <f>HEX2DEC(RIGHT(Table1323214[[#This Row],[h1]],8))</f>
        <v>0</v>
      </c>
      <c r="Q110" s="47" t="s">
        <v>97</v>
      </c>
      <c r="R110" s="47">
        <f>HEX2DEC(RIGHT(Table1323214[[#This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13</v>
      </c>
      <c r="J111" s="24">
        <v>50000</v>
      </c>
      <c r="M111" s="24">
        <v>50000</v>
      </c>
      <c r="O111" s="47" t="s">
        <v>97</v>
      </c>
      <c r="P111" s="47">
        <f>HEX2DEC(RIGHT(Table1323214[[#This Row],[h1]],8))</f>
        <v>0</v>
      </c>
      <c r="Q111" s="47" t="s">
        <v>97</v>
      </c>
      <c r="R111" s="47">
        <f>HEX2DEC(RIGHT(Table1323214[[#This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13</v>
      </c>
      <c r="J112" s="24">
        <v>50000</v>
      </c>
      <c r="M112" s="24">
        <v>50000</v>
      </c>
      <c r="O112" s="47" t="s">
        <v>97</v>
      </c>
      <c r="P112" s="47">
        <f>HEX2DEC(RIGHT(Table1323214[[#This Row],[h1]],8))</f>
        <v>0</v>
      </c>
      <c r="Q112" s="47" t="s">
        <v>97</v>
      </c>
      <c r="R112" s="47">
        <f>HEX2DEC(RIGHT(Table1323214[[#This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13</v>
      </c>
      <c r="J113" s="24">
        <v>50000</v>
      </c>
      <c r="M113" s="24">
        <v>50000</v>
      </c>
      <c r="O113" s="47" t="s">
        <v>97</v>
      </c>
      <c r="P113" s="47">
        <f>HEX2DEC(RIGHT(Table1323214[[#This Row],[h1]],8))</f>
        <v>0</v>
      </c>
      <c r="Q113" s="47" t="s">
        <v>97</v>
      </c>
      <c r="R113" s="47">
        <f>HEX2DEC(RIGHT(Table1323214[[#This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13</v>
      </c>
      <c r="J114" s="24">
        <v>50000</v>
      </c>
      <c r="M114" s="24">
        <v>50000</v>
      </c>
      <c r="O114" s="47" t="s">
        <v>97</v>
      </c>
      <c r="P114" s="47">
        <f>HEX2DEC(RIGHT(Table1323214[[#This Row],[h1]],8))</f>
        <v>0</v>
      </c>
      <c r="Q114" s="47" t="s">
        <v>97</v>
      </c>
      <c r="R114" s="47">
        <f>HEX2DEC(RIGHT(Table1323214[[#This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13</v>
      </c>
      <c r="J115" s="24">
        <v>50000</v>
      </c>
      <c r="M115" s="24">
        <v>50000</v>
      </c>
      <c r="O115" s="47" t="s">
        <v>97</v>
      </c>
      <c r="P115" s="47">
        <f>HEX2DEC(RIGHT(Table1323214[[#This Row],[h1]],8))</f>
        <v>0</v>
      </c>
      <c r="Q115" s="47" t="s">
        <v>97</v>
      </c>
      <c r="R115" s="47">
        <f>HEX2DEC(RIGHT(Table1323214[[#This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13</v>
      </c>
      <c r="J116" s="24">
        <v>50000</v>
      </c>
      <c r="M116" s="24">
        <v>50000</v>
      </c>
      <c r="O116" s="47" t="s">
        <v>97</v>
      </c>
      <c r="P116" s="47">
        <f>HEX2DEC(RIGHT(Table1323214[[#This Row],[h1]],8))</f>
        <v>0</v>
      </c>
      <c r="Q116" s="47" t="s">
        <v>97</v>
      </c>
      <c r="R116" s="47">
        <f>HEX2DEC(RIGHT(Table1323214[[#This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13</v>
      </c>
      <c r="J117" s="24">
        <v>50000</v>
      </c>
      <c r="M117" s="24">
        <v>50000</v>
      </c>
      <c r="O117" s="47" t="s">
        <v>97</v>
      </c>
      <c r="P117" s="47">
        <f>HEX2DEC(RIGHT(Table1323214[[#This Row],[h1]],8))</f>
        <v>0</v>
      </c>
      <c r="Q117" s="47" t="s">
        <v>97</v>
      </c>
      <c r="R117" s="47">
        <f>HEX2DEC(RIGHT(Table1323214[[#This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13</v>
      </c>
      <c r="J118" s="24">
        <v>50000</v>
      </c>
      <c r="M118" s="24">
        <v>50000</v>
      </c>
      <c r="O118" s="47" t="s">
        <v>97</v>
      </c>
      <c r="P118" s="47">
        <f>HEX2DEC(RIGHT(Table1323214[[#This Row],[h1]],8))</f>
        <v>0</v>
      </c>
      <c r="Q118" s="47" t="s">
        <v>97</v>
      </c>
      <c r="R118" s="47">
        <f>HEX2DEC(RIGHT(Table1323214[[#This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13</v>
      </c>
      <c r="J119" s="24">
        <v>50000</v>
      </c>
      <c r="M119" s="24">
        <v>50000</v>
      </c>
      <c r="O119" s="47" t="s">
        <v>97</v>
      </c>
      <c r="P119" s="47">
        <f>HEX2DEC(RIGHT(Table1323214[[#This Row],[h1]],8))</f>
        <v>0</v>
      </c>
      <c r="Q119" s="47" t="s">
        <v>97</v>
      </c>
      <c r="R119" s="47">
        <f>HEX2DEC(RIGHT(Table1323214[[#This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13</v>
      </c>
      <c r="J120" s="24">
        <v>50000</v>
      </c>
      <c r="M120" s="24">
        <v>50000</v>
      </c>
      <c r="O120" s="47" t="s">
        <v>97</v>
      </c>
      <c r="P120" s="47">
        <f>HEX2DEC(RIGHT(Table1323214[[#This Row],[h1]],8))</f>
        <v>0</v>
      </c>
      <c r="Q120" s="47" t="s">
        <v>97</v>
      </c>
      <c r="R120" s="47">
        <f>HEX2DEC(RIGHT(Table1323214[[#This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13</v>
      </c>
      <c r="J121" s="24">
        <v>50000</v>
      </c>
      <c r="M121" s="24">
        <v>50000</v>
      </c>
      <c r="O121" s="47" t="s">
        <v>97</v>
      </c>
      <c r="P121" s="47">
        <f>HEX2DEC(RIGHT(Table1323214[[#This Row],[h1]],8))</f>
        <v>0</v>
      </c>
      <c r="Q121" s="47" t="s">
        <v>97</v>
      </c>
      <c r="R121" s="47">
        <f>HEX2DEC(RIGHT(Table1323214[[#This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13</v>
      </c>
      <c r="J122" s="24">
        <v>50000</v>
      </c>
      <c r="M122" s="24">
        <v>50000</v>
      </c>
      <c r="O122" s="47" t="s">
        <v>97</v>
      </c>
      <c r="P122" s="47">
        <f>HEX2DEC(RIGHT(Table1323214[[#This Row],[h1]],8))</f>
        <v>0</v>
      </c>
      <c r="Q122" s="47" t="s">
        <v>97</v>
      </c>
      <c r="R122" s="47">
        <f>HEX2DEC(RIGHT(Table1323214[[#This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13</v>
      </c>
      <c r="J123" s="24">
        <v>50000</v>
      </c>
      <c r="M123" s="24">
        <v>50000</v>
      </c>
      <c r="O123" s="47" t="s">
        <v>97</v>
      </c>
      <c r="P123" s="47">
        <f>HEX2DEC(RIGHT(Table1323214[[#This Row],[h1]],8))</f>
        <v>0</v>
      </c>
      <c r="Q123" s="47" t="s">
        <v>97</v>
      </c>
      <c r="R123" s="47">
        <f>HEX2DEC(RIGHT(Table1323214[[#This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13</v>
      </c>
      <c r="J124" s="24">
        <v>50000</v>
      </c>
      <c r="M124" s="24">
        <v>50000</v>
      </c>
      <c r="O124" s="47" t="s">
        <v>97</v>
      </c>
      <c r="P124" s="47">
        <f>HEX2DEC(RIGHT(Table1323214[[#This Row],[h1]],8))</f>
        <v>0</v>
      </c>
      <c r="Q124" s="47" t="s">
        <v>97</v>
      </c>
      <c r="R124" s="47">
        <f>HEX2DEC(RIGHT(Table1323214[[#This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13</v>
      </c>
      <c r="J125" s="24">
        <v>50000</v>
      </c>
      <c r="M125" s="24">
        <v>50000</v>
      </c>
      <c r="O125" s="47" t="s">
        <v>97</v>
      </c>
      <c r="P125" s="47">
        <f>HEX2DEC(RIGHT(Table1323214[[#This Row],[h1]],8))</f>
        <v>0</v>
      </c>
      <c r="Q125" s="47" t="s">
        <v>97</v>
      </c>
      <c r="R125" s="47">
        <f>HEX2DEC(RIGHT(Table1323214[[#This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13</v>
      </c>
      <c r="J126" s="24">
        <v>50000</v>
      </c>
      <c r="M126" s="24">
        <v>50000</v>
      </c>
      <c r="O126" s="47" t="s">
        <v>97</v>
      </c>
      <c r="P126" s="47">
        <f>HEX2DEC(RIGHT(Table1323214[[#This Row],[h1]],8))</f>
        <v>0</v>
      </c>
      <c r="Q126" s="47" t="s">
        <v>97</v>
      </c>
      <c r="R126" s="47">
        <f>HEX2DEC(RIGHT(Table1323214[[#This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13</v>
      </c>
      <c r="J127" s="24">
        <v>50000</v>
      </c>
      <c r="M127" s="24">
        <v>50000</v>
      </c>
      <c r="O127" s="47" t="s">
        <v>97</v>
      </c>
      <c r="P127" s="47">
        <f>HEX2DEC(RIGHT(Table1323214[[#This Row],[h1]],8))</f>
        <v>0</v>
      </c>
      <c r="Q127" s="47" t="s">
        <v>97</v>
      </c>
      <c r="R127" s="47">
        <f>HEX2DEC(RIGHT(Table1323214[[#This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13</v>
      </c>
      <c r="J128" s="24">
        <v>50000</v>
      </c>
      <c r="M128" s="24">
        <v>50000</v>
      </c>
      <c r="O128" s="47" t="s">
        <v>97</v>
      </c>
      <c r="P128" s="47">
        <f>HEX2DEC(RIGHT(Table1323214[[#This Row],[h1]],8))</f>
        <v>0</v>
      </c>
      <c r="Q128" s="47" t="s">
        <v>97</v>
      </c>
      <c r="R128" s="47">
        <f>HEX2DEC(RIGHT(Table1323214[[#This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13</v>
      </c>
      <c r="J129" s="24">
        <v>50000</v>
      </c>
      <c r="M129" s="24">
        <v>50000</v>
      </c>
      <c r="O129" s="47" t="s">
        <v>97</v>
      </c>
      <c r="P129" s="47">
        <f>HEX2DEC(RIGHT(Table1323214[[#This Row],[h1]],8))</f>
        <v>0</v>
      </c>
      <c r="Q129" s="47" t="s">
        <v>97</v>
      </c>
      <c r="R129" s="47">
        <f>HEX2DEC(RIGHT(Table1323214[[#This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13</v>
      </c>
      <c r="J130" s="24">
        <v>50000</v>
      </c>
      <c r="M130" s="24">
        <v>50000</v>
      </c>
      <c r="O130" s="47" t="s">
        <v>97</v>
      </c>
      <c r="P130" s="47">
        <f>HEX2DEC(RIGHT(Table1323214[[#This Row],[h1]],8))</f>
        <v>0</v>
      </c>
      <c r="Q130" s="47" t="s">
        <v>97</v>
      </c>
      <c r="R130" s="47">
        <f>HEX2DEC(RIGHT(Table1323214[[#This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13</v>
      </c>
      <c r="J131" s="24">
        <v>50000</v>
      </c>
      <c r="M131" s="24">
        <v>50000</v>
      </c>
      <c r="O131" s="47" t="s">
        <v>97</v>
      </c>
      <c r="P131" s="47">
        <f>HEX2DEC(RIGHT(Table1323214[[#This Row],[h1]],8))</f>
        <v>0</v>
      </c>
      <c r="Q131" s="47" t="s">
        <v>97</v>
      </c>
      <c r="R131" s="47">
        <f>HEX2DEC(RIGHT(Table1323214[[#This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13</v>
      </c>
      <c r="J132" s="24">
        <v>50000</v>
      </c>
      <c r="M132" s="24">
        <v>50000</v>
      </c>
      <c r="O132" s="47" t="s">
        <v>97</v>
      </c>
      <c r="P132" s="47">
        <f>HEX2DEC(RIGHT(Table1323214[[#This Row],[h1]],8))</f>
        <v>0</v>
      </c>
      <c r="Q132" s="47" t="s">
        <v>97</v>
      </c>
      <c r="R132" s="47">
        <f>HEX2DEC(RIGHT(Table1323214[[#This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13</v>
      </c>
      <c r="J133" s="24">
        <v>50000</v>
      </c>
      <c r="M133" s="24">
        <v>50000</v>
      </c>
      <c r="O133" s="47" t="s">
        <v>97</v>
      </c>
      <c r="P133" s="47">
        <f>HEX2DEC(RIGHT(Table1323214[[#This Row],[h1]],8))</f>
        <v>0</v>
      </c>
      <c r="Q133" s="47" t="s">
        <v>97</v>
      </c>
      <c r="R133" s="47">
        <f>HEX2DEC(RIGHT(Table1323214[[#This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13</v>
      </c>
      <c r="J134" s="24">
        <v>50000</v>
      </c>
      <c r="M134" s="24">
        <v>50000</v>
      </c>
      <c r="O134" s="47" t="s">
        <v>97</v>
      </c>
      <c r="P134" s="47">
        <f>HEX2DEC(RIGHT(Table1323214[[#This Row],[h1]],8))</f>
        <v>0</v>
      </c>
      <c r="Q134" s="47" t="s">
        <v>97</v>
      </c>
      <c r="R134" s="47">
        <f>HEX2DEC(RIGHT(Table1323214[[#This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13</v>
      </c>
      <c r="J135" s="24">
        <v>50000</v>
      </c>
      <c r="M135" s="24">
        <v>50000</v>
      </c>
      <c r="O135" s="47" t="s">
        <v>97</v>
      </c>
      <c r="P135" s="47">
        <f>HEX2DEC(RIGHT(Table1323214[[#This Row],[h1]],8))</f>
        <v>0</v>
      </c>
      <c r="Q135" s="47" t="s">
        <v>97</v>
      </c>
      <c r="R135" s="47">
        <f>HEX2DEC(RIGHT(Table1323214[[#This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13</v>
      </c>
      <c r="J136" s="24">
        <v>50000</v>
      </c>
      <c r="M136" s="24">
        <v>50000</v>
      </c>
      <c r="O136" s="47" t="s">
        <v>97</v>
      </c>
      <c r="P136" s="47">
        <f>HEX2DEC(RIGHT(Table1323214[[#This Row],[h1]],8))</f>
        <v>0</v>
      </c>
      <c r="Q136" s="47" t="s">
        <v>97</v>
      </c>
      <c r="R136" s="47">
        <f>HEX2DEC(RIGHT(Table1323214[[#This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13</v>
      </c>
      <c r="J137" s="24">
        <v>50000</v>
      </c>
      <c r="M137" s="24">
        <v>50000</v>
      </c>
      <c r="O137" s="47" t="s">
        <v>97</v>
      </c>
      <c r="P137" s="47">
        <f>HEX2DEC(RIGHT(Table1323214[[#This Row],[h1]],8))</f>
        <v>0</v>
      </c>
      <c r="Q137" s="47" t="s">
        <v>97</v>
      </c>
      <c r="R137" s="47">
        <f>HEX2DEC(RIGHT(Table1323214[[#This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13</v>
      </c>
      <c r="J138" s="24">
        <v>50000</v>
      </c>
      <c r="M138" s="24">
        <v>50000</v>
      </c>
      <c r="O138" s="47" t="s">
        <v>97</v>
      </c>
      <c r="P138" s="47">
        <f>HEX2DEC(RIGHT(Table1323214[[#This Row],[h1]],8))</f>
        <v>0</v>
      </c>
      <c r="Q138" s="47" t="s">
        <v>97</v>
      </c>
      <c r="R138" s="47">
        <f>HEX2DEC(RIGHT(Table1323214[[#This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7" t="s">
        <v>97</v>
      </c>
      <c r="P139" s="47">
        <f>HEX2DEC(RIGHT(Table1323214[[#This Row],[h1]],8))</f>
        <v>0</v>
      </c>
      <c r="Q139" s="47" t="s">
        <v>97</v>
      </c>
      <c r="R139" s="47">
        <f>HEX2DEC(RIGHT(Table1323214[[#This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7" t="s">
        <v>97</v>
      </c>
      <c r="P140" s="47">
        <f>HEX2DEC(RIGHT(Table1323214[[#This Row],[h1]],8))</f>
        <v>0</v>
      </c>
      <c r="Q140" s="47" t="s">
        <v>97</v>
      </c>
      <c r="R140" s="47">
        <f>HEX2DEC(RIGHT(Table1323214[[#This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7" t="s">
        <v>97</v>
      </c>
      <c r="P141" s="47">
        <f>HEX2DEC(RIGHT(Table1323214[[#This Row],[h1]],8))</f>
        <v>0</v>
      </c>
      <c r="Q141" s="47" t="s">
        <v>97</v>
      </c>
      <c r="R141" s="47">
        <f>HEX2DEC(RIGHT(Table1323214[[#This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7" t="s">
        <v>97</v>
      </c>
      <c r="P142" s="47">
        <f>HEX2DEC(RIGHT(Table1323214[[#This Row],[h1]],8))</f>
        <v>0</v>
      </c>
      <c r="Q142" s="47" t="s">
        <v>97</v>
      </c>
      <c r="R142" s="47">
        <f>HEX2DEC(RIGHT(Table1323214[[#This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7" t="s">
        <v>97</v>
      </c>
      <c r="P143" s="47">
        <f>HEX2DEC(RIGHT(Table1323214[[#This Row],[h1]],8))</f>
        <v>0</v>
      </c>
      <c r="Q143" s="47" t="s">
        <v>97</v>
      </c>
      <c r="R143" s="47">
        <f>HEX2DEC(RIGHT(Table1323214[[#This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7" t="s">
        <v>97</v>
      </c>
      <c r="P144" s="47">
        <f>HEX2DEC(RIGHT(Table1323214[[#This Row],[h1]],8))</f>
        <v>0</v>
      </c>
      <c r="Q144" s="47" t="s">
        <v>97</v>
      </c>
      <c r="R144" s="47">
        <f>HEX2DEC(RIGHT(Table1323214[[#This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7" t="s">
        <v>97</v>
      </c>
      <c r="P145" s="47">
        <f>HEX2DEC(RIGHT(Table1323214[[#This Row],[h1]],8))</f>
        <v>0</v>
      </c>
      <c r="Q145" s="47" t="s">
        <v>97</v>
      </c>
      <c r="R145" s="47">
        <f>HEX2DEC(RIGHT(Table1323214[[#This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7" t="s">
        <v>97</v>
      </c>
      <c r="P146" s="47">
        <f>HEX2DEC(RIGHT(Table1323214[[#This Row],[h1]],8))</f>
        <v>0</v>
      </c>
      <c r="Q146" s="47" t="s">
        <v>97</v>
      </c>
      <c r="R146" s="47">
        <f>HEX2DEC(RIGHT(Table1323214[[#This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7" t="s">
        <v>97</v>
      </c>
      <c r="P147" s="47">
        <f>HEX2DEC(RIGHT(Table1323214[[#This Row],[h1]],8))</f>
        <v>0</v>
      </c>
      <c r="Q147" s="47" t="s">
        <v>97</v>
      </c>
      <c r="R147" s="47">
        <f>HEX2DEC(RIGHT(Table1323214[[#This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7" t="s">
        <v>97</v>
      </c>
      <c r="P148" s="47">
        <f>HEX2DEC(RIGHT(Table1323214[[#This Row],[h1]],8))</f>
        <v>0</v>
      </c>
      <c r="Q148" s="47" t="s">
        <v>97</v>
      </c>
      <c r="R148" s="47">
        <f>HEX2DEC(RIGHT(Table1323214[[#This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7" t="s">
        <v>97</v>
      </c>
      <c r="P149" s="47">
        <f>HEX2DEC(RIGHT(Table1323214[[#This Row],[h1]],8))</f>
        <v>0</v>
      </c>
      <c r="Q149" s="47" t="s">
        <v>97</v>
      </c>
      <c r="R149" s="47">
        <f>HEX2DEC(RIGHT(Table1323214[[#This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47" t="s">
        <v>97</v>
      </c>
      <c r="P150" s="47">
        <f>HEX2DEC(RIGHT(Table1323214[[#This Row],[h1]],8))</f>
        <v>0</v>
      </c>
      <c r="Q150" s="47" t="s">
        <v>97</v>
      </c>
      <c r="R150" s="47">
        <f>HEX2DEC(RIGHT(Table1323214[[#This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7" t="s">
        <v>97</v>
      </c>
      <c r="P151" s="47">
        <f>HEX2DEC(RIGHT(Table1323214[[#This Row],[h1]],8))</f>
        <v>0</v>
      </c>
      <c r="Q151" s="47" t="s">
        <v>97</v>
      </c>
      <c r="R151" s="47">
        <f>HEX2DEC(RIGHT(Table1323214[[#This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62499999</v>
      </c>
      <c r="J152" s="24">
        <v>50000</v>
      </c>
      <c r="M152" s="24">
        <v>50000</v>
      </c>
      <c r="O152" s="47" t="s">
        <v>97</v>
      </c>
      <c r="P152" s="47">
        <f>HEX2DEC(RIGHT(Table1323214[[#This Row],[h1]],8))</f>
        <v>0</v>
      </c>
      <c r="Q152" s="47" t="s">
        <v>97</v>
      </c>
      <c r="R152" s="47">
        <f>HEX2DEC(RIGHT(Table1323214[[#This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6249999</v>
      </c>
      <c r="J153" s="24">
        <v>50000</v>
      </c>
      <c r="M153" s="24">
        <v>50000</v>
      </c>
      <c r="O153" s="47" t="s">
        <v>97</v>
      </c>
      <c r="P153" s="47">
        <f>HEX2DEC(RIGHT(Table1323214[[#This Row],[h1]],8))</f>
        <v>0</v>
      </c>
      <c r="Q153" s="47" t="s">
        <v>97</v>
      </c>
      <c r="R153" s="47">
        <f>HEX2DEC(RIGHT(Table1323214[[#This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624999</v>
      </c>
      <c r="J154" s="24">
        <v>50000</v>
      </c>
      <c r="M154" s="24">
        <v>50000</v>
      </c>
      <c r="O154" s="47" t="s">
        <v>97</v>
      </c>
      <c r="P154" s="47">
        <f>HEX2DEC(RIGHT(Table1323214[[#This Row],[h1]],8))</f>
        <v>0</v>
      </c>
      <c r="Q154" s="47" t="s">
        <v>97</v>
      </c>
      <c r="R154" s="47">
        <f>HEX2DEC(RIGHT(Table1323214[[#This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62499</v>
      </c>
      <c r="J155" s="24">
        <v>50000</v>
      </c>
      <c r="M155" s="24">
        <v>50000</v>
      </c>
      <c r="O155" s="47" t="s">
        <v>97</v>
      </c>
      <c r="P155" s="47">
        <f>HEX2DEC(RIGHT(Table1323214[[#This Row],[h1]],8))</f>
        <v>0</v>
      </c>
      <c r="Q155" s="47" t="s">
        <v>97</v>
      </c>
      <c r="R155" s="47">
        <f>HEX2DEC(RIGHT(Table1323214[[#This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6249</v>
      </c>
      <c r="J156" s="24">
        <v>50000</v>
      </c>
      <c r="M156" s="24">
        <v>50000</v>
      </c>
      <c r="O156" s="47" t="s">
        <v>97</v>
      </c>
      <c r="P156" s="47">
        <f>HEX2DEC(RIGHT(Table1323214[[#This Row],[h1]],8))</f>
        <v>0</v>
      </c>
      <c r="Q156" s="47" t="s">
        <v>97</v>
      </c>
      <c r="R156" s="47">
        <f>HEX2DEC(RIGHT(Table1323214[[#This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624</v>
      </c>
      <c r="J157" s="24">
        <v>50000</v>
      </c>
      <c r="M157" s="24">
        <v>50000</v>
      </c>
      <c r="O157" s="47" t="s">
        <v>97</v>
      </c>
      <c r="P157" s="47">
        <f>HEX2DEC(RIGHT(Table1323214[[#This Row],[h1]],8))</f>
        <v>0</v>
      </c>
      <c r="Q157" s="47" t="s">
        <v>97</v>
      </c>
      <c r="R157" s="47">
        <f>HEX2DEC(RIGHT(Table1323214[[#This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311.5</v>
      </c>
      <c r="J158" s="24">
        <v>50000</v>
      </c>
      <c r="M158" s="24">
        <v>50000</v>
      </c>
      <c r="O158" s="47" t="s">
        <v>97</v>
      </c>
      <c r="P158" s="47">
        <f>HEX2DEC(RIGHT(Table1323214[[#This Row],[h1]],8))</f>
        <v>0</v>
      </c>
      <c r="Q158" s="47" t="s">
        <v>97</v>
      </c>
      <c r="R158" s="47">
        <f>HEX2DEC(RIGHT(Table1323214[[#This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207.33333333333334</v>
      </c>
      <c r="J159" s="24">
        <v>50000</v>
      </c>
      <c r="M159" s="24">
        <v>50000</v>
      </c>
      <c r="O159" s="47" t="s">
        <v>97</v>
      </c>
      <c r="P159" s="47">
        <f>HEX2DEC(RIGHT(Table1323214[[#This Row],[h1]],8))</f>
        <v>0</v>
      </c>
      <c r="Q159" s="47" t="s">
        <v>97</v>
      </c>
      <c r="R159" s="47">
        <f>HEX2DEC(RIGHT(Table1323214[[#This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155.25</v>
      </c>
      <c r="J160" s="24">
        <v>50000</v>
      </c>
      <c r="M160" s="24">
        <v>50000</v>
      </c>
      <c r="O160" s="47" t="s">
        <v>97</v>
      </c>
      <c r="P160" s="47">
        <f>HEX2DEC(RIGHT(Table1323214[[#This Row],[h1]],8))</f>
        <v>0</v>
      </c>
      <c r="Q160" s="47" t="s">
        <v>97</v>
      </c>
      <c r="R160" s="47">
        <f>HEX2DEC(RIGHT(Table1323214[[#This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124</v>
      </c>
      <c r="J161" s="24">
        <v>50000</v>
      </c>
      <c r="M161" s="24">
        <v>50000</v>
      </c>
      <c r="O161" s="47" t="s">
        <v>97</v>
      </c>
      <c r="P161" s="47">
        <f>HEX2DEC(RIGHT(Table1323214[[#This Row],[h1]],8))</f>
        <v>0</v>
      </c>
      <c r="Q161" s="47" t="s">
        <v>97</v>
      </c>
      <c r="R161" s="47">
        <f>HEX2DEC(RIGHT(Table1323214[[#This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103.16666666666667</v>
      </c>
      <c r="J162" s="24">
        <v>50000</v>
      </c>
      <c r="M162" s="24">
        <v>50000</v>
      </c>
      <c r="O162" s="47" t="s">
        <v>97</v>
      </c>
      <c r="P162" s="47">
        <f>HEX2DEC(RIGHT(Table1323214[[#This Row],[h1]],8))</f>
        <v>0</v>
      </c>
      <c r="Q162" s="47" t="s">
        <v>97</v>
      </c>
      <c r="R162" s="47">
        <f>HEX2DEC(RIGHT(Table1323214[[#This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88.285714285714292</v>
      </c>
      <c r="J163" s="24">
        <v>50000</v>
      </c>
      <c r="M163" s="24">
        <v>50000</v>
      </c>
      <c r="O163" s="47" t="s">
        <v>97</v>
      </c>
      <c r="P163" s="47">
        <f>HEX2DEC(RIGHT(Table1323214[[#This Row],[h1]],8))</f>
        <v>0</v>
      </c>
      <c r="Q163" s="47" t="s">
        <v>97</v>
      </c>
      <c r="R163" s="47">
        <f>HEX2DEC(RIGHT(Table1323214[[#This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77.125</v>
      </c>
      <c r="J164" s="24">
        <v>50000</v>
      </c>
      <c r="M164" s="24">
        <v>50000</v>
      </c>
      <c r="O164" s="47" t="s">
        <v>97</v>
      </c>
      <c r="P164" s="47">
        <f>HEX2DEC(RIGHT(Table1323214[[#This Row],[h1]],8))</f>
        <v>0</v>
      </c>
      <c r="Q164" s="47" t="s">
        <v>97</v>
      </c>
      <c r="R164" s="47">
        <f>HEX2DEC(RIGHT(Table1323214[[#This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IF(IF(Table13192[[#This Row],[value]]="",Table13192[[#This Row],[dec val]],1/(2*Table13192[[#This Row],[value]])*$E$151-1)&lt;0,0,IF(Table13192[[#This Row],[value]]="",Table13192[[#This Row],[dec val]],1/(2*Table13192[[#This Row],[value]])*$E$151-1))</f>
        <v>68.444444444444443</v>
      </c>
      <c r="J165" s="24">
        <v>50000</v>
      </c>
      <c r="M165" s="24">
        <v>50000</v>
      </c>
      <c r="O165" s="47" t="s">
        <v>97</v>
      </c>
      <c r="P165" s="47">
        <f>HEX2DEC(RIGHT(Table1323214[[#This Row],[h1]],8))</f>
        <v>0</v>
      </c>
      <c r="Q165" s="47" t="s">
        <v>97</v>
      </c>
      <c r="R165" s="47">
        <f>HEX2DEC(RIGHT(Table1323214[[#This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7" t="s">
        <v>97</v>
      </c>
      <c r="P166" s="47">
        <f>HEX2DEC(RIGHT(Table1323214[[#This Row],[h1]],8))</f>
        <v>0</v>
      </c>
      <c r="Q166" s="47" t="s">
        <v>97</v>
      </c>
      <c r="R166" s="47">
        <f>HEX2DEC(RIGHT(Table1323214[[#This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7" t="s">
        <v>42</v>
      </c>
      <c r="J167" s="24">
        <v>50000</v>
      </c>
      <c r="M167" s="24">
        <v>50000</v>
      </c>
      <c r="O167" s="47" t="s">
        <v>97</v>
      </c>
      <c r="P167" s="47">
        <f>HEX2DEC(RIGHT(Table1323214[[#This Row],[h1]],8))</f>
        <v>0</v>
      </c>
      <c r="Q167" s="47" t="s">
        <v>97</v>
      </c>
      <c r="R167" s="47">
        <f>HEX2DEC(RIGHT(Table1323214[[#This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7" t="s">
        <v>42</v>
      </c>
      <c r="J168" s="24">
        <v>50000</v>
      </c>
      <c r="M168" s="24">
        <v>50000</v>
      </c>
      <c r="O168" s="47" t="s">
        <v>97</v>
      </c>
      <c r="P168" s="47">
        <f>HEX2DEC(RIGHT(Table1323214[[#This Row],[h1]],8))</f>
        <v>0</v>
      </c>
      <c r="Q168" s="47" t="s">
        <v>97</v>
      </c>
      <c r="R168" s="47">
        <f>HEX2DEC(RIGHT(Table1323214[[#This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7" t="s">
        <v>42</v>
      </c>
      <c r="J169" s="24">
        <v>50000</v>
      </c>
      <c r="M169" s="24">
        <v>50000</v>
      </c>
      <c r="O169" s="47" t="s">
        <v>97</v>
      </c>
      <c r="P169" s="47">
        <f>HEX2DEC(RIGHT(Table1323214[[#This Row],[h1]],8))</f>
        <v>0</v>
      </c>
      <c r="Q169" s="47" t="s">
        <v>97</v>
      </c>
      <c r="R169" s="47">
        <f>HEX2DEC(RIGHT(Table1323214[[#This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7" t="s">
        <v>42</v>
      </c>
      <c r="J170" s="24">
        <v>50000</v>
      </c>
      <c r="M170" s="24">
        <v>50000</v>
      </c>
      <c r="O170" s="47" t="s">
        <v>97</v>
      </c>
      <c r="P170" s="47">
        <f>HEX2DEC(RIGHT(Table1323214[[#This Row],[h1]],8))</f>
        <v>0</v>
      </c>
      <c r="Q170" s="47" t="s">
        <v>97</v>
      </c>
      <c r="R170" s="47">
        <f>HEX2DEC(RIGHT(Table1323214[[#This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7" t="s">
        <v>42</v>
      </c>
      <c r="J171" s="24">
        <v>50000</v>
      </c>
      <c r="M171" s="24">
        <v>50000</v>
      </c>
      <c r="O171" s="47" t="s">
        <v>97</v>
      </c>
      <c r="P171" s="47">
        <f>HEX2DEC(RIGHT(Table1323214[[#This Row],[h1]],8))</f>
        <v>0</v>
      </c>
      <c r="Q171" s="47" t="s">
        <v>97</v>
      </c>
      <c r="R171" s="47">
        <f>HEX2DEC(RIGHT(Table1323214[[#This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7" t="s">
        <v>42</v>
      </c>
      <c r="J172" s="24">
        <v>50000</v>
      </c>
      <c r="M172" s="24">
        <v>50000</v>
      </c>
      <c r="O172" s="47" t="s">
        <v>97</v>
      </c>
      <c r="P172" s="47">
        <f>HEX2DEC(RIGHT(Table1323214[[#This Row],[h1]],8))</f>
        <v>0</v>
      </c>
      <c r="Q172" s="47" t="s">
        <v>97</v>
      </c>
      <c r="R172" s="47">
        <f>HEX2DEC(RIGHT(Table1323214[[#This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7" t="s">
        <v>42</v>
      </c>
      <c r="J173" s="24">
        <v>50000</v>
      </c>
      <c r="M173" s="24">
        <v>50000</v>
      </c>
      <c r="O173" s="47" t="s">
        <v>97</v>
      </c>
      <c r="P173" s="47">
        <f>HEX2DEC(RIGHT(Table1323214[[#This Row],[h1]],8))</f>
        <v>0</v>
      </c>
      <c r="Q173" s="47" t="s">
        <v>97</v>
      </c>
      <c r="R173" s="47">
        <f>HEX2DEC(RIGHT(Table1323214[[#This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7" t="s">
        <v>42</v>
      </c>
      <c r="J174" s="24">
        <v>50000</v>
      </c>
      <c r="M174" s="24">
        <v>50000</v>
      </c>
      <c r="O174" s="47" t="s">
        <v>97</v>
      </c>
      <c r="P174" s="47">
        <f>HEX2DEC(RIGHT(Table1323214[[#This Row],[h1]],8))</f>
        <v>0</v>
      </c>
      <c r="Q174" s="47" t="s">
        <v>97</v>
      </c>
      <c r="R174" s="47">
        <f>HEX2DEC(RIGHT(Table1323214[[#This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7"/>
      <c r="J175" s="24">
        <v>50000</v>
      </c>
      <c r="M175" s="24">
        <v>50000</v>
      </c>
      <c r="O175" s="47" t="s">
        <v>97</v>
      </c>
      <c r="P175" s="47">
        <f>HEX2DEC(RIGHT(Table1323214[[#This Row],[h1]],8))</f>
        <v>0</v>
      </c>
      <c r="Q175" s="47" t="s">
        <v>97</v>
      </c>
      <c r="R175" s="47">
        <f>HEX2DEC(RIGHT(Table1323214[[#This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7" t="s">
        <v>42</v>
      </c>
      <c r="J176" s="24">
        <v>50000</v>
      </c>
      <c r="M176" s="24">
        <v>50000</v>
      </c>
      <c r="O176" s="47" t="s">
        <v>97</v>
      </c>
      <c r="P176" s="47">
        <f>HEX2DEC(RIGHT(Table1323214[[#This Row],[h1]],8))</f>
        <v>0</v>
      </c>
      <c r="Q176" s="47" t="s">
        <v>97</v>
      </c>
      <c r="R176" s="47">
        <f>HEX2DEC(RIGHT(Table1323214[[#This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7" t="s">
        <v>42</v>
      </c>
      <c r="J177" s="24">
        <v>50000</v>
      </c>
      <c r="M177" s="24">
        <v>50000</v>
      </c>
      <c r="O177" s="47" t="s">
        <v>97</v>
      </c>
      <c r="P177" s="47">
        <f>HEX2DEC(RIGHT(Table1323214[[#This Row],[h1]],8))</f>
        <v>0</v>
      </c>
      <c r="Q177" s="47" t="s">
        <v>97</v>
      </c>
      <c r="R177" s="47">
        <f>HEX2DEC(RIGHT(Table1323214[[#This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7" t="s">
        <v>42</v>
      </c>
      <c r="J178" s="24">
        <v>50000</v>
      </c>
      <c r="M178" s="24">
        <v>50000</v>
      </c>
      <c r="O178" s="47" t="s">
        <v>97</v>
      </c>
      <c r="P178" s="47">
        <f>HEX2DEC(RIGHT(Table1323214[[#This Row],[h1]],8))</f>
        <v>0</v>
      </c>
      <c r="Q178" s="47" t="s">
        <v>97</v>
      </c>
      <c r="R178" s="47">
        <f>HEX2DEC(RIGHT(Table1323214[[#This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7" t="s">
        <v>42</v>
      </c>
      <c r="J179" s="24">
        <v>50000</v>
      </c>
      <c r="M179" s="24">
        <v>50000</v>
      </c>
      <c r="O179" s="47" t="s">
        <v>97</v>
      </c>
      <c r="P179" s="47">
        <f>HEX2DEC(RIGHT(Table1323214[[#This Row],[h1]],8))</f>
        <v>0</v>
      </c>
      <c r="Q179" s="47" t="s">
        <v>97</v>
      </c>
      <c r="R179" s="47">
        <f>HEX2DEC(RIGHT(Table1323214[[#This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7" t="s">
        <v>42</v>
      </c>
      <c r="J180" s="24">
        <v>50000</v>
      </c>
      <c r="M180" s="24">
        <v>50000</v>
      </c>
      <c r="O180" s="47" t="s">
        <v>97</v>
      </c>
      <c r="P180" s="47">
        <f>HEX2DEC(RIGHT(Table1323214[[#This Row],[h1]],8))</f>
        <v>0</v>
      </c>
      <c r="Q180" s="47" t="s">
        <v>97</v>
      </c>
      <c r="R180" s="47">
        <f>HEX2DEC(RIGHT(Table1323214[[#This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7" t="s">
        <v>42</v>
      </c>
      <c r="J181" s="24">
        <v>50000</v>
      </c>
      <c r="M181" s="24">
        <v>50000</v>
      </c>
      <c r="O181" s="47" t="s">
        <v>97</v>
      </c>
      <c r="P181" s="47">
        <f>HEX2DEC(RIGHT(Table1323214[[#This Row],[h1]],8))</f>
        <v>0</v>
      </c>
      <c r="Q181" s="47" t="s">
        <v>97</v>
      </c>
      <c r="R181" s="47">
        <f>HEX2DEC(RIGHT(Table1323214[[#This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7" t="s">
        <v>42</v>
      </c>
      <c r="J182" s="24">
        <v>50000</v>
      </c>
      <c r="M182" s="24">
        <v>50000</v>
      </c>
      <c r="O182" s="47" t="s">
        <v>97</v>
      </c>
      <c r="P182" s="47">
        <f>HEX2DEC(RIGHT(Table1323214[[#This Row],[h1]],8))</f>
        <v>0</v>
      </c>
      <c r="Q182" s="47" t="s">
        <v>97</v>
      </c>
      <c r="R182" s="47">
        <f>HEX2DEC(RIGHT(Table1323214[[#This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7" t="s">
        <v>42</v>
      </c>
      <c r="J183" s="24">
        <v>50000</v>
      </c>
      <c r="M183" s="24">
        <v>50000</v>
      </c>
      <c r="O183" s="47" t="s">
        <v>97</v>
      </c>
      <c r="P183" s="47">
        <f>HEX2DEC(RIGHT(Table1323214[[#This Row],[h1]],8))</f>
        <v>0</v>
      </c>
      <c r="Q183" s="47" t="s">
        <v>97</v>
      </c>
      <c r="R183" s="47">
        <f>HEX2DEC(RIGHT(Table1323214[[#This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7" t="s">
        <v>42</v>
      </c>
      <c r="J184" s="24">
        <v>50000</v>
      </c>
      <c r="M184" s="24">
        <v>50000</v>
      </c>
      <c r="O184" s="47" t="s">
        <v>97</v>
      </c>
      <c r="P184" s="47">
        <f>HEX2DEC(RIGHT(Table1323214[[#This Row],[h1]],8))</f>
        <v>0</v>
      </c>
      <c r="Q184" s="47" t="s">
        <v>97</v>
      </c>
      <c r="R184" s="47">
        <f>HEX2DEC(RIGHT(Table1323214[[#This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7" t="s">
        <v>42</v>
      </c>
      <c r="J185" s="24">
        <v>50000</v>
      </c>
      <c r="M185" s="24">
        <v>50000</v>
      </c>
      <c r="O185" s="47" t="s">
        <v>97</v>
      </c>
      <c r="P185" s="47">
        <f>HEX2DEC(RIGHT(Table1323214[[#This Row],[h1]],8))</f>
        <v>0</v>
      </c>
      <c r="Q185" s="47" t="s">
        <v>97</v>
      </c>
      <c r="R185" s="47">
        <f>HEX2DEC(RIGHT(Table1323214[[#This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7" t="s">
        <v>42</v>
      </c>
      <c r="J186" s="24">
        <v>50000</v>
      </c>
      <c r="M186" s="24">
        <v>50000</v>
      </c>
      <c r="O186" s="47" t="s">
        <v>97</v>
      </c>
      <c r="P186" s="47">
        <f>HEX2DEC(RIGHT(Table1323214[[#This Row],[h1]],8))</f>
        <v>0</v>
      </c>
      <c r="Q186" s="47" t="s">
        <v>97</v>
      </c>
      <c r="R186" s="47">
        <f>HEX2DEC(RIGHT(Table1323214[[#This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7" t="s">
        <v>42</v>
      </c>
      <c r="J187" s="24">
        <v>50000</v>
      </c>
      <c r="M187" s="24">
        <v>50000</v>
      </c>
      <c r="O187" s="47" t="s">
        <v>97</v>
      </c>
      <c r="P187" s="47">
        <f>HEX2DEC(RIGHT(Table1323214[[#This Row],[h1]],8))</f>
        <v>0</v>
      </c>
      <c r="Q187" s="47" t="s">
        <v>97</v>
      </c>
      <c r="R187" s="47">
        <f>HEX2DEC(RIGHT(Table1323214[[#This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7" t="s">
        <v>42</v>
      </c>
      <c r="J188" s="24">
        <v>50000</v>
      </c>
      <c r="M188" s="24">
        <v>50000</v>
      </c>
      <c r="O188" s="47" t="s">
        <v>97</v>
      </c>
      <c r="P188" s="47">
        <f>HEX2DEC(RIGHT(Table1323214[[#This Row],[h1]],8))</f>
        <v>0</v>
      </c>
      <c r="Q188" s="47" t="s">
        <v>97</v>
      </c>
      <c r="R188" s="47">
        <f>HEX2DEC(RIGHT(Table1323214[[#This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7" t="s">
        <v>42</v>
      </c>
      <c r="J189" s="24">
        <v>50000</v>
      </c>
      <c r="M189" s="24">
        <v>50000</v>
      </c>
      <c r="O189" s="47" t="s">
        <v>97</v>
      </c>
      <c r="P189" s="47">
        <f>HEX2DEC(RIGHT(Table1323214[[#This Row],[h1]],8))</f>
        <v>0</v>
      </c>
      <c r="Q189" s="47" t="s">
        <v>97</v>
      </c>
      <c r="R189" s="47">
        <f>HEX2DEC(RIGHT(Table1323214[[#This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7" t="s">
        <v>42</v>
      </c>
      <c r="J190" s="24">
        <v>50000</v>
      </c>
      <c r="M190" s="24">
        <v>50000</v>
      </c>
      <c r="O190" s="47" t="s">
        <v>97</v>
      </c>
      <c r="P190" s="47">
        <f>HEX2DEC(RIGHT(Table1323214[[#This Row],[h1]],8))</f>
        <v>0</v>
      </c>
      <c r="Q190" s="47" t="s">
        <v>97</v>
      </c>
      <c r="R190" s="47">
        <f>HEX2DEC(RIGHT(Table1323214[[#This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7" t="s">
        <v>42</v>
      </c>
      <c r="J191" s="24">
        <v>50000</v>
      </c>
      <c r="M191" s="24">
        <v>50000</v>
      </c>
      <c r="O191" s="47" t="s">
        <v>97</v>
      </c>
      <c r="P191" s="47">
        <f>HEX2DEC(RIGHT(Table1323214[[#This Row],[h1]],8))</f>
        <v>0</v>
      </c>
      <c r="Q191" s="47" t="s">
        <v>97</v>
      </c>
      <c r="R191" s="47">
        <f>HEX2DEC(RIGHT(Table1323214[[#This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7" t="s">
        <v>42</v>
      </c>
      <c r="J192" s="24">
        <v>50000</v>
      </c>
      <c r="M192" s="24">
        <v>50000</v>
      </c>
      <c r="O192" s="47" t="s">
        <v>97</v>
      </c>
      <c r="P192" s="47">
        <f>HEX2DEC(RIGHT(Table1323214[[#This Row],[h1]],8))</f>
        <v>0</v>
      </c>
      <c r="Q192" s="47" t="s">
        <v>97</v>
      </c>
      <c r="R192" s="47">
        <f>HEX2DEC(RIGHT(Table1323214[[#This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7" t="s">
        <v>42</v>
      </c>
      <c r="J193" s="24">
        <v>50000</v>
      </c>
      <c r="M193" s="24">
        <v>50000</v>
      </c>
      <c r="O193" s="47" t="s">
        <v>97</v>
      </c>
      <c r="P193" s="47">
        <f>HEX2DEC(RIGHT(Table1323214[[#This Row],[h1]],8))</f>
        <v>0</v>
      </c>
      <c r="Q193" s="47" t="s">
        <v>97</v>
      </c>
      <c r="R193" s="47">
        <f>HEX2DEC(RIGHT(Table1323214[[#This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7" t="s">
        <v>42</v>
      </c>
      <c r="J194" s="24">
        <v>50000</v>
      </c>
      <c r="M194" s="24">
        <v>50000</v>
      </c>
      <c r="O194" s="47" t="s">
        <v>97</v>
      </c>
      <c r="P194" s="47">
        <f>HEX2DEC(RIGHT(Table1323214[[#This Row],[h1]],8))</f>
        <v>0</v>
      </c>
      <c r="Q194" s="47" t="s">
        <v>97</v>
      </c>
      <c r="R194" s="47">
        <f>HEX2DEC(RIGHT(Table1323214[[#This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7" t="s">
        <v>42</v>
      </c>
      <c r="J195" s="24">
        <v>50000</v>
      </c>
      <c r="M195" s="24">
        <v>50000</v>
      </c>
      <c r="O195" s="47" t="s">
        <v>97</v>
      </c>
      <c r="P195" s="47">
        <f>HEX2DEC(RIGHT(Table1323214[[#This Row],[h1]],8))</f>
        <v>0</v>
      </c>
      <c r="Q195" s="47" t="s">
        <v>97</v>
      </c>
      <c r="R195" s="47">
        <f>HEX2DEC(RIGHT(Table1323214[[#This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7" t="s">
        <v>42</v>
      </c>
      <c r="J196" s="24">
        <v>50000</v>
      </c>
      <c r="M196" s="24">
        <v>50000</v>
      </c>
      <c r="O196" s="47" t="s">
        <v>97</v>
      </c>
      <c r="P196" s="47">
        <f>HEX2DEC(RIGHT(Table1323214[[#This Row],[h1]],8))</f>
        <v>0</v>
      </c>
      <c r="Q196" s="47" t="s">
        <v>97</v>
      </c>
      <c r="R196" s="47">
        <f>HEX2DEC(RIGHT(Table1323214[[#This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7" t="s">
        <v>42</v>
      </c>
      <c r="J197" s="24">
        <v>50000</v>
      </c>
      <c r="M197" s="24">
        <v>50000</v>
      </c>
      <c r="O197" s="47" t="s">
        <v>97</v>
      </c>
      <c r="P197" s="47">
        <f>HEX2DEC(RIGHT(Table1323214[[#This Row],[h1]],8))</f>
        <v>0</v>
      </c>
      <c r="Q197" s="47" t="s">
        <v>97</v>
      </c>
      <c r="R197" s="47">
        <f>HEX2DEC(RIGHT(Table1323214[[#This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7" t="s">
        <v>42</v>
      </c>
      <c r="J198" s="24">
        <v>50000</v>
      </c>
      <c r="M198" s="24">
        <v>50000</v>
      </c>
      <c r="O198" s="47" t="s">
        <v>97</v>
      </c>
      <c r="P198" s="47">
        <f>HEX2DEC(RIGHT(Table1323214[[#This Row],[h1]],8))</f>
        <v>0</v>
      </c>
      <c r="Q198" s="47" t="s">
        <v>97</v>
      </c>
      <c r="R198" s="47">
        <f>HEX2DEC(RIGHT(Table1323214[[#This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7" t="s">
        <v>42</v>
      </c>
      <c r="J199" s="24">
        <v>50000</v>
      </c>
      <c r="M199" s="24">
        <v>50000</v>
      </c>
      <c r="O199" s="47" t="s">
        <v>97</v>
      </c>
      <c r="P199" s="47">
        <f>HEX2DEC(RIGHT(Table1323214[[#This Row],[h1]],8))</f>
        <v>0</v>
      </c>
      <c r="Q199" s="47" t="s">
        <v>97</v>
      </c>
      <c r="R199" s="47">
        <f>HEX2DEC(RIGHT(Table1323214[[#This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7" t="s">
        <v>42</v>
      </c>
      <c r="J200" s="24">
        <v>50000</v>
      </c>
      <c r="M200" s="24">
        <v>50000</v>
      </c>
      <c r="O200" s="47" t="s">
        <v>97</v>
      </c>
      <c r="P200" s="47">
        <f>HEX2DEC(RIGHT(Table1323214[[#This Row],[h1]],8))</f>
        <v>0</v>
      </c>
      <c r="Q200" s="47" t="s">
        <v>97</v>
      </c>
      <c r="R200" s="47">
        <f>HEX2DEC(RIGHT(Table1323214[[#This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7" t="s">
        <v>42</v>
      </c>
      <c r="J201" s="24">
        <v>50000</v>
      </c>
      <c r="M201" s="24">
        <v>50000</v>
      </c>
      <c r="O201" s="47" t="s">
        <v>97</v>
      </c>
      <c r="P201" s="47">
        <f>HEX2DEC(RIGHT(Table1323214[[#This Row],[h1]],8))</f>
        <v>0</v>
      </c>
      <c r="Q201" s="47" t="s">
        <v>97</v>
      </c>
      <c r="R201" s="47">
        <f>HEX2DEC(RIGHT(Table1323214[[#This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7" t="s">
        <v>42</v>
      </c>
      <c r="J202" s="24">
        <v>50000</v>
      </c>
      <c r="M202" s="24">
        <v>50000</v>
      </c>
      <c r="O202" s="47" t="s">
        <v>97</v>
      </c>
      <c r="P202" s="47">
        <f>HEX2DEC(RIGHT(Table1323214[[#This Row],[h1]],8))</f>
        <v>0</v>
      </c>
      <c r="Q202" s="47" t="s">
        <v>97</v>
      </c>
      <c r="R202" s="47">
        <f>HEX2DEC(RIGHT(Table1323214[[#This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7" t="s">
        <v>42</v>
      </c>
      <c r="J203" s="24">
        <v>50000</v>
      </c>
      <c r="M203" s="24">
        <v>50000</v>
      </c>
      <c r="O203" s="47" t="s">
        <v>97</v>
      </c>
      <c r="P203" s="47">
        <f>HEX2DEC(RIGHT(Table1323214[[#This Row],[h1]],8))</f>
        <v>0</v>
      </c>
      <c r="Q203" s="47" t="s">
        <v>97</v>
      </c>
      <c r="R203" s="47">
        <f>HEX2DEC(RIGHT(Table1323214[[#This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7" t="s">
        <v>42</v>
      </c>
      <c r="J204" s="24">
        <v>50000</v>
      </c>
      <c r="M204" s="24">
        <v>50000</v>
      </c>
      <c r="O204" s="47" t="s">
        <v>97</v>
      </c>
      <c r="P204" s="47">
        <f>HEX2DEC(RIGHT(Table1323214[[#This Row],[h1]],8))</f>
        <v>0</v>
      </c>
      <c r="Q204" s="47" t="s">
        <v>97</v>
      </c>
      <c r="R204" s="47">
        <f>HEX2DEC(RIGHT(Table1323214[[#This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7" t="s">
        <v>42</v>
      </c>
      <c r="J205" s="24">
        <v>50000</v>
      </c>
      <c r="M205" s="24">
        <v>50000</v>
      </c>
      <c r="O205" s="47" t="s">
        <v>97</v>
      </c>
      <c r="P205" s="47">
        <f>HEX2DEC(RIGHT(Table1323214[[#This Row],[h1]],8))</f>
        <v>0</v>
      </c>
      <c r="Q205" s="47" t="s">
        <v>97</v>
      </c>
      <c r="R205" s="47">
        <f>HEX2DEC(RIGHT(Table1323214[[#This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7" t="s">
        <v>42</v>
      </c>
      <c r="J206" s="24">
        <v>50000</v>
      </c>
      <c r="M206" s="24">
        <v>50000</v>
      </c>
      <c r="O206" s="47" t="s">
        <v>97</v>
      </c>
      <c r="P206" s="47">
        <f>HEX2DEC(RIGHT(Table1323214[[#This Row],[h1]],8))</f>
        <v>0</v>
      </c>
      <c r="Q206" s="47" t="s">
        <v>97</v>
      </c>
      <c r="R206" s="47">
        <f>HEX2DEC(RIGHT(Table1323214[[#This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7" t="s">
        <v>97</v>
      </c>
      <c r="P207" s="47">
        <f>HEX2DEC(RIGHT(Table1323214[[#This Row],[h1]],8))</f>
        <v>0</v>
      </c>
      <c r="Q207" s="47" t="s">
        <v>97</v>
      </c>
      <c r="R207" s="47">
        <f>HEX2DEC(RIGHT(Table1323214[[#This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7">
        <v>1</v>
      </c>
      <c r="J208" s="24">
        <v>50000</v>
      </c>
      <c r="M208" s="24">
        <v>50000</v>
      </c>
      <c r="O208" s="47" t="s">
        <v>97</v>
      </c>
      <c r="P208" s="47">
        <f>HEX2DEC(RIGHT(Table1323214[[#This Row],[h1]],8))</f>
        <v>0</v>
      </c>
      <c r="Q208" s="47" t="s">
        <v>97</v>
      </c>
      <c r="R208" s="47">
        <f>HEX2DEC(RIGHT(Table1323214[[#This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7">
        <v>0</v>
      </c>
      <c r="J209" s="24">
        <v>50000</v>
      </c>
      <c r="M209" s="24">
        <v>50000</v>
      </c>
      <c r="O209" s="47" t="s">
        <v>97</v>
      </c>
      <c r="P209" s="47">
        <f>HEX2DEC(RIGHT(Table1323214[[#This Row],[h1]],8))</f>
        <v>0</v>
      </c>
      <c r="Q209" s="47" t="s">
        <v>97</v>
      </c>
      <c r="R209" s="47">
        <f>HEX2DEC(RIGHT(Table1323214[[#This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7">
        <v>0</v>
      </c>
      <c r="J210" s="24">
        <v>50000</v>
      </c>
      <c r="M210" s="24">
        <v>50000</v>
      </c>
      <c r="O210" s="47" t="s">
        <v>97</v>
      </c>
      <c r="P210" s="47">
        <f>HEX2DEC(RIGHT(Table1323214[[#This Row],[h1]],8))</f>
        <v>0</v>
      </c>
      <c r="Q210" s="47" t="s">
        <v>97</v>
      </c>
      <c r="R210" s="47">
        <f>HEX2DEC(RIGHT(Table1323214[[#This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7">
        <v>0</v>
      </c>
      <c r="J211" s="24">
        <v>50000</v>
      </c>
      <c r="M211" s="24">
        <v>50000</v>
      </c>
      <c r="O211" s="47" t="s">
        <v>97</v>
      </c>
      <c r="P211" s="47">
        <f>HEX2DEC(RIGHT(Table1323214[[#This Row],[h1]],8))</f>
        <v>0</v>
      </c>
      <c r="Q211" s="47" t="s">
        <v>97</v>
      </c>
      <c r="R211" s="47">
        <f>HEX2DEC(RIGHT(Table1323214[[#This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7">
        <v>0</v>
      </c>
      <c r="J212" s="24">
        <v>50000</v>
      </c>
      <c r="M212" s="24">
        <v>50000</v>
      </c>
      <c r="O212" s="47" t="s">
        <v>97</v>
      </c>
      <c r="P212" s="47">
        <f>HEX2DEC(RIGHT(Table1323214[[#This Row],[h1]],8))</f>
        <v>0</v>
      </c>
      <c r="Q212" s="47" t="s">
        <v>97</v>
      </c>
      <c r="R212" s="47">
        <f>HEX2DEC(RIGHT(Table1323214[[#This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7">
        <v>0</v>
      </c>
      <c r="J213" s="24">
        <v>50000</v>
      </c>
      <c r="M213" s="24">
        <v>50000</v>
      </c>
      <c r="O213" s="47" t="s">
        <v>97</v>
      </c>
      <c r="P213" s="47">
        <f>HEX2DEC(RIGHT(Table1323214[[#This Row],[h1]],8))</f>
        <v>0</v>
      </c>
      <c r="Q213" s="47" t="s">
        <v>97</v>
      </c>
      <c r="R213" s="47">
        <f>HEX2DEC(RIGHT(Table1323214[[#This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7">
        <v>0</v>
      </c>
      <c r="J214" s="24">
        <v>50000</v>
      </c>
      <c r="M214" s="24">
        <v>50000</v>
      </c>
      <c r="O214" s="47" t="s">
        <v>97</v>
      </c>
      <c r="P214" s="47">
        <f>HEX2DEC(RIGHT(Table1323214[[#This Row],[h1]],8))</f>
        <v>0</v>
      </c>
      <c r="Q214" s="47" t="s">
        <v>97</v>
      </c>
      <c r="R214" s="47">
        <f>HEX2DEC(RIGHT(Table1323214[[#This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7">
        <v>0</v>
      </c>
      <c r="J215" s="24">
        <v>50000</v>
      </c>
      <c r="M215" s="24">
        <v>50000</v>
      </c>
      <c r="O215" s="47" t="s">
        <v>97</v>
      </c>
      <c r="P215" s="47">
        <f>HEX2DEC(RIGHT(Table1323214[[#This Row],[h1]],8))</f>
        <v>0</v>
      </c>
      <c r="Q215" s="47" t="s">
        <v>97</v>
      </c>
      <c r="R215" s="47">
        <f>HEX2DEC(RIGHT(Table1323214[[#This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7">
        <v>0</v>
      </c>
      <c r="J216" s="24">
        <v>50000</v>
      </c>
      <c r="M216" s="24">
        <v>50000</v>
      </c>
      <c r="O216" s="47" t="s">
        <v>97</v>
      </c>
      <c r="P216" s="47">
        <f>HEX2DEC(RIGHT(Table1323214[[#This Row],[h1]],8))</f>
        <v>0</v>
      </c>
      <c r="Q216" s="47" t="s">
        <v>97</v>
      </c>
      <c r="R216" s="47">
        <f>HEX2DEC(RIGHT(Table1323214[[#This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7">
        <v>0</v>
      </c>
      <c r="J217" s="24">
        <v>50000</v>
      </c>
      <c r="M217" s="24">
        <v>50000</v>
      </c>
      <c r="O217" s="47" t="s">
        <v>97</v>
      </c>
      <c r="P217" s="47">
        <f>HEX2DEC(RIGHT(Table1323214[[#This Row],[h1]],8))</f>
        <v>0</v>
      </c>
      <c r="Q217" s="47" t="s">
        <v>97</v>
      </c>
      <c r="R217" s="47">
        <f>HEX2DEC(RIGHT(Table1323214[[#This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7">
        <v>0</v>
      </c>
      <c r="J218" s="24">
        <v>50000</v>
      </c>
      <c r="M218" s="24">
        <v>50000</v>
      </c>
      <c r="O218" s="47" t="s">
        <v>97</v>
      </c>
      <c r="P218" s="47">
        <f>HEX2DEC(RIGHT(Table1323214[[#This Row],[h1]],8))</f>
        <v>0</v>
      </c>
      <c r="Q218" s="47" t="s">
        <v>97</v>
      </c>
      <c r="R218" s="47">
        <f>HEX2DEC(RIGHT(Table1323214[[#This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7">
        <v>0</v>
      </c>
      <c r="J219" s="24">
        <v>50000</v>
      </c>
      <c r="M219" s="24">
        <v>50000</v>
      </c>
      <c r="O219" s="47" t="s">
        <v>97</v>
      </c>
      <c r="P219" s="47">
        <f>HEX2DEC(RIGHT(Table1323214[[#This Row],[h1]],8))</f>
        <v>0</v>
      </c>
      <c r="Q219" s="47" t="s">
        <v>97</v>
      </c>
      <c r="R219" s="47">
        <f>HEX2DEC(RIGHT(Table1323214[[#This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7">
        <v>0</v>
      </c>
      <c r="J220" s="24">
        <v>50000</v>
      </c>
      <c r="M220" s="24">
        <v>50000</v>
      </c>
      <c r="O220" s="47" t="s">
        <v>97</v>
      </c>
      <c r="P220" s="47">
        <f>HEX2DEC(RIGHT(Table1323214[[#This Row],[h1]],8))</f>
        <v>0</v>
      </c>
      <c r="Q220" s="47" t="s">
        <v>97</v>
      </c>
      <c r="R220" s="47">
        <f>HEX2DEC(RIGHT(Table1323214[[#This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7">
        <v>0</v>
      </c>
      <c r="J221" s="24">
        <v>50000</v>
      </c>
      <c r="M221" s="24">
        <v>50000</v>
      </c>
      <c r="O221" s="47" t="s">
        <v>97</v>
      </c>
      <c r="P221" s="47">
        <f>HEX2DEC(RIGHT(Table1323214[[#This Row],[h1]],8))</f>
        <v>0</v>
      </c>
      <c r="Q221" s="47" t="s">
        <v>97</v>
      </c>
      <c r="R221" s="47">
        <f>HEX2DEC(RIGHT(Table1323214[[#This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7">
        <v>0</v>
      </c>
      <c r="J222" s="24">
        <v>50000</v>
      </c>
      <c r="M222" s="24">
        <v>50000</v>
      </c>
      <c r="O222" s="47" t="s">
        <v>97</v>
      </c>
      <c r="P222" s="47">
        <f>HEX2DEC(RIGHT(Table1323214[[#This Row],[h1]],8))</f>
        <v>0</v>
      </c>
      <c r="Q222" s="47" t="s">
        <v>97</v>
      </c>
      <c r="R222" s="47">
        <f>HEX2DEC(RIGHT(Table1323214[[#This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7">
        <v>0</v>
      </c>
      <c r="J223" s="24">
        <v>50000</v>
      </c>
      <c r="M223" s="24">
        <v>50000</v>
      </c>
      <c r="O223" s="47" t="s">
        <v>97</v>
      </c>
      <c r="P223" s="47">
        <f>HEX2DEC(RIGHT(Table1323214[[#This Row],[h1]],8))</f>
        <v>0</v>
      </c>
      <c r="Q223" s="47" t="s">
        <v>97</v>
      </c>
      <c r="R223" s="47">
        <f>HEX2DEC(RIGHT(Table1323214[[#This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7">
        <v>0</v>
      </c>
      <c r="J224" s="24">
        <v>50000</v>
      </c>
      <c r="M224" s="24">
        <v>50000</v>
      </c>
      <c r="O224" s="47" t="s">
        <v>97</v>
      </c>
      <c r="P224" s="47">
        <f>HEX2DEC(RIGHT(Table1323214[[#This Row],[h1]],8))</f>
        <v>0</v>
      </c>
      <c r="Q224" s="47" t="s">
        <v>97</v>
      </c>
      <c r="R224" s="47">
        <f>HEX2DEC(RIGHT(Table1323214[[#This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7">
        <v>0</v>
      </c>
      <c r="J225" s="24">
        <v>50000</v>
      </c>
      <c r="M225" s="24">
        <v>50000</v>
      </c>
      <c r="O225" s="47" t="s">
        <v>97</v>
      </c>
      <c r="P225" s="47">
        <f>HEX2DEC(RIGHT(Table1323214[[#This Row],[h1]],8))</f>
        <v>0</v>
      </c>
      <c r="Q225" s="47" t="s">
        <v>97</v>
      </c>
      <c r="R225" s="47">
        <f>HEX2DEC(RIGHT(Table1323214[[#This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7">
        <v>0</v>
      </c>
      <c r="J226" s="24">
        <v>50000</v>
      </c>
      <c r="M226" s="24">
        <v>50000</v>
      </c>
      <c r="O226" s="47" t="s">
        <v>97</v>
      </c>
      <c r="P226" s="47">
        <f>HEX2DEC(RIGHT(Table1323214[[#This Row],[h1]],8))</f>
        <v>0</v>
      </c>
      <c r="Q226" s="47" t="s">
        <v>97</v>
      </c>
      <c r="R226" s="47">
        <f>HEX2DEC(RIGHT(Table1323214[[#This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7">
        <v>0</v>
      </c>
      <c r="J227" s="24">
        <v>50000</v>
      </c>
      <c r="M227" s="24">
        <v>50000</v>
      </c>
      <c r="O227" s="47" t="s">
        <v>97</v>
      </c>
      <c r="P227" s="47">
        <f>HEX2DEC(RIGHT(Table1323214[[#This Row],[h1]],8))</f>
        <v>0</v>
      </c>
      <c r="Q227" s="47" t="s">
        <v>97</v>
      </c>
      <c r="R227" s="47">
        <f>HEX2DEC(RIGHT(Table1323214[[#This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7">
        <v>0</v>
      </c>
      <c r="J228" s="24">
        <v>50000</v>
      </c>
      <c r="M228" s="24">
        <v>50000</v>
      </c>
      <c r="O228" s="47" t="s">
        <v>97</v>
      </c>
      <c r="P228" s="47">
        <f>HEX2DEC(RIGHT(Table1323214[[#This Row],[h1]],8))</f>
        <v>0</v>
      </c>
      <c r="Q228" s="47" t="s">
        <v>97</v>
      </c>
      <c r="R228" s="47">
        <f>HEX2DEC(RIGHT(Table1323214[[#This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7">
        <v>0</v>
      </c>
      <c r="J229" s="24">
        <v>50000</v>
      </c>
      <c r="M229" s="24">
        <v>50000</v>
      </c>
      <c r="O229" s="47" t="s">
        <v>97</v>
      </c>
      <c r="P229" s="47">
        <f>HEX2DEC(RIGHT(Table1323214[[#This Row],[h1]],8))</f>
        <v>0</v>
      </c>
      <c r="Q229" s="47" t="s">
        <v>97</v>
      </c>
      <c r="R229" s="47">
        <f>HEX2DEC(RIGHT(Table1323214[[#This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7">
        <v>0</v>
      </c>
      <c r="J230" s="24">
        <v>50000</v>
      </c>
      <c r="M230" s="24">
        <v>50000</v>
      </c>
      <c r="O230" s="47" t="s">
        <v>97</v>
      </c>
      <c r="P230" s="47">
        <f>HEX2DEC(RIGHT(Table1323214[[#This Row],[h1]],8))</f>
        <v>0</v>
      </c>
      <c r="Q230" s="47" t="s">
        <v>97</v>
      </c>
      <c r="R230" s="47">
        <f>HEX2DEC(RIGHT(Table1323214[[#This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7">
        <v>0</v>
      </c>
      <c r="J231" s="24">
        <v>50000</v>
      </c>
      <c r="M231" s="24">
        <v>50000</v>
      </c>
      <c r="O231" s="47" t="s">
        <v>97</v>
      </c>
      <c r="P231" s="47">
        <f>HEX2DEC(RIGHT(Table1323214[[#This Row],[h1]],8))</f>
        <v>0</v>
      </c>
      <c r="Q231" s="47" t="s">
        <v>97</v>
      </c>
      <c r="R231" s="47">
        <f>HEX2DEC(RIGHT(Table1323214[[#This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7">
        <v>0</v>
      </c>
      <c r="J232" s="24">
        <v>50000</v>
      </c>
      <c r="M232" s="24">
        <v>50000</v>
      </c>
      <c r="O232" s="47" t="s">
        <v>97</v>
      </c>
      <c r="P232" s="47">
        <f>HEX2DEC(RIGHT(Table1323214[[#This Row],[h1]],8))</f>
        <v>0</v>
      </c>
      <c r="Q232" s="47" t="s">
        <v>97</v>
      </c>
      <c r="R232" s="47">
        <f>HEX2DEC(RIGHT(Table1323214[[#This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7">
        <v>0</v>
      </c>
      <c r="J233" s="24">
        <v>50000</v>
      </c>
      <c r="M233" s="24">
        <v>50000</v>
      </c>
      <c r="O233" s="47" t="s">
        <v>97</v>
      </c>
      <c r="P233" s="47">
        <f>HEX2DEC(RIGHT(Table1323214[[#This Row],[h1]],8))</f>
        <v>0</v>
      </c>
      <c r="Q233" s="47" t="s">
        <v>97</v>
      </c>
      <c r="R233" s="47">
        <f>HEX2DEC(RIGHT(Table1323214[[#This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7">
        <v>0</v>
      </c>
      <c r="J234" s="24">
        <v>50000</v>
      </c>
      <c r="M234" s="24">
        <v>50000</v>
      </c>
      <c r="O234" s="47" t="s">
        <v>97</v>
      </c>
      <c r="P234" s="47">
        <f>HEX2DEC(RIGHT(Table1323214[[#This Row],[h1]],8))</f>
        <v>0</v>
      </c>
      <c r="Q234" s="47" t="s">
        <v>97</v>
      </c>
      <c r="R234" s="47">
        <f>HEX2DEC(RIGHT(Table1323214[[#This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7">
        <v>0</v>
      </c>
      <c r="J235" s="24">
        <v>50000</v>
      </c>
      <c r="M235" s="24">
        <v>50000</v>
      </c>
      <c r="O235" s="47" t="s">
        <v>97</v>
      </c>
      <c r="P235" s="47">
        <f>HEX2DEC(RIGHT(Table1323214[[#This Row],[h1]],8))</f>
        <v>0</v>
      </c>
      <c r="Q235" s="47" t="s">
        <v>97</v>
      </c>
      <c r="R235" s="47">
        <f>HEX2DEC(RIGHT(Table1323214[[#This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7">
        <v>0</v>
      </c>
      <c r="J236" s="24">
        <v>50000</v>
      </c>
      <c r="M236" s="24">
        <v>50000</v>
      </c>
      <c r="O236" s="47" t="s">
        <v>97</v>
      </c>
      <c r="P236" s="47">
        <f>HEX2DEC(RIGHT(Table1323214[[#This Row],[h1]],8))</f>
        <v>0</v>
      </c>
      <c r="Q236" s="47" t="s">
        <v>97</v>
      </c>
      <c r="R236" s="47">
        <f>HEX2DEC(RIGHT(Table1323214[[#This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7">
        <v>0</v>
      </c>
      <c r="J237" s="24">
        <v>50000</v>
      </c>
      <c r="M237" s="24">
        <v>50000</v>
      </c>
      <c r="O237" s="47" t="s">
        <v>97</v>
      </c>
      <c r="P237" s="47">
        <f>HEX2DEC(RIGHT(Table1323214[[#This Row],[h1]],8))</f>
        <v>0</v>
      </c>
      <c r="Q237" s="47" t="s">
        <v>97</v>
      </c>
      <c r="R237" s="47">
        <f>HEX2DEC(RIGHT(Table1323214[[#This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7">
        <v>0</v>
      </c>
      <c r="J238" s="24">
        <v>50000</v>
      </c>
      <c r="M238" s="24">
        <v>50000</v>
      </c>
      <c r="O238" s="47" t="s">
        <v>97</v>
      </c>
      <c r="P238" s="47">
        <f>HEX2DEC(RIGHT(Table1323214[[#This Row],[h1]],8))</f>
        <v>0</v>
      </c>
      <c r="Q238" s="47" t="s">
        <v>97</v>
      </c>
      <c r="R238" s="47">
        <f>HEX2DEC(RIGHT(Table1323214[[#This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7" t="s">
        <v>97</v>
      </c>
      <c r="P239" s="47">
        <f>HEX2DEC(RIGHT(Table1323214[[#This Row],[h1]],8))</f>
        <v>0</v>
      </c>
      <c r="Q239" s="47" t="s">
        <v>97</v>
      </c>
      <c r="R239" s="47">
        <f>HEX2DEC(RIGHT(Table1323214[[#This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7" t="s">
        <v>97</v>
      </c>
      <c r="P240" s="47">
        <f>HEX2DEC(RIGHT(Table1323214[[#This Row],[h1]],8))</f>
        <v>0</v>
      </c>
      <c r="Q240" s="47" t="s">
        <v>97</v>
      </c>
      <c r="R240" s="47">
        <f>HEX2DEC(RIGHT(Table1323214[[#This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7" t="s">
        <v>97</v>
      </c>
      <c r="P241" s="47">
        <f>HEX2DEC(RIGHT(Table1323214[[#This Row],[h1]],8))</f>
        <v>0</v>
      </c>
      <c r="Q241" s="47" t="s">
        <v>97</v>
      </c>
      <c r="R241" s="47">
        <f>HEX2DEC(RIGHT(Table1323214[[#This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7" t="s">
        <v>97</v>
      </c>
      <c r="P242" s="47">
        <f>HEX2DEC(RIGHT(Table1323214[[#This Row],[h1]],8))</f>
        <v>0</v>
      </c>
      <c r="Q242" s="47" t="s">
        <v>97</v>
      </c>
      <c r="R242" s="47">
        <f>HEX2DEC(RIGHT(Table1323214[[#This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7" t="s">
        <v>97</v>
      </c>
      <c r="P243" s="47">
        <f>HEX2DEC(RIGHT(Table1323214[[#This Row],[h1]],8))</f>
        <v>0</v>
      </c>
      <c r="Q243" s="47" t="s">
        <v>97</v>
      </c>
      <c r="R243" s="47">
        <f>HEX2DEC(RIGHT(Table1323214[[#This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7" t="s">
        <v>97</v>
      </c>
      <c r="P244" s="47">
        <f>HEX2DEC(RIGHT(Table1323214[[#This Row],[h1]],8))</f>
        <v>0</v>
      </c>
      <c r="Q244" s="47" t="s">
        <v>97</v>
      </c>
      <c r="R244" s="47">
        <f>HEX2DEC(RIGHT(Table1323214[[#This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7" t="s">
        <v>97</v>
      </c>
      <c r="P245" s="47">
        <f>HEX2DEC(RIGHT(Table1323214[[#This Row],[h1]],8))</f>
        <v>0</v>
      </c>
      <c r="Q245" s="47" t="s">
        <v>97</v>
      </c>
      <c r="R245" s="47">
        <f>HEX2DEC(RIGHT(Table1323214[[#This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7" t="s">
        <v>97</v>
      </c>
      <c r="P246" s="47">
        <f>HEX2DEC(RIGHT(Table1323214[[#This Row],[h1]],8))</f>
        <v>0</v>
      </c>
      <c r="Q246" s="47" t="s">
        <v>97</v>
      </c>
      <c r="R246" s="47">
        <f>HEX2DEC(RIGHT(Table1323214[[#This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7" t="s">
        <v>97</v>
      </c>
      <c r="P247" s="47">
        <f>HEX2DEC(RIGHT(Table1323214[[#This Row],[h1]],8))</f>
        <v>0</v>
      </c>
      <c r="Q247" s="47" t="s">
        <v>97</v>
      </c>
      <c r="R247" s="47">
        <f>HEX2DEC(RIGHT(Table1323214[[#This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7" t="s">
        <v>97</v>
      </c>
      <c r="P248" s="47">
        <f>HEX2DEC(RIGHT(Table1323214[[#This Row],[h1]],8))</f>
        <v>0</v>
      </c>
      <c r="Q248" s="47" t="s">
        <v>97</v>
      </c>
      <c r="R248" s="47">
        <f>HEX2DEC(RIGHT(Table1323214[[#This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7" t="s">
        <v>97</v>
      </c>
      <c r="P249" s="47">
        <f>HEX2DEC(RIGHT(Table1323214[[#This Row],[h1]],8))</f>
        <v>0</v>
      </c>
      <c r="Q249" s="47" t="s">
        <v>97</v>
      </c>
      <c r="R249" s="47">
        <f>HEX2DEC(RIGHT(Table1323214[[#This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7" t="s">
        <v>97</v>
      </c>
      <c r="P250" s="47">
        <f>HEX2DEC(RIGHT(Table1323214[[#This Row],[h1]],8))</f>
        <v>0</v>
      </c>
      <c r="Q250" s="47" t="s">
        <v>97</v>
      </c>
      <c r="R250" s="47">
        <f>HEX2DEC(RIGHT(Table1323214[[#This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7" t="s">
        <v>97</v>
      </c>
      <c r="P251" s="47">
        <f>HEX2DEC(RIGHT(Table1323214[[#This Row],[h1]],8))</f>
        <v>0</v>
      </c>
      <c r="Q251" s="47" t="s">
        <v>97</v>
      </c>
      <c r="R251" s="47">
        <f>HEX2DEC(RIGHT(Table1323214[[#This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IF(Table13192[[#This Row],[dec val]]="",0,1)</f>
        <v>0</v>
      </c>
      <c r="J252" s="24">
        <v>50000</v>
      </c>
      <c r="M252" s="24">
        <v>50000</v>
      </c>
      <c r="O252" s="47" t="s">
        <v>97</v>
      </c>
      <c r="P252" s="47">
        <f>HEX2DEC(RIGHT(Table1323214[[#This Row],[h1]],8))</f>
        <v>0</v>
      </c>
      <c r="Q252" s="47" t="s">
        <v>97</v>
      </c>
      <c r="R252" s="47">
        <f>HEX2DEC(RIGHT(Table1323214[[#This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IF(Table13192[[#This Row],[dec val]]="",0,1)</f>
        <v>0</v>
      </c>
      <c r="J253" s="24">
        <v>50000</v>
      </c>
      <c r="M253" s="24">
        <v>50000</v>
      </c>
      <c r="O253" s="47" t="s">
        <v>97</v>
      </c>
      <c r="P253" s="47">
        <f>HEX2DEC(RIGHT(Table1323214[[#This Row],[h1]],8))</f>
        <v>0</v>
      </c>
      <c r="Q253" s="47" t="s">
        <v>97</v>
      </c>
      <c r="R253" s="47">
        <f>HEX2DEC(RIGHT(Table1323214[[#This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IF(Table13192[[#This Row],[dec val]]="",0,1)</f>
        <v>0</v>
      </c>
      <c r="J254" s="24">
        <v>50000</v>
      </c>
      <c r="M254" s="24">
        <v>50000</v>
      </c>
      <c r="O254" s="47" t="s">
        <v>97</v>
      </c>
      <c r="P254" s="47">
        <f>HEX2DEC(RIGHT(Table1323214[[#This Row],[h1]],8))</f>
        <v>0</v>
      </c>
      <c r="Q254" s="47" t="s">
        <v>97</v>
      </c>
      <c r="R254" s="47">
        <f>HEX2DEC(RIGHT(Table1323214[[#This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IF(Table13192[[#This Row],[dec val]]="",0,1)</f>
        <v>0</v>
      </c>
      <c r="J255" s="24">
        <v>50000</v>
      </c>
      <c r="M255" s="24">
        <v>50000</v>
      </c>
      <c r="O255" s="47" t="s">
        <v>97</v>
      </c>
      <c r="P255" s="47">
        <f>HEX2DEC(RIGHT(Table1323214[[#This Row],[h1]],8))</f>
        <v>0</v>
      </c>
      <c r="Q255" s="47" t="s">
        <v>97</v>
      </c>
      <c r="R255" s="47">
        <f>HEX2DEC(RIGHT(Table1323214[[#This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IF(Table13192[[#This Row],[dec val]]="",0,1)</f>
        <v>0</v>
      </c>
      <c r="J256" s="24">
        <v>50000</v>
      </c>
      <c r="M256" s="24">
        <v>50000</v>
      </c>
      <c r="O256" s="47" t="s">
        <v>97</v>
      </c>
      <c r="P256" s="47">
        <f>HEX2DEC(RIGHT(Table1323214[[#This Row],[h1]],8))</f>
        <v>0</v>
      </c>
      <c r="Q256" s="47" t="s">
        <v>97</v>
      </c>
      <c r="R256" s="47">
        <f>HEX2DEC(RIGHT(Table1323214[[#This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IF(Table13192[[#This Row],[dec val]]="",0,1)</f>
        <v>0</v>
      </c>
      <c r="J257" s="24">
        <v>50000</v>
      </c>
      <c r="M257" s="24">
        <v>50000</v>
      </c>
      <c r="O257" s="47" t="s">
        <v>97</v>
      </c>
      <c r="P257" s="47">
        <f>HEX2DEC(RIGHT(Table1323214[[#This Row],[h1]],8))</f>
        <v>0</v>
      </c>
      <c r="Q257" s="47" t="s">
        <v>97</v>
      </c>
      <c r="R257" s="47">
        <f>HEX2DEC(RIGHT(Table1323214[[#This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IF(Table13192[[#This Row],[dec val]]="",0,1)</f>
        <v>0</v>
      </c>
      <c r="J258" s="24">
        <v>50000</v>
      </c>
      <c r="M258" s="24">
        <v>50000</v>
      </c>
      <c r="O258" s="47" t="s">
        <v>97</v>
      </c>
      <c r="P258" s="47">
        <f>HEX2DEC(RIGHT(Table1323214[[#This Row],[h1]],8))</f>
        <v>0</v>
      </c>
      <c r="Q258" s="47" t="s">
        <v>97</v>
      </c>
      <c r="R258" s="47">
        <f>HEX2DEC(RIGHT(Table1323214[[#This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IF(Table13192[[#This Row],[dec val]]="",0,1)</f>
        <v>0</v>
      </c>
      <c r="J259" s="24">
        <v>50000</v>
      </c>
      <c r="M259" s="24">
        <v>50000</v>
      </c>
      <c r="O259" s="47" t="s">
        <v>97</v>
      </c>
      <c r="P259" s="47">
        <f>HEX2DEC(RIGHT(Table1323214[[#This Row],[h1]],8))</f>
        <v>0</v>
      </c>
      <c r="Q259" s="47" t="s">
        <v>97</v>
      </c>
      <c r="R259" s="47">
        <f>HEX2DEC(RIGHT(Table1323214[[#This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IF(Table13192[[#This Row],[dec val]]="",0,1)</f>
        <v>0</v>
      </c>
      <c r="J260" s="24">
        <v>50000</v>
      </c>
      <c r="M260" s="24">
        <v>50000</v>
      </c>
      <c r="O260" s="47" t="s">
        <v>97</v>
      </c>
      <c r="P260" s="47">
        <f>HEX2DEC(RIGHT(Table1323214[[#This Row],[h1]],8))</f>
        <v>0</v>
      </c>
      <c r="Q260" s="47" t="s">
        <v>97</v>
      </c>
      <c r="R260" s="47">
        <f>HEX2DEC(RIGHT(Table1323214[[#This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IF(Table13192[[#This Row],[dec val]]="",0,1)</f>
        <v>0</v>
      </c>
      <c r="J261" s="24">
        <v>50000</v>
      </c>
      <c r="M261" s="24">
        <v>50000</v>
      </c>
      <c r="O261" s="47" t="s">
        <v>97</v>
      </c>
      <c r="P261" s="47">
        <f>HEX2DEC(RIGHT(Table1323214[[#This Row],[h1]],8))</f>
        <v>0</v>
      </c>
      <c r="Q261" s="47" t="s">
        <v>97</v>
      </c>
      <c r="R261" s="47">
        <f>HEX2DEC(RIGHT(Table1323214[[#This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IF(Table13192[[#This Row],[dec val]]="",0,1)</f>
        <v>0</v>
      </c>
      <c r="J262" s="24">
        <v>50000</v>
      </c>
      <c r="M262" s="24">
        <v>50000</v>
      </c>
      <c r="O262" s="47" t="s">
        <v>97</v>
      </c>
      <c r="P262" s="47">
        <f>HEX2DEC(RIGHT(Table1323214[[#This Row],[h1]],8))</f>
        <v>0</v>
      </c>
      <c r="Q262" s="47" t="s">
        <v>97</v>
      </c>
      <c r="R262" s="47">
        <f>HEX2DEC(RIGHT(Table1323214[[#This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IF(Table13192[[#This Row],[dec val]]="",0,1)</f>
        <v>0</v>
      </c>
      <c r="J263" s="24">
        <v>50000</v>
      </c>
      <c r="M263" s="24">
        <v>50000</v>
      </c>
      <c r="O263" s="47" t="s">
        <v>97</v>
      </c>
      <c r="P263" s="47">
        <f>HEX2DEC(RIGHT(Table1323214[[#This Row],[h1]],8))</f>
        <v>0</v>
      </c>
      <c r="Q263" s="47" t="s">
        <v>97</v>
      </c>
      <c r="R263" s="47">
        <f>HEX2DEC(RIGHT(Table1323214[[#This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IF(Table13192[[#This Row],[dec val]]="",0,1)</f>
        <v>0</v>
      </c>
      <c r="J264" s="24">
        <v>50000</v>
      </c>
      <c r="M264" s="24">
        <v>50000</v>
      </c>
      <c r="O264" s="47" t="s">
        <v>97</v>
      </c>
      <c r="P264" s="47">
        <f>HEX2DEC(RIGHT(Table1323214[[#This Row],[h1]],8))</f>
        <v>0</v>
      </c>
      <c r="Q264" s="47" t="s">
        <v>97</v>
      </c>
      <c r="R264" s="47">
        <f>HEX2DEC(RIGHT(Table1323214[[#This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IF(Table13192[[#This Row],[dec val]]="",0,1)</f>
        <v>0</v>
      </c>
      <c r="J265" s="24">
        <v>50000</v>
      </c>
      <c r="M265" s="24">
        <v>50000</v>
      </c>
      <c r="O265" s="47" t="s">
        <v>97</v>
      </c>
      <c r="P265" s="47">
        <f>HEX2DEC(RIGHT(Table1323214[[#This Row],[h1]],8))</f>
        <v>0</v>
      </c>
      <c r="Q265" s="47" t="s">
        <v>97</v>
      </c>
      <c r="R265" s="47">
        <f>HEX2DEC(RIGHT(Table1323214[[#This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IF(Table13192[[#This Row],[dec val]]="",0,1)</f>
        <v>0</v>
      </c>
      <c r="J266" s="24">
        <v>50000</v>
      </c>
      <c r="M266" s="24">
        <v>50000</v>
      </c>
      <c r="O266" s="47" t="s">
        <v>97</v>
      </c>
      <c r="P266" s="47">
        <f>HEX2DEC(RIGHT(Table1323214[[#This Row],[h1]],8))</f>
        <v>0</v>
      </c>
      <c r="Q266" s="47" t="s">
        <v>97</v>
      </c>
      <c r="R266" s="47">
        <f>HEX2DEC(RIGHT(Table1323214[[#This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IF(Table13192[[#This Row],[dec val]]="",0,1)</f>
        <v>0</v>
      </c>
      <c r="J267" s="24">
        <v>50000</v>
      </c>
      <c r="M267" s="24">
        <v>50000</v>
      </c>
      <c r="O267" s="47" t="s">
        <v>97</v>
      </c>
      <c r="P267" s="47">
        <f>HEX2DEC(RIGHT(Table1323214[[#This Row],[h1]],8))</f>
        <v>0</v>
      </c>
      <c r="Q267" s="47" t="s">
        <v>97</v>
      </c>
      <c r="R267" s="47">
        <f>HEX2DEC(RIGHT(Table1323214[[#This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IF(Table13192[[#This Row],[dec val]]="",0,1)</f>
        <v>0</v>
      </c>
      <c r="J268" s="24">
        <v>50000</v>
      </c>
      <c r="M268" s="24">
        <v>50000</v>
      </c>
      <c r="O268" s="47" t="s">
        <v>97</v>
      </c>
      <c r="P268" s="47">
        <f>HEX2DEC(RIGHT(Table1323214[[#This Row],[h1]],8))</f>
        <v>0</v>
      </c>
      <c r="Q268" s="47" t="s">
        <v>97</v>
      </c>
      <c r="R268" s="47">
        <f>HEX2DEC(RIGHT(Table1323214[[#This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IF(Table13192[[#This Row],[dec val]]="",0,1)</f>
        <v>0</v>
      </c>
      <c r="J269" s="24">
        <v>50000</v>
      </c>
      <c r="M269" s="24">
        <v>50000</v>
      </c>
      <c r="O269" s="47" t="s">
        <v>97</v>
      </c>
      <c r="P269" s="47">
        <f>HEX2DEC(RIGHT(Table1323214[[#This Row],[h1]],8))</f>
        <v>0</v>
      </c>
      <c r="Q269" s="47" t="s">
        <v>97</v>
      </c>
      <c r="R269" s="47">
        <f>HEX2DEC(RIGHT(Table1323214[[#This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IF(Table13192[[#This Row],[dec val]]="",0,1)</f>
        <v>0</v>
      </c>
      <c r="J270" s="24">
        <v>50000</v>
      </c>
      <c r="M270" s="24">
        <v>50000</v>
      </c>
      <c r="O270" s="47" t="s">
        <v>97</v>
      </c>
      <c r="P270" s="47">
        <f>HEX2DEC(RIGHT(Table1323214[[#This Row],[h1]],8))</f>
        <v>0</v>
      </c>
      <c r="Q270" s="47" t="s">
        <v>97</v>
      </c>
      <c r="R270" s="47">
        <f>HEX2DEC(RIGHT(Table1323214[[#This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IF(Table13192[[#This Row],[dec val]]="",0,1)</f>
        <v>0</v>
      </c>
      <c r="J271" s="24">
        <v>50000</v>
      </c>
      <c r="M271" s="24">
        <v>50000</v>
      </c>
      <c r="O271" s="47" t="s">
        <v>97</v>
      </c>
      <c r="P271" s="47">
        <f>HEX2DEC(RIGHT(Table1323214[[#This Row],[h1]],8))</f>
        <v>0</v>
      </c>
      <c r="Q271" s="47" t="s">
        <v>97</v>
      </c>
      <c r="R271" s="47">
        <f>HEX2DEC(RIGHT(Table1323214[[#This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IF(Table13192[[#This Row],[dec val]]="",0,1)</f>
        <v>0</v>
      </c>
      <c r="J272" s="24">
        <v>50000</v>
      </c>
      <c r="M272" s="24">
        <v>50000</v>
      </c>
      <c r="O272" s="47" t="s">
        <v>97</v>
      </c>
      <c r="P272" s="47">
        <f>HEX2DEC(RIGHT(Table1323214[[#This Row],[h1]],8))</f>
        <v>0</v>
      </c>
      <c r="Q272" s="47" t="s">
        <v>97</v>
      </c>
      <c r="R272" s="47">
        <f>HEX2DEC(RIGHT(Table1323214[[#This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IF(Table13192[[#This Row],[dec val]]="",0,1)</f>
        <v>0</v>
      </c>
      <c r="J273" s="24">
        <v>50000</v>
      </c>
      <c r="M273" s="24">
        <v>50000</v>
      </c>
      <c r="O273" s="47" t="s">
        <v>97</v>
      </c>
      <c r="P273" s="47">
        <f>HEX2DEC(RIGHT(Table1323214[[#This Row],[h1]],8))</f>
        <v>0</v>
      </c>
      <c r="Q273" s="47" t="s">
        <v>97</v>
      </c>
      <c r="R273" s="47">
        <f>HEX2DEC(RIGHT(Table1323214[[#This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IF(Table13192[[#This Row],[dec val]]="",0,1)</f>
        <v>0</v>
      </c>
      <c r="J274" s="24">
        <v>50000</v>
      </c>
      <c r="M274" s="24">
        <v>50000</v>
      </c>
      <c r="O274" s="47" t="s">
        <v>97</v>
      </c>
      <c r="P274" s="47">
        <f>HEX2DEC(RIGHT(Table1323214[[#This Row],[h1]],8))</f>
        <v>0</v>
      </c>
      <c r="Q274" s="47" t="s">
        <v>97</v>
      </c>
      <c r="R274" s="47">
        <f>HEX2DEC(RIGHT(Table1323214[[#This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IF(Table13192[[#This Row],[dec val]]="",0,1)</f>
        <v>0</v>
      </c>
      <c r="J275" s="24">
        <v>50000</v>
      </c>
      <c r="M275" s="24">
        <v>50000</v>
      </c>
      <c r="O275" s="47" t="s">
        <v>97</v>
      </c>
      <c r="P275" s="47">
        <f>HEX2DEC(RIGHT(Table1323214[[#This Row],[h1]],8))</f>
        <v>0</v>
      </c>
      <c r="Q275" s="47" t="s">
        <v>97</v>
      </c>
      <c r="R275" s="47">
        <f>HEX2DEC(RIGHT(Table1323214[[#This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IF(Table13192[[#This Row],[dec val]]="",0,1)</f>
        <v>0</v>
      </c>
      <c r="J276" s="24">
        <v>50000</v>
      </c>
      <c r="M276" s="24">
        <v>50000</v>
      </c>
      <c r="O276" s="47" t="s">
        <v>97</v>
      </c>
      <c r="P276" s="47">
        <f>HEX2DEC(RIGHT(Table1323214[[#This Row],[h1]],8))</f>
        <v>0</v>
      </c>
      <c r="Q276" s="47" t="s">
        <v>97</v>
      </c>
      <c r="R276" s="47">
        <f>HEX2DEC(RIGHT(Table1323214[[#This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IF(Table13192[[#This Row],[dec val]]="",0,1)</f>
        <v>0</v>
      </c>
      <c r="J277" s="24">
        <v>50000</v>
      </c>
      <c r="M277" s="24">
        <v>50000</v>
      </c>
      <c r="O277" s="47" t="s">
        <v>97</v>
      </c>
      <c r="P277" s="47">
        <f>HEX2DEC(RIGHT(Table1323214[[#This Row],[h1]],8))</f>
        <v>0</v>
      </c>
      <c r="Q277" s="47" t="s">
        <v>97</v>
      </c>
      <c r="R277" s="47">
        <f>HEX2DEC(RIGHT(Table1323214[[#This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IF(Table13192[[#This Row],[dec val]]="",0,1)</f>
        <v>0</v>
      </c>
      <c r="J278" s="24">
        <v>50000</v>
      </c>
      <c r="M278" s="24">
        <v>50000</v>
      </c>
      <c r="O278" s="47" t="s">
        <v>97</v>
      </c>
      <c r="P278" s="47">
        <f>HEX2DEC(RIGHT(Table1323214[[#This Row],[h1]],8))</f>
        <v>0</v>
      </c>
      <c r="Q278" s="47" t="s">
        <v>97</v>
      </c>
      <c r="R278" s="47">
        <f>HEX2DEC(RIGHT(Table1323214[[#This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IF(Table13192[[#This Row],[dec val]]="",0,1)</f>
        <v>0</v>
      </c>
      <c r="J279" s="24">
        <v>50000</v>
      </c>
      <c r="M279" s="24">
        <v>50000</v>
      </c>
      <c r="O279" s="47" t="s">
        <v>97</v>
      </c>
      <c r="P279" s="47">
        <f>HEX2DEC(RIGHT(Table1323214[[#This Row],[h1]],8))</f>
        <v>0</v>
      </c>
      <c r="Q279" s="47" t="s">
        <v>97</v>
      </c>
      <c r="R279" s="47">
        <f>HEX2DEC(RIGHT(Table1323214[[#This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IF(Table13192[[#This Row],[dec val]]="",0,1)</f>
        <v>0</v>
      </c>
      <c r="J280" s="24">
        <v>50000</v>
      </c>
      <c r="M280" s="24">
        <v>50000</v>
      </c>
      <c r="O280" s="47" t="s">
        <v>97</v>
      </c>
      <c r="P280" s="47">
        <f>HEX2DEC(RIGHT(Table1323214[[#This Row],[h1]],8))</f>
        <v>0</v>
      </c>
      <c r="Q280" s="47" t="s">
        <v>97</v>
      </c>
      <c r="R280" s="47">
        <f>HEX2DEC(RIGHT(Table1323214[[#This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IF(Table13192[[#This Row],[dec val]]="",0,1)</f>
        <v>0</v>
      </c>
      <c r="J281" s="24">
        <v>50000</v>
      </c>
      <c r="M281" s="24">
        <v>50000</v>
      </c>
      <c r="O281" s="47" t="s">
        <v>97</v>
      </c>
      <c r="P281" s="47">
        <f>HEX2DEC(RIGHT(Table1323214[[#This Row],[h1]],8))</f>
        <v>0</v>
      </c>
      <c r="Q281" s="47" t="s">
        <v>97</v>
      </c>
      <c r="R281" s="47">
        <f>HEX2DEC(RIGHT(Table1323214[[#This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IF(Table13192[[#This Row],[dec val]]="",0,1)</f>
        <v>0</v>
      </c>
      <c r="J282" s="24">
        <v>50000</v>
      </c>
      <c r="M282" s="24">
        <v>50000</v>
      </c>
      <c r="O282" s="47" t="s">
        <v>97</v>
      </c>
      <c r="P282" s="47">
        <f>HEX2DEC(RIGHT(Table1323214[[#This Row],[h1]],8))</f>
        <v>0</v>
      </c>
      <c r="Q282" s="47" t="s">
        <v>97</v>
      </c>
      <c r="R282" s="47">
        <f>HEX2DEC(RIGHT(Table1323214[[#This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7" t="s">
        <v>97</v>
      </c>
      <c r="P283" s="47">
        <f>HEX2DEC(RIGHT(Table1323214[[#This Row],[h1]],8))</f>
        <v>0</v>
      </c>
      <c r="Q283" s="47" t="s">
        <v>97</v>
      </c>
      <c r="R283" s="47">
        <f>HEX2DEC(RIGHT(Table1323214[[#This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IF(Table13192[[#This Row],[dec val]]="",0,1)</f>
        <v>0</v>
      </c>
      <c r="J284" s="24">
        <v>50000</v>
      </c>
      <c r="M284" s="24">
        <v>50000</v>
      </c>
      <c r="O284" s="47" t="s">
        <v>97</v>
      </c>
      <c r="P284" s="47">
        <f>HEX2DEC(RIGHT(Table1323214[[#This Row],[h1]],8))</f>
        <v>0</v>
      </c>
      <c r="Q284" s="47" t="s">
        <v>97</v>
      </c>
      <c r="R284" s="47">
        <f>HEX2DEC(RIGHT(Table1323214[[#This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IF(Table13192[[#This Row],[dec val]]="",0,1)</f>
        <v>0</v>
      </c>
      <c r="J285" s="24">
        <v>50000</v>
      </c>
      <c r="M285" s="24">
        <v>50000</v>
      </c>
      <c r="O285" s="47" t="s">
        <v>97</v>
      </c>
      <c r="P285" s="47">
        <f>HEX2DEC(RIGHT(Table1323214[[#This Row],[h1]],8))</f>
        <v>0</v>
      </c>
      <c r="Q285" s="47" t="s">
        <v>97</v>
      </c>
      <c r="R285" s="47">
        <f>HEX2DEC(RIGHT(Table1323214[[#This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IF(Table13192[[#This Row],[dec val]]="",0,1)</f>
        <v>0</v>
      </c>
      <c r="J286" s="24">
        <v>50000</v>
      </c>
      <c r="M286" s="24">
        <v>50000</v>
      </c>
      <c r="O286" s="47" t="s">
        <v>97</v>
      </c>
      <c r="P286" s="47">
        <f>HEX2DEC(RIGHT(Table1323214[[#This Row],[h1]],8))</f>
        <v>0</v>
      </c>
      <c r="Q286" s="47" t="s">
        <v>97</v>
      </c>
      <c r="R286" s="47">
        <f>HEX2DEC(RIGHT(Table1323214[[#This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IF(Table13192[[#This Row],[dec val]]="",0,1)</f>
        <v>0</v>
      </c>
      <c r="J287" s="24">
        <v>50000</v>
      </c>
      <c r="M287" s="24">
        <v>50000</v>
      </c>
      <c r="O287" s="47" t="s">
        <v>97</v>
      </c>
      <c r="P287" s="47">
        <f>HEX2DEC(RIGHT(Table1323214[[#This Row],[h1]],8))</f>
        <v>0</v>
      </c>
      <c r="Q287" s="47" t="s">
        <v>97</v>
      </c>
      <c r="R287" s="47">
        <f>HEX2DEC(RIGHT(Table1323214[[#This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IF(Table13192[[#This Row],[dec val]]="",0,1)</f>
        <v>0</v>
      </c>
      <c r="J288" s="24">
        <v>50000</v>
      </c>
      <c r="M288" s="24">
        <v>50000</v>
      </c>
      <c r="O288" s="47" t="s">
        <v>97</v>
      </c>
      <c r="P288" s="47">
        <f>HEX2DEC(RIGHT(Table1323214[[#This Row],[h1]],8))</f>
        <v>0</v>
      </c>
      <c r="Q288" s="47" t="s">
        <v>97</v>
      </c>
      <c r="R288" s="47">
        <f>HEX2DEC(RIGHT(Table1323214[[#This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IF(Table13192[[#This Row],[dec val]]="",0,1)</f>
        <v>0</v>
      </c>
      <c r="J289" s="24">
        <v>50000</v>
      </c>
      <c r="M289" s="24">
        <v>50000</v>
      </c>
      <c r="O289" s="47" t="s">
        <v>97</v>
      </c>
      <c r="P289" s="47">
        <f>HEX2DEC(RIGHT(Table1323214[[#This Row],[h1]],8))</f>
        <v>0</v>
      </c>
      <c r="Q289" s="47" t="s">
        <v>97</v>
      </c>
      <c r="R289" s="47">
        <f>HEX2DEC(RIGHT(Table1323214[[#This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IF(Table13192[[#This Row],[dec val]]="",0,1)</f>
        <v>0</v>
      </c>
      <c r="J290" s="24">
        <v>50000</v>
      </c>
      <c r="M290" s="24">
        <v>50000</v>
      </c>
      <c r="O290" s="47" t="s">
        <v>97</v>
      </c>
      <c r="P290" s="47">
        <f>HEX2DEC(RIGHT(Table1323214[[#This Row],[h1]],8))</f>
        <v>0</v>
      </c>
      <c r="Q290" s="47" t="s">
        <v>97</v>
      </c>
      <c r="R290" s="47">
        <f>HEX2DEC(RIGHT(Table1323214[[#This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IF(Table13192[[#This Row],[dec val]]="",0,1)</f>
        <v>0</v>
      </c>
      <c r="J291" s="24">
        <v>50000</v>
      </c>
      <c r="M291" s="24">
        <v>50000</v>
      </c>
      <c r="O291" s="47" t="s">
        <v>97</v>
      </c>
      <c r="P291" s="47">
        <f>HEX2DEC(RIGHT(Table1323214[[#This Row],[h1]],8))</f>
        <v>0</v>
      </c>
      <c r="Q291" s="47" t="s">
        <v>97</v>
      </c>
      <c r="R291" s="47">
        <f>HEX2DEC(RIGHT(Table1323214[[#This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IF(Table13192[[#This Row],[dec val]]="",0,1)</f>
        <v>0</v>
      </c>
      <c r="J292" s="24">
        <v>50000</v>
      </c>
      <c r="M292" s="24">
        <v>50000</v>
      </c>
      <c r="O292" s="47" t="s">
        <v>97</v>
      </c>
      <c r="P292" s="47">
        <f>HEX2DEC(RIGHT(Table1323214[[#This Row],[h1]],8))</f>
        <v>0</v>
      </c>
      <c r="Q292" s="47" t="s">
        <v>97</v>
      </c>
      <c r="R292" s="47">
        <f>HEX2DEC(RIGHT(Table1323214[[#This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IF(Table13192[[#This Row],[dec val]]="",0,1)</f>
        <v>0</v>
      </c>
      <c r="J293" s="24">
        <v>50000</v>
      </c>
      <c r="M293" s="24">
        <v>50000</v>
      </c>
      <c r="O293" s="47" t="s">
        <v>97</v>
      </c>
      <c r="P293" s="47">
        <f>HEX2DEC(RIGHT(Table1323214[[#This Row],[h1]],8))</f>
        <v>0</v>
      </c>
      <c r="Q293" s="47" t="s">
        <v>97</v>
      </c>
      <c r="R293" s="47">
        <f>HEX2DEC(RIGHT(Table1323214[[#This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IF(Table13192[[#This Row],[dec val]]="",0,1)</f>
        <v>0</v>
      </c>
      <c r="J294" s="24">
        <v>50000</v>
      </c>
      <c r="M294" s="24">
        <v>50000</v>
      </c>
      <c r="O294" s="47" t="s">
        <v>97</v>
      </c>
      <c r="P294" s="47">
        <f>HEX2DEC(RIGHT(Table1323214[[#This Row],[h1]],8))</f>
        <v>0</v>
      </c>
      <c r="Q294" s="47" t="s">
        <v>97</v>
      </c>
      <c r="R294" s="47">
        <f>HEX2DEC(RIGHT(Table1323214[[#This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IF(Table13192[[#This Row],[dec val]]="",0,1)</f>
        <v>0</v>
      </c>
      <c r="J295" s="24">
        <v>50000</v>
      </c>
      <c r="M295" s="24">
        <v>50000</v>
      </c>
      <c r="O295" s="47" t="s">
        <v>97</v>
      </c>
      <c r="P295" s="47">
        <f>HEX2DEC(RIGHT(Table1323214[[#This Row],[h1]],8))</f>
        <v>0</v>
      </c>
      <c r="Q295" s="47" t="s">
        <v>97</v>
      </c>
      <c r="R295" s="47">
        <f>HEX2DEC(RIGHT(Table1323214[[#This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IF(Table13192[[#This Row],[dec val]]="",0,1)</f>
        <v>0</v>
      </c>
      <c r="J296" s="24">
        <v>50000</v>
      </c>
      <c r="M296" s="24">
        <v>50000</v>
      </c>
      <c r="O296" s="47" t="s">
        <v>97</v>
      </c>
      <c r="P296" s="47">
        <f>HEX2DEC(RIGHT(Table1323214[[#This Row],[h1]],8))</f>
        <v>0</v>
      </c>
      <c r="Q296" s="47" t="s">
        <v>97</v>
      </c>
      <c r="R296" s="47">
        <f>HEX2DEC(RIGHT(Table1323214[[#This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IF(Table13192[[#This Row],[dec val]]="",0,1)</f>
        <v>0</v>
      </c>
      <c r="J297" s="24">
        <v>50000</v>
      </c>
      <c r="M297" s="24">
        <v>50000</v>
      </c>
      <c r="O297" s="47" t="s">
        <v>97</v>
      </c>
      <c r="P297" s="47">
        <f>HEX2DEC(RIGHT(Table1323214[[#This Row],[h1]],8))</f>
        <v>0</v>
      </c>
      <c r="Q297" s="47" t="s">
        <v>97</v>
      </c>
      <c r="R297" s="47">
        <f>HEX2DEC(RIGHT(Table1323214[[#This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IF(Table13192[[#This Row],[dec val]]="",0,1)</f>
        <v>0</v>
      </c>
      <c r="J298" s="24">
        <v>50000</v>
      </c>
      <c r="M298" s="24">
        <v>50000</v>
      </c>
      <c r="O298" s="47" t="s">
        <v>97</v>
      </c>
      <c r="P298" s="47">
        <f>HEX2DEC(RIGHT(Table1323214[[#This Row],[h1]],8))</f>
        <v>0</v>
      </c>
      <c r="Q298" s="47" t="s">
        <v>97</v>
      </c>
      <c r="R298" s="47">
        <f>HEX2DEC(RIGHT(Table1323214[[#This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IF(Table13192[[#This Row],[dec val]]="",0,1)</f>
        <v>0</v>
      </c>
      <c r="J299" s="24">
        <v>50000</v>
      </c>
      <c r="M299" s="24">
        <v>50000</v>
      </c>
      <c r="O299" s="47" t="s">
        <v>97</v>
      </c>
      <c r="P299" s="47">
        <f>HEX2DEC(RIGHT(Table1323214[[#This Row],[h1]],8))</f>
        <v>0</v>
      </c>
      <c r="Q299" s="47" t="s">
        <v>97</v>
      </c>
      <c r="R299" s="47">
        <f>HEX2DEC(RIGHT(Table1323214[[#This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IF(Table13192[[#This Row],[dec val]]="",0,1)</f>
        <v>0</v>
      </c>
      <c r="J300" s="24">
        <v>50000</v>
      </c>
      <c r="M300" s="24">
        <v>50000</v>
      </c>
      <c r="O300" s="47" t="s">
        <v>97</v>
      </c>
      <c r="P300" s="47">
        <f>HEX2DEC(RIGHT(Table1323214[[#This Row],[h1]],8))</f>
        <v>0</v>
      </c>
      <c r="Q300" s="47" t="s">
        <v>97</v>
      </c>
      <c r="R300" s="47">
        <f>HEX2DEC(RIGHT(Table1323214[[#This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IF(Table13192[[#This Row],[dec val]]="",0,1)</f>
        <v>0</v>
      </c>
      <c r="J301" s="24">
        <v>50000</v>
      </c>
      <c r="M301" s="24">
        <v>50000</v>
      </c>
      <c r="O301" s="47" t="s">
        <v>97</v>
      </c>
      <c r="P301" s="47">
        <f>HEX2DEC(RIGHT(Table1323214[[#This Row],[h1]],8))</f>
        <v>0</v>
      </c>
      <c r="Q301" s="47" t="s">
        <v>97</v>
      </c>
      <c r="R301" s="47">
        <f>HEX2DEC(RIGHT(Table1323214[[#This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IF(Table13192[[#This Row],[dec val]]="",0,1)</f>
        <v>0</v>
      </c>
      <c r="J302" s="24">
        <v>50000</v>
      </c>
      <c r="M302" s="24">
        <v>50000</v>
      </c>
      <c r="O302" s="47" t="s">
        <v>97</v>
      </c>
      <c r="P302" s="47">
        <f>HEX2DEC(RIGHT(Table1323214[[#This Row],[h1]],8))</f>
        <v>0</v>
      </c>
      <c r="Q302" s="47" t="s">
        <v>97</v>
      </c>
      <c r="R302" s="47">
        <f>HEX2DEC(RIGHT(Table1323214[[#This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IF(Table13192[[#This Row],[dec val]]="",0,1)</f>
        <v>0</v>
      </c>
      <c r="J303" s="24">
        <v>50000</v>
      </c>
      <c r="M303" s="24">
        <v>50000</v>
      </c>
      <c r="O303" s="47" t="s">
        <v>97</v>
      </c>
      <c r="P303" s="47">
        <f>HEX2DEC(RIGHT(Table1323214[[#This Row],[h1]],8))</f>
        <v>0</v>
      </c>
      <c r="Q303" s="47" t="s">
        <v>97</v>
      </c>
      <c r="R303" s="47">
        <f>HEX2DEC(RIGHT(Table1323214[[#This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IF(Table13192[[#This Row],[dec val]]="",0,1)</f>
        <v>0</v>
      </c>
      <c r="J304" s="24">
        <v>50000</v>
      </c>
      <c r="M304" s="24">
        <v>50000</v>
      </c>
      <c r="O304" s="47" t="s">
        <v>97</v>
      </c>
      <c r="P304" s="47">
        <f>HEX2DEC(RIGHT(Table1323214[[#This Row],[h1]],8))</f>
        <v>0</v>
      </c>
      <c r="Q304" s="47" t="s">
        <v>97</v>
      </c>
      <c r="R304" s="47">
        <f>HEX2DEC(RIGHT(Table1323214[[#This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IF(Table13192[[#This Row],[dec val]]="",0,1)</f>
        <v>0</v>
      </c>
      <c r="J305" s="24">
        <v>50000</v>
      </c>
      <c r="M305" s="24">
        <v>50000</v>
      </c>
      <c r="O305" s="47" t="s">
        <v>97</v>
      </c>
      <c r="P305" s="47">
        <f>HEX2DEC(RIGHT(Table1323214[[#This Row],[h1]],8))</f>
        <v>0</v>
      </c>
      <c r="Q305" s="47" t="s">
        <v>97</v>
      </c>
      <c r="R305" s="47">
        <f>HEX2DEC(RIGHT(Table1323214[[#This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IF(Table13192[[#This Row],[dec val]]="",0,1)</f>
        <v>0</v>
      </c>
      <c r="J306" s="24">
        <v>50000</v>
      </c>
      <c r="M306" s="24">
        <v>50000</v>
      </c>
      <c r="O306" s="47" t="s">
        <v>97</v>
      </c>
      <c r="P306" s="47">
        <f>HEX2DEC(RIGHT(Table1323214[[#This Row],[h1]],8))</f>
        <v>0</v>
      </c>
      <c r="Q306" s="47" t="s">
        <v>97</v>
      </c>
      <c r="R306" s="47">
        <f>HEX2DEC(RIGHT(Table1323214[[#This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IF(Table13192[[#This Row],[dec val]]="",0,1)</f>
        <v>0</v>
      </c>
      <c r="J307" s="24">
        <v>50000</v>
      </c>
      <c r="M307" s="24">
        <v>50000</v>
      </c>
      <c r="O307" s="47" t="s">
        <v>97</v>
      </c>
      <c r="P307" s="47">
        <f>HEX2DEC(RIGHT(Table1323214[[#This Row],[h1]],8))</f>
        <v>0</v>
      </c>
      <c r="Q307" s="47" t="s">
        <v>97</v>
      </c>
      <c r="R307" s="47">
        <f>HEX2DEC(RIGHT(Table1323214[[#This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IF(Table13192[[#This Row],[dec val]]="",0,1)</f>
        <v>0</v>
      </c>
      <c r="J308" s="24">
        <v>50000</v>
      </c>
      <c r="M308" s="24">
        <v>50000</v>
      </c>
      <c r="O308" s="47" t="s">
        <v>97</v>
      </c>
      <c r="P308" s="47">
        <f>HEX2DEC(RIGHT(Table1323214[[#This Row],[h1]],8))</f>
        <v>0</v>
      </c>
      <c r="Q308" s="47" t="s">
        <v>97</v>
      </c>
      <c r="R308" s="47">
        <f>HEX2DEC(RIGHT(Table1323214[[#This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IF(Table13192[[#This Row],[dec val]]="",0,1)</f>
        <v>0</v>
      </c>
      <c r="J309" s="24">
        <v>50000</v>
      </c>
      <c r="M309" s="24">
        <v>50000</v>
      </c>
      <c r="O309" s="47" t="s">
        <v>97</v>
      </c>
      <c r="P309" s="47">
        <f>HEX2DEC(RIGHT(Table1323214[[#This Row],[h1]],8))</f>
        <v>0</v>
      </c>
      <c r="Q309" s="47" t="s">
        <v>97</v>
      </c>
      <c r="R309" s="47">
        <f>HEX2DEC(RIGHT(Table1323214[[#This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IF(Table13192[[#This Row],[dec val]]="",0,1)</f>
        <v>0</v>
      </c>
      <c r="J310" s="24">
        <v>50000</v>
      </c>
      <c r="M310" s="24">
        <v>50000</v>
      </c>
      <c r="O310" s="47" t="s">
        <v>97</v>
      </c>
      <c r="P310" s="47">
        <f>HEX2DEC(RIGHT(Table1323214[[#This Row],[h1]],8))</f>
        <v>0</v>
      </c>
      <c r="Q310" s="47" t="s">
        <v>97</v>
      </c>
      <c r="R310" s="47">
        <f>HEX2DEC(RIGHT(Table1323214[[#This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IF(Table13192[[#This Row],[dec val]]="",0,1)</f>
        <v>0</v>
      </c>
      <c r="J311" s="24">
        <v>50000</v>
      </c>
      <c r="M311" s="24">
        <v>50000</v>
      </c>
      <c r="O311" s="47" t="s">
        <v>97</v>
      </c>
      <c r="P311" s="47">
        <f>HEX2DEC(RIGHT(Table1323214[[#This Row],[h1]],8))</f>
        <v>0</v>
      </c>
      <c r="Q311" s="47" t="s">
        <v>97</v>
      </c>
      <c r="R311" s="47">
        <f>HEX2DEC(RIGHT(Table1323214[[#This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IF(Table13192[[#This Row],[dec val]]="",0,1)</f>
        <v>0</v>
      </c>
      <c r="J312" s="24">
        <v>50000</v>
      </c>
      <c r="M312" s="24">
        <v>50000</v>
      </c>
      <c r="O312" s="47" t="s">
        <v>97</v>
      </c>
      <c r="P312" s="47">
        <f>HEX2DEC(RIGHT(Table1323214[[#This Row],[h1]],8))</f>
        <v>0</v>
      </c>
      <c r="Q312" s="47" t="s">
        <v>97</v>
      </c>
      <c r="R312" s="47">
        <f>HEX2DEC(RIGHT(Table1323214[[#This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IF(Table13192[[#This Row],[dec val]]="",0,1)</f>
        <v>0</v>
      </c>
      <c r="J313" s="24">
        <v>50000</v>
      </c>
      <c r="M313" s="24">
        <v>50000</v>
      </c>
      <c r="O313" s="47" t="s">
        <v>97</v>
      </c>
      <c r="P313" s="47">
        <f>HEX2DEC(RIGHT(Table1323214[[#This Row],[h1]],8))</f>
        <v>0</v>
      </c>
      <c r="Q313" s="47" t="s">
        <v>97</v>
      </c>
      <c r="R313" s="47">
        <f>HEX2DEC(RIGHT(Table1323214[[#This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IF(Table13192[[#This Row],[dec val]]="",0,1)</f>
        <v>0</v>
      </c>
      <c r="J314" s="24">
        <v>50000</v>
      </c>
      <c r="M314" s="24">
        <v>50000</v>
      </c>
      <c r="O314" s="47" t="s">
        <v>97</v>
      </c>
      <c r="P314" s="47">
        <f>HEX2DEC(RIGHT(Table1323214[[#This Row],[h1]],8))</f>
        <v>0</v>
      </c>
      <c r="Q314" s="47" t="s">
        <v>97</v>
      </c>
      <c r="R314" s="47">
        <f>HEX2DEC(RIGHT(Table1323214[[#This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7" t="s">
        <v>97</v>
      </c>
      <c r="P315" s="47">
        <f>HEX2DEC(RIGHT(Table1323214[[#This Row],[h1]],8))</f>
        <v>0</v>
      </c>
      <c r="Q315" s="47" t="s">
        <v>97</v>
      </c>
      <c r="R315" s="47">
        <f>HEX2DEC(RIGHT(Table1323214[[#This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IF(Table13192[[#This Row],[dec val]]="",0,1)</f>
        <v>0</v>
      </c>
      <c r="J316" s="24">
        <v>50000</v>
      </c>
      <c r="M316" s="24">
        <v>50000</v>
      </c>
      <c r="O316" s="47" t="s">
        <v>97</v>
      </c>
      <c r="P316" s="47">
        <f>HEX2DEC(RIGHT(Table1323214[[#This Row],[h1]],8))</f>
        <v>0</v>
      </c>
      <c r="Q316" s="47" t="s">
        <v>97</v>
      </c>
      <c r="R316" s="47">
        <f>HEX2DEC(RIGHT(Table1323214[[#This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IF(Table13192[[#This Row],[dec val]]="",0,1)</f>
        <v>0</v>
      </c>
      <c r="J317" s="24">
        <v>50000</v>
      </c>
      <c r="M317" s="24">
        <v>50000</v>
      </c>
      <c r="O317" s="47" t="s">
        <v>97</v>
      </c>
      <c r="P317" s="47">
        <f>HEX2DEC(RIGHT(Table1323214[[#This Row],[h1]],8))</f>
        <v>0</v>
      </c>
      <c r="Q317" s="47" t="s">
        <v>97</v>
      </c>
      <c r="R317" s="47">
        <f>HEX2DEC(RIGHT(Table1323214[[#This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IF(Table13192[[#This Row],[dec val]]="",0,1)</f>
        <v>0</v>
      </c>
      <c r="J318" s="24">
        <v>50000</v>
      </c>
      <c r="M318" s="24">
        <v>50000</v>
      </c>
      <c r="O318" s="47" t="s">
        <v>97</v>
      </c>
      <c r="P318" s="47">
        <f>HEX2DEC(RIGHT(Table1323214[[#This Row],[h1]],8))</f>
        <v>0</v>
      </c>
      <c r="Q318" s="47" t="s">
        <v>97</v>
      </c>
      <c r="R318" s="47">
        <f>HEX2DEC(RIGHT(Table1323214[[#This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IF(Table13192[[#This Row],[dec val]]="",0,1)</f>
        <v>0</v>
      </c>
      <c r="J319" s="24">
        <v>50000</v>
      </c>
      <c r="M319" s="24">
        <v>50000</v>
      </c>
      <c r="O319" s="47" t="s">
        <v>97</v>
      </c>
      <c r="P319" s="47">
        <f>HEX2DEC(RIGHT(Table1323214[[#This Row],[h1]],8))</f>
        <v>0</v>
      </c>
      <c r="Q319" s="47" t="s">
        <v>97</v>
      </c>
      <c r="R319" s="47">
        <f>HEX2DEC(RIGHT(Table1323214[[#This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IF(Table13192[[#This Row],[dec val]]="",0,1)</f>
        <v>0</v>
      </c>
      <c r="J320" s="24">
        <v>50000</v>
      </c>
      <c r="M320" s="24">
        <v>50000</v>
      </c>
      <c r="O320" s="47" t="s">
        <v>97</v>
      </c>
      <c r="P320" s="47">
        <f>HEX2DEC(RIGHT(Table1323214[[#This Row],[h1]],8))</f>
        <v>0</v>
      </c>
      <c r="Q320" s="47" t="s">
        <v>97</v>
      </c>
      <c r="R320" s="47">
        <f>HEX2DEC(RIGHT(Table1323214[[#This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IF(Table13192[[#This Row],[dec val]]="",0,1)</f>
        <v>0</v>
      </c>
      <c r="J321" s="24">
        <v>50000</v>
      </c>
      <c r="M321" s="24">
        <v>50000</v>
      </c>
      <c r="O321" s="47" t="s">
        <v>97</v>
      </c>
      <c r="P321" s="47">
        <f>HEX2DEC(RIGHT(Table1323214[[#This Row],[h1]],8))</f>
        <v>0</v>
      </c>
      <c r="Q321" s="47" t="s">
        <v>97</v>
      </c>
      <c r="R321" s="47">
        <f>HEX2DEC(RIGHT(Table1323214[[#This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IF(Table13192[[#This Row],[dec val]]="",0,1)</f>
        <v>0</v>
      </c>
      <c r="J322" s="24">
        <v>50000</v>
      </c>
      <c r="M322" s="24">
        <v>50000</v>
      </c>
      <c r="O322" s="47" t="s">
        <v>97</v>
      </c>
      <c r="P322" s="47">
        <f>HEX2DEC(RIGHT(Table1323214[[#This Row],[h1]],8))</f>
        <v>0</v>
      </c>
      <c r="Q322" s="47" t="s">
        <v>97</v>
      </c>
      <c r="R322" s="47">
        <f>HEX2DEC(RIGHT(Table1323214[[#This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IF(Table13192[[#This Row],[dec val]]="",0,1)</f>
        <v>0</v>
      </c>
      <c r="J323" s="24">
        <v>50000</v>
      </c>
      <c r="M323" s="24">
        <v>50000</v>
      </c>
      <c r="O323" s="47" t="s">
        <v>97</v>
      </c>
      <c r="P323" s="47">
        <f>HEX2DEC(RIGHT(Table1323214[[#This Row],[h1]],8))</f>
        <v>0</v>
      </c>
      <c r="Q323" s="47" t="s">
        <v>97</v>
      </c>
      <c r="R323" s="47">
        <f>HEX2DEC(RIGHT(Table1323214[[#This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IF(Table13192[[#This Row],[dec val]]="",0,1)</f>
        <v>0</v>
      </c>
      <c r="J324" s="24">
        <v>50000</v>
      </c>
      <c r="M324" s="24">
        <v>50000</v>
      </c>
      <c r="O324" s="47" t="s">
        <v>97</v>
      </c>
      <c r="P324" s="47">
        <f>HEX2DEC(RIGHT(Table1323214[[#This Row],[h1]],8))</f>
        <v>0</v>
      </c>
      <c r="Q324" s="47" t="s">
        <v>97</v>
      </c>
      <c r="R324" s="47">
        <f>HEX2DEC(RIGHT(Table1323214[[#This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IF(Table13192[[#This Row],[dec val]]="",0,1)</f>
        <v>0</v>
      </c>
      <c r="J325" s="24">
        <v>50000</v>
      </c>
      <c r="M325" s="24">
        <v>50000</v>
      </c>
      <c r="O325" s="47" t="s">
        <v>97</v>
      </c>
      <c r="P325" s="47">
        <f>HEX2DEC(RIGHT(Table1323214[[#This Row],[h1]],8))</f>
        <v>0</v>
      </c>
      <c r="Q325" s="47" t="s">
        <v>97</v>
      </c>
      <c r="R325" s="47">
        <f>HEX2DEC(RIGHT(Table1323214[[#This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IF(Table13192[[#This Row],[dec val]]="",0,1)</f>
        <v>0</v>
      </c>
      <c r="J326" s="24">
        <v>50000</v>
      </c>
      <c r="M326" s="24">
        <v>50000</v>
      </c>
      <c r="O326" s="47" t="s">
        <v>97</v>
      </c>
      <c r="P326" s="47">
        <f>HEX2DEC(RIGHT(Table1323214[[#This Row],[h1]],8))</f>
        <v>0</v>
      </c>
      <c r="Q326" s="47" t="s">
        <v>97</v>
      </c>
      <c r="R326" s="47">
        <f>HEX2DEC(RIGHT(Table1323214[[#This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IF(Table13192[[#This Row],[dec val]]="",0,1)</f>
        <v>0</v>
      </c>
      <c r="J327" s="24">
        <v>50000</v>
      </c>
      <c r="M327" s="24">
        <v>50000</v>
      </c>
      <c r="O327" s="47" t="s">
        <v>97</v>
      </c>
      <c r="P327" s="47">
        <f>HEX2DEC(RIGHT(Table1323214[[#This Row],[h1]],8))</f>
        <v>0</v>
      </c>
      <c r="Q327" s="47" t="s">
        <v>97</v>
      </c>
      <c r="R327" s="47">
        <f>HEX2DEC(RIGHT(Table1323214[[#This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IF(Table13192[[#This Row],[dec val]]="",0,1)</f>
        <v>0</v>
      </c>
      <c r="J328" s="24">
        <v>50000</v>
      </c>
      <c r="M328" s="24">
        <v>50000</v>
      </c>
      <c r="O328" s="47" t="s">
        <v>97</v>
      </c>
      <c r="P328" s="47">
        <f>HEX2DEC(RIGHT(Table1323214[[#This Row],[h1]],8))</f>
        <v>0</v>
      </c>
      <c r="Q328" s="47" t="s">
        <v>97</v>
      </c>
      <c r="R328" s="47">
        <f>HEX2DEC(RIGHT(Table1323214[[#This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IF(Table13192[[#This Row],[dec val]]="",0,1)</f>
        <v>0</v>
      </c>
      <c r="J329" s="24">
        <v>50000</v>
      </c>
      <c r="M329" s="24">
        <v>50000</v>
      </c>
      <c r="O329" s="47" t="s">
        <v>97</v>
      </c>
      <c r="P329" s="47">
        <f>HEX2DEC(RIGHT(Table1323214[[#This Row],[h1]],8))</f>
        <v>0</v>
      </c>
      <c r="Q329" s="47" t="s">
        <v>97</v>
      </c>
      <c r="R329" s="47">
        <f>HEX2DEC(RIGHT(Table1323214[[#This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IF(Table13192[[#This Row],[dec val]]="",0,1)</f>
        <v>0</v>
      </c>
      <c r="J330" s="24">
        <v>50000</v>
      </c>
      <c r="M330" s="24">
        <v>50000</v>
      </c>
      <c r="O330" s="47" t="s">
        <v>97</v>
      </c>
      <c r="P330" s="47">
        <f>HEX2DEC(RIGHT(Table1323214[[#This Row],[h1]],8))</f>
        <v>0</v>
      </c>
      <c r="Q330" s="47" t="s">
        <v>97</v>
      </c>
      <c r="R330" s="47">
        <f>HEX2DEC(RIGHT(Table1323214[[#This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IF(Table13192[[#This Row],[dec val]]="",0,1)</f>
        <v>0</v>
      </c>
      <c r="J331" s="24">
        <v>50000</v>
      </c>
      <c r="M331" s="24">
        <v>50000</v>
      </c>
      <c r="O331" s="47" t="s">
        <v>97</v>
      </c>
      <c r="P331" s="47">
        <f>HEX2DEC(RIGHT(Table1323214[[#This Row],[h1]],8))</f>
        <v>0</v>
      </c>
      <c r="Q331" s="47" t="s">
        <v>97</v>
      </c>
      <c r="R331" s="47">
        <f>HEX2DEC(RIGHT(Table1323214[[#This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IF(Table13192[[#This Row],[dec val]]="",0,1)</f>
        <v>0</v>
      </c>
      <c r="J332" s="24">
        <v>50000</v>
      </c>
      <c r="M332" s="24">
        <v>50000</v>
      </c>
      <c r="O332" s="47" t="s">
        <v>97</v>
      </c>
      <c r="P332" s="47">
        <f>HEX2DEC(RIGHT(Table1323214[[#This Row],[h1]],8))</f>
        <v>0</v>
      </c>
      <c r="Q332" s="47" t="s">
        <v>97</v>
      </c>
      <c r="R332" s="47">
        <f>HEX2DEC(RIGHT(Table1323214[[#This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IF(Table13192[[#This Row],[dec val]]="",0,1)</f>
        <v>0</v>
      </c>
      <c r="J333" s="24">
        <v>50000</v>
      </c>
      <c r="M333" s="24">
        <v>50000</v>
      </c>
      <c r="O333" s="47" t="s">
        <v>97</v>
      </c>
      <c r="P333" s="47">
        <f>HEX2DEC(RIGHT(Table1323214[[#This Row],[h1]],8))</f>
        <v>0</v>
      </c>
      <c r="Q333" s="47" t="s">
        <v>97</v>
      </c>
      <c r="R333" s="47">
        <f>HEX2DEC(RIGHT(Table1323214[[#This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IF(Table13192[[#This Row],[dec val]]="",0,1)</f>
        <v>0</v>
      </c>
      <c r="J334" s="24">
        <v>50000</v>
      </c>
      <c r="M334" s="24">
        <v>50000</v>
      </c>
      <c r="O334" s="47" t="s">
        <v>97</v>
      </c>
      <c r="P334" s="47">
        <f>HEX2DEC(RIGHT(Table1323214[[#This Row],[h1]],8))</f>
        <v>0</v>
      </c>
      <c r="Q334" s="47" t="s">
        <v>97</v>
      </c>
      <c r="R334" s="47">
        <f>HEX2DEC(RIGHT(Table1323214[[#This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IF(Table13192[[#This Row],[dec val]]="",0,1)</f>
        <v>0</v>
      </c>
      <c r="J335" s="24">
        <v>50000</v>
      </c>
      <c r="M335" s="24">
        <v>50000</v>
      </c>
      <c r="O335" s="47" t="s">
        <v>97</v>
      </c>
      <c r="P335" s="47">
        <f>HEX2DEC(RIGHT(Table1323214[[#This Row],[h1]],8))</f>
        <v>0</v>
      </c>
      <c r="Q335" s="47" t="s">
        <v>97</v>
      </c>
      <c r="R335" s="47">
        <f>HEX2DEC(RIGHT(Table1323214[[#This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IF(Table13192[[#This Row],[dec val]]="",0,1)</f>
        <v>0</v>
      </c>
      <c r="J336" s="24">
        <v>50000</v>
      </c>
      <c r="M336" s="24">
        <v>50000</v>
      </c>
      <c r="O336" s="47" t="s">
        <v>97</v>
      </c>
      <c r="P336" s="47">
        <f>HEX2DEC(RIGHT(Table1323214[[#This Row],[h1]],8))</f>
        <v>0</v>
      </c>
      <c r="Q336" s="47" t="s">
        <v>97</v>
      </c>
      <c r="R336" s="47">
        <f>HEX2DEC(RIGHT(Table1323214[[#This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IF(Table13192[[#This Row],[dec val]]="",0,1)</f>
        <v>0</v>
      </c>
      <c r="J337" s="24">
        <v>50000</v>
      </c>
      <c r="M337" s="24">
        <v>50000</v>
      </c>
      <c r="O337" s="47" t="s">
        <v>97</v>
      </c>
      <c r="P337" s="47">
        <f>HEX2DEC(RIGHT(Table1323214[[#This Row],[h1]],8))</f>
        <v>0</v>
      </c>
      <c r="Q337" s="47" t="s">
        <v>97</v>
      </c>
      <c r="R337" s="47">
        <f>HEX2DEC(RIGHT(Table1323214[[#This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IF(Table13192[[#This Row],[dec val]]="",0,1)</f>
        <v>0</v>
      </c>
      <c r="J338" s="24">
        <v>50000</v>
      </c>
      <c r="M338" s="24">
        <v>50000</v>
      </c>
      <c r="O338" s="47" t="s">
        <v>97</v>
      </c>
      <c r="P338" s="47">
        <f>HEX2DEC(RIGHT(Table1323214[[#This Row],[h1]],8))</f>
        <v>0</v>
      </c>
      <c r="Q338" s="47" t="s">
        <v>97</v>
      </c>
      <c r="R338" s="47">
        <f>HEX2DEC(RIGHT(Table1323214[[#This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IF(Table13192[[#This Row],[dec val]]="",0,1)</f>
        <v>0</v>
      </c>
      <c r="J339" s="24">
        <v>50000</v>
      </c>
      <c r="M339" s="24">
        <v>50000</v>
      </c>
      <c r="O339" s="47" t="s">
        <v>97</v>
      </c>
      <c r="P339" s="47">
        <f>HEX2DEC(RIGHT(Table1323214[[#This Row],[h1]],8))</f>
        <v>0</v>
      </c>
      <c r="Q339" s="47" t="s">
        <v>97</v>
      </c>
      <c r="R339" s="47">
        <f>HEX2DEC(RIGHT(Table1323214[[#This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IF(Table13192[[#This Row],[dec val]]="",0,1)</f>
        <v>0</v>
      </c>
      <c r="J340" s="24">
        <v>50000</v>
      </c>
      <c r="M340" s="24">
        <v>50000</v>
      </c>
      <c r="O340" s="47" t="s">
        <v>97</v>
      </c>
      <c r="P340" s="47">
        <f>HEX2DEC(RIGHT(Table1323214[[#This Row],[h1]],8))</f>
        <v>0</v>
      </c>
      <c r="Q340" s="47" t="s">
        <v>97</v>
      </c>
      <c r="R340" s="47">
        <f>HEX2DEC(RIGHT(Table1323214[[#This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IF(Table13192[[#This Row],[dec val]]="",0,1)</f>
        <v>0</v>
      </c>
      <c r="J341" s="24">
        <v>50000</v>
      </c>
      <c r="M341" s="24">
        <v>50000</v>
      </c>
      <c r="O341" s="47" t="s">
        <v>97</v>
      </c>
      <c r="P341" s="47">
        <f>HEX2DEC(RIGHT(Table1323214[[#This Row],[h1]],8))</f>
        <v>0</v>
      </c>
      <c r="Q341" s="47" t="s">
        <v>97</v>
      </c>
      <c r="R341" s="47">
        <f>HEX2DEC(RIGHT(Table1323214[[#This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IF(Table13192[[#This Row],[dec val]]="",0,1)</f>
        <v>0</v>
      </c>
      <c r="J342" s="24">
        <v>50000</v>
      </c>
      <c r="M342" s="24">
        <v>50000</v>
      </c>
      <c r="O342" s="47" t="s">
        <v>97</v>
      </c>
      <c r="P342" s="47">
        <f>HEX2DEC(RIGHT(Table1323214[[#This Row],[h1]],8))</f>
        <v>0</v>
      </c>
      <c r="Q342" s="47" t="s">
        <v>97</v>
      </c>
      <c r="R342" s="47">
        <f>HEX2DEC(RIGHT(Table1323214[[#This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IF(Table13192[[#This Row],[dec val]]="",0,1)</f>
        <v>0</v>
      </c>
      <c r="J343" s="24">
        <v>50000</v>
      </c>
      <c r="M343" s="24">
        <v>50000</v>
      </c>
      <c r="O343" s="47" t="s">
        <v>97</v>
      </c>
      <c r="P343" s="47">
        <f>HEX2DEC(RIGHT(Table1323214[[#This Row],[h1]],8))</f>
        <v>0</v>
      </c>
      <c r="Q343" s="47" t="s">
        <v>97</v>
      </c>
      <c r="R343" s="47">
        <f>HEX2DEC(RIGHT(Table1323214[[#This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IF(Table13192[[#This Row],[dec val]]="",0,1)</f>
        <v>0</v>
      </c>
      <c r="J344" s="24">
        <v>50000</v>
      </c>
      <c r="M344" s="24">
        <v>50000</v>
      </c>
      <c r="O344" s="47" t="s">
        <v>97</v>
      </c>
      <c r="P344" s="47">
        <f>HEX2DEC(RIGHT(Table1323214[[#This Row],[h1]],8))</f>
        <v>0</v>
      </c>
      <c r="Q344" s="47" t="s">
        <v>97</v>
      </c>
      <c r="R344" s="47">
        <f>HEX2DEC(RIGHT(Table1323214[[#This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IF(Table13192[[#This Row],[dec val]]="",0,1)</f>
        <v>0</v>
      </c>
      <c r="J345" s="24">
        <v>50000</v>
      </c>
      <c r="M345" s="24">
        <v>50000</v>
      </c>
      <c r="O345" s="47" t="s">
        <v>97</v>
      </c>
      <c r="P345" s="47">
        <f>HEX2DEC(RIGHT(Table1323214[[#This Row],[h1]],8))</f>
        <v>0</v>
      </c>
      <c r="Q345" s="47" t="s">
        <v>97</v>
      </c>
      <c r="R345" s="47">
        <f>HEX2DEC(RIGHT(Table1323214[[#This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IF(Table13192[[#This Row],[dec val]]="",0,1)</f>
        <v>0</v>
      </c>
      <c r="J346" s="24">
        <v>50000</v>
      </c>
      <c r="M346" s="24">
        <v>50000</v>
      </c>
      <c r="O346" s="47" t="s">
        <v>97</v>
      </c>
      <c r="P346" s="47">
        <f>HEX2DEC(RIGHT(Table1323214[[#This Row],[h1]],8))</f>
        <v>0</v>
      </c>
      <c r="Q346" s="47" t="s">
        <v>97</v>
      </c>
      <c r="R346" s="47">
        <f>HEX2DEC(RIGHT(Table1323214[[#This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7" t="s">
        <v>97</v>
      </c>
      <c r="P347" s="47">
        <f>HEX2DEC(RIGHT(Table1323214[[#This Row],[h1]],8))</f>
        <v>0</v>
      </c>
      <c r="Q347" s="47" t="s">
        <v>97</v>
      </c>
      <c r="R347" s="47">
        <f>HEX2DEC(RIGHT(Table1323214[[#This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IF(Table13192[[#This Row],[dec val]]="",0,1)</f>
        <v>0</v>
      </c>
      <c r="J348" s="24">
        <v>50000</v>
      </c>
      <c r="M348" s="24">
        <v>50000</v>
      </c>
      <c r="O348" s="47" t="s">
        <v>97</v>
      </c>
      <c r="P348" s="47">
        <f>HEX2DEC(RIGHT(Table1323214[[#This Row],[h1]],8))</f>
        <v>0</v>
      </c>
      <c r="Q348" s="47" t="s">
        <v>97</v>
      </c>
      <c r="R348" s="47">
        <f>HEX2DEC(RIGHT(Table1323214[[#This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IF(Table13192[[#This Row],[dec val]]="",0,1)</f>
        <v>0</v>
      </c>
      <c r="J349" s="24">
        <v>50000</v>
      </c>
      <c r="M349" s="24">
        <v>50000</v>
      </c>
      <c r="O349" s="47" t="s">
        <v>97</v>
      </c>
      <c r="P349" s="47">
        <f>HEX2DEC(RIGHT(Table1323214[[#This Row],[h1]],8))</f>
        <v>0</v>
      </c>
      <c r="Q349" s="47" t="s">
        <v>97</v>
      </c>
      <c r="R349" s="47">
        <f>HEX2DEC(RIGHT(Table1323214[[#This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IF(Table13192[[#This Row],[dec val]]="",0,1)</f>
        <v>0</v>
      </c>
      <c r="J350" s="24">
        <v>50000</v>
      </c>
      <c r="M350" s="24">
        <v>50000</v>
      </c>
      <c r="O350" s="47" t="s">
        <v>97</v>
      </c>
      <c r="P350" s="47">
        <f>HEX2DEC(RIGHT(Table1323214[[#This Row],[h1]],8))</f>
        <v>0</v>
      </c>
      <c r="Q350" s="47" t="s">
        <v>97</v>
      </c>
      <c r="R350" s="47">
        <f>HEX2DEC(RIGHT(Table1323214[[#This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IF(Table13192[[#This Row],[dec val]]="",0,1)</f>
        <v>0</v>
      </c>
      <c r="J351" s="24">
        <v>50000</v>
      </c>
      <c r="M351" s="24">
        <v>50000</v>
      </c>
      <c r="O351" s="47" t="s">
        <v>97</v>
      </c>
      <c r="P351" s="47">
        <f>HEX2DEC(RIGHT(Table1323214[[#This Row],[h1]],8))</f>
        <v>0</v>
      </c>
      <c r="Q351" s="47" t="s">
        <v>97</v>
      </c>
      <c r="R351" s="47">
        <f>HEX2DEC(RIGHT(Table1323214[[#This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IF(Table13192[[#This Row],[dec val]]="",0,1)</f>
        <v>0</v>
      </c>
      <c r="J352" s="24">
        <v>50000</v>
      </c>
      <c r="M352" s="24">
        <v>50000</v>
      </c>
      <c r="O352" s="47" t="s">
        <v>97</v>
      </c>
      <c r="P352" s="47">
        <f>HEX2DEC(RIGHT(Table1323214[[#This Row],[h1]],8))</f>
        <v>0</v>
      </c>
      <c r="Q352" s="47" t="s">
        <v>97</v>
      </c>
      <c r="R352" s="47">
        <f>HEX2DEC(RIGHT(Table1323214[[#This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IF(Table13192[[#This Row],[dec val]]="",0,1)</f>
        <v>0</v>
      </c>
      <c r="J353" s="24">
        <v>50000</v>
      </c>
      <c r="M353" s="24">
        <v>50000</v>
      </c>
      <c r="O353" s="47" t="s">
        <v>97</v>
      </c>
      <c r="P353" s="47">
        <f>HEX2DEC(RIGHT(Table1323214[[#This Row],[h1]],8))</f>
        <v>0</v>
      </c>
      <c r="Q353" s="47" t="s">
        <v>97</v>
      </c>
      <c r="R353" s="47">
        <f>HEX2DEC(RIGHT(Table1323214[[#This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IF(Table13192[[#This Row],[dec val]]="",0,1)</f>
        <v>0</v>
      </c>
      <c r="J354" s="24">
        <v>50000</v>
      </c>
      <c r="M354" s="24">
        <v>50000</v>
      </c>
      <c r="O354" s="47" t="s">
        <v>97</v>
      </c>
      <c r="P354" s="47">
        <f>HEX2DEC(RIGHT(Table1323214[[#This Row],[h1]],8))</f>
        <v>0</v>
      </c>
      <c r="Q354" s="47" t="s">
        <v>97</v>
      </c>
      <c r="R354" s="47">
        <f>HEX2DEC(RIGHT(Table1323214[[#This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IF(Table13192[[#This Row],[dec val]]="",0,1)</f>
        <v>0</v>
      </c>
      <c r="J355" s="24">
        <v>50000</v>
      </c>
      <c r="M355" s="24">
        <v>50000</v>
      </c>
      <c r="O355" s="47" t="s">
        <v>97</v>
      </c>
      <c r="P355" s="47">
        <f>HEX2DEC(RIGHT(Table1323214[[#This Row],[h1]],8))</f>
        <v>0</v>
      </c>
      <c r="Q355" s="47" t="s">
        <v>97</v>
      </c>
      <c r="R355" s="47">
        <f>HEX2DEC(RIGHT(Table1323214[[#This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IF(Table13192[[#This Row],[dec val]]="",0,1)</f>
        <v>0</v>
      </c>
      <c r="J356" s="24">
        <v>50000</v>
      </c>
      <c r="M356" s="24">
        <v>50000</v>
      </c>
      <c r="O356" s="47" t="s">
        <v>97</v>
      </c>
      <c r="P356" s="47">
        <f>HEX2DEC(RIGHT(Table1323214[[#This Row],[h1]],8))</f>
        <v>0</v>
      </c>
      <c r="Q356" s="47" t="s">
        <v>97</v>
      </c>
      <c r="R356" s="47">
        <f>HEX2DEC(RIGHT(Table1323214[[#This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IF(Table13192[[#This Row],[dec val]]="",0,1)</f>
        <v>0</v>
      </c>
      <c r="J357" s="24">
        <v>50000</v>
      </c>
      <c r="M357" s="24">
        <v>50000</v>
      </c>
      <c r="O357" s="47" t="s">
        <v>97</v>
      </c>
      <c r="P357" s="47">
        <f>HEX2DEC(RIGHT(Table1323214[[#This Row],[h1]],8))</f>
        <v>0</v>
      </c>
      <c r="Q357" s="47" t="s">
        <v>97</v>
      </c>
      <c r="R357" s="47">
        <f>HEX2DEC(RIGHT(Table1323214[[#This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IF(Table13192[[#This Row],[dec val]]="",0,1)</f>
        <v>0</v>
      </c>
      <c r="J358" s="24">
        <v>50000</v>
      </c>
      <c r="M358" s="24">
        <v>50000</v>
      </c>
      <c r="O358" s="47" t="s">
        <v>97</v>
      </c>
      <c r="P358" s="47">
        <f>HEX2DEC(RIGHT(Table1323214[[#This Row],[h1]],8))</f>
        <v>0</v>
      </c>
      <c r="Q358" s="47" t="s">
        <v>97</v>
      </c>
      <c r="R358" s="47">
        <f>HEX2DEC(RIGHT(Table1323214[[#This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IF(Table13192[[#This Row],[dec val]]="",0,1)</f>
        <v>0</v>
      </c>
      <c r="J359" s="24">
        <v>50000</v>
      </c>
      <c r="M359" s="24">
        <v>50000</v>
      </c>
      <c r="O359" s="47" t="s">
        <v>97</v>
      </c>
      <c r="P359" s="47">
        <f>HEX2DEC(RIGHT(Table1323214[[#This Row],[h1]],8))</f>
        <v>0</v>
      </c>
      <c r="Q359" s="47" t="s">
        <v>97</v>
      </c>
      <c r="R359" s="47">
        <f>HEX2DEC(RIGHT(Table1323214[[#This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IF(Table13192[[#This Row],[dec val]]="",0,1)</f>
        <v>0</v>
      </c>
      <c r="J360" s="24">
        <v>50000</v>
      </c>
      <c r="M360" s="24">
        <v>50000</v>
      </c>
      <c r="O360" s="47" t="s">
        <v>97</v>
      </c>
      <c r="P360" s="47">
        <f>HEX2DEC(RIGHT(Table1323214[[#This Row],[h1]],8))</f>
        <v>0</v>
      </c>
      <c r="Q360" s="47" t="s">
        <v>97</v>
      </c>
      <c r="R360" s="47">
        <f>HEX2DEC(RIGHT(Table1323214[[#This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IF(Table13192[[#This Row],[dec val]]="",0,1)</f>
        <v>0</v>
      </c>
      <c r="J361" s="24">
        <v>50000</v>
      </c>
      <c r="M361" s="24">
        <v>50000</v>
      </c>
      <c r="O361" s="47" t="s">
        <v>97</v>
      </c>
      <c r="P361" s="47">
        <f>HEX2DEC(RIGHT(Table1323214[[#This Row],[h1]],8))</f>
        <v>0</v>
      </c>
      <c r="Q361" s="47" t="s">
        <v>97</v>
      </c>
      <c r="R361" s="47">
        <f>HEX2DEC(RIGHT(Table1323214[[#This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IF(Table13192[[#This Row],[dec val]]="",0,1)</f>
        <v>0</v>
      </c>
      <c r="J362" s="24">
        <v>50000</v>
      </c>
      <c r="M362" s="24">
        <v>50000</v>
      </c>
      <c r="O362" s="47" t="s">
        <v>97</v>
      </c>
      <c r="P362" s="47">
        <f>HEX2DEC(RIGHT(Table1323214[[#This Row],[h1]],8))</f>
        <v>0</v>
      </c>
      <c r="Q362" s="47" t="s">
        <v>97</v>
      </c>
      <c r="R362" s="47">
        <f>HEX2DEC(RIGHT(Table1323214[[#This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IF(Table13192[[#This Row],[dec val]]="",0,1)</f>
        <v>0</v>
      </c>
      <c r="J363" s="24">
        <v>50000</v>
      </c>
      <c r="M363" s="24">
        <v>50000</v>
      </c>
      <c r="O363" s="47" t="s">
        <v>97</v>
      </c>
      <c r="P363" s="47">
        <f>HEX2DEC(RIGHT(Table1323214[[#This Row],[h1]],8))</f>
        <v>0</v>
      </c>
      <c r="Q363" s="47" t="s">
        <v>97</v>
      </c>
      <c r="R363" s="47">
        <f>HEX2DEC(RIGHT(Table1323214[[#This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IF(Table13192[[#This Row],[dec val]]="",0,1)</f>
        <v>0</v>
      </c>
      <c r="J364" s="24">
        <v>50000</v>
      </c>
      <c r="M364" s="24">
        <v>50000</v>
      </c>
      <c r="O364" s="47" t="s">
        <v>97</v>
      </c>
      <c r="P364" s="47">
        <f>HEX2DEC(RIGHT(Table1323214[[#This Row],[h1]],8))</f>
        <v>0</v>
      </c>
      <c r="Q364" s="47" t="s">
        <v>97</v>
      </c>
      <c r="R364" s="47">
        <f>HEX2DEC(RIGHT(Table1323214[[#This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IF(Table13192[[#This Row],[dec val]]="",0,1)</f>
        <v>0</v>
      </c>
      <c r="J365" s="24">
        <v>50000</v>
      </c>
      <c r="M365" s="24">
        <v>50000</v>
      </c>
      <c r="O365" s="47" t="s">
        <v>97</v>
      </c>
      <c r="P365" s="47">
        <f>HEX2DEC(RIGHT(Table1323214[[#This Row],[h1]],8))</f>
        <v>0</v>
      </c>
      <c r="Q365" s="47" t="s">
        <v>97</v>
      </c>
      <c r="R365" s="47">
        <f>HEX2DEC(RIGHT(Table1323214[[#This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IF(Table13192[[#This Row],[dec val]]="",0,1)</f>
        <v>0</v>
      </c>
      <c r="J366" s="24">
        <v>50000</v>
      </c>
      <c r="M366" s="24">
        <v>50000</v>
      </c>
      <c r="O366" s="47" t="s">
        <v>97</v>
      </c>
      <c r="P366" s="47">
        <f>HEX2DEC(RIGHT(Table1323214[[#This Row],[h1]],8))</f>
        <v>0</v>
      </c>
      <c r="Q366" s="47" t="s">
        <v>97</v>
      </c>
      <c r="R366" s="47">
        <f>HEX2DEC(RIGHT(Table1323214[[#This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IF(Table13192[[#This Row],[dec val]]="",0,1)</f>
        <v>0</v>
      </c>
      <c r="J367" s="24">
        <v>50000</v>
      </c>
      <c r="M367" s="24">
        <v>50000</v>
      </c>
      <c r="O367" s="47" t="s">
        <v>97</v>
      </c>
      <c r="P367" s="47">
        <f>HEX2DEC(RIGHT(Table1323214[[#This Row],[h1]],8))</f>
        <v>0</v>
      </c>
      <c r="Q367" s="47" t="s">
        <v>97</v>
      </c>
      <c r="R367" s="47">
        <f>HEX2DEC(RIGHT(Table1323214[[#This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IF(Table13192[[#This Row],[dec val]]="",0,1)</f>
        <v>0</v>
      </c>
      <c r="J368" s="24">
        <v>50000</v>
      </c>
      <c r="M368" s="24">
        <v>50000</v>
      </c>
      <c r="O368" s="47" t="s">
        <v>97</v>
      </c>
      <c r="P368" s="47">
        <f>HEX2DEC(RIGHT(Table1323214[[#This Row],[h1]],8))</f>
        <v>0</v>
      </c>
      <c r="Q368" s="47" t="s">
        <v>97</v>
      </c>
      <c r="R368" s="47">
        <f>HEX2DEC(RIGHT(Table1323214[[#This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IF(Table13192[[#This Row],[dec val]]="",0,1)</f>
        <v>0</v>
      </c>
      <c r="J369" s="24">
        <v>50000</v>
      </c>
      <c r="M369" s="24">
        <v>50000</v>
      </c>
      <c r="O369" s="47" t="s">
        <v>97</v>
      </c>
      <c r="P369" s="47">
        <f>HEX2DEC(RIGHT(Table1323214[[#This Row],[h1]],8))</f>
        <v>0</v>
      </c>
      <c r="Q369" s="47" t="s">
        <v>97</v>
      </c>
      <c r="R369" s="47">
        <f>HEX2DEC(RIGHT(Table1323214[[#This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IF(Table13192[[#This Row],[dec val]]="",0,1)</f>
        <v>0</v>
      </c>
      <c r="J370" s="24">
        <v>50000</v>
      </c>
      <c r="M370" s="24">
        <v>50000</v>
      </c>
      <c r="O370" s="47" t="s">
        <v>97</v>
      </c>
      <c r="P370" s="47">
        <f>HEX2DEC(RIGHT(Table1323214[[#This Row],[h1]],8))</f>
        <v>0</v>
      </c>
      <c r="Q370" s="47" t="s">
        <v>97</v>
      </c>
      <c r="R370" s="47">
        <f>HEX2DEC(RIGHT(Table1323214[[#This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IF(Table13192[[#This Row],[dec val]]="",0,1)</f>
        <v>0</v>
      </c>
      <c r="J371" s="24">
        <v>50000</v>
      </c>
      <c r="M371" s="24">
        <v>50000</v>
      </c>
      <c r="O371" s="47" t="s">
        <v>97</v>
      </c>
      <c r="P371" s="47">
        <f>HEX2DEC(RIGHT(Table1323214[[#This Row],[h1]],8))</f>
        <v>0</v>
      </c>
      <c r="Q371" s="47" t="s">
        <v>97</v>
      </c>
      <c r="R371" s="47">
        <f>HEX2DEC(RIGHT(Table1323214[[#This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IF(Table13192[[#This Row],[dec val]]="",0,1)</f>
        <v>0</v>
      </c>
      <c r="J372" s="24">
        <v>50000</v>
      </c>
      <c r="M372" s="24">
        <v>50000</v>
      </c>
      <c r="O372" s="47" t="s">
        <v>97</v>
      </c>
      <c r="P372" s="47">
        <f>HEX2DEC(RIGHT(Table1323214[[#This Row],[h1]],8))</f>
        <v>0</v>
      </c>
      <c r="Q372" s="47" t="s">
        <v>97</v>
      </c>
      <c r="R372" s="47">
        <f>HEX2DEC(RIGHT(Table1323214[[#This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IF(Table13192[[#This Row],[dec val]]="",0,1)</f>
        <v>0</v>
      </c>
      <c r="J373" s="24">
        <v>50000</v>
      </c>
      <c r="M373" s="24">
        <v>50000</v>
      </c>
      <c r="O373" s="47" t="s">
        <v>97</v>
      </c>
      <c r="P373" s="47">
        <f>HEX2DEC(RIGHT(Table1323214[[#This Row],[h1]],8))</f>
        <v>0</v>
      </c>
      <c r="Q373" s="47" t="s">
        <v>97</v>
      </c>
      <c r="R373" s="47">
        <f>HEX2DEC(RIGHT(Table1323214[[#This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IF(Table13192[[#This Row],[dec val]]="",0,1)</f>
        <v>0</v>
      </c>
      <c r="J374" s="24">
        <v>50000</v>
      </c>
      <c r="M374" s="24">
        <v>50000</v>
      </c>
      <c r="O374" s="47" t="s">
        <v>97</v>
      </c>
      <c r="P374" s="47">
        <f>HEX2DEC(RIGHT(Table1323214[[#This Row],[h1]],8))</f>
        <v>0</v>
      </c>
      <c r="Q374" s="47" t="s">
        <v>97</v>
      </c>
      <c r="R374" s="47">
        <f>HEX2DEC(RIGHT(Table1323214[[#This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IF(Table13192[[#This Row],[dec val]]="",0,1)</f>
        <v>0</v>
      </c>
      <c r="J375" s="24">
        <v>50000</v>
      </c>
      <c r="M375" s="24">
        <v>50000</v>
      </c>
      <c r="O375" s="47" t="s">
        <v>97</v>
      </c>
      <c r="P375" s="47">
        <f>HEX2DEC(RIGHT(Table1323214[[#This Row],[h1]],8))</f>
        <v>0</v>
      </c>
      <c r="Q375" s="47" t="s">
        <v>97</v>
      </c>
      <c r="R375" s="47">
        <f>HEX2DEC(RIGHT(Table1323214[[#This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IF(Table13192[[#This Row],[dec val]]="",0,1)</f>
        <v>0</v>
      </c>
      <c r="J376" s="24">
        <v>50000</v>
      </c>
      <c r="M376" s="24">
        <v>50000</v>
      </c>
      <c r="O376" s="47" t="s">
        <v>97</v>
      </c>
      <c r="P376" s="47">
        <f>HEX2DEC(RIGHT(Table1323214[[#This Row],[h1]],8))</f>
        <v>0</v>
      </c>
      <c r="Q376" s="47" t="s">
        <v>97</v>
      </c>
      <c r="R376" s="47">
        <f>HEX2DEC(RIGHT(Table1323214[[#This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IF(Table13192[[#This Row],[dec val]]="",0,1)</f>
        <v>0</v>
      </c>
      <c r="J377" s="24">
        <v>50000</v>
      </c>
      <c r="M377" s="24">
        <v>50000</v>
      </c>
      <c r="O377" s="47" t="s">
        <v>97</v>
      </c>
      <c r="P377" s="47">
        <f>HEX2DEC(RIGHT(Table1323214[[#This Row],[h1]],8))</f>
        <v>0</v>
      </c>
      <c r="Q377" s="47" t="s">
        <v>97</v>
      </c>
      <c r="R377" s="47">
        <f>HEX2DEC(RIGHT(Table1323214[[#This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IF(Table13192[[#This Row],[dec val]]="",0,1)</f>
        <v>0</v>
      </c>
      <c r="J378" s="24">
        <v>50000</v>
      </c>
      <c r="M378" s="24">
        <v>50000</v>
      </c>
      <c r="O378" s="47" t="s">
        <v>97</v>
      </c>
      <c r="P378" s="47">
        <f>HEX2DEC(RIGHT(Table1323214[[#This Row],[h1]],8))</f>
        <v>0</v>
      </c>
      <c r="Q378" s="47" t="s">
        <v>97</v>
      </c>
      <c r="R378" s="47">
        <f>HEX2DEC(RIGHT(Table1323214[[#This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7" t="s">
        <v>97</v>
      </c>
      <c r="P379" s="47">
        <f>HEX2DEC(RIGHT(Table1323214[[#This Row],[h1]],8))</f>
        <v>0</v>
      </c>
      <c r="Q379" s="47" t="s">
        <v>97</v>
      </c>
      <c r="R379" s="47">
        <f>HEX2DEC(RIGHT(Table1323214[[#This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7" t="s">
        <v>97</v>
      </c>
      <c r="P380" s="47">
        <f>HEX2DEC(RIGHT(Table1323214[[#This Row],[h1]],8))</f>
        <v>0</v>
      </c>
      <c r="Q380" s="47" t="s">
        <v>97</v>
      </c>
      <c r="R380" s="47">
        <f>HEX2DEC(RIGHT(Table1323214[[#This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7" t="s">
        <v>97</v>
      </c>
      <c r="P381" s="47">
        <f>HEX2DEC(RIGHT(Table1323214[[#This Row],[h1]],8))</f>
        <v>0</v>
      </c>
      <c r="Q381" s="47" t="s">
        <v>97</v>
      </c>
      <c r="R381" s="47">
        <f>HEX2DEC(RIGHT(Table1323214[[#This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7" t="s">
        <v>97</v>
      </c>
      <c r="P382" s="47">
        <f>HEX2DEC(RIGHT(Table1323214[[#This Row],[h1]],8))</f>
        <v>0</v>
      </c>
      <c r="Q382" s="47" t="s">
        <v>97</v>
      </c>
      <c r="R382" s="47">
        <f>HEX2DEC(RIGHT(Table1323214[[#This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7" t="s">
        <v>97</v>
      </c>
      <c r="P383" s="47">
        <f>HEX2DEC(RIGHT(Table1323214[[#This Row],[h1]],8))</f>
        <v>0</v>
      </c>
      <c r="Q383" s="47" t="s">
        <v>97</v>
      </c>
      <c r="R383" s="47">
        <f>HEX2DEC(RIGHT(Table1323214[[#This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7" t="s">
        <v>97</v>
      </c>
      <c r="P384" s="47">
        <f>HEX2DEC(RIGHT(Table1323214[[#This Row],[h1]],8))</f>
        <v>0</v>
      </c>
      <c r="Q384" s="47" t="s">
        <v>97</v>
      </c>
      <c r="R384" s="47">
        <f>HEX2DEC(RIGHT(Table1323214[[#This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7" t="s">
        <v>97</v>
      </c>
      <c r="P385" s="47">
        <f>HEX2DEC(RIGHT(Table1323214[[#This Row],[h1]],8))</f>
        <v>0</v>
      </c>
      <c r="Q385" s="47" t="s">
        <v>97</v>
      </c>
      <c r="R385" s="47">
        <f>HEX2DEC(RIGHT(Table1323214[[#This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7" t="s">
        <v>97</v>
      </c>
      <c r="P386" s="47">
        <f>HEX2DEC(RIGHT(Table1323214[[#This Row],[h1]],8))</f>
        <v>0</v>
      </c>
      <c r="Q386" s="47" t="s">
        <v>97</v>
      </c>
      <c r="R386" s="47">
        <f>HEX2DEC(RIGHT(Table1323214[[#This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7" t="s">
        <v>97</v>
      </c>
      <c r="P387" s="47">
        <f>HEX2DEC(RIGHT(Table1323214[[#This Row],[h1]],8))</f>
        <v>0</v>
      </c>
      <c r="Q387" s="47" t="s">
        <v>97</v>
      </c>
      <c r="R387" s="47">
        <f>HEX2DEC(RIGHT(Table1323214[[#This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47" t="s">
        <v>97</v>
      </c>
      <c r="P388" s="47">
        <f>HEX2DEC(RIGHT(Table1323214[[#This Row],[h1]],8))</f>
        <v>0</v>
      </c>
      <c r="Q388" s="47" t="s">
        <v>97</v>
      </c>
      <c r="R388" s="47">
        <f>HEX2DEC(RIGHT(Table1323214[[#This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47" t="s">
        <v>97</v>
      </c>
      <c r="P389" s="47">
        <f>HEX2DEC(RIGHT(Table1323214[[#This Row],[h1]],8))</f>
        <v>0</v>
      </c>
      <c r="Q389" s="47" t="s">
        <v>97</v>
      </c>
      <c r="R389" s="47">
        <f>HEX2DEC(RIGHT(Table1323214[[#This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47" t="s">
        <v>97</v>
      </c>
      <c r="P390" s="47">
        <f>HEX2DEC(RIGHT(Table1323214[[#This Row],[h1]],8))</f>
        <v>0</v>
      </c>
      <c r="Q390" s="47" t="s">
        <v>97</v>
      </c>
      <c r="R390" s="47">
        <f>HEX2DEC(RIGHT(Table1323214[[#This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47" t="s">
        <v>97</v>
      </c>
      <c r="P391" s="47">
        <f>HEX2DEC(RIGHT(Table1323214[[#This Row],[h1]],8))</f>
        <v>0</v>
      </c>
      <c r="Q391" s="47" t="s">
        <v>97</v>
      </c>
      <c r="R391" s="47">
        <f>HEX2DEC(RIGHT(Table1323214[[#This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47" t="s">
        <v>97</v>
      </c>
      <c r="P392" s="47">
        <f>HEX2DEC(RIGHT(Table1323214[[#This Row],[h1]],8))</f>
        <v>0</v>
      </c>
      <c r="Q392" s="47" t="s">
        <v>97</v>
      </c>
      <c r="R392" s="47">
        <f>HEX2DEC(RIGHT(Table1323214[[#This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47" t="s">
        <v>97</v>
      </c>
      <c r="P393" s="47">
        <f>HEX2DEC(RIGHT(Table1323214[[#This Row],[h1]],8))</f>
        <v>0</v>
      </c>
      <c r="Q393" s="47" t="s">
        <v>97</v>
      </c>
      <c r="R393" s="47">
        <f>HEX2DEC(RIGHT(Table1323214[[#This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47" t="s">
        <v>97</v>
      </c>
      <c r="P394" s="47">
        <f>HEX2DEC(RIGHT(Table1323214[[#This Row],[h1]],8))</f>
        <v>0</v>
      </c>
      <c r="Q394" s="47" t="s">
        <v>97</v>
      </c>
      <c r="R394" s="47">
        <f>HEX2DEC(RIGHT(Table1323214[[#This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47" t="s">
        <v>97</v>
      </c>
      <c r="P395" s="47">
        <f>HEX2DEC(RIGHT(Table1323214[[#This Row],[h1]],8))</f>
        <v>0</v>
      </c>
      <c r="Q395" s="47" t="s">
        <v>97</v>
      </c>
      <c r="R395" s="47">
        <f>HEX2DEC(RIGHT(Table1323214[[#This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47" t="s">
        <v>97</v>
      </c>
      <c r="P396" s="47">
        <f>HEX2DEC(RIGHT(Table1323214[[#This Row],[h1]],8))</f>
        <v>0</v>
      </c>
      <c r="Q396" s="47" t="s">
        <v>97</v>
      </c>
      <c r="R396" s="47">
        <f>HEX2DEC(RIGHT(Table1323214[[#This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47" t="s">
        <v>97</v>
      </c>
      <c r="P397" s="47">
        <f>HEX2DEC(RIGHT(Table1323214[[#This Row],[h1]],8))</f>
        <v>0</v>
      </c>
      <c r="Q397" s="47" t="s">
        <v>97</v>
      </c>
      <c r="R397" s="47">
        <f>HEX2DEC(RIGHT(Table1323214[[#This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47" t="s">
        <v>97</v>
      </c>
      <c r="P398" s="47">
        <f>HEX2DEC(RIGHT(Table1323214[[#This Row],[h1]],8))</f>
        <v>0</v>
      </c>
      <c r="Q398" s="47" t="s">
        <v>97</v>
      </c>
      <c r="R398" s="47">
        <f>HEX2DEC(RIGHT(Table1323214[[#This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47" t="s">
        <v>97</v>
      </c>
      <c r="P399" s="47">
        <f>HEX2DEC(RIGHT(Table1323214[[#This Row],[h1]],8))</f>
        <v>0</v>
      </c>
      <c r="Q399" s="47" t="s">
        <v>97</v>
      </c>
      <c r="R399" s="47">
        <f>HEX2DEC(RIGHT(Table1323214[[#This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47" t="s">
        <v>97</v>
      </c>
      <c r="P400" s="47">
        <f>HEX2DEC(RIGHT(Table1323214[[#This Row],[h1]],8))</f>
        <v>0</v>
      </c>
      <c r="Q400" s="47" t="s">
        <v>97</v>
      </c>
      <c r="R400" s="47">
        <f>HEX2DEC(RIGHT(Table1323214[[#This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47" t="s">
        <v>97</v>
      </c>
      <c r="P401" s="47">
        <f>HEX2DEC(RIGHT(Table1323214[[#This Row],[h1]],8))</f>
        <v>0</v>
      </c>
      <c r="Q401" s="47" t="s">
        <v>97</v>
      </c>
      <c r="R401" s="47">
        <f>HEX2DEC(RIGHT(Table1323214[[#This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47" t="s">
        <v>97</v>
      </c>
      <c r="P402" s="47">
        <f>HEX2DEC(RIGHT(Table1323214[[#This Row],[h1]],8))</f>
        <v>0</v>
      </c>
      <c r="Q402" s="47" t="s">
        <v>97</v>
      </c>
      <c r="R402" s="47">
        <f>HEX2DEC(RIGHT(Table1323214[[#This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47" t="s">
        <v>97</v>
      </c>
      <c r="P403" s="47">
        <f>HEX2DEC(RIGHT(Table1323214[[#This Row],[h1]],8))</f>
        <v>0</v>
      </c>
      <c r="Q403" s="47" t="s">
        <v>97</v>
      </c>
      <c r="R403" s="47">
        <f>HEX2DEC(RIGHT(Table1323214[[#This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47" t="s">
        <v>97</v>
      </c>
      <c r="P404" s="47">
        <f>HEX2DEC(RIGHT(Table1323214[[#This Row],[h1]],8))</f>
        <v>0</v>
      </c>
      <c r="Q404" s="47" t="s">
        <v>97</v>
      </c>
      <c r="R404" s="47">
        <f>HEX2DEC(RIGHT(Table1323214[[#This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47" t="s">
        <v>97</v>
      </c>
      <c r="P405" s="47">
        <f>HEX2DEC(RIGHT(Table1323214[[#This Row],[h1]],8))</f>
        <v>0</v>
      </c>
      <c r="Q405" s="47" t="s">
        <v>97</v>
      </c>
      <c r="R405" s="47">
        <f>HEX2DEC(RIGHT(Table1323214[[#This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47" t="s">
        <v>97</v>
      </c>
      <c r="P406" s="47">
        <f>HEX2DEC(RIGHT(Table1323214[[#This Row],[h1]],8))</f>
        <v>0</v>
      </c>
      <c r="Q406" s="47" t="s">
        <v>97</v>
      </c>
      <c r="R406" s="47">
        <f>HEX2DEC(RIGHT(Table1323214[[#This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47" t="s">
        <v>97</v>
      </c>
      <c r="P407" s="47">
        <f>HEX2DEC(RIGHT(Table1323214[[#This Row],[h1]],8))</f>
        <v>0</v>
      </c>
      <c r="Q407" s="47" t="s">
        <v>97</v>
      </c>
      <c r="R407" s="47">
        <f>HEX2DEC(RIGHT(Table1323214[[#This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47" t="s">
        <v>97</v>
      </c>
      <c r="P408" s="47">
        <f>HEX2DEC(RIGHT(Table1323214[[#This Row],[h1]],8))</f>
        <v>0</v>
      </c>
      <c r="Q408" s="47" t="s">
        <v>97</v>
      </c>
      <c r="R408" s="47">
        <f>HEX2DEC(RIGHT(Table1323214[[#This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47" t="s">
        <v>97</v>
      </c>
      <c r="P409" s="47">
        <f>HEX2DEC(RIGHT(Table1323214[[#This Row],[h1]],8))</f>
        <v>0</v>
      </c>
      <c r="Q409" s="47" t="s">
        <v>97</v>
      </c>
      <c r="R409" s="47">
        <f>HEX2DEC(RIGHT(Table1323214[[#This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47" t="s">
        <v>97</v>
      </c>
      <c r="P410" s="47">
        <f>HEX2DEC(RIGHT(Table1323214[[#This Row],[h1]],8))</f>
        <v>0</v>
      </c>
      <c r="Q410" s="47" t="s">
        <v>97</v>
      </c>
      <c r="R410" s="47">
        <f>HEX2DEC(RIGHT(Table1323214[[#This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47" t="s">
        <v>97</v>
      </c>
      <c r="P411" s="47">
        <f>HEX2DEC(RIGHT(Table1323214[[#This Row],[h1]],8))</f>
        <v>0</v>
      </c>
      <c r="Q411" s="47" t="s">
        <v>97</v>
      </c>
      <c r="R411" s="47">
        <f>HEX2DEC(RIGHT(Table1323214[[#This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47" t="s">
        <v>97</v>
      </c>
      <c r="P412" s="47">
        <f>HEX2DEC(RIGHT(Table1323214[[#This Row],[h1]],8))</f>
        <v>0</v>
      </c>
      <c r="Q412" s="47" t="s">
        <v>97</v>
      </c>
      <c r="R412" s="47">
        <f>HEX2DEC(RIGHT(Table1323214[[#This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47" t="s">
        <v>97</v>
      </c>
      <c r="P413" s="47">
        <f>HEX2DEC(RIGHT(Table1323214[[#This Row],[h1]],8))</f>
        <v>0</v>
      </c>
      <c r="Q413" s="47" t="s">
        <v>97</v>
      </c>
      <c r="R413" s="47">
        <f>HEX2DEC(RIGHT(Table1323214[[#This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47" t="s">
        <v>97</v>
      </c>
      <c r="P414" s="47">
        <f>HEX2DEC(RIGHT(Table1323214[[#This Row],[h1]],8))</f>
        <v>0</v>
      </c>
      <c r="Q414" s="47" t="s">
        <v>97</v>
      </c>
      <c r="R414" s="47">
        <f>HEX2DEC(RIGHT(Table1323214[[#This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47" t="s">
        <v>97</v>
      </c>
      <c r="P415" s="47">
        <f>HEX2DEC(RIGHT(Table1323214[[#This Row],[h1]],8))</f>
        <v>0</v>
      </c>
      <c r="Q415" s="47" t="s">
        <v>97</v>
      </c>
      <c r="R415" s="47">
        <f>HEX2DEC(RIGHT(Table1323214[[#This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47" t="s">
        <v>97</v>
      </c>
      <c r="P416" s="47">
        <f>HEX2DEC(RIGHT(Table1323214[[#This Row],[h1]],8))</f>
        <v>0</v>
      </c>
      <c r="Q416" s="47" t="s">
        <v>97</v>
      </c>
      <c r="R416" s="47">
        <f>HEX2DEC(RIGHT(Table1323214[[#This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47" t="s">
        <v>97</v>
      </c>
      <c r="P417" s="47">
        <f>HEX2DEC(RIGHT(Table1323214[[#This Row],[h1]],8))</f>
        <v>0</v>
      </c>
      <c r="Q417" s="47" t="s">
        <v>97</v>
      </c>
      <c r="R417" s="47">
        <f>HEX2DEC(RIGHT(Table1323214[[#This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47" t="s">
        <v>97</v>
      </c>
      <c r="P418" s="47">
        <f>HEX2DEC(RIGHT(Table1323214[[#This Row],[h1]],8))</f>
        <v>0</v>
      </c>
      <c r="Q418" s="47" t="s">
        <v>97</v>
      </c>
      <c r="R418" s="47">
        <f>HEX2DEC(RIGHT(Table1323214[[#This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47" t="s">
        <v>97</v>
      </c>
      <c r="P419" s="47">
        <f>HEX2DEC(RIGHT(Table1323214[[#This Row],[h1]],8))</f>
        <v>0</v>
      </c>
      <c r="Q419" s="47" t="s">
        <v>97</v>
      </c>
      <c r="R419" s="47">
        <f>HEX2DEC(RIGHT(Table1323214[[#This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47" t="s">
        <v>97</v>
      </c>
      <c r="P420" s="47">
        <f>HEX2DEC(RIGHT(Table1323214[[#This Row],[h1]],8))</f>
        <v>0</v>
      </c>
      <c r="Q420" s="47" t="s">
        <v>97</v>
      </c>
      <c r="R420" s="47">
        <f>HEX2DEC(RIGHT(Table1323214[[#This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47" t="s">
        <v>97</v>
      </c>
      <c r="P421" s="47">
        <f>HEX2DEC(RIGHT(Table1323214[[#This Row],[h1]],8))</f>
        <v>0</v>
      </c>
      <c r="Q421" s="47" t="s">
        <v>97</v>
      </c>
      <c r="R421" s="47">
        <f>HEX2DEC(RIGHT(Table1323214[[#This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47" t="s">
        <v>97</v>
      </c>
      <c r="P422" s="47">
        <f>HEX2DEC(RIGHT(Table1323214[[#This Row],[h1]],8))</f>
        <v>0</v>
      </c>
      <c r="Q422" s="47" t="s">
        <v>97</v>
      </c>
      <c r="R422" s="47">
        <f>HEX2DEC(RIGHT(Table1323214[[#This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47" t="s">
        <v>97</v>
      </c>
      <c r="P423" s="47">
        <f>HEX2DEC(RIGHT(Table1323214[[#This Row],[h1]],8))</f>
        <v>0</v>
      </c>
      <c r="Q423" s="47" t="s">
        <v>97</v>
      </c>
      <c r="R423" s="47">
        <f>HEX2DEC(RIGHT(Table1323214[[#This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47" t="s">
        <v>97</v>
      </c>
      <c r="P424" s="47">
        <f>HEX2DEC(RIGHT(Table1323214[[#This Row],[h1]],8))</f>
        <v>0</v>
      </c>
      <c r="Q424" s="47" t="s">
        <v>97</v>
      </c>
      <c r="R424" s="47">
        <f>HEX2DEC(RIGHT(Table1323214[[#This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47" t="s">
        <v>97</v>
      </c>
      <c r="P425" s="47">
        <f>HEX2DEC(RIGHT(Table1323214[[#This Row],[h1]],8))</f>
        <v>0</v>
      </c>
      <c r="Q425" s="47" t="s">
        <v>97</v>
      </c>
      <c r="R425" s="47">
        <f>HEX2DEC(RIGHT(Table1323214[[#This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47" t="s">
        <v>97</v>
      </c>
      <c r="P426" s="47">
        <f>HEX2DEC(RIGHT(Table1323214[[#This Row],[h1]],8))</f>
        <v>0</v>
      </c>
      <c r="Q426" s="47" t="s">
        <v>97</v>
      </c>
      <c r="R426" s="47">
        <f>HEX2DEC(RIGHT(Table1323214[[#This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7" t="s">
        <v>97</v>
      </c>
      <c r="P427" s="47">
        <f>HEX2DEC(RIGHT(Table1323214[[#This Row],[h1]],8))</f>
        <v>0</v>
      </c>
      <c r="Q427" s="47" t="s">
        <v>97</v>
      </c>
      <c r="R427" s="47">
        <f>HEX2DEC(RIGHT(Table1323214[[#This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7" t="s">
        <v>97</v>
      </c>
      <c r="P428" s="47">
        <f>HEX2DEC(RIGHT(Table1323214[[#This Row],[h1]],8))</f>
        <v>0</v>
      </c>
      <c r="Q428" s="47" t="s">
        <v>97</v>
      </c>
      <c r="R428" s="47">
        <f>HEX2DEC(RIGHT(Table1323214[[#This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7" t="s">
        <v>97</v>
      </c>
      <c r="P429" s="47">
        <f>HEX2DEC(RIGHT(Table1323214[[#This Row],[h1]],8))</f>
        <v>0</v>
      </c>
      <c r="Q429" s="47" t="s">
        <v>97</v>
      </c>
      <c r="R429" s="47">
        <f>HEX2DEC(RIGHT(Table1323214[[#This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7" t="s">
        <v>97</v>
      </c>
      <c r="P430" s="47">
        <f>HEX2DEC(RIGHT(Table1323214[[#This Row],[h1]],8))</f>
        <v>0</v>
      </c>
      <c r="Q430" s="47" t="s">
        <v>97</v>
      </c>
      <c r="R430" s="47">
        <f>HEX2DEC(RIGHT(Table1323214[[#This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7" t="s">
        <v>97</v>
      </c>
      <c r="P431" s="47">
        <f>HEX2DEC(RIGHT(Table1323214[[#This Row],[h1]],8))</f>
        <v>0</v>
      </c>
      <c r="Q431" s="47" t="s">
        <v>97</v>
      </c>
      <c r="R431" s="47">
        <f>HEX2DEC(RIGHT(Table1323214[[#This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7" t="s">
        <v>97</v>
      </c>
      <c r="P432" s="47">
        <f>HEX2DEC(RIGHT(Table1323214[[#This Row],[h1]],8))</f>
        <v>0</v>
      </c>
      <c r="Q432" s="47" t="s">
        <v>97</v>
      </c>
      <c r="R432" s="47">
        <f>HEX2DEC(RIGHT(Table1323214[[#This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7" t="s">
        <v>97</v>
      </c>
      <c r="P433" s="47">
        <f>HEX2DEC(RIGHT(Table1323214[[#This Row],[h1]],8))</f>
        <v>0</v>
      </c>
      <c r="Q433" s="47" t="s">
        <v>97</v>
      </c>
      <c r="R433" s="47">
        <f>HEX2DEC(RIGHT(Table1323214[[#This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7" t="s">
        <v>97</v>
      </c>
      <c r="P434" s="47">
        <f>HEX2DEC(RIGHT(Table1323214[[#This Row],[h1]],8))</f>
        <v>0</v>
      </c>
      <c r="Q434" s="47" t="s">
        <v>97</v>
      </c>
      <c r="R434" s="47">
        <f>HEX2DEC(RIGHT(Table1323214[[#This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7" t="s">
        <v>97</v>
      </c>
      <c r="P435" s="47">
        <f>HEX2DEC(RIGHT(Table1323214[[#This Row],[h1]],8))</f>
        <v>0</v>
      </c>
      <c r="Q435" s="47" t="s">
        <v>97</v>
      </c>
      <c r="R435" s="47">
        <f>HEX2DEC(RIGHT(Table1323214[[#This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7" t="s">
        <v>97</v>
      </c>
      <c r="P436" s="47">
        <f>HEX2DEC(RIGHT(Table1323214[[#This Row],[h1]],8))</f>
        <v>0</v>
      </c>
      <c r="Q436" s="47" t="s">
        <v>97</v>
      </c>
      <c r="R436" s="47">
        <f>HEX2DEC(RIGHT(Table1323214[[#This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7" t="s">
        <v>97</v>
      </c>
      <c r="P437" s="47">
        <f>HEX2DEC(RIGHT(Table1323214[[#This Row],[h1]],8))</f>
        <v>0</v>
      </c>
      <c r="Q437" s="47" t="s">
        <v>97</v>
      </c>
      <c r="R437" s="47">
        <f>HEX2DEC(RIGHT(Table1323214[[#This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7" t="s">
        <v>97</v>
      </c>
      <c r="P438" s="47">
        <f>HEX2DEC(RIGHT(Table1323214[[#This Row],[h1]],8))</f>
        <v>0</v>
      </c>
      <c r="Q438" s="47" t="s">
        <v>97</v>
      </c>
      <c r="R438" s="47">
        <f>HEX2DEC(RIGHT(Table1323214[[#This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7" t="s">
        <v>97</v>
      </c>
      <c r="P439" s="47">
        <f>HEX2DEC(RIGHT(Table1323214[[#This Row],[h1]],8))</f>
        <v>0</v>
      </c>
      <c r="Q439" s="47" t="s">
        <v>97</v>
      </c>
      <c r="R439" s="47">
        <f>HEX2DEC(RIGHT(Table1323214[[#This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7" t="s">
        <v>97</v>
      </c>
      <c r="P440" s="47">
        <f>HEX2DEC(RIGHT(Table1323214[[#This Row],[h1]],8))</f>
        <v>0</v>
      </c>
      <c r="Q440" s="47" t="s">
        <v>97</v>
      </c>
      <c r="R440" s="47">
        <f>HEX2DEC(RIGHT(Table1323214[[#This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7" t="s">
        <v>97</v>
      </c>
      <c r="P441" s="47">
        <f>HEX2DEC(RIGHT(Table1323214[[#This Row],[h1]],8))</f>
        <v>0</v>
      </c>
      <c r="Q441" s="47" t="s">
        <v>97</v>
      </c>
      <c r="R441" s="47">
        <f>HEX2DEC(RIGHT(Table1323214[[#This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7" t="s">
        <v>97</v>
      </c>
      <c r="P442" s="47">
        <f>HEX2DEC(RIGHT(Table1323214[[#This Row],[h1]],8))</f>
        <v>0</v>
      </c>
      <c r="Q442" s="47" t="s">
        <v>97</v>
      </c>
      <c r="R442" s="47">
        <f>HEX2DEC(RIGHT(Table1323214[[#This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7" t="s">
        <v>97</v>
      </c>
      <c r="P443" s="47">
        <f>HEX2DEC(RIGHT(Table1323214[[#This Row],[h1]],8))</f>
        <v>0</v>
      </c>
      <c r="Q443" s="47" t="s">
        <v>97</v>
      </c>
      <c r="R443" s="47">
        <f>HEX2DEC(RIGHT(Table1323214[[#This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7" t="s">
        <v>97</v>
      </c>
      <c r="P444" s="47">
        <f>HEX2DEC(RIGHT(Table1323214[[#This Row],[h1]],8))</f>
        <v>0</v>
      </c>
      <c r="Q444" s="47" t="s">
        <v>97</v>
      </c>
      <c r="R444" s="47">
        <f>HEX2DEC(RIGHT(Table1323214[[#This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7" t="s">
        <v>97</v>
      </c>
      <c r="P445" s="47">
        <f>HEX2DEC(RIGHT(Table1323214[[#This Row],[h1]],8))</f>
        <v>0</v>
      </c>
      <c r="Q445" s="47" t="s">
        <v>97</v>
      </c>
      <c r="R445" s="47">
        <f>HEX2DEC(RIGHT(Table1323214[[#This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7" t="s">
        <v>97</v>
      </c>
      <c r="P446" s="47">
        <f>HEX2DEC(RIGHT(Table1323214[[#This Row],[h1]],8))</f>
        <v>0</v>
      </c>
      <c r="Q446" s="47" t="s">
        <v>97</v>
      </c>
      <c r="R446" s="47">
        <f>HEX2DEC(RIGHT(Table1323214[[#This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7" t="s">
        <v>97</v>
      </c>
      <c r="P447" s="47">
        <f>HEX2DEC(RIGHT(Table1323214[[#This Row],[h1]],8))</f>
        <v>0</v>
      </c>
      <c r="Q447" s="47" t="s">
        <v>97</v>
      </c>
      <c r="R447" s="47">
        <f>HEX2DEC(RIGHT(Table1323214[[#This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7" t="s">
        <v>97</v>
      </c>
      <c r="P448" s="47">
        <f>HEX2DEC(RIGHT(Table1323214[[#This Row],[h1]],8))</f>
        <v>0</v>
      </c>
      <c r="Q448" s="47" t="s">
        <v>97</v>
      </c>
      <c r="R448" s="47">
        <f>HEX2DEC(RIGHT(Table1323214[[#This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7" t="s">
        <v>97</v>
      </c>
      <c r="P449" s="47">
        <f>HEX2DEC(RIGHT(Table1323214[[#This Row],[h1]],8))</f>
        <v>0</v>
      </c>
      <c r="Q449" s="47" t="s">
        <v>97</v>
      </c>
      <c r="R449" s="47">
        <f>HEX2DEC(RIGHT(Table1323214[[#This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7" t="s">
        <v>97</v>
      </c>
      <c r="P450" s="47">
        <f>HEX2DEC(RIGHT(Table1323214[[#This Row],[h1]],8))</f>
        <v>0</v>
      </c>
      <c r="Q450" s="47" t="s">
        <v>97</v>
      </c>
      <c r="R450" s="47">
        <f>HEX2DEC(RIGHT(Table1323214[[#This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7" t="s">
        <v>97</v>
      </c>
      <c r="P451" s="47">
        <f>HEX2DEC(RIGHT(Table1323214[[#This Row],[h1]],8))</f>
        <v>0</v>
      </c>
      <c r="Q451" s="47" t="s">
        <v>97</v>
      </c>
      <c r="R451" s="47">
        <f>HEX2DEC(RIGHT(Table1323214[[#This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7" t="s">
        <v>97</v>
      </c>
      <c r="P452" s="47">
        <f>HEX2DEC(RIGHT(Table1323214[[#This Row],[h1]],8))</f>
        <v>0</v>
      </c>
      <c r="Q452" s="47" t="s">
        <v>97</v>
      </c>
      <c r="R452" s="47">
        <f>HEX2DEC(RIGHT(Table1323214[[#This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7" t="s">
        <v>97</v>
      </c>
      <c r="P453" s="47">
        <f>HEX2DEC(RIGHT(Table1323214[[#This Row],[h1]],8))</f>
        <v>0</v>
      </c>
      <c r="Q453" s="47" t="s">
        <v>97</v>
      </c>
      <c r="R453" s="47">
        <f>HEX2DEC(RIGHT(Table1323214[[#This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7" t="s">
        <v>97</v>
      </c>
      <c r="P454" s="47">
        <f>HEX2DEC(RIGHT(Table1323214[[#This Row],[h1]],8))</f>
        <v>0</v>
      </c>
      <c r="Q454" s="47" t="s">
        <v>97</v>
      </c>
      <c r="R454" s="47">
        <f>HEX2DEC(RIGHT(Table1323214[[#This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7" t="s">
        <v>97</v>
      </c>
      <c r="P455" s="47">
        <f>HEX2DEC(RIGHT(Table1323214[[#This Row],[h1]],8))</f>
        <v>0</v>
      </c>
      <c r="Q455" s="47" t="s">
        <v>97</v>
      </c>
      <c r="R455" s="47">
        <f>HEX2DEC(RIGHT(Table1323214[[#This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7" t="s">
        <v>97</v>
      </c>
      <c r="P456" s="47">
        <f>HEX2DEC(RIGHT(Table1323214[[#This Row],[h1]],8))</f>
        <v>0</v>
      </c>
      <c r="Q456" s="47" t="s">
        <v>97</v>
      </c>
      <c r="R456" s="47">
        <f>HEX2DEC(RIGHT(Table1323214[[#This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7" t="s">
        <v>97</v>
      </c>
      <c r="P457" s="47">
        <f>HEX2DEC(RIGHT(Table1323214[[#This Row],[h1]],8))</f>
        <v>0</v>
      </c>
      <c r="Q457" s="47" t="s">
        <v>97</v>
      </c>
      <c r="R457" s="47">
        <f>HEX2DEC(RIGHT(Table1323214[[#This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7" t="s">
        <v>97</v>
      </c>
      <c r="P458" s="47">
        <f>HEX2DEC(RIGHT(Table1323214[[#This Row],[h1]],8))</f>
        <v>0</v>
      </c>
      <c r="Q458" s="47" t="s">
        <v>97</v>
      </c>
      <c r="R458" s="47">
        <f>HEX2DEC(RIGHT(Table1323214[[#This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7" t="s">
        <v>97</v>
      </c>
      <c r="P459" s="47">
        <f>HEX2DEC(RIGHT(Table1323214[[#This Row],[h1]],8))</f>
        <v>0</v>
      </c>
      <c r="Q459" s="47" t="s">
        <v>97</v>
      </c>
      <c r="R459" s="47">
        <f>HEX2DEC(RIGHT(Table1323214[[#This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7" t="s">
        <v>97</v>
      </c>
      <c r="P460" s="47">
        <f>HEX2DEC(RIGHT(Table1323214[[#This Row],[h1]],8))</f>
        <v>0</v>
      </c>
      <c r="Q460" s="47" t="s">
        <v>97</v>
      </c>
      <c r="R460" s="47">
        <f>HEX2DEC(RIGHT(Table1323214[[#This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7" t="s">
        <v>97</v>
      </c>
      <c r="P461" s="47">
        <f>HEX2DEC(RIGHT(Table1323214[[#This Row],[h1]],8))</f>
        <v>0</v>
      </c>
      <c r="Q461" s="47" t="s">
        <v>97</v>
      </c>
      <c r="R461" s="47">
        <f>HEX2DEC(RIGHT(Table1323214[[#This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7" t="s">
        <v>97</v>
      </c>
      <c r="P462" s="47">
        <f>HEX2DEC(RIGHT(Table1323214[[#This Row],[h1]],8))</f>
        <v>0</v>
      </c>
      <c r="Q462" s="47" t="s">
        <v>97</v>
      </c>
      <c r="R462" s="47">
        <f>HEX2DEC(RIGHT(Table1323214[[#This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7" t="s">
        <v>97</v>
      </c>
      <c r="P463" s="47">
        <f>HEX2DEC(RIGHT(Table1323214[[#This Row],[h1]],8))</f>
        <v>0</v>
      </c>
      <c r="Q463" s="47" t="s">
        <v>97</v>
      </c>
      <c r="R463" s="47">
        <f>HEX2DEC(RIGHT(Table1323214[[#This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7" t="s">
        <v>97</v>
      </c>
      <c r="P464" s="47">
        <f>HEX2DEC(RIGHT(Table1323214[[#This Row],[h1]],8))</f>
        <v>0</v>
      </c>
      <c r="Q464" s="47" t="s">
        <v>97</v>
      </c>
      <c r="R464" s="47">
        <f>HEX2DEC(RIGHT(Table1323214[[#This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7" t="s">
        <v>97</v>
      </c>
      <c r="P465" s="47">
        <f>HEX2DEC(RIGHT(Table1323214[[#This Row],[h1]],8))</f>
        <v>0</v>
      </c>
      <c r="Q465" s="47" t="s">
        <v>97</v>
      </c>
      <c r="R465" s="47">
        <f>HEX2DEC(RIGHT(Table1323214[[#This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7" t="s">
        <v>97</v>
      </c>
      <c r="P466" s="47">
        <f>HEX2DEC(RIGHT(Table1323214[[#This Row],[h1]],8))</f>
        <v>0</v>
      </c>
      <c r="Q466" s="47" t="s">
        <v>97</v>
      </c>
      <c r="R466" s="47">
        <f>HEX2DEC(RIGHT(Table1323214[[#This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7" t="s">
        <v>97</v>
      </c>
      <c r="P467" s="47">
        <f>HEX2DEC(RIGHT(Table1323214[[#This Row],[h1]],8))</f>
        <v>0</v>
      </c>
      <c r="Q467" s="47" t="s">
        <v>97</v>
      </c>
      <c r="R467" s="47">
        <f>HEX2DEC(RIGHT(Table1323214[[#This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7" t="s">
        <v>97</v>
      </c>
      <c r="P468" s="47">
        <f>HEX2DEC(RIGHT(Table1323214[[#This Row],[h1]],8))</f>
        <v>0</v>
      </c>
      <c r="Q468" s="47" t="s">
        <v>97</v>
      </c>
      <c r="R468" s="47">
        <f>HEX2DEC(RIGHT(Table1323214[[#This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7" t="s">
        <v>97</v>
      </c>
      <c r="P469" s="47">
        <f>HEX2DEC(RIGHT(Table1323214[[#This Row],[h1]],8))</f>
        <v>0</v>
      </c>
      <c r="Q469" s="47" t="s">
        <v>97</v>
      </c>
      <c r="R469" s="47">
        <f>HEX2DEC(RIGHT(Table1323214[[#This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7" t="s">
        <v>97</v>
      </c>
      <c r="P470" s="47">
        <f>HEX2DEC(RIGHT(Table1323214[[#This Row],[h1]],8))</f>
        <v>0</v>
      </c>
      <c r="Q470" s="47" t="s">
        <v>97</v>
      </c>
      <c r="R470" s="47">
        <f>HEX2DEC(RIGHT(Table1323214[[#This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7" t="s">
        <v>97</v>
      </c>
      <c r="P471" s="47">
        <f>HEX2DEC(RIGHT(Table1323214[[#This Row],[h1]],8))</f>
        <v>0</v>
      </c>
      <c r="Q471" s="47" t="s">
        <v>97</v>
      </c>
      <c r="R471" s="47">
        <f>HEX2DEC(RIGHT(Table1323214[[#This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7" t="s">
        <v>97</v>
      </c>
      <c r="P472" s="47">
        <f>HEX2DEC(RIGHT(Table1323214[[#This Row],[h1]],8))</f>
        <v>0</v>
      </c>
      <c r="Q472" s="47" t="s">
        <v>97</v>
      </c>
      <c r="R472" s="47">
        <f>HEX2DEC(RIGHT(Table1323214[[#This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7" t="s">
        <v>97</v>
      </c>
      <c r="P473" s="47">
        <f>HEX2DEC(RIGHT(Table1323214[[#This Row],[h1]],8))</f>
        <v>0</v>
      </c>
      <c r="Q473" s="47" t="s">
        <v>97</v>
      </c>
      <c r="R473" s="47">
        <f>HEX2DEC(RIGHT(Table1323214[[#This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7" t="s">
        <v>97</v>
      </c>
      <c r="P474" s="47">
        <f>HEX2DEC(RIGHT(Table1323214[[#This Row],[h1]],8))</f>
        <v>0</v>
      </c>
      <c r="Q474" s="47" t="s">
        <v>97</v>
      </c>
      <c r="R474" s="47">
        <f>HEX2DEC(RIGHT(Table1323214[[#This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7" t="s">
        <v>97</v>
      </c>
      <c r="P475" s="47">
        <f>HEX2DEC(RIGHT(Table1323214[[#This Row],[h1]],8))</f>
        <v>0</v>
      </c>
      <c r="Q475" s="47" t="s">
        <v>97</v>
      </c>
      <c r="R475" s="47">
        <f>HEX2DEC(RIGHT(Table1323214[[#This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7" t="s">
        <v>97</v>
      </c>
      <c r="P476" s="47">
        <f>HEX2DEC(RIGHT(Table1323214[[#This Row],[h1]],8))</f>
        <v>0</v>
      </c>
      <c r="Q476" s="47" t="s">
        <v>97</v>
      </c>
      <c r="R476" s="47">
        <f>HEX2DEC(RIGHT(Table1323214[[#This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7" t="s">
        <v>97</v>
      </c>
      <c r="P477" s="47">
        <f>HEX2DEC(RIGHT(Table1323214[[#This Row],[h1]],8))</f>
        <v>0</v>
      </c>
      <c r="Q477" s="47" t="s">
        <v>97</v>
      </c>
      <c r="R477" s="47">
        <f>HEX2DEC(RIGHT(Table1323214[[#This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7" t="s">
        <v>97</v>
      </c>
      <c r="P478" s="47">
        <f>HEX2DEC(RIGHT(Table1323214[[#This Row],[h1]],8))</f>
        <v>0</v>
      </c>
      <c r="Q478" s="47" t="s">
        <v>97</v>
      </c>
      <c r="R478" s="47">
        <f>HEX2DEC(RIGHT(Table1323214[[#This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7" t="s">
        <v>97</v>
      </c>
      <c r="P479" s="47">
        <f>HEX2DEC(RIGHT(Table1323214[[#This Row],[h1]],8))</f>
        <v>0</v>
      </c>
      <c r="Q479" s="47" t="s">
        <v>97</v>
      </c>
      <c r="R479" s="47">
        <f>HEX2DEC(RIGHT(Table1323214[[#This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7" t="s">
        <v>97</v>
      </c>
      <c r="P480" s="47">
        <f>HEX2DEC(RIGHT(Table1323214[[#This Row],[h1]],8))</f>
        <v>0</v>
      </c>
      <c r="Q480" s="47" t="s">
        <v>97</v>
      </c>
      <c r="R480" s="47">
        <f>HEX2DEC(RIGHT(Table1323214[[#This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7" t="s">
        <v>97</v>
      </c>
      <c r="P481" s="47">
        <f>HEX2DEC(RIGHT(Table1323214[[#This Row],[h1]],8))</f>
        <v>0</v>
      </c>
      <c r="Q481" s="47" t="s">
        <v>97</v>
      </c>
      <c r="R481" s="47">
        <f>HEX2DEC(RIGHT(Table1323214[[#This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7" t="s">
        <v>97</v>
      </c>
      <c r="P482" s="47">
        <f>HEX2DEC(RIGHT(Table1323214[[#This Row],[h1]],8))</f>
        <v>0</v>
      </c>
      <c r="Q482" s="47" t="s">
        <v>97</v>
      </c>
      <c r="R482" s="47">
        <f>HEX2DEC(RIGHT(Table1323214[[#This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7" t="s">
        <v>97</v>
      </c>
      <c r="P483" s="47">
        <f>HEX2DEC(RIGHT(Table1323214[[#This Row],[h1]],8))</f>
        <v>0</v>
      </c>
      <c r="Q483" s="47" t="s">
        <v>97</v>
      </c>
      <c r="R483" s="47">
        <f>HEX2DEC(RIGHT(Table1323214[[#This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7" t="s">
        <v>97</v>
      </c>
      <c r="P484" s="47">
        <f>HEX2DEC(RIGHT(Table1323214[[#This Row],[h1]],8))</f>
        <v>0</v>
      </c>
      <c r="Q484" s="47" t="s">
        <v>97</v>
      </c>
      <c r="R484" s="47">
        <f>HEX2DEC(RIGHT(Table1323214[[#This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7" t="s">
        <v>97</v>
      </c>
      <c r="P485" s="47">
        <f>HEX2DEC(RIGHT(Table1323214[[#This Row],[h1]],8))</f>
        <v>0</v>
      </c>
      <c r="Q485" s="47" t="s">
        <v>97</v>
      </c>
      <c r="R485" s="47">
        <f>HEX2DEC(RIGHT(Table1323214[[#This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7" t="s">
        <v>97</v>
      </c>
      <c r="P486" s="47">
        <f>HEX2DEC(RIGHT(Table1323214[[#This Row],[h1]],8))</f>
        <v>0</v>
      </c>
      <c r="Q486" s="47" t="s">
        <v>97</v>
      </c>
      <c r="R486" s="47">
        <f>HEX2DEC(RIGHT(Table1323214[[#This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7" t="s">
        <v>97</v>
      </c>
      <c r="P487" s="47">
        <f>HEX2DEC(RIGHT(Table1323214[[#This Row],[h1]],8))</f>
        <v>0</v>
      </c>
      <c r="Q487" s="47" t="s">
        <v>97</v>
      </c>
      <c r="R487" s="47">
        <f>HEX2DEC(RIGHT(Table1323214[[#This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7" t="s">
        <v>97</v>
      </c>
      <c r="P488" s="47">
        <f>HEX2DEC(RIGHT(Table1323214[[#This Row],[h1]],8))</f>
        <v>0</v>
      </c>
      <c r="Q488" s="47" t="s">
        <v>97</v>
      </c>
      <c r="R488" s="47">
        <f>HEX2DEC(RIGHT(Table1323214[[#This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7" t="s">
        <v>97</v>
      </c>
      <c r="P489" s="47">
        <f>HEX2DEC(RIGHT(Table1323214[[#This Row],[h1]],8))</f>
        <v>0</v>
      </c>
      <c r="Q489" s="47" t="s">
        <v>97</v>
      </c>
      <c r="R489" s="47">
        <f>HEX2DEC(RIGHT(Table1323214[[#This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7" t="s">
        <v>97</v>
      </c>
      <c r="P490" s="47">
        <f>HEX2DEC(RIGHT(Table1323214[[#This Row],[h1]],8))</f>
        <v>0</v>
      </c>
      <c r="Q490" s="47" t="s">
        <v>97</v>
      </c>
      <c r="R490" s="47">
        <f>HEX2DEC(RIGHT(Table1323214[[#This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7" t="s">
        <v>97</v>
      </c>
      <c r="P491" s="47">
        <f>HEX2DEC(RIGHT(Table1323214[[#This Row],[h1]],8))</f>
        <v>0</v>
      </c>
      <c r="Q491" s="47" t="s">
        <v>97</v>
      </c>
      <c r="R491" s="47">
        <f>HEX2DEC(RIGHT(Table1323214[[#This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7" t="s">
        <v>97</v>
      </c>
      <c r="P492" s="47">
        <f>HEX2DEC(RIGHT(Table1323214[[#This Row],[h1]],8))</f>
        <v>0</v>
      </c>
      <c r="Q492" s="47" t="s">
        <v>97</v>
      </c>
      <c r="R492" s="47">
        <f>HEX2DEC(RIGHT(Table1323214[[#This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7" t="s">
        <v>97</v>
      </c>
      <c r="P493" s="47">
        <f>HEX2DEC(RIGHT(Table1323214[[#This Row],[h1]],8))</f>
        <v>0</v>
      </c>
      <c r="Q493" s="47" t="s">
        <v>97</v>
      </c>
      <c r="R493" s="47">
        <f>HEX2DEC(RIGHT(Table1323214[[#This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7" t="s">
        <v>97</v>
      </c>
      <c r="P494" s="47">
        <f>HEX2DEC(RIGHT(Table1323214[[#This Row],[h1]],8))</f>
        <v>0</v>
      </c>
      <c r="Q494" s="47" t="s">
        <v>97</v>
      </c>
      <c r="R494" s="47">
        <f>HEX2DEC(RIGHT(Table1323214[[#This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7" t="s">
        <v>97</v>
      </c>
      <c r="P495" s="47">
        <f>HEX2DEC(RIGHT(Table1323214[[#This Row],[h1]],8))</f>
        <v>0</v>
      </c>
      <c r="Q495" s="47" t="s">
        <v>97</v>
      </c>
      <c r="R495" s="47">
        <f>HEX2DEC(RIGHT(Table1323214[[#This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7" t="s">
        <v>97</v>
      </c>
      <c r="P496" s="47">
        <f>HEX2DEC(RIGHT(Table1323214[[#This Row],[h1]],8))</f>
        <v>0</v>
      </c>
      <c r="Q496" s="47" t="s">
        <v>97</v>
      </c>
      <c r="R496" s="47">
        <f>HEX2DEC(RIGHT(Table1323214[[#This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7" t="s">
        <v>97</v>
      </c>
      <c r="P497" s="47">
        <f>HEX2DEC(RIGHT(Table1323214[[#This Row],[h1]],8))</f>
        <v>0</v>
      </c>
      <c r="Q497" s="47" t="s">
        <v>97</v>
      </c>
      <c r="R497" s="47">
        <f>HEX2DEC(RIGHT(Table1323214[[#This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7" t="s">
        <v>97</v>
      </c>
      <c r="P498" s="47">
        <f>HEX2DEC(RIGHT(Table1323214[[#This Row],[h1]],8))</f>
        <v>0</v>
      </c>
      <c r="Q498" s="47" t="s">
        <v>97</v>
      </c>
      <c r="R498" s="47">
        <f>HEX2DEC(RIGHT(Table1323214[[#This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7" t="s">
        <v>97</v>
      </c>
      <c r="P499" s="47">
        <f>HEX2DEC(RIGHT(Table1323214[[#This Row],[h1]],8))</f>
        <v>0</v>
      </c>
      <c r="Q499" s="47" t="s">
        <v>97</v>
      </c>
      <c r="R499" s="47">
        <f>HEX2DEC(RIGHT(Table1323214[[#This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7" t="s">
        <v>97</v>
      </c>
      <c r="P500" s="47">
        <f>HEX2DEC(RIGHT(Table1323214[[#This Row],[h1]],8))</f>
        <v>0</v>
      </c>
      <c r="Q500" s="47" t="s">
        <v>97</v>
      </c>
      <c r="R500" s="47">
        <f>HEX2DEC(RIGHT(Table1323214[[#This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7" t="s">
        <v>97</v>
      </c>
      <c r="P501" s="47">
        <f>HEX2DEC(RIGHT(Table1323214[[#This Row],[h1]],8))</f>
        <v>0</v>
      </c>
      <c r="Q501" s="47" t="s">
        <v>97</v>
      </c>
      <c r="R501" s="47">
        <f>HEX2DEC(RIGHT(Table1323214[[#This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7" t="s">
        <v>97</v>
      </c>
      <c r="P502" s="47">
        <f>HEX2DEC(RIGHT(Table1323214[[#This Row],[h1]],8))</f>
        <v>0</v>
      </c>
      <c r="Q502" s="47" t="s">
        <v>97</v>
      </c>
      <c r="R502" s="47">
        <f>HEX2DEC(RIGHT(Table1323214[[#This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7" t="s">
        <v>97</v>
      </c>
      <c r="P503" s="47">
        <f>HEX2DEC(RIGHT(Table1323214[[#This Row],[h1]],8))</f>
        <v>0</v>
      </c>
      <c r="Q503" s="47" t="s">
        <v>97</v>
      </c>
      <c r="R503" s="47">
        <f>HEX2DEC(RIGHT(Table1323214[[#This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7" t="s">
        <v>97</v>
      </c>
      <c r="P504" s="47">
        <f>HEX2DEC(RIGHT(Table1323214[[#This Row],[h1]],8))</f>
        <v>0</v>
      </c>
      <c r="Q504" s="47" t="s">
        <v>97</v>
      </c>
      <c r="R504" s="47">
        <f>HEX2DEC(RIGHT(Table1323214[[#This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7" t="s">
        <v>97</v>
      </c>
      <c r="P505" s="47">
        <f>HEX2DEC(RIGHT(Table1323214[[#This Row],[h1]],8))</f>
        <v>0</v>
      </c>
      <c r="Q505" s="47" t="s">
        <v>97</v>
      </c>
      <c r="R505" s="47">
        <f>HEX2DEC(RIGHT(Table1323214[[#This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7" t="s">
        <v>97</v>
      </c>
      <c r="P506" s="47">
        <f>HEX2DEC(RIGHT(Table1323214[[#This Row],[h1]],8))</f>
        <v>0</v>
      </c>
      <c r="Q506" s="47" t="s">
        <v>97</v>
      </c>
      <c r="R506" s="47">
        <f>HEX2DEC(RIGHT(Table1323214[[#This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7" t="s">
        <v>97</v>
      </c>
      <c r="P507" s="47">
        <f>HEX2DEC(RIGHT(Table1323214[[#This Row],[h1]],8))</f>
        <v>0</v>
      </c>
      <c r="Q507" s="47" t="s">
        <v>97</v>
      </c>
      <c r="R507" s="47">
        <f>HEX2DEC(RIGHT(Table1323214[[#This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7" t="s">
        <v>97</v>
      </c>
      <c r="P508" s="47">
        <f>HEX2DEC(RIGHT(Table1323214[[#This Row],[h1]],8))</f>
        <v>0</v>
      </c>
      <c r="Q508" s="47" t="s">
        <v>97</v>
      </c>
      <c r="R508" s="47">
        <f>HEX2DEC(RIGHT(Table1323214[[#This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7" t="s">
        <v>97</v>
      </c>
      <c r="P509" s="47">
        <f>HEX2DEC(RIGHT(Table1323214[[#This Row],[h1]],8))</f>
        <v>0</v>
      </c>
      <c r="Q509" s="47" t="s">
        <v>97</v>
      </c>
      <c r="R509" s="47">
        <f>HEX2DEC(RIGHT(Table1323214[[#This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7" t="s">
        <v>97</v>
      </c>
      <c r="P510" s="47">
        <f>HEX2DEC(RIGHT(Table1323214[[#This Row],[h1]],8))</f>
        <v>0</v>
      </c>
      <c r="Q510" s="47" t="s">
        <v>97</v>
      </c>
      <c r="R510" s="47">
        <f>HEX2DEC(RIGHT(Table1323214[[#This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7" t="s">
        <v>97</v>
      </c>
      <c r="P511" s="47">
        <f>HEX2DEC(RIGHT(Table1323214[[#This Row],[h1]],8))</f>
        <v>0</v>
      </c>
      <c r="Q511" s="47" t="s">
        <v>97</v>
      </c>
      <c r="R511" s="47">
        <f>HEX2DEC(RIGHT(Table1323214[[#This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7" t="s">
        <v>97</v>
      </c>
      <c r="P512" s="47">
        <f>HEX2DEC(RIGHT(Table1323214[[#This Row],[h1]],8))</f>
        <v>0</v>
      </c>
      <c r="Q512" s="47" t="s">
        <v>97</v>
      </c>
      <c r="R512" s="47">
        <f>HEX2DEC(RIGHT(Table1323214[[#This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7" t="s">
        <v>97</v>
      </c>
      <c r="P513" s="47">
        <f>HEX2DEC(RIGHT(Table1323214[[#This Row],[h1]],8))</f>
        <v>0</v>
      </c>
      <c r="Q513" s="47" t="s">
        <v>97</v>
      </c>
      <c r="R513" s="47">
        <f>HEX2DEC(RIGHT(Table1323214[[#This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7" t="s">
        <v>97</v>
      </c>
      <c r="P514" s="47">
        <f>HEX2DEC(RIGHT(Table1323214[[#This Row],[h1]],8))</f>
        <v>0</v>
      </c>
      <c r="Q514" s="47" t="s">
        <v>97</v>
      </c>
      <c r="R514" s="47">
        <f>HEX2DEC(RIGHT(Table1323214[[#This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7" t="s">
        <v>97</v>
      </c>
      <c r="P515" s="47">
        <f>HEX2DEC(RIGHT(Table1323214[[#This Row],[h1]],8))</f>
        <v>0</v>
      </c>
      <c r="Q515" s="47" t="s">
        <v>97</v>
      </c>
      <c r="R515" s="47">
        <f>HEX2DEC(RIGHT(Table1323214[[#This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7" t="s">
        <v>97</v>
      </c>
      <c r="P516" s="47">
        <f>HEX2DEC(RIGHT(Table1323214[[#This Row],[h1]],8))</f>
        <v>0</v>
      </c>
      <c r="Q516" s="47" t="s">
        <v>97</v>
      </c>
      <c r="R516" s="47">
        <f>HEX2DEC(RIGHT(Table1323214[[#This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7" t="s">
        <v>97</v>
      </c>
      <c r="P517" s="47">
        <f>HEX2DEC(RIGHT(Table1323214[[#This Row],[h1]],8))</f>
        <v>0</v>
      </c>
      <c r="Q517" s="47" t="s">
        <v>97</v>
      </c>
      <c r="R517" s="47">
        <f>HEX2DEC(RIGHT(Table1323214[[#This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7" t="s">
        <v>97</v>
      </c>
      <c r="P518" s="47">
        <f>HEX2DEC(RIGHT(Table1323214[[#This Row],[h1]],8))</f>
        <v>0</v>
      </c>
      <c r="Q518" s="47" t="s">
        <v>97</v>
      </c>
      <c r="R518" s="47">
        <f>HEX2DEC(RIGHT(Table1323214[[#This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7" t="s">
        <v>97</v>
      </c>
      <c r="P519" s="47">
        <f>HEX2DEC(RIGHT(Table1323214[[#This Row],[h1]],8))</f>
        <v>0</v>
      </c>
      <c r="Q519" s="47" t="s">
        <v>97</v>
      </c>
      <c r="R519" s="47">
        <f>HEX2DEC(RIGHT(Table1323214[[#This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7" t="s">
        <v>97</v>
      </c>
      <c r="P520" s="47">
        <f>HEX2DEC(RIGHT(Table1323214[[#This Row],[h1]],8))</f>
        <v>0</v>
      </c>
      <c r="Q520" s="47" t="s">
        <v>97</v>
      </c>
      <c r="R520" s="47">
        <f>HEX2DEC(RIGHT(Table1323214[[#This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7" t="s">
        <v>97</v>
      </c>
      <c r="P521" s="47">
        <f>HEX2DEC(RIGHT(Table1323214[[#This Row],[h1]],8))</f>
        <v>0</v>
      </c>
      <c r="Q521" s="47" t="s">
        <v>97</v>
      </c>
      <c r="R521" s="47">
        <f>HEX2DEC(RIGHT(Table1323214[[#This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7" t="s">
        <v>97</v>
      </c>
      <c r="P522" s="47">
        <f>HEX2DEC(RIGHT(Table1323214[[#This Row],[h1]],8))</f>
        <v>0</v>
      </c>
      <c r="Q522" s="47" t="s">
        <v>97</v>
      </c>
      <c r="R522" s="47">
        <f>HEX2DEC(RIGHT(Table1323214[[#This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7" t="s">
        <v>97</v>
      </c>
      <c r="P523" s="47">
        <f>HEX2DEC(RIGHT(Table1323214[[#This Row],[h1]],8))</f>
        <v>0</v>
      </c>
      <c r="Q523" s="47" t="s">
        <v>97</v>
      </c>
      <c r="R523" s="47">
        <f>HEX2DEC(RIGHT(Table1323214[[#This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7" t="s">
        <v>97</v>
      </c>
      <c r="P524" s="47">
        <f>HEX2DEC(RIGHT(Table1323214[[#This Row],[h1]],8))</f>
        <v>0</v>
      </c>
      <c r="Q524" s="47" t="s">
        <v>97</v>
      </c>
      <c r="R524" s="47">
        <f>HEX2DEC(RIGHT(Table1323214[[#This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7" t="s">
        <v>97</v>
      </c>
      <c r="P525" s="47">
        <f>HEX2DEC(RIGHT(Table1323214[[#This Row],[h1]],8))</f>
        <v>0</v>
      </c>
      <c r="Q525" s="47" t="s">
        <v>97</v>
      </c>
      <c r="R525" s="47">
        <f>HEX2DEC(RIGHT(Table1323214[[#This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7" t="s">
        <v>97</v>
      </c>
      <c r="P526" s="47">
        <f>HEX2DEC(RIGHT(Table1323214[[#This Row],[h1]],8))</f>
        <v>0</v>
      </c>
      <c r="Q526" s="47" t="s">
        <v>97</v>
      </c>
      <c r="R526" s="47">
        <f>HEX2DEC(RIGHT(Table1323214[[#This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7" t="s">
        <v>97</v>
      </c>
      <c r="P527" s="47">
        <f>HEX2DEC(RIGHT(Table1323214[[#This Row],[h1]],8))</f>
        <v>0</v>
      </c>
      <c r="Q527" s="47" t="s">
        <v>97</v>
      </c>
      <c r="R527" s="47">
        <f>HEX2DEC(RIGHT(Table1323214[[#This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7" t="s">
        <v>97</v>
      </c>
      <c r="P528" s="47">
        <f>HEX2DEC(RIGHT(Table1323214[[#This Row],[h1]],8))</f>
        <v>0</v>
      </c>
      <c r="Q528" s="47" t="s">
        <v>97</v>
      </c>
      <c r="R528" s="47">
        <f>HEX2DEC(RIGHT(Table1323214[[#This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7" t="s">
        <v>97</v>
      </c>
      <c r="P529" s="47">
        <f>HEX2DEC(RIGHT(Table1323214[[#This Row],[h1]],8))</f>
        <v>0</v>
      </c>
      <c r="Q529" s="47" t="s">
        <v>97</v>
      </c>
      <c r="R529" s="47">
        <f>HEX2DEC(RIGHT(Table1323214[[#This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7" t="s">
        <v>97</v>
      </c>
      <c r="P530" s="47">
        <f>HEX2DEC(RIGHT(Table1323214[[#This Row],[h1]],8))</f>
        <v>0</v>
      </c>
      <c r="Q530" s="47" t="s">
        <v>97</v>
      </c>
      <c r="R530" s="47">
        <f>HEX2DEC(RIGHT(Table1323214[[#This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7" t="s">
        <v>97</v>
      </c>
      <c r="P531" s="47">
        <f>HEX2DEC(RIGHT(Table1323214[[#This Row],[h1]],8))</f>
        <v>0</v>
      </c>
      <c r="Q531" s="47" t="s">
        <v>97</v>
      </c>
      <c r="R531" s="47">
        <f>HEX2DEC(RIGHT(Table1323214[[#This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7" t="s">
        <v>97</v>
      </c>
      <c r="P532" s="47">
        <f>HEX2DEC(RIGHT(Table1323214[[#This Row],[h1]],8))</f>
        <v>0</v>
      </c>
      <c r="Q532" s="47" t="s">
        <v>97</v>
      </c>
      <c r="R532" s="47">
        <f>HEX2DEC(RIGHT(Table1323214[[#This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7" t="s">
        <v>97</v>
      </c>
      <c r="P533" s="47">
        <f>HEX2DEC(RIGHT(Table1323214[[#This Row],[h1]],8))</f>
        <v>0</v>
      </c>
      <c r="Q533" s="47" t="s">
        <v>97</v>
      </c>
      <c r="R533" s="47">
        <f>HEX2DEC(RIGHT(Table1323214[[#This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7" t="s">
        <v>97</v>
      </c>
      <c r="P534" s="47">
        <f>HEX2DEC(RIGHT(Table1323214[[#This Row],[h1]],8))</f>
        <v>0</v>
      </c>
      <c r="Q534" s="47" t="s">
        <v>97</v>
      </c>
      <c r="R534" s="47">
        <f>HEX2DEC(RIGHT(Table1323214[[#This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7" t="s">
        <v>97</v>
      </c>
      <c r="P535" s="47">
        <f>HEX2DEC(RIGHT(Table1323214[[#This Row],[h1]],8))</f>
        <v>0</v>
      </c>
      <c r="Q535" s="47" t="s">
        <v>97</v>
      </c>
      <c r="R535" s="47">
        <f>HEX2DEC(RIGHT(Table1323214[[#This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7" t="s">
        <v>97</v>
      </c>
      <c r="P536" s="47">
        <f>HEX2DEC(RIGHT(Table1323214[[#This Row],[h1]],8))</f>
        <v>0</v>
      </c>
      <c r="Q536" s="47" t="s">
        <v>97</v>
      </c>
      <c r="R536" s="47">
        <f>HEX2DEC(RIGHT(Table1323214[[#This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7" t="s">
        <v>97</v>
      </c>
      <c r="P537" s="47">
        <f>HEX2DEC(RIGHT(Table1323214[[#This Row],[h1]],8))</f>
        <v>0</v>
      </c>
      <c r="Q537" s="47" t="s">
        <v>97</v>
      </c>
      <c r="R537" s="47">
        <f>HEX2DEC(RIGHT(Table1323214[[#This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7" t="s">
        <v>97</v>
      </c>
      <c r="P538" s="47">
        <f>HEX2DEC(RIGHT(Table1323214[[#This Row],[h1]],8))</f>
        <v>0</v>
      </c>
      <c r="Q538" s="47" t="s">
        <v>97</v>
      </c>
      <c r="R538" s="47">
        <f>HEX2DEC(RIGHT(Table1323214[[#This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7" t="s">
        <v>97</v>
      </c>
      <c r="P539" s="47">
        <f>HEX2DEC(RIGHT(Table1323214[[#This Row],[h1]],8))</f>
        <v>0</v>
      </c>
      <c r="Q539" s="47" t="s">
        <v>97</v>
      </c>
      <c r="R539" s="47">
        <f>HEX2DEC(RIGHT(Table1323214[[#This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7" t="s">
        <v>97</v>
      </c>
      <c r="P540" s="47">
        <f>HEX2DEC(RIGHT(Table1323214[[#This Row],[h1]],8))</f>
        <v>0</v>
      </c>
      <c r="Q540" s="47" t="s">
        <v>97</v>
      </c>
      <c r="R540" s="47">
        <f>HEX2DEC(RIGHT(Table1323214[[#This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7" t="s">
        <v>97</v>
      </c>
      <c r="P541" s="47">
        <f>HEX2DEC(RIGHT(Table1323214[[#This Row],[h1]],8))</f>
        <v>0</v>
      </c>
      <c r="Q541" s="47" t="s">
        <v>97</v>
      </c>
      <c r="R541" s="47">
        <f>HEX2DEC(RIGHT(Table1323214[[#This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7" t="s">
        <v>97</v>
      </c>
      <c r="P542" s="47">
        <f>HEX2DEC(RIGHT(Table1323214[[#This Row],[h1]],8))</f>
        <v>0</v>
      </c>
      <c r="Q542" s="47" t="s">
        <v>97</v>
      </c>
      <c r="R542" s="47">
        <f>HEX2DEC(RIGHT(Table1323214[[#This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7" t="s">
        <v>97</v>
      </c>
      <c r="P543" s="47">
        <f>HEX2DEC(RIGHT(Table1323214[[#This Row],[h1]],8))</f>
        <v>0</v>
      </c>
      <c r="Q543" s="47" t="s">
        <v>97</v>
      </c>
      <c r="R543" s="47">
        <f>HEX2DEC(RIGHT(Table1323214[[#This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7" t="s">
        <v>97</v>
      </c>
      <c r="P544" s="47">
        <f>HEX2DEC(RIGHT(Table1323214[[#This Row],[h1]],8))</f>
        <v>0</v>
      </c>
      <c r="Q544" s="47" t="s">
        <v>97</v>
      </c>
      <c r="R544" s="47">
        <f>HEX2DEC(RIGHT(Table1323214[[#This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7" t="s">
        <v>97</v>
      </c>
      <c r="P545" s="47">
        <f>HEX2DEC(RIGHT(Table1323214[[#This Row],[h1]],8))</f>
        <v>0</v>
      </c>
      <c r="Q545" s="47" t="s">
        <v>97</v>
      </c>
      <c r="R545" s="47">
        <f>HEX2DEC(RIGHT(Table1323214[[#This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7" t="s">
        <v>97</v>
      </c>
      <c r="P546" s="47">
        <f>HEX2DEC(RIGHT(Table1323214[[#This Row],[h1]],8))</f>
        <v>0</v>
      </c>
      <c r="Q546" s="47" t="s">
        <v>97</v>
      </c>
      <c r="R546" s="47">
        <f>HEX2DEC(RIGHT(Table1323214[[#This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7" t="s">
        <v>97</v>
      </c>
      <c r="P547" s="47">
        <f>HEX2DEC(RIGHT(Table1323214[[#This Row],[h1]],8))</f>
        <v>0</v>
      </c>
      <c r="Q547" s="47" t="s">
        <v>97</v>
      </c>
      <c r="R547" s="47">
        <f>HEX2DEC(RIGHT(Table1323214[[#This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7" t="s">
        <v>97</v>
      </c>
      <c r="P548" s="47">
        <f>HEX2DEC(RIGHT(Table1323214[[#This Row],[h1]],8))</f>
        <v>0</v>
      </c>
      <c r="Q548" s="47" t="s">
        <v>97</v>
      </c>
      <c r="R548" s="47">
        <f>HEX2DEC(RIGHT(Table1323214[[#This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7" t="s">
        <v>97</v>
      </c>
      <c r="P549" s="47">
        <f>HEX2DEC(RIGHT(Table1323214[[#This Row],[h1]],8))</f>
        <v>0</v>
      </c>
      <c r="Q549" s="47" t="s">
        <v>97</v>
      </c>
      <c r="R549" s="47">
        <f>HEX2DEC(RIGHT(Table1323214[[#This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7" t="s">
        <v>97</v>
      </c>
      <c r="P550" s="47">
        <f>HEX2DEC(RIGHT(Table1323214[[#This Row],[h1]],8))</f>
        <v>0</v>
      </c>
      <c r="Q550" s="47" t="s">
        <v>97</v>
      </c>
      <c r="R550" s="47">
        <f>HEX2DEC(RIGHT(Table1323214[[#This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7" t="s">
        <v>97</v>
      </c>
      <c r="P551" s="47">
        <f>HEX2DEC(RIGHT(Table1323214[[#This Row],[h1]],8))</f>
        <v>0</v>
      </c>
      <c r="Q551" s="47" t="s">
        <v>97</v>
      </c>
      <c r="R551" s="47">
        <f>HEX2DEC(RIGHT(Table1323214[[#This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7" t="s">
        <v>97</v>
      </c>
      <c r="P552" s="47">
        <f>HEX2DEC(RIGHT(Table1323214[[#This Row],[h1]],8))</f>
        <v>0</v>
      </c>
      <c r="Q552" s="47" t="s">
        <v>97</v>
      </c>
      <c r="R552" s="47">
        <f>HEX2DEC(RIGHT(Table1323214[[#This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7" t="s">
        <v>97</v>
      </c>
      <c r="P553" s="47">
        <f>HEX2DEC(RIGHT(Table1323214[[#This Row],[h1]],8))</f>
        <v>0</v>
      </c>
      <c r="Q553" s="47" t="s">
        <v>97</v>
      </c>
      <c r="R553" s="47">
        <f>HEX2DEC(RIGHT(Table1323214[[#This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7" t="s">
        <v>97</v>
      </c>
      <c r="P554" s="47">
        <f>HEX2DEC(RIGHT(Table1323214[[#This Row],[h1]],8))</f>
        <v>0</v>
      </c>
      <c r="Q554" s="47" t="s">
        <v>97</v>
      </c>
      <c r="R554" s="47">
        <f>HEX2DEC(RIGHT(Table1323214[[#This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7" t="s">
        <v>97</v>
      </c>
      <c r="P555" s="47">
        <f>HEX2DEC(RIGHT(Table1323214[[#This Row],[h1]],8))</f>
        <v>0</v>
      </c>
      <c r="Q555" s="47" t="s">
        <v>97</v>
      </c>
      <c r="R555" s="47">
        <f>HEX2DEC(RIGHT(Table1323214[[#This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7" t="s">
        <v>97</v>
      </c>
      <c r="P556" s="47">
        <f>HEX2DEC(RIGHT(Table1323214[[#This Row],[h1]],8))</f>
        <v>0</v>
      </c>
      <c r="Q556" s="47" t="s">
        <v>97</v>
      </c>
      <c r="R556" s="47">
        <f>HEX2DEC(RIGHT(Table1323214[[#This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7" t="s">
        <v>97</v>
      </c>
      <c r="P557" s="47">
        <f>HEX2DEC(RIGHT(Table1323214[[#This Row],[h1]],8))</f>
        <v>0</v>
      </c>
      <c r="Q557" s="47" t="s">
        <v>97</v>
      </c>
      <c r="R557" s="47">
        <f>HEX2DEC(RIGHT(Table1323214[[#This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7" t="s">
        <v>97</v>
      </c>
      <c r="P558" s="47">
        <f>HEX2DEC(RIGHT(Table1323214[[#This Row],[h1]],8))</f>
        <v>0</v>
      </c>
      <c r="Q558" s="47" t="s">
        <v>97</v>
      </c>
      <c r="R558" s="47">
        <f>HEX2DEC(RIGHT(Table1323214[[#This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7" t="s">
        <v>97</v>
      </c>
      <c r="P559" s="47">
        <f>HEX2DEC(RIGHT(Table1323214[[#This Row],[h1]],8))</f>
        <v>0</v>
      </c>
      <c r="Q559" s="47" t="s">
        <v>97</v>
      </c>
      <c r="R559" s="47">
        <f>HEX2DEC(RIGHT(Table1323214[[#This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7" t="s">
        <v>97</v>
      </c>
      <c r="P560" s="47">
        <f>HEX2DEC(RIGHT(Table1323214[[#This Row],[h1]],8))</f>
        <v>0</v>
      </c>
      <c r="Q560" s="47" t="s">
        <v>97</v>
      </c>
      <c r="R560" s="47">
        <f>HEX2DEC(RIGHT(Table1323214[[#This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7" t="s">
        <v>97</v>
      </c>
      <c r="P561" s="47">
        <f>HEX2DEC(RIGHT(Table1323214[[#This Row],[h1]],8))</f>
        <v>0</v>
      </c>
      <c r="Q561" s="47" t="s">
        <v>97</v>
      </c>
      <c r="R561" s="47">
        <f>HEX2DEC(RIGHT(Table1323214[[#This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7" t="s">
        <v>97</v>
      </c>
      <c r="P562" s="47">
        <f>HEX2DEC(RIGHT(Table1323214[[#This Row],[h1]],8))</f>
        <v>0</v>
      </c>
      <c r="Q562" s="47" t="s">
        <v>97</v>
      </c>
      <c r="R562" s="47">
        <f>HEX2DEC(RIGHT(Table1323214[[#This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7" t="s">
        <v>97</v>
      </c>
      <c r="P563" s="47">
        <f>HEX2DEC(RIGHT(Table1323214[[#This Row],[h1]],8))</f>
        <v>0</v>
      </c>
      <c r="Q563" s="47" t="s">
        <v>97</v>
      </c>
      <c r="R563" s="47">
        <f>HEX2DEC(RIGHT(Table1323214[[#This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7" t="s">
        <v>97</v>
      </c>
      <c r="P564" s="47">
        <f>HEX2DEC(RIGHT(Table1323214[[#This Row],[h1]],8))</f>
        <v>0</v>
      </c>
      <c r="Q564" s="47" t="s">
        <v>97</v>
      </c>
      <c r="R564" s="47">
        <f>HEX2DEC(RIGHT(Table1323214[[#This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7" t="s">
        <v>97</v>
      </c>
      <c r="P565" s="47">
        <f>HEX2DEC(RIGHT(Table1323214[[#This Row],[h1]],8))</f>
        <v>0</v>
      </c>
      <c r="Q565" s="47" t="s">
        <v>97</v>
      </c>
      <c r="R565" s="47">
        <f>HEX2DEC(RIGHT(Table1323214[[#This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7" t="s">
        <v>97</v>
      </c>
      <c r="P566" s="47">
        <f>HEX2DEC(RIGHT(Table1323214[[#This Row],[h1]],8))</f>
        <v>0</v>
      </c>
      <c r="Q566" s="47" t="s">
        <v>97</v>
      </c>
      <c r="R566" s="47">
        <f>HEX2DEC(RIGHT(Table1323214[[#This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7" t="s">
        <v>97</v>
      </c>
      <c r="P567" s="47">
        <f>HEX2DEC(RIGHT(Table1323214[[#This Row],[h1]],8))</f>
        <v>0</v>
      </c>
      <c r="Q567" s="47" t="s">
        <v>97</v>
      </c>
      <c r="R567" s="47">
        <f>HEX2DEC(RIGHT(Table1323214[[#This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7" t="s">
        <v>97</v>
      </c>
      <c r="P568" s="47">
        <f>HEX2DEC(RIGHT(Table1323214[[#This Row],[h1]],8))</f>
        <v>0</v>
      </c>
      <c r="Q568" s="47" t="s">
        <v>97</v>
      </c>
      <c r="R568" s="47">
        <f>HEX2DEC(RIGHT(Table1323214[[#This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7" t="s">
        <v>97</v>
      </c>
      <c r="P569" s="47">
        <f>HEX2DEC(RIGHT(Table1323214[[#This Row],[h1]],8))</f>
        <v>0</v>
      </c>
      <c r="Q569" s="47" t="s">
        <v>97</v>
      </c>
      <c r="R569" s="47">
        <f>HEX2DEC(RIGHT(Table1323214[[#This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7" t="s">
        <v>97</v>
      </c>
      <c r="P570" s="47">
        <f>HEX2DEC(RIGHT(Table1323214[[#This Row],[h1]],8))</f>
        <v>0</v>
      </c>
      <c r="Q570" s="47" t="s">
        <v>97</v>
      </c>
      <c r="R570" s="47">
        <f>HEX2DEC(RIGHT(Table1323214[[#This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7" t="s">
        <v>97</v>
      </c>
      <c r="P571" s="47">
        <f>HEX2DEC(RIGHT(Table1323214[[#This Row],[h1]],8))</f>
        <v>0</v>
      </c>
      <c r="Q571" s="47" t="s">
        <v>97</v>
      </c>
      <c r="R571" s="47">
        <f>HEX2DEC(RIGHT(Table1323214[[#This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7" t="s">
        <v>97</v>
      </c>
      <c r="P572" s="47">
        <f>HEX2DEC(RIGHT(Table1323214[[#This Row],[h1]],8))</f>
        <v>0</v>
      </c>
      <c r="Q572" s="47" t="s">
        <v>97</v>
      </c>
      <c r="R572" s="47">
        <f>HEX2DEC(RIGHT(Table1323214[[#This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7" t="s">
        <v>97</v>
      </c>
      <c r="P573" s="47">
        <f>HEX2DEC(RIGHT(Table1323214[[#This Row],[h1]],8))</f>
        <v>0</v>
      </c>
      <c r="Q573" s="47" t="s">
        <v>97</v>
      </c>
      <c r="R573" s="47">
        <f>HEX2DEC(RIGHT(Table1323214[[#This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7" t="s">
        <v>97</v>
      </c>
      <c r="P574" s="47">
        <f>HEX2DEC(RIGHT(Table1323214[[#This Row],[h1]],8))</f>
        <v>0</v>
      </c>
      <c r="Q574" s="47" t="s">
        <v>97</v>
      </c>
      <c r="R574" s="47">
        <f>HEX2DEC(RIGHT(Table1323214[[#This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7" t="s">
        <v>97</v>
      </c>
      <c r="P575" s="47">
        <f>HEX2DEC(RIGHT(Table1323214[[#This Row],[h1]],8))</f>
        <v>0</v>
      </c>
      <c r="Q575" s="47" t="s">
        <v>97</v>
      </c>
      <c r="R575" s="47">
        <f>HEX2DEC(RIGHT(Table1323214[[#This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7" t="s">
        <v>97</v>
      </c>
      <c r="P576" s="47">
        <f>HEX2DEC(RIGHT(Table1323214[[#This Row],[h1]],8))</f>
        <v>0</v>
      </c>
      <c r="Q576" s="47" t="s">
        <v>97</v>
      </c>
      <c r="R576" s="47">
        <f>HEX2DEC(RIGHT(Table1323214[[#This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7" t="s">
        <v>97</v>
      </c>
      <c r="P577" s="47">
        <f>HEX2DEC(RIGHT(Table1323214[[#This Row],[h1]],8))</f>
        <v>0</v>
      </c>
      <c r="Q577" s="47" t="s">
        <v>97</v>
      </c>
      <c r="R577" s="47">
        <f>HEX2DEC(RIGHT(Table1323214[[#This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7" t="s">
        <v>97</v>
      </c>
      <c r="P578" s="47">
        <f>HEX2DEC(RIGHT(Table1323214[[#This Row],[h1]],8))</f>
        <v>0</v>
      </c>
      <c r="Q578" s="47" t="s">
        <v>97</v>
      </c>
      <c r="R578" s="47">
        <f>HEX2DEC(RIGHT(Table1323214[[#This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7" t="s">
        <v>97</v>
      </c>
      <c r="P579" s="47">
        <f>HEX2DEC(RIGHT(Table1323214[[#This Row],[h1]],8))</f>
        <v>0</v>
      </c>
      <c r="Q579" s="47" t="s">
        <v>97</v>
      </c>
      <c r="R579" s="47">
        <f>HEX2DEC(RIGHT(Table1323214[[#This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7" t="s">
        <v>97</v>
      </c>
      <c r="P580" s="47">
        <f>HEX2DEC(RIGHT(Table1323214[[#This Row],[h1]],8))</f>
        <v>0</v>
      </c>
      <c r="Q580" s="47" t="s">
        <v>97</v>
      </c>
      <c r="R580" s="47">
        <f>HEX2DEC(RIGHT(Table1323214[[#This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7" t="s">
        <v>97</v>
      </c>
      <c r="P581" s="47">
        <f>HEX2DEC(RIGHT(Table1323214[[#This Row],[h1]],8))</f>
        <v>0</v>
      </c>
      <c r="Q581" s="47" t="s">
        <v>97</v>
      </c>
      <c r="R581" s="47">
        <f>HEX2DEC(RIGHT(Table1323214[[#This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7" t="s">
        <v>97</v>
      </c>
      <c r="P582" s="47">
        <f>HEX2DEC(RIGHT(Table1323214[[#This Row],[h1]],8))</f>
        <v>0</v>
      </c>
      <c r="Q582" s="47" t="s">
        <v>97</v>
      </c>
      <c r="R582" s="47">
        <f>HEX2DEC(RIGHT(Table1323214[[#This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7" t="s">
        <v>97</v>
      </c>
      <c r="P583" s="47">
        <f>HEX2DEC(RIGHT(Table1323214[[#This Row],[h1]],8))</f>
        <v>0</v>
      </c>
      <c r="Q583" s="47" t="s">
        <v>97</v>
      </c>
      <c r="R583" s="47">
        <f>HEX2DEC(RIGHT(Table1323214[[#This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7" t="s">
        <v>97</v>
      </c>
      <c r="P584" s="47">
        <f>HEX2DEC(RIGHT(Table1323214[[#This Row],[h1]],8))</f>
        <v>0</v>
      </c>
      <c r="Q584" s="47" t="s">
        <v>97</v>
      </c>
      <c r="R584" s="47">
        <f>HEX2DEC(RIGHT(Table1323214[[#This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7" t="s">
        <v>97</v>
      </c>
      <c r="P585" s="47">
        <f>HEX2DEC(RIGHT(Table1323214[[#This Row],[h1]],8))</f>
        <v>0</v>
      </c>
      <c r="Q585" s="47" t="s">
        <v>97</v>
      </c>
      <c r="R585" s="47">
        <f>HEX2DEC(RIGHT(Table1323214[[#This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7" t="s">
        <v>97</v>
      </c>
      <c r="P586" s="47">
        <f>HEX2DEC(RIGHT(Table1323214[[#This Row],[h1]],8))</f>
        <v>0</v>
      </c>
      <c r="Q586" s="47" t="s">
        <v>97</v>
      </c>
      <c r="R586" s="47">
        <f>HEX2DEC(RIGHT(Table1323214[[#This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7" t="s">
        <v>97</v>
      </c>
      <c r="P587" s="47">
        <f>HEX2DEC(RIGHT(Table1323214[[#This Row],[h1]],8))</f>
        <v>0</v>
      </c>
      <c r="Q587" s="47" t="s">
        <v>97</v>
      </c>
      <c r="R587" s="47">
        <f>HEX2DEC(RIGHT(Table1323214[[#This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7" t="s">
        <v>97</v>
      </c>
      <c r="P588" s="47">
        <f>HEX2DEC(RIGHT(Table1323214[[#This Row],[h1]],8))</f>
        <v>0</v>
      </c>
      <c r="Q588" s="47" t="s">
        <v>97</v>
      </c>
      <c r="R588" s="47">
        <f>HEX2DEC(RIGHT(Table1323214[[#This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7" t="s">
        <v>97</v>
      </c>
      <c r="P589" s="47">
        <f>HEX2DEC(RIGHT(Table1323214[[#This Row],[h1]],8))</f>
        <v>0</v>
      </c>
      <c r="Q589" s="47" t="s">
        <v>97</v>
      </c>
      <c r="R589" s="47">
        <f>HEX2DEC(RIGHT(Table1323214[[#This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7" t="s">
        <v>97</v>
      </c>
      <c r="P590" s="47">
        <f>HEX2DEC(RIGHT(Table1323214[[#This Row],[h1]],8))</f>
        <v>0</v>
      </c>
      <c r="Q590" s="47" t="s">
        <v>97</v>
      </c>
      <c r="R590" s="47">
        <f>HEX2DEC(RIGHT(Table1323214[[#This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7" t="s">
        <v>97</v>
      </c>
      <c r="P591" s="47">
        <f>HEX2DEC(RIGHT(Table1323214[[#This Row],[h1]],8))</f>
        <v>0</v>
      </c>
      <c r="Q591" s="47" t="s">
        <v>97</v>
      </c>
      <c r="R591" s="47">
        <f>HEX2DEC(RIGHT(Table1323214[[#This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7" t="s">
        <v>97</v>
      </c>
      <c r="P592" s="47">
        <f>HEX2DEC(RIGHT(Table1323214[[#This Row],[h1]],8))</f>
        <v>0</v>
      </c>
      <c r="Q592" s="47" t="s">
        <v>97</v>
      </c>
      <c r="R592" s="47">
        <f>HEX2DEC(RIGHT(Table1323214[[#This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7" t="s">
        <v>97</v>
      </c>
      <c r="P593" s="47">
        <f>HEX2DEC(RIGHT(Table1323214[[#This Row],[h1]],8))</f>
        <v>0</v>
      </c>
      <c r="Q593" s="47" t="s">
        <v>97</v>
      </c>
      <c r="R593" s="47">
        <f>HEX2DEC(RIGHT(Table1323214[[#This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7" t="s">
        <v>97</v>
      </c>
      <c r="P594" s="47">
        <f>HEX2DEC(RIGHT(Table1323214[[#This Row],[h1]],8))</f>
        <v>0</v>
      </c>
      <c r="Q594" s="47" t="s">
        <v>97</v>
      </c>
      <c r="R594" s="47">
        <f>HEX2DEC(RIGHT(Table1323214[[#This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7" t="s">
        <v>97</v>
      </c>
      <c r="P595" s="47">
        <f>HEX2DEC(RIGHT(Table1323214[[#This Row],[h1]],8))</f>
        <v>0</v>
      </c>
      <c r="Q595" s="47" t="s">
        <v>97</v>
      </c>
      <c r="R595" s="47">
        <f>HEX2DEC(RIGHT(Table1323214[[#This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7" t="s">
        <v>97</v>
      </c>
      <c r="P596" s="47">
        <f>HEX2DEC(RIGHT(Table1323214[[#This Row],[h1]],8))</f>
        <v>0</v>
      </c>
      <c r="Q596" s="47" t="s">
        <v>97</v>
      </c>
      <c r="R596" s="47">
        <f>HEX2DEC(RIGHT(Table1323214[[#This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7" t="s">
        <v>97</v>
      </c>
      <c r="P597" s="47">
        <f>HEX2DEC(RIGHT(Table1323214[[#This Row],[h1]],8))</f>
        <v>0</v>
      </c>
      <c r="Q597" s="47" t="s">
        <v>97</v>
      </c>
      <c r="R597" s="47">
        <f>HEX2DEC(RIGHT(Table1323214[[#This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7" t="s">
        <v>97</v>
      </c>
      <c r="P598" s="47">
        <f>HEX2DEC(RIGHT(Table1323214[[#This Row],[h1]],8))</f>
        <v>0</v>
      </c>
      <c r="Q598" s="47" t="s">
        <v>97</v>
      </c>
      <c r="R598" s="47">
        <f>HEX2DEC(RIGHT(Table1323214[[#This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7" t="s">
        <v>97</v>
      </c>
      <c r="P599" s="47">
        <f>HEX2DEC(RIGHT(Table1323214[[#This Row],[h1]],8))</f>
        <v>0</v>
      </c>
      <c r="Q599" s="47" t="s">
        <v>97</v>
      </c>
      <c r="R599" s="47">
        <f>HEX2DEC(RIGHT(Table1323214[[#This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7" t="s">
        <v>97</v>
      </c>
      <c r="P600" s="47">
        <f>HEX2DEC(RIGHT(Table1323214[[#This Row],[h1]],8))</f>
        <v>0</v>
      </c>
      <c r="Q600" s="47" t="s">
        <v>97</v>
      </c>
      <c r="R600" s="47">
        <f>HEX2DEC(RIGHT(Table1323214[[#This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7" t="s">
        <v>97</v>
      </c>
      <c r="P601" s="47">
        <f>HEX2DEC(RIGHT(Table1323214[[#This Row],[h1]],8))</f>
        <v>0</v>
      </c>
      <c r="Q601" s="47" t="s">
        <v>97</v>
      </c>
      <c r="R601" s="47">
        <f>HEX2DEC(RIGHT(Table1323214[[#This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7" t="s">
        <v>97</v>
      </c>
      <c r="P602" s="47">
        <f>HEX2DEC(RIGHT(Table1323214[[#This Row],[h1]],8))</f>
        <v>0</v>
      </c>
      <c r="Q602" s="47" t="s">
        <v>97</v>
      </c>
      <c r="R602" s="47">
        <f>HEX2DEC(RIGHT(Table1323214[[#This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7" t="s">
        <v>97</v>
      </c>
      <c r="P603" s="47">
        <f>HEX2DEC(RIGHT(Table1323214[[#This Row],[h1]],8))</f>
        <v>0</v>
      </c>
      <c r="Q603" s="47" t="s">
        <v>97</v>
      </c>
      <c r="R603" s="47">
        <f>HEX2DEC(RIGHT(Table1323214[[#This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7" t="s">
        <v>97</v>
      </c>
      <c r="P604" s="47">
        <f>HEX2DEC(RIGHT(Table1323214[[#This Row],[h1]],8))</f>
        <v>0</v>
      </c>
      <c r="Q604" s="47" t="s">
        <v>97</v>
      </c>
      <c r="R604" s="47">
        <f>HEX2DEC(RIGHT(Table1323214[[#This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7" t="s">
        <v>97</v>
      </c>
      <c r="P605" s="47">
        <f>HEX2DEC(RIGHT(Table1323214[[#This Row],[h1]],8))</f>
        <v>0</v>
      </c>
      <c r="Q605" s="47" t="s">
        <v>97</v>
      </c>
      <c r="R605" s="47">
        <f>HEX2DEC(RIGHT(Table1323214[[#This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7" t="s">
        <v>97</v>
      </c>
      <c r="P606" s="47">
        <f>HEX2DEC(RIGHT(Table1323214[[#This Row],[h1]],8))</f>
        <v>0</v>
      </c>
      <c r="Q606" s="47" t="s">
        <v>97</v>
      </c>
      <c r="R606" s="47">
        <f>HEX2DEC(RIGHT(Table1323214[[#This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7" t="s">
        <v>97</v>
      </c>
      <c r="P607" s="47">
        <f>HEX2DEC(RIGHT(Table1323214[[#This Row],[h1]],8))</f>
        <v>0</v>
      </c>
      <c r="Q607" s="47" t="s">
        <v>97</v>
      </c>
      <c r="R607" s="47">
        <f>HEX2DEC(RIGHT(Table1323214[[#This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7" t="s">
        <v>97</v>
      </c>
      <c r="P608" s="47">
        <f>HEX2DEC(RIGHT(Table1323214[[#This Row],[h1]],8))</f>
        <v>0</v>
      </c>
      <c r="Q608" s="47" t="s">
        <v>97</v>
      </c>
      <c r="R608" s="47">
        <f>HEX2DEC(RIGHT(Table1323214[[#This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7" t="s">
        <v>97</v>
      </c>
      <c r="P609" s="47">
        <f>HEX2DEC(RIGHT(Table1323214[[#This Row],[h1]],8))</f>
        <v>0</v>
      </c>
      <c r="Q609" s="47" t="s">
        <v>97</v>
      </c>
      <c r="R609" s="47">
        <f>HEX2DEC(RIGHT(Table1323214[[#This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7" t="s">
        <v>97</v>
      </c>
      <c r="P610" s="47">
        <f>HEX2DEC(RIGHT(Table1323214[[#This Row],[h1]],8))</f>
        <v>0</v>
      </c>
      <c r="Q610" s="47" t="s">
        <v>97</v>
      </c>
      <c r="R610" s="47">
        <f>HEX2DEC(RIGHT(Table1323214[[#This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7" t="s">
        <v>97</v>
      </c>
      <c r="P611" s="47">
        <f>HEX2DEC(RIGHT(Table1323214[[#This Row],[h1]],8))</f>
        <v>0</v>
      </c>
      <c r="Q611" s="47" t="s">
        <v>97</v>
      </c>
      <c r="R611" s="47">
        <f>HEX2DEC(RIGHT(Table1323214[[#This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7" t="s">
        <v>97</v>
      </c>
      <c r="P612" s="47">
        <f>HEX2DEC(RIGHT(Table1323214[[#This Row],[h1]],8))</f>
        <v>0</v>
      </c>
      <c r="Q612" s="47" t="s">
        <v>97</v>
      </c>
      <c r="R612" s="47">
        <f>HEX2DEC(RIGHT(Table1323214[[#This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7" t="s">
        <v>97</v>
      </c>
      <c r="P613" s="47">
        <f>HEX2DEC(RIGHT(Table1323214[[#This Row],[h1]],8))</f>
        <v>0</v>
      </c>
      <c r="Q613" s="47" t="s">
        <v>97</v>
      </c>
      <c r="R613" s="47">
        <f>HEX2DEC(RIGHT(Table1323214[[#This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7" t="s">
        <v>97</v>
      </c>
      <c r="P614" s="47">
        <f>HEX2DEC(RIGHT(Table1323214[[#This Row],[h1]],8))</f>
        <v>0</v>
      </c>
      <c r="Q614" s="47" t="s">
        <v>97</v>
      </c>
      <c r="R614" s="47">
        <f>HEX2DEC(RIGHT(Table1323214[[#This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7" t="s">
        <v>97</v>
      </c>
      <c r="P615" s="47">
        <f>HEX2DEC(RIGHT(Table1323214[[#This Row],[h1]],8))</f>
        <v>0</v>
      </c>
      <c r="Q615" s="47" t="s">
        <v>97</v>
      </c>
      <c r="R615" s="47">
        <f>HEX2DEC(RIGHT(Table1323214[[#This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7" t="s">
        <v>97</v>
      </c>
      <c r="P616" s="47">
        <f>HEX2DEC(RIGHT(Table1323214[[#This Row],[h1]],8))</f>
        <v>0</v>
      </c>
      <c r="Q616" s="47" t="s">
        <v>97</v>
      </c>
      <c r="R616" s="47">
        <f>HEX2DEC(RIGHT(Table1323214[[#This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7" t="s">
        <v>97</v>
      </c>
      <c r="P617" s="47">
        <f>HEX2DEC(RIGHT(Table1323214[[#This Row],[h1]],8))</f>
        <v>0</v>
      </c>
      <c r="Q617" s="47" t="s">
        <v>97</v>
      </c>
      <c r="R617" s="47">
        <f>HEX2DEC(RIGHT(Table1323214[[#This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7" t="s">
        <v>97</v>
      </c>
      <c r="P618" s="47">
        <f>HEX2DEC(RIGHT(Table1323214[[#This Row],[h1]],8))</f>
        <v>0</v>
      </c>
      <c r="Q618" s="47" t="s">
        <v>97</v>
      </c>
      <c r="R618" s="47">
        <f>HEX2DEC(RIGHT(Table1323214[[#This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7" t="s">
        <v>97</v>
      </c>
      <c r="P619" s="47">
        <f>HEX2DEC(RIGHT(Table1323214[[#This Row],[h1]],8))</f>
        <v>0</v>
      </c>
      <c r="Q619" s="47" t="s">
        <v>97</v>
      </c>
      <c r="R619" s="47">
        <f>HEX2DEC(RIGHT(Table1323214[[#This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7" t="s">
        <v>97</v>
      </c>
      <c r="P620" s="47">
        <f>HEX2DEC(RIGHT(Table1323214[[#This Row],[h1]],8))</f>
        <v>0</v>
      </c>
      <c r="Q620" s="47" t="s">
        <v>97</v>
      </c>
      <c r="R620" s="47">
        <f>HEX2DEC(RIGHT(Table1323214[[#This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7" t="s">
        <v>97</v>
      </c>
      <c r="P621" s="47">
        <f>HEX2DEC(RIGHT(Table1323214[[#This Row],[h1]],8))</f>
        <v>0</v>
      </c>
      <c r="Q621" s="47" t="s">
        <v>97</v>
      </c>
      <c r="R621" s="47">
        <f>HEX2DEC(RIGHT(Table1323214[[#This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7" t="s">
        <v>97</v>
      </c>
      <c r="P622" s="47">
        <f>HEX2DEC(RIGHT(Table1323214[[#This Row],[h1]],8))</f>
        <v>0</v>
      </c>
      <c r="Q622" s="47" t="s">
        <v>97</v>
      </c>
      <c r="R622" s="47">
        <f>HEX2DEC(RIGHT(Table1323214[[#This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7" t="s">
        <v>97</v>
      </c>
      <c r="P623" s="47">
        <f>HEX2DEC(RIGHT(Table1323214[[#This Row],[h1]],8))</f>
        <v>0</v>
      </c>
      <c r="Q623" s="47" t="s">
        <v>97</v>
      </c>
      <c r="R623" s="47">
        <f>HEX2DEC(RIGHT(Table1323214[[#This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7" t="s">
        <v>97</v>
      </c>
      <c r="P624" s="47">
        <f>HEX2DEC(RIGHT(Table1323214[[#This Row],[h1]],8))</f>
        <v>0</v>
      </c>
      <c r="Q624" s="47" t="s">
        <v>97</v>
      </c>
      <c r="R624" s="47">
        <f>HEX2DEC(RIGHT(Table1323214[[#This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7" t="s">
        <v>97</v>
      </c>
      <c r="P625" s="47">
        <f>HEX2DEC(RIGHT(Table1323214[[#This Row],[h1]],8))</f>
        <v>0</v>
      </c>
      <c r="Q625" s="47" t="s">
        <v>97</v>
      </c>
      <c r="R625" s="47">
        <f>HEX2DEC(RIGHT(Table1323214[[#This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7" t="s">
        <v>97</v>
      </c>
      <c r="P626" s="47">
        <f>HEX2DEC(RIGHT(Table1323214[[#This Row],[h1]],8))</f>
        <v>0</v>
      </c>
      <c r="Q626" s="47" t="s">
        <v>97</v>
      </c>
      <c r="R626" s="47">
        <f>HEX2DEC(RIGHT(Table1323214[[#This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7" t="s">
        <v>97</v>
      </c>
      <c r="P627" s="47">
        <f>HEX2DEC(RIGHT(Table1323214[[#This Row],[h1]],8))</f>
        <v>0</v>
      </c>
      <c r="Q627" s="47" t="s">
        <v>97</v>
      </c>
      <c r="R627" s="47">
        <f>HEX2DEC(RIGHT(Table1323214[[#This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7" t="s">
        <v>97</v>
      </c>
      <c r="P628" s="47">
        <f>HEX2DEC(RIGHT(Table1323214[[#This Row],[h1]],8))</f>
        <v>0</v>
      </c>
      <c r="Q628" s="47" t="s">
        <v>97</v>
      </c>
      <c r="R628" s="47">
        <f>HEX2DEC(RIGHT(Table1323214[[#This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7" t="s">
        <v>97</v>
      </c>
      <c r="P629" s="47">
        <f>HEX2DEC(RIGHT(Table1323214[[#This Row],[h1]],8))</f>
        <v>0</v>
      </c>
      <c r="Q629" s="47" t="s">
        <v>97</v>
      </c>
      <c r="R629" s="47">
        <f>HEX2DEC(RIGHT(Table1323214[[#This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7" t="s">
        <v>97</v>
      </c>
      <c r="P630" s="47">
        <f>HEX2DEC(RIGHT(Table1323214[[#This Row],[h1]],8))</f>
        <v>0</v>
      </c>
      <c r="Q630" s="47" t="s">
        <v>97</v>
      </c>
      <c r="R630" s="47">
        <f>HEX2DEC(RIGHT(Table1323214[[#This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7" t="s">
        <v>97</v>
      </c>
      <c r="P631" s="47">
        <f>HEX2DEC(RIGHT(Table1323214[[#This Row],[h1]],8))</f>
        <v>0</v>
      </c>
      <c r="Q631" s="47" t="s">
        <v>97</v>
      </c>
      <c r="R631" s="47">
        <f>HEX2DEC(RIGHT(Table1323214[[#This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7" t="s">
        <v>97</v>
      </c>
      <c r="P632" s="47">
        <f>HEX2DEC(RIGHT(Table1323214[[#This Row],[h1]],8))</f>
        <v>0</v>
      </c>
      <c r="Q632" s="47" t="s">
        <v>97</v>
      </c>
      <c r="R632" s="47">
        <f>HEX2DEC(RIGHT(Table1323214[[#This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7" t="s">
        <v>97</v>
      </c>
      <c r="P633" s="47">
        <f>HEX2DEC(RIGHT(Table1323214[[#This Row],[h1]],8))</f>
        <v>0</v>
      </c>
      <c r="Q633" s="47" t="s">
        <v>97</v>
      </c>
      <c r="R633" s="47">
        <f>HEX2DEC(RIGHT(Table1323214[[#This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7" t="s">
        <v>97</v>
      </c>
      <c r="P634" s="47">
        <f>HEX2DEC(RIGHT(Table1323214[[#This Row],[h1]],8))</f>
        <v>0</v>
      </c>
      <c r="Q634" s="47" t="s">
        <v>97</v>
      </c>
      <c r="R634" s="47">
        <f>HEX2DEC(RIGHT(Table1323214[[#This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7" t="s">
        <v>97</v>
      </c>
      <c r="P635" s="47">
        <f>HEX2DEC(RIGHT(Table1323214[[#This Row],[h1]],8))</f>
        <v>0</v>
      </c>
      <c r="Q635" s="47" t="s">
        <v>97</v>
      </c>
      <c r="R635" s="47">
        <f>HEX2DEC(RIGHT(Table1323214[[#This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7" t="s">
        <v>97</v>
      </c>
      <c r="P636" s="47">
        <f>HEX2DEC(RIGHT(Table1323214[[#This Row],[h1]],8))</f>
        <v>0</v>
      </c>
      <c r="Q636" s="47" t="s">
        <v>97</v>
      </c>
      <c r="R636" s="47">
        <f>HEX2DEC(RIGHT(Table1323214[[#This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7" t="s">
        <v>97</v>
      </c>
      <c r="P637" s="47">
        <f>HEX2DEC(RIGHT(Table1323214[[#This Row],[h1]],8))</f>
        <v>0</v>
      </c>
      <c r="Q637" s="47" t="s">
        <v>97</v>
      </c>
      <c r="R637" s="47">
        <f>HEX2DEC(RIGHT(Table1323214[[#This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7" t="s">
        <v>97</v>
      </c>
      <c r="P638" s="47">
        <f>HEX2DEC(RIGHT(Table1323214[[#This Row],[h1]],8))</f>
        <v>0</v>
      </c>
      <c r="Q638" s="47" t="s">
        <v>97</v>
      </c>
      <c r="R638" s="47">
        <f>HEX2DEC(RIGHT(Table1323214[[#This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7" t="s">
        <v>97</v>
      </c>
      <c r="P639" s="47">
        <f>HEX2DEC(RIGHT(Table1323214[[#This Row],[h1]],8))</f>
        <v>0</v>
      </c>
      <c r="Q639" s="47" t="s">
        <v>97</v>
      </c>
      <c r="R639" s="47">
        <f>HEX2DEC(RIGHT(Table1323214[[#This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7" t="s">
        <v>97</v>
      </c>
      <c r="P640" s="47">
        <f>HEX2DEC(RIGHT(Table1323214[[#This Row],[h1]],8))</f>
        <v>0</v>
      </c>
      <c r="Q640" s="47" t="s">
        <v>97</v>
      </c>
      <c r="R640" s="47">
        <f>HEX2DEC(RIGHT(Table1323214[[#This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7" t="s">
        <v>97</v>
      </c>
      <c r="P641" s="47">
        <f>HEX2DEC(RIGHT(Table1323214[[#This Row],[h1]],8))</f>
        <v>0</v>
      </c>
      <c r="Q641" s="47" t="s">
        <v>97</v>
      </c>
      <c r="R641" s="47">
        <f>HEX2DEC(RIGHT(Table1323214[[#This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7" t="s">
        <v>97</v>
      </c>
      <c r="P642" s="47">
        <f>HEX2DEC(RIGHT(Table1323214[[#This Row],[h1]],8))</f>
        <v>0</v>
      </c>
      <c r="Q642" s="47" t="s">
        <v>97</v>
      </c>
      <c r="R642" s="47">
        <f>HEX2DEC(RIGHT(Table1323214[[#This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7" t="s">
        <v>97</v>
      </c>
      <c r="P643" s="47">
        <f>HEX2DEC(RIGHT(Table1323214[[#This Row],[h1]],8))</f>
        <v>0</v>
      </c>
      <c r="Q643" s="47" t="s">
        <v>97</v>
      </c>
      <c r="R643" s="47">
        <f>HEX2DEC(RIGHT(Table1323214[[#This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7" t="s">
        <v>97</v>
      </c>
      <c r="P644" s="47">
        <f>HEX2DEC(RIGHT(Table1323214[[#This Row],[h1]],8))</f>
        <v>0</v>
      </c>
      <c r="Q644" s="47" t="s">
        <v>97</v>
      </c>
      <c r="R644" s="47">
        <f>HEX2DEC(RIGHT(Table1323214[[#This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7" t="s">
        <v>97</v>
      </c>
      <c r="P645" s="47">
        <f>HEX2DEC(RIGHT(Table1323214[[#This Row],[h1]],8))</f>
        <v>0</v>
      </c>
      <c r="Q645" s="47" t="s">
        <v>97</v>
      </c>
      <c r="R645" s="47">
        <f>HEX2DEC(RIGHT(Table1323214[[#This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7" t="s">
        <v>97</v>
      </c>
      <c r="P646" s="47">
        <f>HEX2DEC(RIGHT(Table1323214[[#This Row],[h1]],8))</f>
        <v>0</v>
      </c>
      <c r="Q646" s="47" t="s">
        <v>97</v>
      </c>
      <c r="R646" s="47">
        <f>HEX2DEC(RIGHT(Table1323214[[#This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7" t="s">
        <v>97</v>
      </c>
      <c r="P647" s="47">
        <f>HEX2DEC(RIGHT(Table1323214[[#This Row],[h1]],8))</f>
        <v>0</v>
      </c>
      <c r="Q647" s="47" t="s">
        <v>97</v>
      </c>
      <c r="R647" s="47">
        <f>HEX2DEC(RIGHT(Table1323214[[#This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7" t="s">
        <v>97</v>
      </c>
      <c r="P648" s="47">
        <f>HEX2DEC(RIGHT(Table1323214[[#This Row],[h1]],8))</f>
        <v>0</v>
      </c>
      <c r="Q648" s="47" t="s">
        <v>97</v>
      </c>
      <c r="R648" s="47">
        <f>HEX2DEC(RIGHT(Table1323214[[#This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7" t="s">
        <v>97</v>
      </c>
      <c r="P649" s="47">
        <f>HEX2DEC(RIGHT(Table1323214[[#This Row],[h1]],8))</f>
        <v>0</v>
      </c>
      <c r="Q649" s="47" t="s">
        <v>97</v>
      </c>
      <c r="R649" s="47">
        <f>HEX2DEC(RIGHT(Table1323214[[#This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7" t="s">
        <v>97</v>
      </c>
      <c r="P650" s="47">
        <f>HEX2DEC(RIGHT(Table1323214[[#This Row],[h1]],8))</f>
        <v>0</v>
      </c>
      <c r="Q650" s="47" t="s">
        <v>97</v>
      </c>
      <c r="R650" s="47">
        <f>HEX2DEC(RIGHT(Table1323214[[#This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7" t="s">
        <v>97</v>
      </c>
      <c r="P651" s="47">
        <f>HEX2DEC(RIGHT(Table1323214[[#This Row],[h1]],8))</f>
        <v>0</v>
      </c>
      <c r="Q651" s="47" t="s">
        <v>97</v>
      </c>
      <c r="R651" s="47">
        <f>HEX2DEC(RIGHT(Table1323214[[#This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7" t="s">
        <v>97</v>
      </c>
      <c r="P652" s="47">
        <f>HEX2DEC(RIGHT(Table1323214[[#This Row],[h1]],8))</f>
        <v>0</v>
      </c>
      <c r="Q652" s="47" t="s">
        <v>97</v>
      </c>
      <c r="R652" s="47">
        <f>HEX2DEC(RIGHT(Table1323214[[#This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7" t="s">
        <v>97</v>
      </c>
      <c r="P653" s="47">
        <f>HEX2DEC(RIGHT(Table1323214[[#This Row],[h1]],8))</f>
        <v>0</v>
      </c>
      <c r="Q653" s="47" t="s">
        <v>97</v>
      </c>
      <c r="R653" s="47">
        <f>HEX2DEC(RIGHT(Table1323214[[#This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7" t="s">
        <v>97</v>
      </c>
      <c r="P654" s="47">
        <f>HEX2DEC(RIGHT(Table1323214[[#This Row],[h1]],8))</f>
        <v>0</v>
      </c>
      <c r="Q654" s="47" t="s">
        <v>97</v>
      </c>
      <c r="R654" s="47">
        <f>HEX2DEC(RIGHT(Table1323214[[#This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7" t="s">
        <v>97</v>
      </c>
      <c r="P655" s="47">
        <f>HEX2DEC(RIGHT(Table1323214[[#This Row],[h1]],8))</f>
        <v>0</v>
      </c>
      <c r="Q655" s="47" t="s">
        <v>97</v>
      </c>
      <c r="R655" s="47">
        <f>HEX2DEC(RIGHT(Table1323214[[#This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7" t="s">
        <v>97</v>
      </c>
      <c r="P656" s="47">
        <f>HEX2DEC(RIGHT(Table1323214[[#This Row],[h1]],8))</f>
        <v>0</v>
      </c>
      <c r="Q656" s="47" t="s">
        <v>97</v>
      </c>
      <c r="R656" s="47">
        <f>HEX2DEC(RIGHT(Table1323214[[#This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7" t="s">
        <v>97</v>
      </c>
      <c r="P657" s="47">
        <f>HEX2DEC(RIGHT(Table1323214[[#This Row],[h1]],8))</f>
        <v>0</v>
      </c>
      <c r="Q657" s="47" t="s">
        <v>97</v>
      </c>
      <c r="R657" s="47">
        <f>HEX2DEC(RIGHT(Table1323214[[#This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7" t="s">
        <v>97</v>
      </c>
      <c r="P658" s="47">
        <f>HEX2DEC(RIGHT(Table1323214[[#This Row],[h1]],8))</f>
        <v>0</v>
      </c>
      <c r="Q658" s="47" t="s">
        <v>97</v>
      </c>
      <c r="R658" s="47">
        <f>HEX2DEC(RIGHT(Table1323214[[#This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7" t="s">
        <v>97</v>
      </c>
      <c r="P659" s="47">
        <f>HEX2DEC(RIGHT(Table1323214[[#This Row],[h1]],8))</f>
        <v>0</v>
      </c>
      <c r="Q659" s="47" t="s">
        <v>97</v>
      </c>
      <c r="R659" s="47">
        <f>HEX2DEC(RIGHT(Table1323214[[#This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7" t="s">
        <v>97</v>
      </c>
      <c r="P660" s="47">
        <f>HEX2DEC(RIGHT(Table1323214[[#This Row],[h1]],8))</f>
        <v>0</v>
      </c>
      <c r="Q660" s="47" t="s">
        <v>97</v>
      </c>
      <c r="R660" s="47">
        <f>HEX2DEC(RIGHT(Table1323214[[#This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7" t="s">
        <v>97</v>
      </c>
      <c r="P661" s="47">
        <f>HEX2DEC(RIGHT(Table1323214[[#This Row],[h1]],8))</f>
        <v>0</v>
      </c>
      <c r="Q661" s="47" t="s">
        <v>97</v>
      </c>
      <c r="R661" s="47">
        <f>HEX2DEC(RIGHT(Table1323214[[#This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7" t="s">
        <v>97</v>
      </c>
      <c r="P662" s="47">
        <f>HEX2DEC(RIGHT(Table1323214[[#This Row],[h1]],8))</f>
        <v>0</v>
      </c>
      <c r="Q662" s="47" t="s">
        <v>97</v>
      </c>
      <c r="R662" s="47">
        <f>HEX2DEC(RIGHT(Table1323214[[#This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7" t="s">
        <v>97</v>
      </c>
      <c r="P663" s="47">
        <f>HEX2DEC(RIGHT(Table1323214[[#This Row],[h1]],8))</f>
        <v>0</v>
      </c>
      <c r="Q663" s="47" t="s">
        <v>97</v>
      </c>
      <c r="R663" s="47">
        <f>HEX2DEC(RIGHT(Table1323214[[#This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7" t="s">
        <v>97</v>
      </c>
      <c r="P664" s="47">
        <f>HEX2DEC(RIGHT(Table1323214[[#This Row],[h1]],8))</f>
        <v>0</v>
      </c>
      <c r="Q664" s="47" t="s">
        <v>97</v>
      </c>
      <c r="R664" s="47">
        <f>HEX2DEC(RIGHT(Table1323214[[#This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7" t="s">
        <v>97</v>
      </c>
      <c r="P665" s="47">
        <f>HEX2DEC(RIGHT(Table1323214[[#This Row],[h1]],8))</f>
        <v>0</v>
      </c>
      <c r="Q665" s="47" t="s">
        <v>97</v>
      </c>
      <c r="R665" s="47">
        <f>HEX2DEC(RIGHT(Table1323214[[#This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7" t="s">
        <v>97</v>
      </c>
      <c r="P666" s="47">
        <f>HEX2DEC(RIGHT(Table1323214[[#This Row],[h1]],8))</f>
        <v>0</v>
      </c>
      <c r="Q666" s="47" t="s">
        <v>97</v>
      </c>
      <c r="R666" s="47">
        <f>HEX2DEC(RIGHT(Table1323214[[#This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7" t="s">
        <v>97</v>
      </c>
      <c r="P667" s="47">
        <f>HEX2DEC(RIGHT(Table1323214[[#This Row],[h1]],8))</f>
        <v>0</v>
      </c>
      <c r="Q667" s="47" t="s">
        <v>97</v>
      </c>
      <c r="R667" s="47">
        <f>HEX2DEC(RIGHT(Table1323214[[#This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7" t="s">
        <v>97</v>
      </c>
      <c r="P668" s="47">
        <f>HEX2DEC(RIGHT(Table1323214[[#This Row],[h1]],8))</f>
        <v>0</v>
      </c>
      <c r="Q668" s="47" t="s">
        <v>97</v>
      </c>
      <c r="R668" s="47">
        <f>HEX2DEC(RIGHT(Table1323214[[#This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7" t="s">
        <v>97</v>
      </c>
      <c r="P669" s="47">
        <f>HEX2DEC(RIGHT(Table1323214[[#This Row],[h1]],8))</f>
        <v>0</v>
      </c>
      <c r="Q669" s="47" t="s">
        <v>97</v>
      </c>
      <c r="R669" s="47">
        <f>HEX2DEC(RIGHT(Table1323214[[#This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7" t="s">
        <v>97</v>
      </c>
      <c r="P670" s="47">
        <f>HEX2DEC(RIGHT(Table1323214[[#This Row],[h1]],8))</f>
        <v>0</v>
      </c>
      <c r="Q670" s="47" t="s">
        <v>97</v>
      </c>
      <c r="R670" s="47">
        <f>HEX2DEC(RIGHT(Table1323214[[#This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7" t="s">
        <v>97</v>
      </c>
      <c r="P671" s="47">
        <f>HEX2DEC(RIGHT(Table1323214[[#This Row],[h1]],8))</f>
        <v>0</v>
      </c>
      <c r="Q671" s="47" t="s">
        <v>97</v>
      </c>
      <c r="R671" s="47">
        <f>HEX2DEC(RIGHT(Table1323214[[#This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7" t="s">
        <v>97</v>
      </c>
      <c r="P672" s="47">
        <f>HEX2DEC(RIGHT(Table1323214[[#This Row],[h1]],8))</f>
        <v>0</v>
      </c>
      <c r="Q672" s="47" t="s">
        <v>97</v>
      </c>
      <c r="R672" s="47">
        <f>HEX2DEC(RIGHT(Table1323214[[#This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7" t="s">
        <v>97</v>
      </c>
      <c r="P673" s="47">
        <f>HEX2DEC(RIGHT(Table1323214[[#This Row],[h1]],8))</f>
        <v>0</v>
      </c>
      <c r="Q673" s="47" t="s">
        <v>97</v>
      </c>
      <c r="R673" s="47">
        <f>HEX2DEC(RIGHT(Table1323214[[#This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7" t="s">
        <v>97</v>
      </c>
      <c r="P674" s="47">
        <f>HEX2DEC(RIGHT(Table1323214[[#This Row],[h1]],8))</f>
        <v>0</v>
      </c>
      <c r="Q674" s="47" t="s">
        <v>97</v>
      </c>
      <c r="R674" s="47">
        <f>HEX2DEC(RIGHT(Table1323214[[#This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7" t="s">
        <v>97</v>
      </c>
      <c r="P675" s="47">
        <f>HEX2DEC(RIGHT(Table1323214[[#This Row],[h1]],8))</f>
        <v>0</v>
      </c>
      <c r="Q675" s="47" t="s">
        <v>97</v>
      </c>
      <c r="R675" s="47">
        <f>HEX2DEC(RIGHT(Table1323214[[#This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7" t="s">
        <v>97</v>
      </c>
      <c r="P676" s="47">
        <f>HEX2DEC(RIGHT(Table1323214[[#This Row],[h1]],8))</f>
        <v>0</v>
      </c>
      <c r="Q676" s="47" t="s">
        <v>97</v>
      </c>
      <c r="R676" s="47">
        <f>HEX2DEC(RIGHT(Table1323214[[#This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7" t="s">
        <v>97</v>
      </c>
      <c r="P677" s="47">
        <f>HEX2DEC(RIGHT(Table1323214[[#This Row],[h1]],8))</f>
        <v>0</v>
      </c>
      <c r="Q677" s="47" t="s">
        <v>97</v>
      </c>
      <c r="R677" s="47">
        <f>HEX2DEC(RIGHT(Table1323214[[#This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7" t="s">
        <v>97</v>
      </c>
      <c r="P678" s="47">
        <f>HEX2DEC(RIGHT(Table1323214[[#This Row],[h1]],8))</f>
        <v>0</v>
      </c>
      <c r="Q678" s="47" t="s">
        <v>97</v>
      </c>
      <c r="R678" s="47">
        <f>HEX2DEC(RIGHT(Table1323214[[#This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7" t="s">
        <v>97</v>
      </c>
      <c r="P679" s="47">
        <f>HEX2DEC(RIGHT(Table1323214[[#This Row],[h1]],8))</f>
        <v>0</v>
      </c>
      <c r="Q679" s="47" t="s">
        <v>97</v>
      </c>
      <c r="R679" s="47">
        <f>HEX2DEC(RIGHT(Table1323214[[#This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7" t="s">
        <v>97</v>
      </c>
      <c r="P680" s="47">
        <f>HEX2DEC(RIGHT(Table1323214[[#This Row],[h1]],8))</f>
        <v>0</v>
      </c>
      <c r="Q680" s="47" t="s">
        <v>97</v>
      </c>
      <c r="R680" s="47">
        <f>HEX2DEC(RIGHT(Table1323214[[#This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7" t="s">
        <v>97</v>
      </c>
      <c r="P681" s="47">
        <f>HEX2DEC(RIGHT(Table1323214[[#This Row],[h1]],8))</f>
        <v>0</v>
      </c>
      <c r="Q681" s="47" t="s">
        <v>97</v>
      </c>
      <c r="R681" s="47">
        <f>HEX2DEC(RIGHT(Table1323214[[#This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7" t="s">
        <v>97</v>
      </c>
      <c r="P682" s="47">
        <f>HEX2DEC(RIGHT(Table1323214[[#This Row],[h1]],8))</f>
        <v>0</v>
      </c>
      <c r="Q682" s="47" t="s">
        <v>97</v>
      </c>
      <c r="R682" s="47">
        <f>HEX2DEC(RIGHT(Table1323214[[#This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7" t="s">
        <v>97</v>
      </c>
      <c r="P683" s="47">
        <f>HEX2DEC(RIGHT(Table1323214[[#This Row],[h1]],8))</f>
        <v>0</v>
      </c>
      <c r="Q683" s="47" t="s">
        <v>97</v>
      </c>
      <c r="R683" s="47">
        <f>HEX2DEC(RIGHT(Table1323214[[#This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7" t="s">
        <v>97</v>
      </c>
      <c r="P684" s="47">
        <f>HEX2DEC(RIGHT(Table1323214[[#This Row],[h1]],8))</f>
        <v>0</v>
      </c>
      <c r="Q684" s="47" t="s">
        <v>97</v>
      </c>
      <c r="R684" s="47">
        <f>HEX2DEC(RIGHT(Table1323214[[#This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7" t="s">
        <v>97</v>
      </c>
      <c r="P685" s="47">
        <f>HEX2DEC(RIGHT(Table1323214[[#This Row],[h1]],8))</f>
        <v>0</v>
      </c>
      <c r="Q685" s="47" t="s">
        <v>97</v>
      </c>
      <c r="R685" s="47">
        <f>HEX2DEC(RIGHT(Table1323214[[#This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7" t="s">
        <v>97</v>
      </c>
      <c r="P686" s="47">
        <f>HEX2DEC(RIGHT(Table1323214[[#This Row],[h1]],8))</f>
        <v>0</v>
      </c>
      <c r="Q686" s="47" t="s">
        <v>97</v>
      </c>
      <c r="R686" s="47">
        <f>HEX2DEC(RIGHT(Table1323214[[#This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7" t="s">
        <v>97</v>
      </c>
      <c r="P687" s="47">
        <f>HEX2DEC(RIGHT(Table1323214[[#This Row],[h1]],8))</f>
        <v>0</v>
      </c>
      <c r="Q687" s="47" t="s">
        <v>97</v>
      </c>
      <c r="R687" s="47">
        <f>HEX2DEC(RIGHT(Table1323214[[#This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7" t="s">
        <v>97</v>
      </c>
      <c r="P688" s="47">
        <f>HEX2DEC(RIGHT(Table1323214[[#This Row],[h1]],8))</f>
        <v>0</v>
      </c>
      <c r="Q688" s="47" t="s">
        <v>97</v>
      </c>
      <c r="R688" s="47">
        <f>HEX2DEC(RIGHT(Table1323214[[#This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7" t="s">
        <v>97</v>
      </c>
      <c r="P689" s="47">
        <f>HEX2DEC(RIGHT(Table1323214[[#This Row],[h1]],8))</f>
        <v>0</v>
      </c>
      <c r="Q689" s="47" t="s">
        <v>97</v>
      </c>
      <c r="R689" s="47">
        <f>HEX2DEC(RIGHT(Table1323214[[#This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7" t="s">
        <v>97</v>
      </c>
      <c r="P690" s="47">
        <f>HEX2DEC(RIGHT(Table1323214[[#This Row],[h1]],8))</f>
        <v>0</v>
      </c>
      <c r="Q690" s="47" t="s">
        <v>97</v>
      </c>
      <c r="R690" s="47">
        <f>HEX2DEC(RIGHT(Table1323214[[#This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7" t="s">
        <v>97</v>
      </c>
      <c r="P691" s="47">
        <f>HEX2DEC(RIGHT(Table1323214[[#This Row],[h1]],8))</f>
        <v>0</v>
      </c>
      <c r="Q691" s="47" t="s">
        <v>97</v>
      </c>
      <c r="R691" s="47">
        <f>HEX2DEC(RIGHT(Table1323214[[#This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7" t="s">
        <v>97</v>
      </c>
      <c r="P692" s="47">
        <f>HEX2DEC(RIGHT(Table1323214[[#This Row],[h1]],8))</f>
        <v>0</v>
      </c>
      <c r="Q692" s="47" t="s">
        <v>97</v>
      </c>
      <c r="R692" s="47">
        <f>HEX2DEC(RIGHT(Table1323214[[#This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7" t="s">
        <v>97</v>
      </c>
      <c r="P693" s="47">
        <f>HEX2DEC(RIGHT(Table1323214[[#This Row],[h1]],8))</f>
        <v>0</v>
      </c>
      <c r="Q693" s="47" t="s">
        <v>97</v>
      </c>
      <c r="R693" s="47">
        <f>HEX2DEC(RIGHT(Table1323214[[#This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7" t="s">
        <v>97</v>
      </c>
      <c r="P694" s="47">
        <f>HEX2DEC(RIGHT(Table1323214[[#This Row],[h1]],8))</f>
        <v>0</v>
      </c>
      <c r="Q694" s="47" t="s">
        <v>97</v>
      </c>
      <c r="R694" s="47">
        <f>HEX2DEC(RIGHT(Table1323214[[#This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7" t="s">
        <v>97</v>
      </c>
      <c r="P695" s="47">
        <f>HEX2DEC(RIGHT(Table1323214[[#This Row],[h1]],8))</f>
        <v>0</v>
      </c>
      <c r="Q695" s="47" t="s">
        <v>97</v>
      </c>
      <c r="R695" s="47">
        <f>HEX2DEC(RIGHT(Table1323214[[#This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7" t="s">
        <v>97</v>
      </c>
      <c r="P696" s="47">
        <f>HEX2DEC(RIGHT(Table1323214[[#This Row],[h1]],8))</f>
        <v>0</v>
      </c>
      <c r="Q696" s="47" t="s">
        <v>97</v>
      </c>
      <c r="R696" s="47">
        <f>HEX2DEC(RIGHT(Table1323214[[#This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7" t="s">
        <v>97</v>
      </c>
      <c r="P697" s="47">
        <f>HEX2DEC(RIGHT(Table1323214[[#This Row],[h1]],8))</f>
        <v>0</v>
      </c>
      <c r="Q697" s="47" t="s">
        <v>97</v>
      </c>
      <c r="R697" s="47">
        <f>HEX2DEC(RIGHT(Table1323214[[#This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7" t="s">
        <v>97</v>
      </c>
      <c r="P698" s="47">
        <f>HEX2DEC(RIGHT(Table1323214[[#This Row],[h1]],8))</f>
        <v>0</v>
      </c>
      <c r="Q698" s="47" t="s">
        <v>97</v>
      </c>
      <c r="R698" s="47">
        <f>HEX2DEC(RIGHT(Table1323214[[#This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7" t="s">
        <v>97</v>
      </c>
      <c r="P699" s="47">
        <f>HEX2DEC(RIGHT(Table1323214[[#This Row],[h1]],8))</f>
        <v>0</v>
      </c>
      <c r="Q699" s="47" t="s">
        <v>97</v>
      </c>
      <c r="R699" s="47">
        <f>HEX2DEC(RIGHT(Table1323214[[#This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7" t="s">
        <v>97</v>
      </c>
      <c r="P700" s="47">
        <f>HEX2DEC(RIGHT(Table1323214[[#This Row],[h1]],8))</f>
        <v>0</v>
      </c>
      <c r="Q700" s="47" t="s">
        <v>97</v>
      </c>
      <c r="R700" s="47">
        <f>HEX2DEC(RIGHT(Table1323214[[#This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7" t="s">
        <v>97</v>
      </c>
      <c r="P701" s="47">
        <f>HEX2DEC(RIGHT(Table1323214[[#This Row],[h1]],8))</f>
        <v>0</v>
      </c>
      <c r="Q701" s="47" t="s">
        <v>97</v>
      </c>
      <c r="R701" s="47">
        <f>HEX2DEC(RIGHT(Table1323214[[#This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7" t="s">
        <v>97</v>
      </c>
      <c r="P702" s="47">
        <f>HEX2DEC(RIGHT(Table1323214[[#This Row],[h1]],8))</f>
        <v>0</v>
      </c>
      <c r="Q702" s="47" t="s">
        <v>97</v>
      </c>
      <c r="R702" s="47">
        <f>HEX2DEC(RIGHT(Table1323214[[#This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7" t="s">
        <v>97</v>
      </c>
      <c r="P703" s="47">
        <f>HEX2DEC(RIGHT(Table1323214[[#This Row],[h1]],8))</f>
        <v>0</v>
      </c>
      <c r="Q703" s="47" t="s">
        <v>97</v>
      </c>
      <c r="R703" s="47">
        <f>HEX2DEC(RIGHT(Table1323214[[#This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7" t="s">
        <v>97</v>
      </c>
      <c r="P704" s="47">
        <f>HEX2DEC(RIGHT(Table1323214[[#This Row],[h1]],8))</f>
        <v>0</v>
      </c>
      <c r="Q704" s="47" t="s">
        <v>97</v>
      </c>
      <c r="R704" s="47">
        <f>HEX2DEC(RIGHT(Table1323214[[#This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7" t="s">
        <v>97</v>
      </c>
      <c r="P705" s="47">
        <f>HEX2DEC(RIGHT(Table1323214[[#This Row],[h1]],8))</f>
        <v>0</v>
      </c>
      <c r="Q705" s="47" t="s">
        <v>97</v>
      </c>
      <c r="R705" s="47">
        <f>HEX2DEC(RIGHT(Table1323214[[#This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7" t="s">
        <v>97</v>
      </c>
      <c r="P706" s="47">
        <f>HEX2DEC(RIGHT(Table1323214[[#This Row],[h1]],8))</f>
        <v>0</v>
      </c>
      <c r="Q706" s="47" t="s">
        <v>97</v>
      </c>
      <c r="R706" s="47">
        <f>HEX2DEC(RIGHT(Table1323214[[#This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7" t="s">
        <v>97</v>
      </c>
      <c r="P707" s="47">
        <f>HEX2DEC(RIGHT(Table1323214[[#This Row],[h1]],8))</f>
        <v>0</v>
      </c>
      <c r="Q707" s="47" t="s">
        <v>97</v>
      </c>
      <c r="R707" s="47">
        <f>HEX2DEC(RIGHT(Table1323214[[#This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7" t="s">
        <v>97</v>
      </c>
      <c r="P708" s="47">
        <f>HEX2DEC(RIGHT(Table1323214[[#This Row],[h1]],8))</f>
        <v>0</v>
      </c>
      <c r="Q708" s="47" t="s">
        <v>97</v>
      </c>
      <c r="R708" s="47">
        <f>HEX2DEC(RIGHT(Table1323214[[#This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7" t="s">
        <v>97</v>
      </c>
      <c r="P709" s="47">
        <f>HEX2DEC(RIGHT(Table1323214[[#This Row],[h1]],8))</f>
        <v>0</v>
      </c>
      <c r="Q709" s="47" t="s">
        <v>97</v>
      </c>
      <c r="R709" s="47">
        <f>HEX2DEC(RIGHT(Table1323214[[#This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7" t="s">
        <v>97</v>
      </c>
      <c r="P710" s="47">
        <f>HEX2DEC(RIGHT(Table1323214[[#This Row],[h1]],8))</f>
        <v>0</v>
      </c>
      <c r="Q710" s="47" t="s">
        <v>97</v>
      </c>
      <c r="R710" s="47">
        <f>HEX2DEC(RIGHT(Table1323214[[#This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7" t="s">
        <v>97</v>
      </c>
      <c r="P711" s="47">
        <f>HEX2DEC(RIGHT(Table1323214[[#This Row],[h1]],8))</f>
        <v>0</v>
      </c>
      <c r="Q711" s="47" t="s">
        <v>97</v>
      </c>
      <c r="R711" s="47">
        <f>HEX2DEC(RIGHT(Table1323214[[#This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7" t="s">
        <v>97</v>
      </c>
      <c r="P712" s="47">
        <f>HEX2DEC(RIGHT(Table1323214[[#This Row],[h1]],8))</f>
        <v>0</v>
      </c>
      <c r="Q712" s="47" t="s">
        <v>97</v>
      </c>
      <c r="R712" s="47">
        <f>HEX2DEC(RIGHT(Table1323214[[#This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7" t="s">
        <v>97</v>
      </c>
      <c r="P713" s="47">
        <f>HEX2DEC(RIGHT(Table1323214[[#This Row],[h1]],8))</f>
        <v>0</v>
      </c>
      <c r="Q713" s="47" t="s">
        <v>97</v>
      </c>
      <c r="R713" s="47">
        <f>HEX2DEC(RIGHT(Table1323214[[#This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7" t="s">
        <v>97</v>
      </c>
      <c r="P714" s="47">
        <f>HEX2DEC(RIGHT(Table1323214[[#This Row],[h1]],8))</f>
        <v>0</v>
      </c>
      <c r="Q714" s="47" t="s">
        <v>97</v>
      </c>
      <c r="R714" s="47">
        <f>HEX2DEC(RIGHT(Table1323214[[#This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7" t="s">
        <v>97</v>
      </c>
      <c r="P715" s="47">
        <f>HEX2DEC(RIGHT(Table1323214[[#This Row],[h1]],8))</f>
        <v>0</v>
      </c>
      <c r="Q715" s="47" t="s">
        <v>97</v>
      </c>
      <c r="R715" s="47">
        <f>HEX2DEC(RIGHT(Table1323214[[#This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7" t="s">
        <v>97</v>
      </c>
      <c r="P716" s="47">
        <f>HEX2DEC(RIGHT(Table1323214[[#This Row],[h1]],8))</f>
        <v>0</v>
      </c>
      <c r="Q716" s="47" t="s">
        <v>97</v>
      </c>
      <c r="R716" s="47">
        <f>HEX2DEC(RIGHT(Table1323214[[#This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7" t="s">
        <v>97</v>
      </c>
      <c r="P717" s="47">
        <f>HEX2DEC(RIGHT(Table1323214[[#This Row],[h1]],8))</f>
        <v>0</v>
      </c>
      <c r="Q717" s="47" t="s">
        <v>97</v>
      </c>
      <c r="R717" s="47">
        <f>HEX2DEC(RIGHT(Table1323214[[#This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7" t="s">
        <v>97</v>
      </c>
      <c r="P718" s="47">
        <f>HEX2DEC(RIGHT(Table1323214[[#This Row],[h1]],8))</f>
        <v>0</v>
      </c>
      <c r="Q718" s="47" t="s">
        <v>97</v>
      </c>
      <c r="R718" s="47">
        <f>HEX2DEC(RIGHT(Table1323214[[#This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7" t="s">
        <v>97</v>
      </c>
      <c r="P719" s="47">
        <f>HEX2DEC(RIGHT(Table1323214[[#This Row],[h1]],8))</f>
        <v>0</v>
      </c>
      <c r="Q719" s="47" t="s">
        <v>97</v>
      </c>
      <c r="R719" s="47">
        <f>HEX2DEC(RIGHT(Table1323214[[#This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7" t="s">
        <v>97</v>
      </c>
      <c r="P720" s="47">
        <f>HEX2DEC(RIGHT(Table1323214[[#This Row],[h1]],8))</f>
        <v>0</v>
      </c>
      <c r="Q720" s="47" t="s">
        <v>97</v>
      </c>
      <c r="R720" s="47">
        <f>HEX2DEC(RIGHT(Table1323214[[#This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7" t="s">
        <v>97</v>
      </c>
      <c r="P721" s="47">
        <f>HEX2DEC(RIGHT(Table1323214[[#This Row],[h1]],8))</f>
        <v>0</v>
      </c>
      <c r="Q721" s="47" t="s">
        <v>97</v>
      </c>
      <c r="R721" s="47">
        <f>HEX2DEC(RIGHT(Table1323214[[#This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7" t="s">
        <v>97</v>
      </c>
      <c r="P722" s="47">
        <f>HEX2DEC(RIGHT(Table1323214[[#This Row],[h1]],8))</f>
        <v>0</v>
      </c>
      <c r="Q722" s="47" t="s">
        <v>97</v>
      </c>
      <c r="R722" s="47">
        <f>HEX2DEC(RIGHT(Table1323214[[#This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7" t="s">
        <v>97</v>
      </c>
      <c r="P723" s="47">
        <f>HEX2DEC(RIGHT(Table1323214[[#This Row],[h1]],8))</f>
        <v>0</v>
      </c>
      <c r="Q723" s="47" t="s">
        <v>97</v>
      </c>
      <c r="R723" s="47">
        <f>HEX2DEC(RIGHT(Table1323214[[#This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7" t="s">
        <v>97</v>
      </c>
      <c r="P724" s="47">
        <f>HEX2DEC(RIGHT(Table1323214[[#This Row],[h1]],8))</f>
        <v>0</v>
      </c>
      <c r="Q724" s="47" t="s">
        <v>97</v>
      </c>
      <c r="R724" s="47">
        <f>HEX2DEC(RIGHT(Table1323214[[#This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7" t="s">
        <v>97</v>
      </c>
      <c r="P725" s="47">
        <f>HEX2DEC(RIGHT(Table1323214[[#This Row],[h1]],8))</f>
        <v>0</v>
      </c>
      <c r="Q725" s="47" t="s">
        <v>97</v>
      </c>
      <c r="R725" s="47">
        <f>HEX2DEC(RIGHT(Table1323214[[#This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7" t="s">
        <v>97</v>
      </c>
      <c r="P726" s="47">
        <f>HEX2DEC(RIGHT(Table1323214[[#This Row],[h1]],8))</f>
        <v>0</v>
      </c>
      <c r="Q726" s="47" t="s">
        <v>97</v>
      </c>
      <c r="R726" s="47">
        <f>HEX2DEC(RIGHT(Table1323214[[#This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7" t="s">
        <v>97</v>
      </c>
      <c r="P727" s="47">
        <f>HEX2DEC(RIGHT(Table1323214[[#This Row],[h1]],8))</f>
        <v>0</v>
      </c>
      <c r="Q727" s="47" t="s">
        <v>97</v>
      </c>
      <c r="R727" s="47">
        <f>HEX2DEC(RIGHT(Table1323214[[#This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7" t="s">
        <v>97</v>
      </c>
      <c r="P728" s="47">
        <f>HEX2DEC(RIGHT(Table1323214[[#This Row],[h1]],8))</f>
        <v>0</v>
      </c>
      <c r="Q728" s="47" t="s">
        <v>97</v>
      </c>
      <c r="R728" s="47">
        <f>HEX2DEC(RIGHT(Table1323214[[#This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7" t="s">
        <v>97</v>
      </c>
      <c r="P729" s="47">
        <f>HEX2DEC(RIGHT(Table1323214[[#This Row],[h1]],8))</f>
        <v>0</v>
      </c>
      <c r="Q729" s="47" t="s">
        <v>97</v>
      </c>
      <c r="R729" s="47">
        <f>HEX2DEC(RIGHT(Table1323214[[#This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7" t="s">
        <v>97</v>
      </c>
      <c r="P730" s="47">
        <f>HEX2DEC(RIGHT(Table1323214[[#This Row],[h1]],8))</f>
        <v>0</v>
      </c>
      <c r="Q730" s="47" t="s">
        <v>97</v>
      </c>
      <c r="R730" s="47">
        <f>HEX2DEC(RIGHT(Table1323214[[#This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7" t="s">
        <v>97</v>
      </c>
      <c r="P731" s="47">
        <f>HEX2DEC(RIGHT(Table1323214[[#This Row],[h1]],8))</f>
        <v>0</v>
      </c>
      <c r="Q731" s="47" t="s">
        <v>97</v>
      </c>
      <c r="R731" s="47">
        <f>HEX2DEC(RIGHT(Table1323214[[#This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7" t="s">
        <v>97</v>
      </c>
      <c r="P732" s="47">
        <f>HEX2DEC(RIGHT(Table1323214[[#This Row],[h1]],8))</f>
        <v>0</v>
      </c>
      <c r="Q732" s="47" t="s">
        <v>97</v>
      </c>
      <c r="R732" s="47">
        <f>HEX2DEC(RIGHT(Table1323214[[#This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7" t="s">
        <v>97</v>
      </c>
      <c r="P733" s="47">
        <f>HEX2DEC(RIGHT(Table1323214[[#This Row],[h1]],8))</f>
        <v>0</v>
      </c>
      <c r="Q733" s="47" t="s">
        <v>97</v>
      </c>
      <c r="R733" s="47">
        <f>HEX2DEC(RIGHT(Table1323214[[#This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7" t="s">
        <v>97</v>
      </c>
      <c r="P734" s="47">
        <f>HEX2DEC(RIGHT(Table1323214[[#This Row],[h1]],8))</f>
        <v>0</v>
      </c>
      <c r="Q734" s="47" t="s">
        <v>97</v>
      </c>
      <c r="R734" s="47">
        <f>HEX2DEC(RIGHT(Table1323214[[#This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7" t="s">
        <v>97</v>
      </c>
      <c r="P735" s="47">
        <f>HEX2DEC(RIGHT(Table1323214[[#This Row],[h1]],8))</f>
        <v>0</v>
      </c>
      <c r="Q735" s="47" t="s">
        <v>97</v>
      </c>
      <c r="R735" s="47">
        <f>HEX2DEC(RIGHT(Table1323214[[#This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7" t="s">
        <v>97</v>
      </c>
      <c r="P736" s="47">
        <f>HEX2DEC(RIGHT(Table1323214[[#This Row],[h1]],8))</f>
        <v>0</v>
      </c>
      <c r="Q736" s="47" t="s">
        <v>97</v>
      </c>
      <c r="R736" s="47">
        <f>HEX2DEC(RIGHT(Table1323214[[#This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7" t="s">
        <v>97</v>
      </c>
      <c r="P737" s="47">
        <f>HEX2DEC(RIGHT(Table1323214[[#This Row],[h1]],8))</f>
        <v>0</v>
      </c>
      <c r="Q737" s="47" t="s">
        <v>97</v>
      </c>
      <c r="R737" s="47">
        <f>HEX2DEC(RIGHT(Table1323214[[#This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7" t="s">
        <v>97</v>
      </c>
      <c r="P738" s="47">
        <f>HEX2DEC(RIGHT(Table1323214[[#This Row],[h1]],8))</f>
        <v>0</v>
      </c>
      <c r="Q738" s="47" t="s">
        <v>97</v>
      </c>
      <c r="R738" s="47">
        <f>HEX2DEC(RIGHT(Table1323214[[#This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7" t="s">
        <v>97</v>
      </c>
      <c r="P739" s="47">
        <f>HEX2DEC(RIGHT(Table1323214[[#This Row],[h1]],8))</f>
        <v>0</v>
      </c>
      <c r="Q739" s="47" t="s">
        <v>97</v>
      </c>
      <c r="R739" s="47">
        <f>HEX2DEC(RIGHT(Table1323214[[#This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7" t="s">
        <v>97</v>
      </c>
      <c r="P740" s="47">
        <f>HEX2DEC(RIGHT(Table1323214[[#This Row],[h1]],8))</f>
        <v>0</v>
      </c>
      <c r="Q740" s="47" t="s">
        <v>97</v>
      </c>
      <c r="R740" s="47">
        <f>HEX2DEC(RIGHT(Table1323214[[#This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7" t="s">
        <v>97</v>
      </c>
      <c r="P741" s="47">
        <f>HEX2DEC(RIGHT(Table1323214[[#This Row],[h1]],8))</f>
        <v>0</v>
      </c>
      <c r="Q741" s="47" t="s">
        <v>97</v>
      </c>
      <c r="R741" s="47">
        <f>HEX2DEC(RIGHT(Table1323214[[#This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7" t="s">
        <v>97</v>
      </c>
      <c r="P742" s="47">
        <f>HEX2DEC(RIGHT(Table1323214[[#This Row],[h1]],8))</f>
        <v>0</v>
      </c>
      <c r="Q742" s="47" t="s">
        <v>97</v>
      </c>
      <c r="R742" s="47">
        <f>HEX2DEC(RIGHT(Table1323214[[#This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7" t="s">
        <v>97</v>
      </c>
      <c r="P743" s="47">
        <f>HEX2DEC(RIGHT(Table1323214[[#This Row],[h1]],8))</f>
        <v>0</v>
      </c>
      <c r="Q743" s="47" t="s">
        <v>97</v>
      </c>
      <c r="R743" s="47">
        <f>HEX2DEC(RIGHT(Table1323214[[#This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7" t="s">
        <v>97</v>
      </c>
      <c r="P744" s="47">
        <f>HEX2DEC(RIGHT(Table1323214[[#This Row],[h1]],8))</f>
        <v>0</v>
      </c>
      <c r="Q744" s="47" t="s">
        <v>97</v>
      </c>
      <c r="R744" s="47">
        <f>HEX2DEC(RIGHT(Table1323214[[#This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7" t="s">
        <v>97</v>
      </c>
      <c r="P745" s="47">
        <f>HEX2DEC(RIGHT(Table1323214[[#This Row],[h1]],8))</f>
        <v>0</v>
      </c>
      <c r="Q745" s="47" t="s">
        <v>97</v>
      </c>
      <c r="R745" s="47">
        <f>HEX2DEC(RIGHT(Table1323214[[#This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7" t="s">
        <v>97</v>
      </c>
      <c r="P746" s="47">
        <f>HEX2DEC(RIGHT(Table1323214[[#This Row],[h1]],8))</f>
        <v>0</v>
      </c>
      <c r="Q746" s="47" t="s">
        <v>97</v>
      </c>
      <c r="R746" s="47">
        <f>HEX2DEC(RIGHT(Table1323214[[#This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7" t="s">
        <v>97</v>
      </c>
      <c r="P747" s="47">
        <f>HEX2DEC(RIGHT(Table1323214[[#This Row],[h1]],8))</f>
        <v>0</v>
      </c>
      <c r="Q747" s="47" t="s">
        <v>97</v>
      </c>
      <c r="R747" s="47">
        <f>HEX2DEC(RIGHT(Table1323214[[#This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7" t="s">
        <v>97</v>
      </c>
      <c r="P748" s="47">
        <f>HEX2DEC(RIGHT(Table1323214[[#This Row],[h1]],8))</f>
        <v>0</v>
      </c>
      <c r="Q748" s="47" t="s">
        <v>97</v>
      </c>
      <c r="R748" s="47">
        <f>HEX2DEC(RIGHT(Table1323214[[#This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7" t="s">
        <v>97</v>
      </c>
      <c r="P749" s="47">
        <f>HEX2DEC(RIGHT(Table1323214[[#This Row],[h1]],8))</f>
        <v>0</v>
      </c>
      <c r="Q749" s="47" t="s">
        <v>97</v>
      </c>
      <c r="R749" s="47">
        <f>HEX2DEC(RIGHT(Table1323214[[#This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7" t="s">
        <v>97</v>
      </c>
      <c r="P750" s="47">
        <f>HEX2DEC(RIGHT(Table1323214[[#This Row],[h1]],8))</f>
        <v>0</v>
      </c>
      <c r="Q750" s="47" t="s">
        <v>97</v>
      </c>
      <c r="R750" s="47">
        <f>HEX2DEC(RIGHT(Table1323214[[#This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7" t="s">
        <v>97</v>
      </c>
      <c r="P751" s="47">
        <f>HEX2DEC(RIGHT(Table1323214[[#This Row],[h1]],8))</f>
        <v>0</v>
      </c>
      <c r="Q751" s="47" t="s">
        <v>97</v>
      </c>
      <c r="R751" s="47">
        <f>HEX2DEC(RIGHT(Table1323214[[#This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7" t="s">
        <v>97</v>
      </c>
      <c r="P752" s="47">
        <f>HEX2DEC(RIGHT(Table1323214[[#This Row],[h1]],8))</f>
        <v>0</v>
      </c>
      <c r="Q752" s="47" t="s">
        <v>97</v>
      </c>
      <c r="R752" s="47">
        <f>HEX2DEC(RIGHT(Table1323214[[#This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7" t="s">
        <v>97</v>
      </c>
      <c r="P753" s="47">
        <f>HEX2DEC(RIGHT(Table1323214[[#This Row],[h1]],8))</f>
        <v>0</v>
      </c>
      <c r="Q753" s="47" t="s">
        <v>97</v>
      </c>
      <c r="R753" s="47">
        <f>HEX2DEC(RIGHT(Table1323214[[#This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7" t="s">
        <v>97</v>
      </c>
      <c r="P754" s="47">
        <f>HEX2DEC(RIGHT(Table1323214[[#This Row],[h1]],8))</f>
        <v>0</v>
      </c>
      <c r="Q754" s="47" t="s">
        <v>97</v>
      </c>
      <c r="R754" s="47">
        <f>HEX2DEC(RIGHT(Table1323214[[#This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7" t="s">
        <v>97</v>
      </c>
      <c r="P755" s="47">
        <f>HEX2DEC(RIGHT(Table1323214[[#This Row],[h1]],8))</f>
        <v>0</v>
      </c>
      <c r="Q755" s="47" t="s">
        <v>97</v>
      </c>
      <c r="R755" s="47">
        <f>HEX2DEC(RIGHT(Table1323214[[#This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7" t="s">
        <v>97</v>
      </c>
      <c r="P756" s="47">
        <f>HEX2DEC(RIGHT(Table1323214[[#This Row],[h1]],8))</f>
        <v>0</v>
      </c>
      <c r="Q756" s="47" t="s">
        <v>97</v>
      </c>
      <c r="R756" s="47">
        <f>HEX2DEC(RIGHT(Table1323214[[#This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7" t="s">
        <v>97</v>
      </c>
      <c r="P757" s="47">
        <f>HEX2DEC(RIGHT(Table1323214[[#This Row],[h1]],8))</f>
        <v>0</v>
      </c>
      <c r="Q757" s="47" t="s">
        <v>97</v>
      </c>
      <c r="R757" s="47">
        <f>HEX2DEC(RIGHT(Table1323214[[#This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7" t="s">
        <v>97</v>
      </c>
      <c r="P758" s="47">
        <f>HEX2DEC(RIGHT(Table1323214[[#This Row],[h1]],8))</f>
        <v>0</v>
      </c>
      <c r="Q758" s="47" t="s">
        <v>97</v>
      </c>
      <c r="R758" s="47">
        <f>HEX2DEC(RIGHT(Table1323214[[#This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7" t="s">
        <v>97</v>
      </c>
      <c r="P759" s="47">
        <f>HEX2DEC(RIGHT(Table1323214[[#This Row],[h1]],8))</f>
        <v>0</v>
      </c>
      <c r="Q759" s="47" t="s">
        <v>97</v>
      </c>
      <c r="R759" s="47">
        <f>HEX2DEC(RIGHT(Table1323214[[#This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7" t="s">
        <v>97</v>
      </c>
      <c r="P760" s="47">
        <f>HEX2DEC(RIGHT(Table1323214[[#This Row],[h1]],8))</f>
        <v>0</v>
      </c>
      <c r="Q760" s="47" t="s">
        <v>97</v>
      </c>
      <c r="R760" s="47">
        <f>HEX2DEC(RIGHT(Table1323214[[#This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7" t="s">
        <v>97</v>
      </c>
      <c r="P761" s="47">
        <f>HEX2DEC(RIGHT(Table1323214[[#This Row],[h1]],8))</f>
        <v>0</v>
      </c>
      <c r="Q761" s="47" t="s">
        <v>97</v>
      </c>
      <c r="R761" s="47">
        <f>HEX2DEC(RIGHT(Table1323214[[#This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7" t="s">
        <v>97</v>
      </c>
      <c r="P762" s="47">
        <f>HEX2DEC(RIGHT(Table1323214[[#This Row],[h1]],8))</f>
        <v>0</v>
      </c>
      <c r="Q762" s="47" t="s">
        <v>97</v>
      </c>
      <c r="R762" s="47">
        <f>HEX2DEC(RIGHT(Table1323214[[#This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7" t="s">
        <v>97</v>
      </c>
      <c r="P763" s="47">
        <f>HEX2DEC(RIGHT(Table1323214[[#This Row],[h1]],8))</f>
        <v>0</v>
      </c>
      <c r="Q763" s="47" t="s">
        <v>97</v>
      </c>
      <c r="R763" s="47">
        <f>HEX2DEC(RIGHT(Table1323214[[#This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7" t="s">
        <v>97</v>
      </c>
      <c r="P764" s="47">
        <f>HEX2DEC(RIGHT(Table1323214[[#This Row],[h1]],8))</f>
        <v>0</v>
      </c>
      <c r="Q764" s="47" t="s">
        <v>97</v>
      </c>
      <c r="R764" s="47">
        <f>HEX2DEC(RIGHT(Table1323214[[#This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7" t="s">
        <v>97</v>
      </c>
      <c r="P765" s="47">
        <f>HEX2DEC(RIGHT(Table1323214[[#This Row],[h1]],8))</f>
        <v>0</v>
      </c>
      <c r="Q765" s="47" t="s">
        <v>97</v>
      </c>
      <c r="R765" s="47">
        <f>HEX2DEC(RIGHT(Table1323214[[#This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7" t="s">
        <v>97</v>
      </c>
      <c r="P766" s="47">
        <f>HEX2DEC(RIGHT(Table1323214[[#This Row],[h1]],8))</f>
        <v>0</v>
      </c>
      <c r="Q766" s="47" t="s">
        <v>97</v>
      </c>
      <c r="R766" s="47">
        <f>HEX2DEC(RIGHT(Table1323214[[#This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7" t="s">
        <v>97</v>
      </c>
      <c r="P767" s="47">
        <f>HEX2DEC(RIGHT(Table1323214[[#This Row],[h1]],8))</f>
        <v>0</v>
      </c>
      <c r="Q767" s="47" t="s">
        <v>97</v>
      </c>
      <c r="R767" s="47">
        <f>HEX2DEC(RIGHT(Table1323214[[#This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7" t="s">
        <v>97</v>
      </c>
      <c r="P768" s="47">
        <f>HEX2DEC(RIGHT(Table1323214[[#This Row],[h1]],8))</f>
        <v>0</v>
      </c>
      <c r="Q768" s="47" t="s">
        <v>97</v>
      </c>
      <c r="R768" s="47">
        <f>HEX2DEC(RIGHT(Table1323214[[#This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7" t="s">
        <v>97</v>
      </c>
      <c r="P769" s="47">
        <f>HEX2DEC(RIGHT(Table1323214[[#This Row],[h1]],8))</f>
        <v>0</v>
      </c>
      <c r="Q769" s="47" t="s">
        <v>97</v>
      </c>
      <c r="R769" s="47">
        <f>HEX2DEC(RIGHT(Table1323214[[#This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7" t="s">
        <v>97</v>
      </c>
      <c r="P770" s="47">
        <f>HEX2DEC(RIGHT(Table1323214[[#This Row],[h1]],8))</f>
        <v>0</v>
      </c>
      <c r="Q770" s="47" t="s">
        <v>97</v>
      </c>
      <c r="R770" s="47">
        <f>HEX2DEC(RIGHT(Table1323214[[#This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7" t="s">
        <v>97</v>
      </c>
      <c r="P771" s="47">
        <f>HEX2DEC(RIGHT(Table1323214[[#This Row],[h1]],8))</f>
        <v>0</v>
      </c>
      <c r="Q771" s="47" t="s">
        <v>97</v>
      </c>
      <c r="R771" s="47">
        <f>HEX2DEC(RIGHT(Table1323214[[#This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7" t="s">
        <v>97</v>
      </c>
      <c r="P772" s="47">
        <f>HEX2DEC(RIGHT(Table1323214[[#This Row],[h1]],8))</f>
        <v>0</v>
      </c>
      <c r="Q772" s="47" t="s">
        <v>97</v>
      </c>
      <c r="R772" s="47">
        <f>HEX2DEC(RIGHT(Table1323214[[#This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7" t="s">
        <v>97</v>
      </c>
      <c r="P773" s="47">
        <f>HEX2DEC(RIGHT(Table1323214[[#This Row],[h1]],8))</f>
        <v>0</v>
      </c>
      <c r="Q773" s="47" t="s">
        <v>97</v>
      </c>
      <c r="R773" s="47">
        <f>HEX2DEC(RIGHT(Table1323214[[#This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7" t="s">
        <v>97</v>
      </c>
      <c r="P774" s="47">
        <f>HEX2DEC(RIGHT(Table1323214[[#This Row],[h1]],8))</f>
        <v>0</v>
      </c>
      <c r="Q774" s="47" t="s">
        <v>97</v>
      </c>
      <c r="R774" s="47">
        <f>HEX2DEC(RIGHT(Table1323214[[#This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7" t="s">
        <v>97</v>
      </c>
      <c r="P775" s="47">
        <f>HEX2DEC(RIGHT(Table1323214[[#This Row],[h1]],8))</f>
        <v>0</v>
      </c>
      <c r="Q775" s="47" t="s">
        <v>97</v>
      </c>
      <c r="R775" s="47">
        <f>HEX2DEC(RIGHT(Table1323214[[#This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7" t="s">
        <v>97</v>
      </c>
      <c r="P776" s="47">
        <f>HEX2DEC(RIGHT(Table1323214[[#This Row],[h1]],8))</f>
        <v>0</v>
      </c>
      <c r="Q776" s="47" t="s">
        <v>97</v>
      </c>
      <c r="R776" s="47">
        <f>HEX2DEC(RIGHT(Table1323214[[#This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7" t="s">
        <v>97</v>
      </c>
      <c r="P777" s="47">
        <f>HEX2DEC(RIGHT(Table1323214[[#This Row],[h1]],8))</f>
        <v>0</v>
      </c>
      <c r="Q777" s="47" t="s">
        <v>97</v>
      </c>
      <c r="R777" s="47">
        <f>HEX2DEC(RIGHT(Table1323214[[#This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7" t="s">
        <v>97</v>
      </c>
      <c r="P778" s="47">
        <f>HEX2DEC(RIGHT(Table1323214[[#This Row],[h1]],8))</f>
        <v>0</v>
      </c>
      <c r="Q778" s="47" t="s">
        <v>97</v>
      </c>
      <c r="R778" s="47">
        <f>HEX2DEC(RIGHT(Table1323214[[#This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7" t="s">
        <v>97</v>
      </c>
      <c r="P779" s="47">
        <f>HEX2DEC(RIGHT(Table1323214[[#This Row],[h1]],8))</f>
        <v>0</v>
      </c>
      <c r="Q779" s="47" t="s">
        <v>97</v>
      </c>
      <c r="R779" s="47">
        <f>HEX2DEC(RIGHT(Table1323214[[#This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7" t="s">
        <v>97</v>
      </c>
      <c r="P780" s="47">
        <f>HEX2DEC(RIGHT(Table1323214[[#This Row],[h1]],8))</f>
        <v>0</v>
      </c>
      <c r="Q780" s="47" t="s">
        <v>97</v>
      </c>
      <c r="R780" s="47">
        <f>HEX2DEC(RIGHT(Table1323214[[#This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7" t="s">
        <v>97</v>
      </c>
      <c r="P781" s="47">
        <f>HEX2DEC(RIGHT(Table1323214[[#This Row],[h1]],8))</f>
        <v>0</v>
      </c>
      <c r="Q781" s="47" t="s">
        <v>97</v>
      </c>
      <c r="R781" s="47">
        <f>HEX2DEC(RIGHT(Table1323214[[#This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7" t="s">
        <v>97</v>
      </c>
      <c r="P782" s="47">
        <f>HEX2DEC(RIGHT(Table1323214[[#This Row],[h1]],8))</f>
        <v>0</v>
      </c>
      <c r="Q782" s="47" t="s">
        <v>97</v>
      </c>
      <c r="R782" s="47">
        <f>HEX2DEC(RIGHT(Table1323214[[#This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7" t="s">
        <v>97</v>
      </c>
      <c r="P783" s="47">
        <f>HEX2DEC(RIGHT(Table1323214[[#This Row],[h1]],8))</f>
        <v>0</v>
      </c>
      <c r="Q783" s="47" t="s">
        <v>97</v>
      </c>
      <c r="R783" s="47">
        <f>HEX2DEC(RIGHT(Table1323214[[#This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7" t="s">
        <v>97</v>
      </c>
      <c r="P784" s="47">
        <f>HEX2DEC(RIGHT(Table1323214[[#This Row],[h1]],8))</f>
        <v>0</v>
      </c>
      <c r="Q784" s="47" t="s">
        <v>97</v>
      </c>
      <c r="R784" s="47">
        <f>HEX2DEC(RIGHT(Table1323214[[#This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7" t="s">
        <v>97</v>
      </c>
      <c r="P785" s="47">
        <f>HEX2DEC(RIGHT(Table1323214[[#This Row],[h1]],8))</f>
        <v>0</v>
      </c>
      <c r="Q785" s="47" t="s">
        <v>97</v>
      </c>
      <c r="R785" s="47">
        <f>HEX2DEC(RIGHT(Table1323214[[#This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7" t="s">
        <v>97</v>
      </c>
      <c r="P786" s="47">
        <f>HEX2DEC(RIGHT(Table1323214[[#This Row],[h1]],8))</f>
        <v>0</v>
      </c>
      <c r="Q786" s="47" t="s">
        <v>97</v>
      </c>
      <c r="R786" s="47">
        <f>HEX2DEC(RIGHT(Table1323214[[#This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7" t="s">
        <v>97</v>
      </c>
      <c r="P787" s="47">
        <f>HEX2DEC(RIGHT(Table1323214[[#This Row],[h1]],8))</f>
        <v>0</v>
      </c>
      <c r="Q787" s="47" t="s">
        <v>97</v>
      </c>
      <c r="R787" s="47">
        <f>HEX2DEC(RIGHT(Table1323214[[#This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7" t="s">
        <v>97</v>
      </c>
      <c r="P788" s="47">
        <f>HEX2DEC(RIGHT(Table1323214[[#This Row],[h1]],8))</f>
        <v>0</v>
      </c>
      <c r="Q788" s="47" t="s">
        <v>97</v>
      </c>
      <c r="R788" s="47">
        <f>HEX2DEC(RIGHT(Table1323214[[#This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7" t="s">
        <v>97</v>
      </c>
      <c r="P789" s="47">
        <f>HEX2DEC(RIGHT(Table1323214[[#This Row],[h1]],8))</f>
        <v>0</v>
      </c>
      <c r="Q789" s="47" t="s">
        <v>97</v>
      </c>
      <c r="R789" s="47">
        <f>HEX2DEC(RIGHT(Table1323214[[#This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7" t="s">
        <v>97</v>
      </c>
      <c r="P790" s="47">
        <f>HEX2DEC(RIGHT(Table1323214[[#This Row],[h1]],8))</f>
        <v>0</v>
      </c>
      <c r="Q790" s="47" t="s">
        <v>97</v>
      </c>
      <c r="R790" s="47">
        <f>HEX2DEC(RIGHT(Table1323214[[#This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7" t="s">
        <v>97</v>
      </c>
      <c r="P791" s="47">
        <f>HEX2DEC(RIGHT(Table1323214[[#This Row],[h1]],8))</f>
        <v>0</v>
      </c>
      <c r="Q791" s="47" t="s">
        <v>97</v>
      </c>
      <c r="R791" s="47">
        <f>HEX2DEC(RIGHT(Table1323214[[#This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7" t="s">
        <v>97</v>
      </c>
      <c r="P792" s="47">
        <f>HEX2DEC(RIGHT(Table1323214[[#This Row],[h1]],8))</f>
        <v>0</v>
      </c>
      <c r="Q792" s="47" t="s">
        <v>97</v>
      </c>
      <c r="R792" s="47">
        <f>HEX2DEC(RIGHT(Table1323214[[#This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7" t="s">
        <v>97</v>
      </c>
      <c r="P793" s="47">
        <f>HEX2DEC(RIGHT(Table1323214[[#This Row],[h1]],8))</f>
        <v>0</v>
      </c>
      <c r="Q793" s="47" t="s">
        <v>97</v>
      </c>
      <c r="R793" s="47">
        <f>HEX2DEC(RIGHT(Table1323214[[#This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7" t="s">
        <v>97</v>
      </c>
      <c r="P794" s="47">
        <f>HEX2DEC(RIGHT(Table1323214[[#This Row],[h1]],8))</f>
        <v>0</v>
      </c>
      <c r="Q794" s="47" t="s">
        <v>97</v>
      </c>
      <c r="R794" s="47">
        <f>HEX2DEC(RIGHT(Table1323214[[#This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7" t="s">
        <v>97</v>
      </c>
      <c r="P795" s="47">
        <f>HEX2DEC(RIGHT(Table1323214[[#This Row],[h1]],8))</f>
        <v>0</v>
      </c>
      <c r="Q795" s="47" t="s">
        <v>97</v>
      </c>
      <c r="R795" s="47">
        <f>HEX2DEC(RIGHT(Table1323214[[#This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7" t="s">
        <v>97</v>
      </c>
      <c r="P796" s="47">
        <f>HEX2DEC(RIGHT(Table1323214[[#This Row],[h1]],8))</f>
        <v>0</v>
      </c>
      <c r="Q796" s="47" t="s">
        <v>97</v>
      </c>
      <c r="R796" s="47">
        <f>HEX2DEC(RIGHT(Table1323214[[#This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7" t="s">
        <v>97</v>
      </c>
      <c r="P797" s="47">
        <f>HEX2DEC(RIGHT(Table1323214[[#This Row],[h1]],8))</f>
        <v>0</v>
      </c>
      <c r="Q797" s="47" t="s">
        <v>97</v>
      </c>
      <c r="R797" s="47">
        <f>HEX2DEC(RIGHT(Table1323214[[#This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7" t="s">
        <v>97</v>
      </c>
      <c r="P798" s="47">
        <f>HEX2DEC(RIGHT(Table1323214[[#This Row],[h1]],8))</f>
        <v>0</v>
      </c>
      <c r="Q798" s="47" t="s">
        <v>97</v>
      </c>
      <c r="R798" s="47">
        <f>HEX2DEC(RIGHT(Table1323214[[#This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7" t="s">
        <v>97</v>
      </c>
      <c r="P799" s="47">
        <f>HEX2DEC(RIGHT(Table1323214[[#This Row],[h1]],8))</f>
        <v>0</v>
      </c>
      <c r="Q799" s="47" t="s">
        <v>97</v>
      </c>
      <c r="R799" s="47">
        <f>HEX2DEC(RIGHT(Table1323214[[#This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7" t="s">
        <v>97</v>
      </c>
      <c r="P800" s="47">
        <f>HEX2DEC(RIGHT(Table1323214[[#This Row],[h1]],8))</f>
        <v>0</v>
      </c>
      <c r="Q800" s="47" t="s">
        <v>97</v>
      </c>
      <c r="R800" s="47">
        <f>HEX2DEC(RIGHT(Table1323214[[#This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7" t="s">
        <v>97</v>
      </c>
      <c r="P801" s="47">
        <f>HEX2DEC(RIGHT(Table1323214[[#This Row],[h1]],8))</f>
        <v>0</v>
      </c>
      <c r="Q801" s="47" t="s">
        <v>97</v>
      </c>
      <c r="R801" s="47">
        <f>HEX2DEC(RIGHT(Table1323214[[#This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7" t="s">
        <v>97</v>
      </c>
      <c r="P802" s="47">
        <f>HEX2DEC(RIGHT(Table1323214[[#This Row],[h1]],8))</f>
        <v>0</v>
      </c>
      <c r="Q802" s="47" t="s">
        <v>97</v>
      </c>
      <c r="R802" s="47">
        <f>HEX2DEC(RIGHT(Table1323214[[#This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7" t="s">
        <v>97</v>
      </c>
      <c r="P803" s="47">
        <f>HEX2DEC(RIGHT(Table1323214[[#This Row],[h1]],8))</f>
        <v>0</v>
      </c>
      <c r="Q803" s="47" t="s">
        <v>97</v>
      </c>
      <c r="R803" s="47">
        <f>HEX2DEC(RIGHT(Table1323214[[#This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7" t="s">
        <v>97</v>
      </c>
      <c r="P804" s="47">
        <f>HEX2DEC(RIGHT(Table1323214[[#This Row],[h1]],8))</f>
        <v>0</v>
      </c>
      <c r="Q804" s="47" t="s">
        <v>97</v>
      </c>
      <c r="R804" s="47">
        <f>HEX2DEC(RIGHT(Table1323214[[#This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7" t="s">
        <v>97</v>
      </c>
      <c r="P805" s="47">
        <f>HEX2DEC(RIGHT(Table1323214[[#This Row],[h1]],8))</f>
        <v>0</v>
      </c>
      <c r="Q805" s="47" t="s">
        <v>97</v>
      </c>
      <c r="R805" s="47">
        <f>HEX2DEC(RIGHT(Table1323214[[#This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7" t="s">
        <v>97</v>
      </c>
      <c r="P806" s="47">
        <f>HEX2DEC(RIGHT(Table1323214[[#This Row],[h1]],8))</f>
        <v>0</v>
      </c>
      <c r="Q806" s="47" t="s">
        <v>97</v>
      </c>
      <c r="R806" s="47">
        <f>HEX2DEC(RIGHT(Table1323214[[#This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7" t="s">
        <v>97</v>
      </c>
      <c r="P807" s="47">
        <f>HEX2DEC(RIGHT(Table1323214[[#This Row],[h1]],8))</f>
        <v>0</v>
      </c>
      <c r="Q807" s="47" t="s">
        <v>97</v>
      </c>
      <c r="R807" s="47">
        <f>HEX2DEC(RIGHT(Table1323214[[#This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7" t="s">
        <v>97</v>
      </c>
      <c r="P808" s="47">
        <f>HEX2DEC(RIGHT(Table1323214[[#This Row],[h1]],8))</f>
        <v>0</v>
      </c>
      <c r="Q808" s="47" t="s">
        <v>97</v>
      </c>
      <c r="R808" s="47">
        <f>HEX2DEC(RIGHT(Table1323214[[#This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7" t="s">
        <v>97</v>
      </c>
      <c r="P809" s="47">
        <f>HEX2DEC(RIGHT(Table1323214[[#This Row],[h1]],8))</f>
        <v>0</v>
      </c>
      <c r="Q809" s="47" t="s">
        <v>97</v>
      </c>
      <c r="R809" s="47">
        <f>HEX2DEC(RIGHT(Table1323214[[#This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7" t="s">
        <v>97</v>
      </c>
      <c r="P810" s="47">
        <f>HEX2DEC(RIGHT(Table1323214[[#This Row],[h1]],8))</f>
        <v>0</v>
      </c>
      <c r="Q810" s="47" t="s">
        <v>97</v>
      </c>
      <c r="R810" s="47">
        <f>HEX2DEC(RIGHT(Table1323214[[#This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7" t="s">
        <v>97</v>
      </c>
      <c r="P811" s="47">
        <f>HEX2DEC(RIGHT(Table1323214[[#This Row],[h1]],8))</f>
        <v>0</v>
      </c>
      <c r="Q811" s="47" t="s">
        <v>97</v>
      </c>
      <c r="R811" s="47">
        <f>HEX2DEC(RIGHT(Table1323214[[#This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7" t="s">
        <v>97</v>
      </c>
      <c r="P812" s="47">
        <f>HEX2DEC(RIGHT(Table1323214[[#This Row],[h1]],8))</f>
        <v>0</v>
      </c>
      <c r="Q812" s="47" t="s">
        <v>97</v>
      </c>
      <c r="R812" s="47">
        <f>HEX2DEC(RIGHT(Table1323214[[#This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7" t="s">
        <v>97</v>
      </c>
      <c r="P813" s="47">
        <f>HEX2DEC(RIGHT(Table1323214[[#This Row],[h1]],8))</f>
        <v>0</v>
      </c>
      <c r="Q813" s="47" t="s">
        <v>97</v>
      </c>
      <c r="R813" s="47">
        <f>HEX2DEC(RIGHT(Table1323214[[#This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7" t="s">
        <v>97</v>
      </c>
      <c r="P814" s="47">
        <f>HEX2DEC(RIGHT(Table1323214[[#This Row],[h1]],8))</f>
        <v>0</v>
      </c>
      <c r="Q814" s="47" t="s">
        <v>97</v>
      </c>
      <c r="R814" s="47">
        <f>HEX2DEC(RIGHT(Table1323214[[#This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7" t="s">
        <v>97</v>
      </c>
      <c r="P815" s="47">
        <f>HEX2DEC(RIGHT(Table1323214[[#This Row],[h1]],8))</f>
        <v>0</v>
      </c>
      <c r="Q815" s="47" t="s">
        <v>97</v>
      </c>
      <c r="R815" s="47">
        <f>HEX2DEC(RIGHT(Table1323214[[#This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7" t="s">
        <v>97</v>
      </c>
      <c r="P816" s="47">
        <f>HEX2DEC(RIGHT(Table1323214[[#This Row],[h1]],8))</f>
        <v>0</v>
      </c>
      <c r="Q816" s="47" t="s">
        <v>97</v>
      </c>
      <c r="R816" s="47">
        <f>HEX2DEC(RIGHT(Table1323214[[#This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7" t="s">
        <v>97</v>
      </c>
      <c r="P817" s="47">
        <f>HEX2DEC(RIGHT(Table1323214[[#This Row],[h1]],8))</f>
        <v>0</v>
      </c>
      <c r="Q817" s="47" t="s">
        <v>97</v>
      </c>
      <c r="R817" s="47">
        <f>HEX2DEC(RIGHT(Table1323214[[#This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7" t="s">
        <v>97</v>
      </c>
      <c r="P818" s="47">
        <f>HEX2DEC(RIGHT(Table1323214[[#This Row],[h1]],8))</f>
        <v>0</v>
      </c>
      <c r="Q818" s="47" t="s">
        <v>97</v>
      </c>
      <c r="R818" s="47">
        <f>HEX2DEC(RIGHT(Table1323214[[#This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7" t="s">
        <v>97</v>
      </c>
      <c r="P819" s="47">
        <f>HEX2DEC(RIGHT(Table1323214[[#This Row],[h1]],8))</f>
        <v>0</v>
      </c>
      <c r="Q819" s="47" t="s">
        <v>97</v>
      </c>
      <c r="R819" s="47">
        <f>HEX2DEC(RIGHT(Table1323214[[#This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7" t="s">
        <v>97</v>
      </c>
      <c r="P820" s="47">
        <f>HEX2DEC(RIGHT(Table1323214[[#This Row],[h1]],8))</f>
        <v>0</v>
      </c>
      <c r="Q820" s="47" t="s">
        <v>97</v>
      </c>
      <c r="R820" s="47">
        <f>HEX2DEC(RIGHT(Table1323214[[#This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7" t="s">
        <v>97</v>
      </c>
      <c r="P821" s="47">
        <f>HEX2DEC(RIGHT(Table1323214[[#This Row],[h1]],8))</f>
        <v>0</v>
      </c>
      <c r="Q821" s="47" t="s">
        <v>97</v>
      </c>
      <c r="R821" s="47">
        <f>HEX2DEC(RIGHT(Table1323214[[#This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7" t="s">
        <v>97</v>
      </c>
      <c r="P822" s="47">
        <f>HEX2DEC(RIGHT(Table1323214[[#This Row],[h1]],8))</f>
        <v>0</v>
      </c>
      <c r="Q822" s="47" t="s">
        <v>97</v>
      </c>
      <c r="R822" s="47">
        <f>HEX2DEC(RIGHT(Table1323214[[#This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7" t="s">
        <v>97</v>
      </c>
      <c r="P823" s="47">
        <f>HEX2DEC(RIGHT(Table1323214[[#This Row],[h1]],8))</f>
        <v>0</v>
      </c>
      <c r="Q823" s="47" t="s">
        <v>97</v>
      </c>
      <c r="R823" s="47">
        <f>HEX2DEC(RIGHT(Table1323214[[#This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7" t="s">
        <v>97</v>
      </c>
      <c r="P824" s="47">
        <f>HEX2DEC(RIGHT(Table1323214[[#This Row],[h1]],8))</f>
        <v>0</v>
      </c>
      <c r="Q824" s="47" t="s">
        <v>97</v>
      </c>
      <c r="R824" s="47">
        <f>HEX2DEC(RIGHT(Table1323214[[#This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7" t="s">
        <v>97</v>
      </c>
      <c r="P825" s="47">
        <f>HEX2DEC(RIGHT(Table1323214[[#This Row],[h1]],8))</f>
        <v>0</v>
      </c>
      <c r="Q825" s="47" t="s">
        <v>97</v>
      </c>
      <c r="R825" s="47">
        <f>HEX2DEC(RIGHT(Table1323214[[#This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7" t="s">
        <v>97</v>
      </c>
      <c r="P826" s="47">
        <f>HEX2DEC(RIGHT(Table1323214[[#This Row],[h1]],8))</f>
        <v>0</v>
      </c>
      <c r="Q826" s="47" t="s">
        <v>97</v>
      </c>
      <c r="R826" s="47">
        <f>HEX2DEC(RIGHT(Table1323214[[#This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7" t="s">
        <v>97</v>
      </c>
      <c r="P827" s="47">
        <f>HEX2DEC(RIGHT(Table1323214[[#This Row],[h1]],8))</f>
        <v>0</v>
      </c>
      <c r="Q827" s="47" t="s">
        <v>97</v>
      </c>
      <c r="R827" s="47">
        <f>HEX2DEC(RIGHT(Table1323214[[#This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7" t="s">
        <v>97</v>
      </c>
      <c r="P828" s="47">
        <f>HEX2DEC(RIGHT(Table1323214[[#This Row],[h1]],8))</f>
        <v>0</v>
      </c>
      <c r="Q828" s="47" t="s">
        <v>97</v>
      </c>
      <c r="R828" s="47">
        <f>HEX2DEC(RIGHT(Table1323214[[#This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7" t="s">
        <v>97</v>
      </c>
      <c r="P829" s="47">
        <f>HEX2DEC(RIGHT(Table1323214[[#This Row],[h1]],8))</f>
        <v>0</v>
      </c>
      <c r="Q829" s="47" t="s">
        <v>97</v>
      </c>
      <c r="R829" s="47">
        <f>HEX2DEC(RIGHT(Table1323214[[#This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7" t="s">
        <v>97</v>
      </c>
      <c r="P830" s="47">
        <f>HEX2DEC(RIGHT(Table1323214[[#This Row],[h1]],8))</f>
        <v>0</v>
      </c>
      <c r="Q830" s="47" t="s">
        <v>97</v>
      </c>
      <c r="R830" s="47">
        <f>HEX2DEC(RIGHT(Table1323214[[#This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7" t="s">
        <v>97</v>
      </c>
      <c r="P831" s="47">
        <f>HEX2DEC(RIGHT(Table1323214[[#This Row],[h1]],8))</f>
        <v>0</v>
      </c>
      <c r="Q831" s="47" t="s">
        <v>97</v>
      </c>
      <c r="R831" s="47">
        <f>HEX2DEC(RIGHT(Table1323214[[#This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7" t="s">
        <v>97</v>
      </c>
      <c r="P832" s="47">
        <f>HEX2DEC(RIGHT(Table1323214[[#This Row],[h1]],8))</f>
        <v>0</v>
      </c>
      <c r="Q832" s="47" t="s">
        <v>97</v>
      </c>
      <c r="R832" s="47">
        <f>HEX2DEC(RIGHT(Table1323214[[#This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7" t="s">
        <v>97</v>
      </c>
      <c r="P833" s="47">
        <f>HEX2DEC(RIGHT(Table1323214[[#This Row],[h1]],8))</f>
        <v>0</v>
      </c>
      <c r="Q833" s="47" t="s">
        <v>97</v>
      </c>
      <c r="R833" s="47">
        <f>HEX2DEC(RIGHT(Table1323214[[#This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7" t="s">
        <v>97</v>
      </c>
      <c r="P834" s="47">
        <f>HEX2DEC(RIGHT(Table1323214[[#This Row],[h1]],8))</f>
        <v>0</v>
      </c>
      <c r="Q834" s="47" t="s">
        <v>97</v>
      </c>
      <c r="R834" s="47">
        <f>HEX2DEC(RIGHT(Table1323214[[#This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7" t="s">
        <v>97</v>
      </c>
      <c r="P835" s="47">
        <f>HEX2DEC(RIGHT(Table1323214[[#This Row],[h1]],8))</f>
        <v>0</v>
      </c>
      <c r="Q835" s="47" t="s">
        <v>97</v>
      </c>
      <c r="R835" s="47">
        <f>HEX2DEC(RIGHT(Table1323214[[#This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7" t="s">
        <v>97</v>
      </c>
      <c r="P836" s="47">
        <f>HEX2DEC(RIGHT(Table1323214[[#This Row],[h1]],8))</f>
        <v>0</v>
      </c>
      <c r="Q836" s="47" t="s">
        <v>97</v>
      </c>
      <c r="R836" s="47">
        <f>HEX2DEC(RIGHT(Table1323214[[#This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7" t="s">
        <v>97</v>
      </c>
      <c r="P837" s="47">
        <f>HEX2DEC(RIGHT(Table1323214[[#This Row],[h1]],8))</f>
        <v>0</v>
      </c>
      <c r="Q837" s="47" t="s">
        <v>97</v>
      </c>
      <c r="R837" s="47">
        <f>HEX2DEC(RIGHT(Table1323214[[#This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7" t="s">
        <v>97</v>
      </c>
      <c r="P838" s="47">
        <f>HEX2DEC(RIGHT(Table1323214[[#This Row],[h1]],8))</f>
        <v>0</v>
      </c>
      <c r="Q838" s="47" t="s">
        <v>97</v>
      </c>
      <c r="R838" s="47">
        <f>HEX2DEC(RIGHT(Table1323214[[#This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7" t="s">
        <v>97</v>
      </c>
      <c r="P839" s="47">
        <f>HEX2DEC(RIGHT(Table1323214[[#This Row],[h1]],8))</f>
        <v>0</v>
      </c>
      <c r="Q839" s="47" t="s">
        <v>97</v>
      </c>
      <c r="R839" s="47">
        <f>HEX2DEC(RIGHT(Table1323214[[#This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7" t="s">
        <v>97</v>
      </c>
      <c r="P840" s="47">
        <f>HEX2DEC(RIGHT(Table1323214[[#This Row],[h1]],8))</f>
        <v>0</v>
      </c>
      <c r="Q840" s="47" t="s">
        <v>97</v>
      </c>
      <c r="R840" s="47">
        <f>HEX2DEC(RIGHT(Table1323214[[#This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7" t="s">
        <v>97</v>
      </c>
      <c r="P841" s="47">
        <f>HEX2DEC(RIGHT(Table1323214[[#This Row],[h1]],8))</f>
        <v>0</v>
      </c>
      <c r="Q841" s="47" t="s">
        <v>97</v>
      </c>
      <c r="R841" s="47">
        <f>HEX2DEC(RIGHT(Table1323214[[#This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7" t="s">
        <v>97</v>
      </c>
      <c r="P842" s="47">
        <f>HEX2DEC(RIGHT(Table1323214[[#This Row],[h1]],8))</f>
        <v>0</v>
      </c>
      <c r="Q842" s="47" t="s">
        <v>97</v>
      </c>
      <c r="R842" s="47">
        <f>HEX2DEC(RIGHT(Table1323214[[#This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7" t="s">
        <v>97</v>
      </c>
      <c r="P843" s="47">
        <f>HEX2DEC(RIGHT(Table1323214[[#This Row],[h1]],8))</f>
        <v>0</v>
      </c>
      <c r="Q843" s="47" t="s">
        <v>97</v>
      </c>
      <c r="R843" s="47">
        <f>HEX2DEC(RIGHT(Table1323214[[#This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7" t="s">
        <v>97</v>
      </c>
      <c r="P844" s="47">
        <f>HEX2DEC(RIGHT(Table1323214[[#This Row],[h1]],8))</f>
        <v>0</v>
      </c>
      <c r="Q844" s="47" t="s">
        <v>97</v>
      </c>
      <c r="R844" s="47">
        <f>HEX2DEC(RIGHT(Table1323214[[#This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7" t="s">
        <v>97</v>
      </c>
      <c r="P845" s="47">
        <f>HEX2DEC(RIGHT(Table1323214[[#This Row],[h1]],8))</f>
        <v>0</v>
      </c>
      <c r="Q845" s="47" t="s">
        <v>97</v>
      </c>
      <c r="R845" s="47">
        <f>HEX2DEC(RIGHT(Table1323214[[#This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7" t="s">
        <v>97</v>
      </c>
      <c r="P846" s="47">
        <f>HEX2DEC(RIGHT(Table1323214[[#This Row],[h1]],8))</f>
        <v>0</v>
      </c>
      <c r="Q846" s="47" t="s">
        <v>97</v>
      </c>
      <c r="R846" s="47">
        <f>HEX2DEC(RIGHT(Table1323214[[#This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7" t="s">
        <v>97</v>
      </c>
      <c r="P847" s="47">
        <f>HEX2DEC(RIGHT(Table1323214[[#This Row],[h1]],8))</f>
        <v>0</v>
      </c>
      <c r="Q847" s="47" t="s">
        <v>97</v>
      </c>
      <c r="R847" s="47">
        <f>HEX2DEC(RIGHT(Table1323214[[#This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7" t="s">
        <v>97</v>
      </c>
      <c r="P848" s="47">
        <f>HEX2DEC(RIGHT(Table1323214[[#This Row],[h1]],8))</f>
        <v>0</v>
      </c>
      <c r="Q848" s="47" t="s">
        <v>97</v>
      </c>
      <c r="R848" s="47">
        <f>HEX2DEC(RIGHT(Table1323214[[#This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7" t="s">
        <v>97</v>
      </c>
      <c r="P849" s="47">
        <f>HEX2DEC(RIGHT(Table1323214[[#This Row],[h1]],8))</f>
        <v>0</v>
      </c>
      <c r="Q849" s="47" t="s">
        <v>97</v>
      </c>
      <c r="R849" s="47">
        <f>HEX2DEC(RIGHT(Table1323214[[#This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7" t="s">
        <v>97</v>
      </c>
      <c r="P850" s="47">
        <f>HEX2DEC(RIGHT(Table1323214[[#This Row],[h1]],8))</f>
        <v>0</v>
      </c>
      <c r="Q850" s="47" t="s">
        <v>97</v>
      </c>
      <c r="R850" s="47">
        <f>HEX2DEC(RIGHT(Table1323214[[#This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7" t="s">
        <v>97</v>
      </c>
      <c r="P851" s="47">
        <f>HEX2DEC(RIGHT(Table1323214[[#This Row],[h1]],8))</f>
        <v>0</v>
      </c>
      <c r="Q851" s="47" t="s">
        <v>97</v>
      </c>
      <c r="R851" s="47">
        <f>HEX2DEC(RIGHT(Table1323214[[#This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7" t="s">
        <v>97</v>
      </c>
      <c r="P852" s="47">
        <f>HEX2DEC(RIGHT(Table1323214[[#This Row],[h1]],8))</f>
        <v>0</v>
      </c>
      <c r="Q852" s="47" t="s">
        <v>97</v>
      </c>
      <c r="R852" s="47">
        <f>HEX2DEC(RIGHT(Table1323214[[#This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7" t="s">
        <v>97</v>
      </c>
      <c r="P853" s="47">
        <f>HEX2DEC(RIGHT(Table1323214[[#This Row],[h1]],8))</f>
        <v>0</v>
      </c>
      <c r="Q853" s="47" t="s">
        <v>97</v>
      </c>
      <c r="R853" s="47">
        <f>HEX2DEC(RIGHT(Table1323214[[#This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7" t="s">
        <v>97</v>
      </c>
      <c r="P854" s="47">
        <f>HEX2DEC(RIGHT(Table1323214[[#This Row],[h1]],8))</f>
        <v>0</v>
      </c>
      <c r="Q854" s="47" t="s">
        <v>97</v>
      </c>
      <c r="R854" s="47">
        <f>HEX2DEC(RIGHT(Table1323214[[#This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7" t="s">
        <v>97</v>
      </c>
      <c r="P855" s="47">
        <f>HEX2DEC(RIGHT(Table1323214[[#This Row],[h1]],8))</f>
        <v>0</v>
      </c>
      <c r="Q855" s="47" t="s">
        <v>97</v>
      </c>
      <c r="R855" s="47">
        <f>HEX2DEC(RIGHT(Table1323214[[#This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7" t="s">
        <v>97</v>
      </c>
      <c r="P856" s="47">
        <f>HEX2DEC(RIGHT(Table1323214[[#This Row],[h1]],8))</f>
        <v>0</v>
      </c>
      <c r="Q856" s="47" t="s">
        <v>97</v>
      </c>
      <c r="R856" s="47">
        <f>HEX2DEC(RIGHT(Table1323214[[#This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7" t="s">
        <v>97</v>
      </c>
      <c r="P857" s="47">
        <f>HEX2DEC(RIGHT(Table1323214[[#This Row],[h1]],8))</f>
        <v>0</v>
      </c>
      <c r="Q857" s="47" t="s">
        <v>97</v>
      </c>
      <c r="R857" s="47">
        <f>HEX2DEC(RIGHT(Table1323214[[#This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7" t="s">
        <v>97</v>
      </c>
      <c r="P858" s="47">
        <f>HEX2DEC(RIGHT(Table1323214[[#This Row],[h1]],8))</f>
        <v>0</v>
      </c>
      <c r="Q858" s="47" t="s">
        <v>97</v>
      </c>
      <c r="R858" s="47">
        <f>HEX2DEC(RIGHT(Table1323214[[#This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7" t="s">
        <v>97</v>
      </c>
      <c r="P859" s="47">
        <f>HEX2DEC(RIGHT(Table1323214[[#This Row],[h1]],8))</f>
        <v>0</v>
      </c>
      <c r="Q859" s="47" t="s">
        <v>97</v>
      </c>
      <c r="R859" s="47">
        <f>HEX2DEC(RIGHT(Table1323214[[#This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7" t="s">
        <v>97</v>
      </c>
      <c r="P860" s="47">
        <f>HEX2DEC(RIGHT(Table1323214[[#This Row],[h1]],8))</f>
        <v>0</v>
      </c>
      <c r="Q860" s="47" t="s">
        <v>97</v>
      </c>
      <c r="R860" s="47">
        <f>HEX2DEC(RIGHT(Table1323214[[#This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7" t="s">
        <v>97</v>
      </c>
      <c r="P861" s="47">
        <f>HEX2DEC(RIGHT(Table1323214[[#This Row],[h1]],8))</f>
        <v>0</v>
      </c>
      <c r="Q861" s="47" t="s">
        <v>97</v>
      </c>
      <c r="R861" s="47">
        <f>HEX2DEC(RIGHT(Table1323214[[#This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7" t="s">
        <v>97</v>
      </c>
      <c r="P862" s="47">
        <f>HEX2DEC(RIGHT(Table1323214[[#This Row],[h1]],8))</f>
        <v>0</v>
      </c>
      <c r="Q862" s="47" t="s">
        <v>97</v>
      </c>
      <c r="R862" s="47">
        <f>HEX2DEC(RIGHT(Table1323214[[#This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7" t="s">
        <v>97</v>
      </c>
      <c r="P863" s="47">
        <f>HEX2DEC(RIGHT(Table1323214[[#This Row],[h1]],8))</f>
        <v>0</v>
      </c>
      <c r="Q863" s="47" t="s">
        <v>97</v>
      </c>
      <c r="R863" s="47">
        <f>HEX2DEC(RIGHT(Table1323214[[#This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7" t="s">
        <v>97</v>
      </c>
      <c r="P864" s="47">
        <f>HEX2DEC(RIGHT(Table1323214[[#This Row],[h1]],8))</f>
        <v>0</v>
      </c>
      <c r="Q864" s="47" t="s">
        <v>97</v>
      </c>
      <c r="R864" s="47">
        <f>HEX2DEC(RIGHT(Table1323214[[#This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7" t="s">
        <v>97</v>
      </c>
      <c r="P865" s="47">
        <f>HEX2DEC(RIGHT(Table1323214[[#This Row],[h1]],8))</f>
        <v>0</v>
      </c>
      <c r="Q865" s="47" t="s">
        <v>97</v>
      </c>
      <c r="R865" s="47">
        <f>HEX2DEC(RIGHT(Table1323214[[#This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7" t="s">
        <v>97</v>
      </c>
      <c r="P866" s="47">
        <f>HEX2DEC(RIGHT(Table1323214[[#This Row],[h1]],8))</f>
        <v>0</v>
      </c>
      <c r="Q866" s="47" t="s">
        <v>97</v>
      </c>
      <c r="R866" s="47">
        <f>HEX2DEC(RIGHT(Table1323214[[#This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7" t="s">
        <v>97</v>
      </c>
      <c r="P867" s="47">
        <f>HEX2DEC(RIGHT(Table1323214[[#This Row],[h1]],8))</f>
        <v>0</v>
      </c>
      <c r="Q867" s="47" t="s">
        <v>97</v>
      </c>
      <c r="R867" s="47">
        <f>HEX2DEC(RIGHT(Table1323214[[#This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7" t="s">
        <v>97</v>
      </c>
      <c r="P868" s="47">
        <f>HEX2DEC(RIGHT(Table1323214[[#This Row],[h1]],8))</f>
        <v>0</v>
      </c>
      <c r="Q868" s="47" t="s">
        <v>97</v>
      </c>
      <c r="R868" s="47">
        <f>HEX2DEC(RIGHT(Table1323214[[#This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7" t="s">
        <v>97</v>
      </c>
      <c r="P869" s="47">
        <f>HEX2DEC(RIGHT(Table1323214[[#This Row],[h1]],8))</f>
        <v>0</v>
      </c>
      <c r="Q869" s="47" t="s">
        <v>97</v>
      </c>
      <c r="R869" s="47">
        <f>HEX2DEC(RIGHT(Table1323214[[#This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7" t="s">
        <v>97</v>
      </c>
      <c r="P870" s="47">
        <f>HEX2DEC(RIGHT(Table1323214[[#This Row],[h1]],8))</f>
        <v>0</v>
      </c>
      <c r="Q870" s="47" t="s">
        <v>97</v>
      </c>
      <c r="R870" s="47">
        <f>HEX2DEC(RIGHT(Table1323214[[#This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7" t="s">
        <v>97</v>
      </c>
      <c r="P871" s="47">
        <f>HEX2DEC(RIGHT(Table1323214[[#This Row],[h1]],8))</f>
        <v>0</v>
      </c>
      <c r="Q871" s="47" t="s">
        <v>97</v>
      </c>
      <c r="R871" s="47">
        <f>HEX2DEC(RIGHT(Table1323214[[#This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7" t="s">
        <v>97</v>
      </c>
      <c r="P872" s="47">
        <f>HEX2DEC(RIGHT(Table1323214[[#This Row],[h1]],8))</f>
        <v>0</v>
      </c>
      <c r="Q872" s="47" t="s">
        <v>97</v>
      </c>
      <c r="R872" s="47">
        <f>HEX2DEC(RIGHT(Table1323214[[#This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7" t="s">
        <v>97</v>
      </c>
      <c r="P873" s="47">
        <f>HEX2DEC(RIGHT(Table1323214[[#This Row],[h1]],8))</f>
        <v>0</v>
      </c>
      <c r="Q873" s="47" t="s">
        <v>97</v>
      </c>
      <c r="R873" s="47">
        <f>HEX2DEC(RIGHT(Table1323214[[#This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7" t="s">
        <v>97</v>
      </c>
      <c r="P874" s="47">
        <f>HEX2DEC(RIGHT(Table1323214[[#This Row],[h1]],8))</f>
        <v>0</v>
      </c>
      <c r="Q874" s="47" t="s">
        <v>97</v>
      </c>
      <c r="R874" s="47">
        <f>HEX2DEC(RIGHT(Table1323214[[#This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7" t="s">
        <v>97</v>
      </c>
      <c r="P875" s="47">
        <f>HEX2DEC(RIGHT(Table1323214[[#This Row],[h1]],8))</f>
        <v>0</v>
      </c>
      <c r="Q875" s="47" t="s">
        <v>97</v>
      </c>
      <c r="R875" s="47">
        <f>HEX2DEC(RIGHT(Table1323214[[#This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7" t="s">
        <v>97</v>
      </c>
      <c r="P876" s="47">
        <f>HEX2DEC(RIGHT(Table1323214[[#This Row],[h1]],8))</f>
        <v>0</v>
      </c>
      <c r="Q876" s="47" t="s">
        <v>97</v>
      </c>
      <c r="R876" s="47">
        <f>HEX2DEC(RIGHT(Table1323214[[#This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7" t="s">
        <v>97</v>
      </c>
      <c r="P877" s="47">
        <f>HEX2DEC(RIGHT(Table1323214[[#This Row],[h1]],8))</f>
        <v>0</v>
      </c>
      <c r="Q877" s="47" t="s">
        <v>97</v>
      </c>
      <c r="R877" s="47">
        <f>HEX2DEC(RIGHT(Table1323214[[#This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7" t="s">
        <v>97</v>
      </c>
      <c r="P878" s="47">
        <f>HEX2DEC(RIGHT(Table1323214[[#This Row],[h1]],8))</f>
        <v>0</v>
      </c>
      <c r="Q878" s="47" t="s">
        <v>97</v>
      </c>
      <c r="R878" s="47">
        <f>HEX2DEC(RIGHT(Table1323214[[#This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7" t="s">
        <v>97</v>
      </c>
      <c r="P879" s="47">
        <f>HEX2DEC(RIGHT(Table1323214[[#This Row],[h1]],8))</f>
        <v>0</v>
      </c>
      <c r="Q879" s="47" t="s">
        <v>97</v>
      </c>
      <c r="R879" s="47">
        <f>HEX2DEC(RIGHT(Table1323214[[#This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7" t="s">
        <v>97</v>
      </c>
      <c r="P880" s="47">
        <f>HEX2DEC(RIGHT(Table1323214[[#This Row],[h1]],8))</f>
        <v>0</v>
      </c>
      <c r="Q880" s="47" t="s">
        <v>97</v>
      </c>
      <c r="R880" s="47">
        <f>HEX2DEC(RIGHT(Table1323214[[#This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7" t="s">
        <v>97</v>
      </c>
      <c r="P881" s="47">
        <f>HEX2DEC(RIGHT(Table1323214[[#This Row],[h1]],8))</f>
        <v>0</v>
      </c>
      <c r="Q881" s="47" t="s">
        <v>97</v>
      </c>
      <c r="R881" s="47">
        <f>HEX2DEC(RIGHT(Table1323214[[#This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7" t="s">
        <v>97</v>
      </c>
      <c r="P882" s="47">
        <f>HEX2DEC(RIGHT(Table1323214[[#This Row],[h1]],8))</f>
        <v>0</v>
      </c>
      <c r="Q882" s="47" t="s">
        <v>97</v>
      </c>
      <c r="R882" s="47">
        <f>HEX2DEC(RIGHT(Table1323214[[#This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7" t="s">
        <v>97</v>
      </c>
      <c r="P883" s="47">
        <f>HEX2DEC(RIGHT(Table1323214[[#This Row],[h1]],8))</f>
        <v>0</v>
      </c>
      <c r="Q883" s="47" t="s">
        <v>97</v>
      </c>
      <c r="R883" s="47">
        <f>HEX2DEC(RIGHT(Table1323214[[#This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7" t="s">
        <v>97</v>
      </c>
      <c r="P884" s="47">
        <f>HEX2DEC(RIGHT(Table1323214[[#This Row],[h1]],8))</f>
        <v>0</v>
      </c>
      <c r="Q884" s="47" t="s">
        <v>97</v>
      </c>
      <c r="R884" s="47">
        <f>HEX2DEC(RIGHT(Table1323214[[#This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7" t="s">
        <v>97</v>
      </c>
      <c r="P885" s="47">
        <f>HEX2DEC(RIGHT(Table1323214[[#This Row],[h1]],8))</f>
        <v>0</v>
      </c>
      <c r="Q885" s="47" t="s">
        <v>97</v>
      </c>
      <c r="R885" s="47">
        <f>HEX2DEC(RIGHT(Table1323214[[#This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7" t="s">
        <v>97</v>
      </c>
      <c r="P886" s="47">
        <f>HEX2DEC(RIGHT(Table1323214[[#This Row],[h1]],8))</f>
        <v>0</v>
      </c>
      <c r="Q886" s="47" t="s">
        <v>97</v>
      </c>
      <c r="R886" s="47">
        <f>HEX2DEC(RIGHT(Table1323214[[#This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7" t="s">
        <v>97</v>
      </c>
      <c r="P887" s="47">
        <f>HEX2DEC(RIGHT(Table1323214[[#This Row],[h1]],8))</f>
        <v>0</v>
      </c>
      <c r="Q887" s="47" t="s">
        <v>97</v>
      </c>
      <c r="R887" s="47">
        <f>HEX2DEC(RIGHT(Table1323214[[#This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7" t="s">
        <v>97</v>
      </c>
      <c r="P888" s="47">
        <f>HEX2DEC(RIGHT(Table1323214[[#This Row],[h1]],8))</f>
        <v>0</v>
      </c>
      <c r="Q888" s="47" t="s">
        <v>97</v>
      </c>
      <c r="R888" s="47">
        <f>HEX2DEC(RIGHT(Table1323214[[#This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7" t="s">
        <v>97</v>
      </c>
      <c r="P889" s="47">
        <f>HEX2DEC(RIGHT(Table1323214[[#This Row],[h1]],8))</f>
        <v>0</v>
      </c>
      <c r="Q889" s="47" t="s">
        <v>97</v>
      </c>
      <c r="R889" s="47">
        <f>HEX2DEC(RIGHT(Table1323214[[#This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7" t="s">
        <v>97</v>
      </c>
      <c r="P890" s="47">
        <f>HEX2DEC(RIGHT(Table1323214[[#This Row],[h1]],8))</f>
        <v>0</v>
      </c>
      <c r="Q890" s="47" t="s">
        <v>97</v>
      </c>
      <c r="R890" s="47">
        <f>HEX2DEC(RIGHT(Table1323214[[#This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7" t="s">
        <v>97</v>
      </c>
      <c r="P891" s="47">
        <f>HEX2DEC(RIGHT(Table1323214[[#This Row],[h1]],8))</f>
        <v>0</v>
      </c>
      <c r="Q891" s="47" t="s">
        <v>97</v>
      </c>
      <c r="R891" s="47">
        <f>HEX2DEC(RIGHT(Table1323214[[#This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7" t="s">
        <v>97</v>
      </c>
      <c r="P892" s="47">
        <f>HEX2DEC(RIGHT(Table1323214[[#This Row],[h1]],8))</f>
        <v>0</v>
      </c>
      <c r="Q892" s="47" t="s">
        <v>97</v>
      </c>
      <c r="R892" s="47">
        <f>HEX2DEC(RIGHT(Table1323214[[#This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7" t="s">
        <v>97</v>
      </c>
      <c r="P893" s="47">
        <f>HEX2DEC(RIGHT(Table1323214[[#This Row],[h1]],8))</f>
        <v>0</v>
      </c>
      <c r="Q893" s="47" t="s">
        <v>97</v>
      </c>
      <c r="R893" s="47">
        <f>HEX2DEC(RIGHT(Table1323214[[#This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7" t="s">
        <v>97</v>
      </c>
      <c r="P894" s="47">
        <f>HEX2DEC(RIGHT(Table1323214[[#This Row],[h1]],8))</f>
        <v>0</v>
      </c>
      <c r="Q894" s="47" t="s">
        <v>97</v>
      </c>
      <c r="R894" s="47">
        <f>HEX2DEC(RIGHT(Table1323214[[#This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7" t="s">
        <v>97</v>
      </c>
      <c r="P895" s="47">
        <f>HEX2DEC(RIGHT(Table1323214[[#This Row],[h1]],8))</f>
        <v>0</v>
      </c>
      <c r="Q895" s="47" t="s">
        <v>97</v>
      </c>
      <c r="R895" s="47">
        <f>HEX2DEC(RIGHT(Table1323214[[#This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7" t="s">
        <v>97</v>
      </c>
      <c r="P896" s="47">
        <f>HEX2DEC(RIGHT(Table1323214[[#This Row],[h1]],8))</f>
        <v>0</v>
      </c>
      <c r="Q896" s="47" t="s">
        <v>97</v>
      </c>
      <c r="R896" s="47">
        <f>HEX2DEC(RIGHT(Table1323214[[#This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7" t="s">
        <v>97</v>
      </c>
      <c r="P897" s="47">
        <f>HEX2DEC(RIGHT(Table1323214[[#This Row],[h1]],8))</f>
        <v>0</v>
      </c>
      <c r="Q897" s="47" t="s">
        <v>97</v>
      </c>
      <c r="R897" s="47">
        <f>HEX2DEC(RIGHT(Table1323214[[#This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7" t="s">
        <v>97</v>
      </c>
      <c r="P898" s="47">
        <f>HEX2DEC(RIGHT(Table1323214[[#This Row],[h1]],8))</f>
        <v>0</v>
      </c>
      <c r="Q898" s="47" t="s">
        <v>97</v>
      </c>
      <c r="R898" s="47">
        <f>HEX2DEC(RIGHT(Table1323214[[#This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7" t="s">
        <v>97</v>
      </c>
      <c r="P899" s="47">
        <f>HEX2DEC(RIGHT(Table1323214[[#This Row],[h1]],8))</f>
        <v>0</v>
      </c>
      <c r="Q899" s="47" t="s">
        <v>97</v>
      </c>
      <c r="R899" s="47">
        <f>HEX2DEC(RIGHT(Table1323214[[#This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7" t="s">
        <v>97</v>
      </c>
      <c r="P900" s="47">
        <f>HEX2DEC(RIGHT(Table1323214[[#This Row],[h1]],8))</f>
        <v>0</v>
      </c>
      <c r="Q900" s="47" t="s">
        <v>97</v>
      </c>
      <c r="R900" s="47">
        <f>HEX2DEC(RIGHT(Table1323214[[#This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7" t="s">
        <v>97</v>
      </c>
      <c r="P901" s="47">
        <f>HEX2DEC(RIGHT(Table1323214[[#This Row],[h1]],8))</f>
        <v>0</v>
      </c>
      <c r="Q901" s="47" t="s">
        <v>97</v>
      </c>
      <c r="R901" s="47">
        <f>HEX2DEC(RIGHT(Table1323214[[#This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7" t="s">
        <v>97</v>
      </c>
      <c r="P902" s="47">
        <f>HEX2DEC(RIGHT(Table1323214[[#This Row],[h1]],8))</f>
        <v>0</v>
      </c>
      <c r="Q902" s="47" t="s">
        <v>97</v>
      </c>
      <c r="R902" s="47">
        <f>HEX2DEC(RIGHT(Table1323214[[#This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7" t="s">
        <v>97</v>
      </c>
      <c r="P903" s="47">
        <f>HEX2DEC(RIGHT(Table1323214[[#This Row],[h1]],8))</f>
        <v>0</v>
      </c>
      <c r="Q903" s="47" t="s">
        <v>97</v>
      </c>
      <c r="R903" s="47">
        <f>HEX2DEC(RIGHT(Table1323214[[#This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7" t="s">
        <v>97</v>
      </c>
      <c r="P904" s="47">
        <f>HEX2DEC(RIGHT(Table1323214[[#This Row],[h1]],8))</f>
        <v>0</v>
      </c>
      <c r="Q904" s="47" t="s">
        <v>97</v>
      </c>
      <c r="R904" s="47">
        <f>HEX2DEC(RIGHT(Table1323214[[#This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7" t="s">
        <v>97</v>
      </c>
      <c r="P905" s="47">
        <f>HEX2DEC(RIGHT(Table1323214[[#This Row],[h1]],8))</f>
        <v>0</v>
      </c>
      <c r="Q905" s="47" t="s">
        <v>97</v>
      </c>
      <c r="R905" s="47">
        <f>HEX2DEC(RIGHT(Table1323214[[#This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7" t="s">
        <v>97</v>
      </c>
      <c r="P906" s="47">
        <f>HEX2DEC(RIGHT(Table1323214[[#This Row],[h1]],8))</f>
        <v>0</v>
      </c>
      <c r="Q906" s="47" t="s">
        <v>97</v>
      </c>
      <c r="R906" s="47">
        <f>HEX2DEC(RIGHT(Table1323214[[#This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7" t="s">
        <v>97</v>
      </c>
      <c r="P907" s="47">
        <f>HEX2DEC(RIGHT(Table1323214[[#This Row],[h1]],8))</f>
        <v>0</v>
      </c>
      <c r="Q907" s="47" t="s">
        <v>97</v>
      </c>
      <c r="R907" s="47">
        <f>HEX2DEC(RIGHT(Table1323214[[#This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7" t="s">
        <v>97</v>
      </c>
      <c r="P908" s="47">
        <f>HEX2DEC(RIGHT(Table1323214[[#This Row],[h1]],8))</f>
        <v>0</v>
      </c>
      <c r="Q908" s="47" t="s">
        <v>97</v>
      </c>
      <c r="R908" s="47">
        <f>HEX2DEC(RIGHT(Table1323214[[#This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7" t="s">
        <v>97</v>
      </c>
      <c r="P909" s="47">
        <f>HEX2DEC(RIGHT(Table1323214[[#This Row],[h1]],8))</f>
        <v>0</v>
      </c>
      <c r="Q909" s="47" t="s">
        <v>97</v>
      </c>
      <c r="R909" s="47">
        <f>HEX2DEC(RIGHT(Table1323214[[#This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7" t="s">
        <v>97</v>
      </c>
      <c r="P910" s="47">
        <f>HEX2DEC(RIGHT(Table1323214[[#This Row],[h1]],8))</f>
        <v>0</v>
      </c>
      <c r="Q910" s="47" t="s">
        <v>97</v>
      </c>
      <c r="R910" s="47">
        <f>HEX2DEC(RIGHT(Table1323214[[#This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7" t="s">
        <v>97</v>
      </c>
      <c r="P911" s="47">
        <f>HEX2DEC(RIGHT(Table1323214[[#This Row],[h1]],8))</f>
        <v>0</v>
      </c>
      <c r="Q911" s="47" t="s">
        <v>97</v>
      </c>
      <c r="R911" s="47">
        <f>HEX2DEC(RIGHT(Table1323214[[#This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7" t="s">
        <v>97</v>
      </c>
      <c r="P912" s="47">
        <f>HEX2DEC(RIGHT(Table1323214[[#This Row],[h1]],8))</f>
        <v>0</v>
      </c>
      <c r="Q912" s="47" t="s">
        <v>97</v>
      </c>
      <c r="R912" s="47">
        <f>HEX2DEC(RIGHT(Table1323214[[#This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7" t="s">
        <v>97</v>
      </c>
      <c r="P913" s="47">
        <f>HEX2DEC(RIGHT(Table1323214[[#This Row],[h1]],8))</f>
        <v>0</v>
      </c>
      <c r="Q913" s="47" t="s">
        <v>97</v>
      </c>
      <c r="R913" s="47">
        <f>HEX2DEC(RIGHT(Table1323214[[#This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7" t="s">
        <v>97</v>
      </c>
      <c r="P914" s="47">
        <f>HEX2DEC(RIGHT(Table1323214[[#This Row],[h1]],8))</f>
        <v>0</v>
      </c>
      <c r="Q914" s="47" t="s">
        <v>97</v>
      </c>
      <c r="R914" s="47">
        <f>HEX2DEC(RIGHT(Table1323214[[#This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7" t="s">
        <v>97</v>
      </c>
      <c r="P915" s="47">
        <f>HEX2DEC(RIGHT(Table1323214[[#This Row],[h1]],8))</f>
        <v>0</v>
      </c>
      <c r="Q915" s="47" t="s">
        <v>97</v>
      </c>
      <c r="R915" s="47">
        <f>HEX2DEC(RIGHT(Table1323214[[#This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7" t="s">
        <v>97</v>
      </c>
      <c r="P916" s="47">
        <f>HEX2DEC(RIGHT(Table1323214[[#This Row],[h1]],8))</f>
        <v>0</v>
      </c>
      <c r="Q916" s="47" t="s">
        <v>97</v>
      </c>
      <c r="R916" s="47">
        <f>HEX2DEC(RIGHT(Table1323214[[#This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7" t="s">
        <v>97</v>
      </c>
      <c r="P917" s="47">
        <f>HEX2DEC(RIGHT(Table1323214[[#This Row],[h1]],8))</f>
        <v>0</v>
      </c>
      <c r="Q917" s="47" t="s">
        <v>97</v>
      </c>
      <c r="R917" s="47">
        <f>HEX2DEC(RIGHT(Table1323214[[#This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7" t="s">
        <v>97</v>
      </c>
      <c r="P918" s="47">
        <f>HEX2DEC(RIGHT(Table1323214[[#This Row],[h1]],8))</f>
        <v>0</v>
      </c>
      <c r="Q918" s="47" t="s">
        <v>97</v>
      </c>
      <c r="R918" s="47">
        <f>HEX2DEC(RIGHT(Table1323214[[#This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7" t="s">
        <v>97</v>
      </c>
      <c r="P919" s="47">
        <f>HEX2DEC(RIGHT(Table1323214[[#This Row],[h1]],8))</f>
        <v>0</v>
      </c>
      <c r="Q919" s="47" t="s">
        <v>97</v>
      </c>
      <c r="R919" s="47">
        <f>HEX2DEC(RIGHT(Table1323214[[#This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7" t="s">
        <v>97</v>
      </c>
      <c r="P920" s="47">
        <f>HEX2DEC(RIGHT(Table1323214[[#This Row],[h1]],8))</f>
        <v>0</v>
      </c>
      <c r="Q920" s="47" t="s">
        <v>97</v>
      </c>
      <c r="R920" s="47">
        <f>HEX2DEC(RIGHT(Table1323214[[#This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7" t="s">
        <v>97</v>
      </c>
      <c r="P921" s="47">
        <f>HEX2DEC(RIGHT(Table1323214[[#This Row],[h1]],8))</f>
        <v>0</v>
      </c>
      <c r="Q921" s="47" t="s">
        <v>97</v>
      </c>
      <c r="R921" s="47">
        <f>HEX2DEC(RIGHT(Table1323214[[#This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7" t="s">
        <v>97</v>
      </c>
      <c r="P922" s="47">
        <f>HEX2DEC(RIGHT(Table1323214[[#This Row],[h1]],8))</f>
        <v>0</v>
      </c>
      <c r="Q922" s="47" t="s">
        <v>97</v>
      </c>
      <c r="R922" s="47">
        <f>HEX2DEC(RIGHT(Table1323214[[#This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7" t="s">
        <v>97</v>
      </c>
      <c r="P923" s="47">
        <f>HEX2DEC(RIGHT(Table1323214[[#This Row],[h1]],8))</f>
        <v>0</v>
      </c>
      <c r="Q923" s="47" t="s">
        <v>97</v>
      </c>
      <c r="R923" s="47">
        <f>HEX2DEC(RIGHT(Table1323214[[#This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7" t="s">
        <v>97</v>
      </c>
      <c r="P924" s="47">
        <f>HEX2DEC(RIGHT(Table1323214[[#This Row],[h1]],8))</f>
        <v>0</v>
      </c>
      <c r="Q924" s="47" t="s">
        <v>97</v>
      </c>
      <c r="R924" s="47">
        <f>HEX2DEC(RIGHT(Table1323214[[#This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7" t="s">
        <v>97</v>
      </c>
      <c r="P925" s="47">
        <f>HEX2DEC(RIGHT(Table1323214[[#This Row],[h1]],8))</f>
        <v>0</v>
      </c>
      <c r="Q925" s="47" t="s">
        <v>97</v>
      </c>
      <c r="R925" s="47">
        <f>HEX2DEC(RIGHT(Table1323214[[#This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7" t="s">
        <v>97</v>
      </c>
      <c r="P926" s="47">
        <f>HEX2DEC(RIGHT(Table1323214[[#This Row],[h1]],8))</f>
        <v>0</v>
      </c>
      <c r="Q926" s="47" t="s">
        <v>97</v>
      </c>
      <c r="R926" s="47">
        <f>HEX2DEC(RIGHT(Table1323214[[#This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7" t="s">
        <v>97</v>
      </c>
      <c r="P927" s="47">
        <f>HEX2DEC(RIGHT(Table1323214[[#This Row],[h1]],8))</f>
        <v>0</v>
      </c>
      <c r="Q927" s="47" t="s">
        <v>97</v>
      </c>
      <c r="R927" s="47">
        <f>HEX2DEC(RIGHT(Table1323214[[#This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7" t="s">
        <v>97</v>
      </c>
      <c r="P928" s="47">
        <f>HEX2DEC(RIGHT(Table1323214[[#This Row],[h1]],8))</f>
        <v>0</v>
      </c>
      <c r="Q928" s="47" t="s">
        <v>97</v>
      </c>
      <c r="R928" s="47">
        <f>HEX2DEC(RIGHT(Table1323214[[#This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7" t="s">
        <v>97</v>
      </c>
      <c r="P929" s="47">
        <f>HEX2DEC(RIGHT(Table1323214[[#This Row],[h1]],8))</f>
        <v>0</v>
      </c>
      <c r="Q929" s="47" t="s">
        <v>97</v>
      </c>
      <c r="R929" s="47">
        <f>HEX2DEC(RIGHT(Table1323214[[#This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7" t="s">
        <v>97</v>
      </c>
      <c r="P930" s="47">
        <f>HEX2DEC(RIGHT(Table1323214[[#This Row],[h1]],8))</f>
        <v>0</v>
      </c>
      <c r="Q930" s="47" t="s">
        <v>97</v>
      </c>
      <c r="R930" s="47">
        <f>HEX2DEC(RIGHT(Table1323214[[#This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7" t="s">
        <v>97</v>
      </c>
      <c r="P931" s="47">
        <f>HEX2DEC(RIGHT(Table1323214[[#This Row],[h1]],8))</f>
        <v>0</v>
      </c>
      <c r="Q931" s="47" t="s">
        <v>97</v>
      </c>
      <c r="R931" s="47">
        <f>HEX2DEC(RIGHT(Table1323214[[#This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7" t="s">
        <v>97</v>
      </c>
      <c r="P932" s="47">
        <f>HEX2DEC(RIGHT(Table1323214[[#This Row],[h1]],8))</f>
        <v>0</v>
      </c>
      <c r="Q932" s="47" t="s">
        <v>97</v>
      </c>
      <c r="R932" s="47">
        <f>HEX2DEC(RIGHT(Table1323214[[#This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7" t="s">
        <v>97</v>
      </c>
      <c r="P933" s="47">
        <f>HEX2DEC(RIGHT(Table1323214[[#This Row],[h1]],8))</f>
        <v>0</v>
      </c>
      <c r="Q933" s="47" t="s">
        <v>97</v>
      </c>
      <c r="R933" s="47">
        <f>HEX2DEC(RIGHT(Table1323214[[#This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7" t="s">
        <v>97</v>
      </c>
      <c r="P934" s="47">
        <f>HEX2DEC(RIGHT(Table1323214[[#This Row],[h1]],8))</f>
        <v>0</v>
      </c>
      <c r="Q934" s="47" t="s">
        <v>97</v>
      </c>
      <c r="R934" s="47">
        <f>HEX2DEC(RIGHT(Table1323214[[#This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7" t="s">
        <v>97</v>
      </c>
      <c r="P935" s="47">
        <f>HEX2DEC(RIGHT(Table1323214[[#This Row],[h1]],8))</f>
        <v>0</v>
      </c>
      <c r="Q935" s="47" t="s">
        <v>97</v>
      </c>
      <c r="R935" s="47">
        <f>HEX2DEC(RIGHT(Table1323214[[#This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7" t="s">
        <v>97</v>
      </c>
      <c r="P936" s="47">
        <f>HEX2DEC(RIGHT(Table1323214[[#This Row],[h1]],8))</f>
        <v>0</v>
      </c>
      <c r="Q936" s="47" t="s">
        <v>97</v>
      </c>
      <c r="R936" s="47">
        <f>HEX2DEC(RIGHT(Table1323214[[#This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7" t="s">
        <v>97</v>
      </c>
      <c r="P937" s="47">
        <f>HEX2DEC(RIGHT(Table1323214[[#This Row],[h1]],8))</f>
        <v>0</v>
      </c>
      <c r="Q937" s="47" t="s">
        <v>97</v>
      </c>
      <c r="R937" s="47">
        <f>HEX2DEC(RIGHT(Table1323214[[#This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7" t="s">
        <v>97</v>
      </c>
      <c r="P938" s="47">
        <f>HEX2DEC(RIGHT(Table1323214[[#This Row],[h1]],8))</f>
        <v>0</v>
      </c>
      <c r="Q938" s="47" t="s">
        <v>97</v>
      </c>
      <c r="R938" s="47">
        <f>HEX2DEC(RIGHT(Table1323214[[#This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7" t="s">
        <v>97</v>
      </c>
      <c r="P939" s="47">
        <f>HEX2DEC(RIGHT(Table1323214[[#This Row],[h1]],8))</f>
        <v>0</v>
      </c>
      <c r="Q939" s="47" t="s">
        <v>97</v>
      </c>
      <c r="R939" s="47">
        <f>HEX2DEC(RIGHT(Table1323214[[#This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7" t="s">
        <v>97</v>
      </c>
      <c r="P940" s="47">
        <f>HEX2DEC(RIGHT(Table1323214[[#This Row],[h1]],8))</f>
        <v>0</v>
      </c>
      <c r="Q940" s="47" t="s">
        <v>97</v>
      </c>
      <c r="R940" s="47">
        <f>HEX2DEC(RIGHT(Table1323214[[#This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7" t="s">
        <v>97</v>
      </c>
      <c r="P941" s="47">
        <f>HEX2DEC(RIGHT(Table1323214[[#This Row],[h1]],8))</f>
        <v>0</v>
      </c>
      <c r="Q941" s="47" t="s">
        <v>97</v>
      </c>
      <c r="R941" s="47">
        <f>HEX2DEC(RIGHT(Table1323214[[#This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7" t="s">
        <v>97</v>
      </c>
      <c r="P942" s="47">
        <f>HEX2DEC(RIGHT(Table1323214[[#This Row],[h1]],8))</f>
        <v>0</v>
      </c>
      <c r="Q942" s="47" t="s">
        <v>97</v>
      </c>
      <c r="R942" s="47">
        <f>HEX2DEC(RIGHT(Table1323214[[#This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7" t="s">
        <v>97</v>
      </c>
      <c r="P943" s="47">
        <f>HEX2DEC(RIGHT(Table1323214[[#This Row],[h1]],8))</f>
        <v>0</v>
      </c>
      <c r="Q943" s="47" t="s">
        <v>97</v>
      </c>
      <c r="R943" s="47">
        <f>HEX2DEC(RIGHT(Table1323214[[#This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7" t="s">
        <v>97</v>
      </c>
      <c r="P944" s="47">
        <f>HEX2DEC(RIGHT(Table1323214[[#This Row],[h1]],8))</f>
        <v>0</v>
      </c>
      <c r="Q944" s="47" t="s">
        <v>97</v>
      </c>
      <c r="R944" s="47">
        <f>HEX2DEC(RIGHT(Table1323214[[#This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7" t="s">
        <v>97</v>
      </c>
      <c r="P945" s="47">
        <f>HEX2DEC(RIGHT(Table1323214[[#This Row],[h1]],8))</f>
        <v>0</v>
      </c>
      <c r="Q945" s="47" t="s">
        <v>97</v>
      </c>
      <c r="R945" s="47">
        <f>HEX2DEC(RIGHT(Table1323214[[#This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7" t="s">
        <v>97</v>
      </c>
      <c r="P946" s="47">
        <f>HEX2DEC(RIGHT(Table1323214[[#This Row],[h1]],8))</f>
        <v>0</v>
      </c>
      <c r="Q946" s="47" t="s">
        <v>97</v>
      </c>
      <c r="R946" s="47">
        <f>HEX2DEC(RIGHT(Table1323214[[#This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7" t="s">
        <v>97</v>
      </c>
      <c r="P947" s="47">
        <f>HEX2DEC(RIGHT(Table1323214[[#This Row],[h1]],8))</f>
        <v>0</v>
      </c>
      <c r="Q947" s="47" t="s">
        <v>97</v>
      </c>
      <c r="R947" s="47">
        <f>HEX2DEC(RIGHT(Table1323214[[#This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7" t="s">
        <v>97</v>
      </c>
      <c r="P948" s="47">
        <f>HEX2DEC(RIGHT(Table1323214[[#This Row],[h1]],8))</f>
        <v>0</v>
      </c>
      <c r="Q948" s="47" t="s">
        <v>97</v>
      </c>
      <c r="R948" s="47">
        <f>HEX2DEC(RIGHT(Table1323214[[#This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7" t="s">
        <v>97</v>
      </c>
      <c r="P949" s="47">
        <f>HEX2DEC(RIGHT(Table1323214[[#This Row],[h1]],8))</f>
        <v>0</v>
      </c>
      <c r="Q949" s="47" t="s">
        <v>97</v>
      </c>
      <c r="R949" s="47">
        <f>HEX2DEC(RIGHT(Table1323214[[#This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7" t="s">
        <v>97</v>
      </c>
      <c r="P950" s="47">
        <f>HEX2DEC(RIGHT(Table1323214[[#This Row],[h1]],8))</f>
        <v>0</v>
      </c>
      <c r="Q950" s="47" t="s">
        <v>97</v>
      </c>
      <c r="R950" s="47">
        <f>HEX2DEC(RIGHT(Table1323214[[#This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7" t="s">
        <v>97</v>
      </c>
      <c r="P951" s="47">
        <f>HEX2DEC(RIGHT(Table1323214[[#This Row],[h1]],8))</f>
        <v>0</v>
      </c>
      <c r="Q951" s="47" t="s">
        <v>97</v>
      </c>
      <c r="R951" s="47">
        <f>HEX2DEC(RIGHT(Table1323214[[#This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7" t="s">
        <v>97</v>
      </c>
      <c r="P952" s="47">
        <f>HEX2DEC(RIGHT(Table1323214[[#This Row],[h1]],8))</f>
        <v>0</v>
      </c>
      <c r="Q952" s="47" t="s">
        <v>97</v>
      </c>
      <c r="R952" s="47">
        <f>HEX2DEC(RIGHT(Table1323214[[#This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7" t="s">
        <v>97</v>
      </c>
      <c r="P953" s="47">
        <f>HEX2DEC(RIGHT(Table1323214[[#This Row],[h1]],8))</f>
        <v>0</v>
      </c>
      <c r="Q953" s="47" t="s">
        <v>97</v>
      </c>
      <c r="R953" s="47">
        <f>HEX2DEC(RIGHT(Table1323214[[#This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7" t="s">
        <v>97</v>
      </c>
      <c r="P954" s="47">
        <f>HEX2DEC(RIGHT(Table1323214[[#This Row],[h1]],8))</f>
        <v>0</v>
      </c>
      <c r="Q954" s="47" t="s">
        <v>97</v>
      </c>
      <c r="R954" s="47">
        <f>HEX2DEC(RIGHT(Table1323214[[#This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7" t="s">
        <v>97</v>
      </c>
      <c r="P955" s="47">
        <f>HEX2DEC(RIGHT(Table1323214[[#This Row],[h1]],8))</f>
        <v>0</v>
      </c>
      <c r="Q955" s="47" t="s">
        <v>97</v>
      </c>
      <c r="R955" s="47">
        <f>HEX2DEC(RIGHT(Table1323214[[#This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7" t="s">
        <v>97</v>
      </c>
      <c r="P956" s="47">
        <f>HEX2DEC(RIGHT(Table1323214[[#This Row],[h1]],8))</f>
        <v>0</v>
      </c>
      <c r="Q956" s="47" t="s">
        <v>97</v>
      </c>
      <c r="R956" s="47">
        <f>HEX2DEC(RIGHT(Table1323214[[#This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7" t="s">
        <v>97</v>
      </c>
      <c r="P957" s="47">
        <f>HEX2DEC(RIGHT(Table1323214[[#This Row],[h1]],8))</f>
        <v>0</v>
      </c>
      <c r="Q957" s="47" t="s">
        <v>97</v>
      </c>
      <c r="R957" s="47">
        <f>HEX2DEC(RIGHT(Table1323214[[#This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7" t="s">
        <v>97</v>
      </c>
      <c r="P958" s="47">
        <f>HEX2DEC(RIGHT(Table1323214[[#This Row],[h1]],8))</f>
        <v>0</v>
      </c>
      <c r="Q958" s="47" t="s">
        <v>97</v>
      </c>
      <c r="R958" s="47">
        <f>HEX2DEC(RIGHT(Table1323214[[#This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7" t="s">
        <v>97</v>
      </c>
      <c r="P959" s="47">
        <f>HEX2DEC(RIGHT(Table1323214[[#This Row],[h1]],8))</f>
        <v>0</v>
      </c>
      <c r="Q959" s="47" t="s">
        <v>97</v>
      </c>
      <c r="R959" s="47">
        <f>HEX2DEC(RIGHT(Table1323214[[#This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7" t="s">
        <v>97</v>
      </c>
      <c r="P960" s="47">
        <f>HEX2DEC(RIGHT(Table1323214[[#This Row],[h1]],8))</f>
        <v>0</v>
      </c>
      <c r="Q960" s="47" t="s">
        <v>97</v>
      </c>
      <c r="R960" s="47">
        <f>HEX2DEC(RIGHT(Table1323214[[#This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7" t="s">
        <v>97</v>
      </c>
      <c r="P961" s="47">
        <f>HEX2DEC(RIGHT(Table1323214[[#This Row],[h1]],8))</f>
        <v>0</v>
      </c>
      <c r="Q961" s="47" t="s">
        <v>97</v>
      </c>
      <c r="R961" s="47">
        <f>HEX2DEC(RIGHT(Table1323214[[#This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7" t="s">
        <v>97</v>
      </c>
      <c r="P962" s="47">
        <f>HEX2DEC(RIGHT(Table1323214[[#This Row],[h1]],8))</f>
        <v>0</v>
      </c>
      <c r="Q962" s="47" t="s">
        <v>97</v>
      </c>
      <c r="R962" s="47">
        <f>HEX2DEC(RIGHT(Table1323214[[#This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7" t="s">
        <v>97</v>
      </c>
      <c r="P963" s="47">
        <f>HEX2DEC(RIGHT(Table1323214[[#This Row],[h1]],8))</f>
        <v>0</v>
      </c>
      <c r="Q963" s="47" t="s">
        <v>97</v>
      </c>
      <c r="R963" s="47">
        <f>HEX2DEC(RIGHT(Table1323214[[#This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7" t="s">
        <v>97</v>
      </c>
      <c r="P964" s="47">
        <f>HEX2DEC(RIGHT(Table1323214[[#This Row],[h1]],8))</f>
        <v>0</v>
      </c>
      <c r="Q964" s="47" t="s">
        <v>97</v>
      </c>
      <c r="R964" s="47">
        <f>HEX2DEC(RIGHT(Table1323214[[#This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7" t="s">
        <v>97</v>
      </c>
      <c r="P965" s="47">
        <f>HEX2DEC(RIGHT(Table1323214[[#This Row],[h1]],8))</f>
        <v>0</v>
      </c>
      <c r="Q965" s="47" t="s">
        <v>97</v>
      </c>
      <c r="R965" s="47">
        <f>HEX2DEC(RIGHT(Table1323214[[#This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7" t="s">
        <v>97</v>
      </c>
      <c r="P966" s="47">
        <f>HEX2DEC(RIGHT(Table1323214[[#This Row],[h1]],8))</f>
        <v>0</v>
      </c>
      <c r="Q966" s="47" t="s">
        <v>97</v>
      </c>
      <c r="R966" s="47">
        <f>HEX2DEC(RIGHT(Table1323214[[#This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7" t="s">
        <v>97</v>
      </c>
      <c r="P967" s="47">
        <f>HEX2DEC(RIGHT(Table1323214[[#This Row],[h1]],8))</f>
        <v>0</v>
      </c>
      <c r="Q967" s="47" t="s">
        <v>97</v>
      </c>
      <c r="R967" s="47">
        <f>HEX2DEC(RIGHT(Table1323214[[#This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7" t="s">
        <v>97</v>
      </c>
      <c r="P968" s="47">
        <f>HEX2DEC(RIGHT(Table1323214[[#This Row],[h1]],8))</f>
        <v>0</v>
      </c>
      <c r="Q968" s="47" t="s">
        <v>97</v>
      </c>
      <c r="R968" s="47">
        <f>HEX2DEC(RIGHT(Table1323214[[#This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7" t="s">
        <v>97</v>
      </c>
      <c r="P969" s="47">
        <f>HEX2DEC(RIGHT(Table1323214[[#This Row],[h1]],8))</f>
        <v>0</v>
      </c>
      <c r="Q969" s="47" t="s">
        <v>97</v>
      </c>
      <c r="R969" s="47">
        <f>HEX2DEC(RIGHT(Table1323214[[#This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7" t="s">
        <v>97</v>
      </c>
      <c r="P970" s="47">
        <f>HEX2DEC(RIGHT(Table1323214[[#This Row],[h1]],8))</f>
        <v>0</v>
      </c>
      <c r="Q970" s="47" t="s">
        <v>97</v>
      </c>
      <c r="R970" s="47">
        <f>HEX2DEC(RIGHT(Table1323214[[#This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7" t="s">
        <v>97</v>
      </c>
      <c r="P971" s="47">
        <f>HEX2DEC(RIGHT(Table1323214[[#This Row],[h1]],8))</f>
        <v>0</v>
      </c>
      <c r="Q971" s="47" t="s">
        <v>97</v>
      </c>
      <c r="R971" s="47">
        <f>HEX2DEC(RIGHT(Table1323214[[#This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7" t="s">
        <v>97</v>
      </c>
      <c r="P972" s="47">
        <f>HEX2DEC(RIGHT(Table1323214[[#This Row],[h1]],8))</f>
        <v>0</v>
      </c>
      <c r="Q972" s="47" t="s">
        <v>97</v>
      </c>
      <c r="R972" s="47">
        <f>HEX2DEC(RIGHT(Table1323214[[#This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7" t="s">
        <v>97</v>
      </c>
      <c r="P973" s="47">
        <f>HEX2DEC(RIGHT(Table1323214[[#This Row],[h1]],8))</f>
        <v>0</v>
      </c>
      <c r="Q973" s="47" t="s">
        <v>97</v>
      </c>
      <c r="R973" s="47">
        <f>HEX2DEC(RIGHT(Table1323214[[#This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7" t="s">
        <v>97</v>
      </c>
      <c r="P974" s="47">
        <f>HEX2DEC(RIGHT(Table1323214[[#This Row],[h1]],8))</f>
        <v>0</v>
      </c>
      <c r="Q974" s="47" t="s">
        <v>97</v>
      </c>
      <c r="R974" s="47">
        <f>HEX2DEC(RIGHT(Table1323214[[#This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7" t="s">
        <v>97</v>
      </c>
      <c r="P975" s="47">
        <f>HEX2DEC(RIGHT(Table1323214[[#This Row],[h1]],8))</f>
        <v>0</v>
      </c>
      <c r="Q975" s="47" t="s">
        <v>97</v>
      </c>
      <c r="R975" s="47">
        <f>HEX2DEC(RIGHT(Table1323214[[#This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7" t="s">
        <v>97</v>
      </c>
      <c r="P976" s="47">
        <f>HEX2DEC(RIGHT(Table1323214[[#This Row],[h1]],8))</f>
        <v>0</v>
      </c>
      <c r="Q976" s="47" t="s">
        <v>97</v>
      </c>
      <c r="R976" s="47">
        <f>HEX2DEC(RIGHT(Table1323214[[#This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7" t="s">
        <v>97</v>
      </c>
      <c r="P977" s="47">
        <f>HEX2DEC(RIGHT(Table1323214[[#This Row],[h1]],8))</f>
        <v>0</v>
      </c>
      <c r="Q977" s="47" t="s">
        <v>97</v>
      </c>
      <c r="R977" s="47">
        <f>HEX2DEC(RIGHT(Table1323214[[#This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7" t="s">
        <v>97</v>
      </c>
      <c r="P978" s="47">
        <f>HEX2DEC(RIGHT(Table1323214[[#This Row],[h1]],8))</f>
        <v>0</v>
      </c>
      <c r="Q978" s="47" t="s">
        <v>97</v>
      </c>
      <c r="R978" s="47">
        <f>HEX2DEC(RIGHT(Table1323214[[#This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7" t="s">
        <v>97</v>
      </c>
      <c r="P979" s="47">
        <f>HEX2DEC(RIGHT(Table1323214[[#This Row],[h1]],8))</f>
        <v>0</v>
      </c>
      <c r="Q979" s="47" t="s">
        <v>97</v>
      </c>
      <c r="R979" s="47">
        <f>HEX2DEC(RIGHT(Table1323214[[#This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7" t="s">
        <v>97</v>
      </c>
      <c r="P980" s="47">
        <f>HEX2DEC(RIGHT(Table1323214[[#This Row],[h1]],8))</f>
        <v>0</v>
      </c>
      <c r="Q980" s="47" t="s">
        <v>97</v>
      </c>
      <c r="R980" s="47">
        <f>HEX2DEC(RIGHT(Table1323214[[#This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7" t="s">
        <v>97</v>
      </c>
      <c r="P981" s="47">
        <f>HEX2DEC(RIGHT(Table1323214[[#This Row],[h1]],8))</f>
        <v>0</v>
      </c>
      <c r="Q981" s="47" t="s">
        <v>97</v>
      </c>
      <c r="R981" s="47">
        <f>HEX2DEC(RIGHT(Table1323214[[#This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7" t="s">
        <v>97</v>
      </c>
      <c r="P982" s="47">
        <f>HEX2DEC(RIGHT(Table1323214[[#This Row],[h1]],8))</f>
        <v>0</v>
      </c>
      <c r="Q982" s="47" t="s">
        <v>97</v>
      </c>
      <c r="R982" s="47">
        <f>HEX2DEC(RIGHT(Table1323214[[#This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7" t="s">
        <v>97</v>
      </c>
      <c r="P983" s="47">
        <f>HEX2DEC(RIGHT(Table1323214[[#This Row],[h1]],8))</f>
        <v>0</v>
      </c>
      <c r="Q983" s="47" t="s">
        <v>97</v>
      </c>
      <c r="R983" s="47">
        <f>HEX2DEC(RIGHT(Table1323214[[#This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7" t="s">
        <v>97</v>
      </c>
      <c r="P984" s="47">
        <f>HEX2DEC(RIGHT(Table1323214[[#This Row],[h1]],8))</f>
        <v>0</v>
      </c>
      <c r="Q984" s="47" t="s">
        <v>97</v>
      </c>
      <c r="R984" s="47">
        <f>HEX2DEC(RIGHT(Table1323214[[#This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7" t="s">
        <v>97</v>
      </c>
      <c r="P985" s="47">
        <f>HEX2DEC(RIGHT(Table1323214[[#This Row],[h1]],8))</f>
        <v>0</v>
      </c>
      <c r="Q985" s="47" t="s">
        <v>97</v>
      </c>
      <c r="R985" s="47">
        <f>HEX2DEC(RIGHT(Table1323214[[#This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7" t="s">
        <v>97</v>
      </c>
      <c r="P986" s="47">
        <f>HEX2DEC(RIGHT(Table1323214[[#This Row],[h1]],8))</f>
        <v>0</v>
      </c>
      <c r="Q986" s="47" t="s">
        <v>97</v>
      </c>
      <c r="R986" s="47">
        <f>HEX2DEC(RIGHT(Table1323214[[#This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7" t="s">
        <v>97</v>
      </c>
      <c r="P987" s="47">
        <f>HEX2DEC(RIGHT(Table1323214[[#This Row],[h1]],8))</f>
        <v>0</v>
      </c>
      <c r="Q987" s="47" t="s">
        <v>97</v>
      </c>
      <c r="R987" s="47">
        <f>HEX2DEC(RIGHT(Table1323214[[#This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7" t="s">
        <v>97</v>
      </c>
      <c r="P988" s="47">
        <f>HEX2DEC(RIGHT(Table1323214[[#This Row],[h1]],8))</f>
        <v>0</v>
      </c>
      <c r="Q988" s="47" t="s">
        <v>97</v>
      </c>
      <c r="R988" s="47">
        <f>HEX2DEC(RIGHT(Table1323214[[#This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7" t="s">
        <v>97</v>
      </c>
      <c r="P989" s="47">
        <f>HEX2DEC(RIGHT(Table1323214[[#This Row],[h1]],8))</f>
        <v>0</v>
      </c>
      <c r="Q989" s="47" t="s">
        <v>97</v>
      </c>
      <c r="R989" s="47">
        <f>HEX2DEC(RIGHT(Table1323214[[#This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7" t="s">
        <v>97</v>
      </c>
      <c r="P990" s="47">
        <f>HEX2DEC(RIGHT(Table1323214[[#This Row],[h1]],8))</f>
        <v>0</v>
      </c>
      <c r="Q990" s="47" t="s">
        <v>97</v>
      </c>
      <c r="R990" s="47">
        <f>HEX2DEC(RIGHT(Table1323214[[#This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7" t="s">
        <v>97</v>
      </c>
      <c r="P991" s="47">
        <f>HEX2DEC(RIGHT(Table1323214[[#This Row],[h1]],8))</f>
        <v>0</v>
      </c>
      <c r="Q991" s="47" t="s">
        <v>97</v>
      </c>
      <c r="R991" s="47">
        <f>HEX2DEC(RIGHT(Table1323214[[#This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7" t="s">
        <v>97</v>
      </c>
      <c r="P992" s="47">
        <f>HEX2DEC(RIGHT(Table1323214[[#This Row],[h1]],8))</f>
        <v>0</v>
      </c>
      <c r="Q992" s="47" t="s">
        <v>97</v>
      </c>
      <c r="R992" s="47">
        <f>HEX2DEC(RIGHT(Table1323214[[#This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7" t="s">
        <v>97</v>
      </c>
      <c r="P993" s="47">
        <f>HEX2DEC(RIGHT(Table1323214[[#This Row],[h1]],8))</f>
        <v>0</v>
      </c>
      <c r="Q993" s="47" t="s">
        <v>97</v>
      </c>
      <c r="R993" s="47">
        <f>HEX2DEC(RIGHT(Table1323214[[#This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7" t="s">
        <v>97</v>
      </c>
      <c r="P994" s="47">
        <f>HEX2DEC(RIGHT(Table1323214[[#This Row],[h1]],8))</f>
        <v>0</v>
      </c>
      <c r="Q994" s="47" t="s">
        <v>97</v>
      </c>
      <c r="R994" s="47">
        <f>HEX2DEC(RIGHT(Table1323214[[#This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7" t="s">
        <v>97</v>
      </c>
      <c r="P995" s="47">
        <f>HEX2DEC(RIGHT(Table1323214[[#This Row],[h1]],8))</f>
        <v>0</v>
      </c>
      <c r="Q995" s="47" t="s">
        <v>97</v>
      </c>
      <c r="R995" s="47">
        <f>HEX2DEC(RIGHT(Table1323214[[#This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7" t="s">
        <v>97</v>
      </c>
      <c r="P996" s="47">
        <f>HEX2DEC(RIGHT(Table1323214[[#This Row],[h1]],8))</f>
        <v>0</v>
      </c>
      <c r="Q996" s="47" t="s">
        <v>97</v>
      </c>
      <c r="R996" s="47">
        <f>HEX2DEC(RIGHT(Table1323214[[#This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7" t="s">
        <v>97</v>
      </c>
      <c r="P997" s="47">
        <f>HEX2DEC(RIGHT(Table1323214[[#This Row],[h1]],8))</f>
        <v>0</v>
      </c>
      <c r="Q997" s="47" t="s">
        <v>97</v>
      </c>
      <c r="R997" s="47">
        <f>HEX2DEC(RIGHT(Table1323214[[#This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7" t="s">
        <v>97</v>
      </c>
      <c r="P998" s="47">
        <f>HEX2DEC(RIGHT(Table1323214[[#This Row],[h1]],8))</f>
        <v>0</v>
      </c>
      <c r="Q998" s="47" t="s">
        <v>97</v>
      </c>
      <c r="R998" s="47">
        <f>HEX2DEC(RIGHT(Table1323214[[#This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7" t="s">
        <v>97</v>
      </c>
      <c r="P999" s="47">
        <f>HEX2DEC(RIGHT(Table1323214[[#This Row],[h1]],8))</f>
        <v>0</v>
      </c>
      <c r="Q999" s="47" t="s">
        <v>97</v>
      </c>
      <c r="R999" s="47">
        <f>HEX2DEC(RIGHT(Table1323214[[#This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7" t="s">
        <v>97</v>
      </c>
      <c r="P1000" s="47">
        <f>HEX2DEC(RIGHT(Table1323214[[#This Row],[h1]],8))</f>
        <v>0</v>
      </c>
      <c r="Q1000" s="47" t="s">
        <v>97</v>
      </c>
      <c r="R1000" s="47">
        <f>HEX2DEC(RIGHT(Table1323214[[#This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7" t="s">
        <v>97</v>
      </c>
      <c r="P1001" s="47">
        <f>HEX2DEC(RIGHT(Table1323214[[#This Row],[h1]],8))</f>
        <v>0</v>
      </c>
      <c r="Q1001" s="47" t="s">
        <v>97</v>
      </c>
      <c r="R1001" s="47">
        <f>HEX2DEC(RIGHT(Table1323214[[#This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7" t="s">
        <v>97</v>
      </c>
      <c r="P1002" s="47">
        <f>HEX2DEC(RIGHT(Table1323214[[#This Row],[h1]],8))</f>
        <v>0</v>
      </c>
      <c r="Q1002" s="47" t="s">
        <v>97</v>
      </c>
      <c r="R1002" s="47">
        <f>HEX2DEC(RIGHT(Table1323214[[#This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7" t="s">
        <v>97</v>
      </c>
      <c r="P1003" s="47">
        <f>HEX2DEC(RIGHT(Table1323214[[#This Row],[h1]],8))</f>
        <v>0</v>
      </c>
      <c r="Q1003" s="47" t="s">
        <v>97</v>
      </c>
      <c r="R1003" s="47">
        <f>HEX2DEC(RIGHT(Table1323214[[#This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7" t="s">
        <v>97</v>
      </c>
      <c r="P1004" s="47">
        <f>HEX2DEC(RIGHT(Table1323214[[#This Row],[h1]],8))</f>
        <v>0</v>
      </c>
      <c r="Q1004" s="47" t="s">
        <v>97</v>
      </c>
      <c r="R1004" s="47">
        <f>HEX2DEC(RIGHT(Table1323214[[#This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7" t="s">
        <v>97</v>
      </c>
      <c r="P1005" s="47">
        <f>HEX2DEC(RIGHT(Table1323214[[#This Row],[h1]],8))</f>
        <v>0</v>
      </c>
      <c r="Q1005" s="47" t="s">
        <v>97</v>
      </c>
      <c r="R1005" s="47">
        <f>HEX2DEC(RIGHT(Table1323214[[#This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7" t="s">
        <v>97</v>
      </c>
      <c r="P1006" s="47">
        <f>HEX2DEC(RIGHT(Table1323214[[#This Row],[h1]],8))</f>
        <v>0</v>
      </c>
      <c r="Q1006" s="47" t="s">
        <v>97</v>
      </c>
      <c r="R1006" s="47">
        <f>HEX2DEC(RIGHT(Table1323214[[#This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7" t="s">
        <v>97</v>
      </c>
      <c r="P1007" s="47">
        <f>HEX2DEC(RIGHT(Table1323214[[#This Row],[h1]],8))</f>
        <v>0</v>
      </c>
      <c r="Q1007" s="47" t="s">
        <v>97</v>
      </c>
      <c r="R1007" s="47">
        <f>HEX2DEC(RIGHT(Table1323214[[#This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7" t="s">
        <v>97</v>
      </c>
      <c r="P1008" s="47">
        <f>HEX2DEC(RIGHT(Table1323214[[#This Row],[h1]],8))</f>
        <v>0</v>
      </c>
      <c r="Q1008" s="47" t="s">
        <v>97</v>
      </c>
      <c r="R1008" s="47">
        <f>HEX2DEC(RIGHT(Table1323214[[#This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7" t="s">
        <v>97</v>
      </c>
      <c r="P1009" s="47">
        <f>HEX2DEC(RIGHT(Table1323214[[#This Row],[h1]],8))</f>
        <v>0</v>
      </c>
      <c r="Q1009" s="47" t="s">
        <v>97</v>
      </c>
      <c r="R1009" s="47">
        <f>HEX2DEC(RIGHT(Table1323214[[#This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7" t="s">
        <v>97</v>
      </c>
      <c r="P1010" s="47">
        <f>HEX2DEC(RIGHT(Table1323214[[#This Row],[h1]],8))</f>
        <v>0</v>
      </c>
      <c r="Q1010" s="47" t="s">
        <v>97</v>
      </c>
      <c r="R1010" s="47">
        <f>HEX2DEC(RIGHT(Table1323214[[#This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7" t="s">
        <v>97</v>
      </c>
      <c r="P1011" s="47">
        <f>HEX2DEC(RIGHT(Table1323214[[#This Row],[h1]],8))</f>
        <v>0</v>
      </c>
      <c r="Q1011" s="47" t="s">
        <v>97</v>
      </c>
      <c r="R1011" s="47">
        <f>HEX2DEC(RIGHT(Table1323214[[#This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7" t="s">
        <v>97</v>
      </c>
      <c r="P1012" s="47">
        <f>HEX2DEC(RIGHT(Table1323214[[#This Row],[h1]],8))</f>
        <v>0</v>
      </c>
      <c r="Q1012" s="47" t="s">
        <v>97</v>
      </c>
      <c r="R1012" s="47">
        <f>HEX2DEC(RIGHT(Table1323214[[#This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7" t="s">
        <v>97</v>
      </c>
      <c r="P1013" s="47">
        <f>HEX2DEC(RIGHT(Table1323214[[#This Row],[h1]],8))</f>
        <v>0</v>
      </c>
      <c r="Q1013" s="47" t="s">
        <v>97</v>
      </c>
      <c r="R1013" s="47">
        <f>HEX2DEC(RIGHT(Table1323214[[#This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7" t="s">
        <v>97</v>
      </c>
      <c r="P1014" s="47">
        <f>HEX2DEC(RIGHT(Table1323214[[#This Row],[h1]],8))</f>
        <v>0</v>
      </c>
      <c r="Q1014" s="47" t="s">
        <v>97</v>
      </c>
      <c r="R1014" s="47">
        <f>HEX2DEC(RIGHT(Table1323214[[#This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7" t="s">
        <v>97</v>
      </c>
      <c r="P1015" s="47">
        <f>HEX2DEC(RIGHT(Table1323214[[#This Row],[h1]],8))</f>
        <v>0</v>
      </c>
      <c r="Q1015" s="47" t="s">
        <v>97</v>
      </c>
      <c r="R1015" s="47">
        <f>HEX2DEC(RIGHT(Table1323214[[#This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7" t="s">
        <v>97</v>
      </c>
      <c r="P1016" s="47">
        <f>HEX2DEC(RIGHT(Table1323214[[#This Row],[h1]],8))</f>
        <v>0</v>
      </c>
      <c r="Q1016" s="47" t="s">
        <v>97</v>
      </c>
      <c r="R1016" s="47">
        <f>HEX2DEC(RIGHT(Table1323214[[#This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7" t="s">
        <v>97</v>
      </c>
      <c r="P1017" s="47">
        <f>HEX2DEC(RIGHT(Table1323214[[#This Row],[h1]],8))</f>
        <v>0</v>
      </c>
      <c r="Q1017" s="47" t="s">
        <v>97</v>
      </c>
      <c r="R1017" s="47">
        <f>HEX2DEC(RIGHT(Table1323214[[#This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7" t="s">
        <v>97</v>
      </c>
      <c r="P1018" s="47">
        <f>HEX2DEC(RIGHT(Table1323214[[#This Row],[h1]],8))</f>
        <v>0</v>
      </c>
      <c r="Q1018" s="47" t="s">
        <v>97</v>
      </c>
      <c r="R1018" s="47">
        <f>HEX2DEC(RIGHT(Table1323214[[#This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7" t="s">
        <v>97</v>
      </c>
      <c r="P1019" s="47">
        <f>HEX2DEC(RIGHT(Table1323214[[#This Row],[h1]],8))</f>
        <v>0</v>
      </c>
      <c r="Q1019" s="47" t="s">
        <v>97</v>
      </c>
      <c r="R1019" s="47">
        <f>HEX2DEC(RIGHT(Table1323214[[#This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7" t="s">
        <v>97</v>
      </c>
      <c r="P1020" s="47">
        <f>HEX2DEC(RIGHT(Table1323214[[#This Row],[h1]],8))</f>
        <v>0</v>
      </c>
      <c r="Q1020" s="47" t="s">
        <v>97</v>
      </c>
      <c r="R1020" s="47">
        <f>HEX2DEC(RIGHT(Table1323214[[#This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7" t="s">
        <v>97</v>
      </c>
      <c r="P1021" s="47">
        <f>HEX2DEC(RIGHT(Table1323214[[#This Row],[h1]],8))</f>
        <v>0</v>
      </c>
      <c r="Q1021" s="47" t="s">
        <v>97</v>
      </c>
      <c r="R1021" s="47">
        <f>HEX2DEC(RIGHT(Table1323214[[#This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7" t="s">
        <v>97</v>
      </c>
      <c r="P1022" s="47">
        <f>HEX2DEC(RIGHT(Table1323214[[#This Row],[h1]],8))</f>
        <v>0</v>
      </c>
      <c r="Q1022" s="47" t="s">
        <v>97</v>
      </c>
      <c r="R1022" s="47">
        <f>HEX2DEC(RIGHT(Table1323214[[#This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7" t="s">
        <v>97</v>
      </c>
      <c r="P1023" s="47">
        <f>HEX2DEC(RIGHT(Table1323214[[#This Row],[h1]],8))</f>
        <v>0</v>
      </c>
      <c r="Q1023" s="47" t="s">
        <v>97</v>
      </c>
      <c r="R1023" s="47">
        <f>HEX2DEC(RIGHT(Table1323214[[#This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7" t="s">
        <v>97</v>
      </c>
      <c r="P1024" s="47">
        <f>HEX2DEC(RIGHT(Table1323214[[#This Row],[h1]],8))</f>
        <v>0</v>
      </c>
      <c r="Q1024" s="47" t="s">
        <v>97</v>
      </c>
      <c r="R1024" s="47">
        <f>HEX2DEC(RIGHT(Table1323214[[#This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7" t="s">
        <v>97</v>
      </c>
      <c r="P1025" s="47">
        <f>HEX2DEC(RIGHT(Table1323214[[#This Row],[h1]],8))</f>
        <v>0</v>
      </c>
      <c r="Q1025" s="47" t="s">
        <v>97</v>
      </c>
      <c r="R1025" s="47">
        <f>HEX2DEC(RIGHT(Table1323214[[#This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7" t="s">
        <v>97</v>
      </c>
      <c r="P1026" s="47">
        <f>HEX2DEC(RIGHT(Table1323214[[#This Row],[h1]],8))</f>
        <v>0</v>
      </c>
      <c r="Q1026" s="47" t="s">
        <v>97</v>
      </c>
      <c r="R1026" s="47">
        <f>HEX2DEC(RIGHT(Table1323214[[#This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7" t="s">
        <v>97</v>
      </c>
      <c r="P1027" s="47">
        <f>HEX2DEC(RIGHT(Table1323214[[#This Row],[h1]],8))</f>
        <v>0</v>
      </c>
      <c r="Q1027" s="47" t="s">
        <v>97</v>
      </c>
      <c r="R1027" s="47">
        <f>HEX2DEC(RIGHT(Table1323214[[#This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7" t="s">
        <v>97</v>
      </c>
      <c r="P1028" s="47">
        <f>HEX2DEC(RIGHT(Table1323214[[#This Row],[h1]],8))</f>
        <v>0</v>
      </c>
      <c r="Q1028" s="47" t="s">
        <v>97</v>
      </c>
      <c r="R1028" s="47">
        <f>HEX2DEC(RIGHT(Table1323214[[#This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7" t="s">
        <v>97</v>
      </c>
      <c r="P1029" s="47">
        <f>HEX2DEC(RIGHT(Table1323214[[#This Row],[h1]],8))</f>
        <v>0</v>
      </c>
      <c r="Q1029" s="47" t="s">
        <v>97</v>
      </c>
      <c r="R1029" s="47">
        <f>HEX2DEC(RIGHT(Table1323214[[#This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7" t="s">
        <v>97</v>
      </c>
      <c r="P1030" s="47">
        <f>HEX2DEC(RIGHT(Table1323214[[#This Row],[h1]],8))</f>
        <v>0</v>
      </c>
      <c r="Q1030" s="47" t="s">
        <v>97</v>
      </c>
      <c r="R1030" s="47">
        <f>HEX2DEC(RIGHT(Table1323214[[#This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7" t="s">
        <v>97</v>
      </c>
      <c r="P1031" s="47">
        <f>HEX2DEC(RIGHT(Table1323214[[#This Row],[h1]],8))</f>
        <v>0</v>
      </c>
      <c r="Q1031" s="47" t="s">
        <v>97</v>
      </c>
      <c r="R1031" s="47">
        <f>HEX2DEC(RIGHT(Table1323214[[#This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7" t="s">
        <v>97</v>
      </c>
      <c r="P1032" s="47">
        <f>HEX2DEC(RIGHT(Table1323214[[#This Row],[h1]],8))</f>
        <v>0</v>
      </c>
      <c r="Q1032" s="47" t="s">
        <v>97</v>
      </c>
      <c r="R1032" s="47">
        <f>HEX2DEC(RIGHT(Table1323214[[#This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7" t="s">
        <v>97</v>
      </c>
      <c r="P1033" s="47">
        <f>HEX2DEC(RIGHT(Table1323214[[#This Row],[h1]],8))</f>
        <v>0</v>
      </c>
      <c r="Q1033" s="47" t="s">
        <v>97</v>
      </c>
      <c r="R1033" s="47">
        <f>HEX2DEC(RIGHT(Table1323214[[#This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7" t="s">
        <v>97</v>
      </c>
      <c r="P1034" s="47">
        <f>HEX2DEC(RIGHT(Table1323214[[#This Row],[h1]],8))</f>
        <v>0</v>
      </c>
      <c r="Q1034" s="47" t="s">
        <v>97</v>
      </c>
      <c r="R1034" s="47">
        <f>HEX2DEC(RIGHT(Table1323214[[#This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7" t="s">
        <v>97</v>
      </c>
      <c r="P1035" s="47">
        <f>HEX2DEC(RIGHT(Table1323214[[#This Row],[h1]],8))</f>
        <v>0</v>
      </c>
      <c r="Q1035" s="47" t="s">
        <v>97</v>
      </c>
      <c r="R1035" s="47">
        <f>HEX2DEC(RIGHT(Table1323214[[#This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7" t="s">
        <v>97</v>
      </c>
      <c r="P1036" s="47">
        <f>HEX2DEC(RIGHT(Table1323214[[#This Row],[h1]],8))</f>
        <v>0</v>
      </c>
      <c r="Q1036" s="47" t="s">
        <v>97</v>
      </c>
      <c r="R1036" s="47">
        <f>HEX2DEC(RIGHT(Table1323214[[#This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7" t="s">
        <v>97</v>
      </c>
      <c r="P1037" s="47">
        <f>HEX2DEC(RIGHT(Table1323214[[#This Row],[h1]],8))</f>
        <v>0</v>
      </c>
      <c r="Q1037" s="47" t="s">
        <v>97</v>
      </c>
      <c r="R1037" s="47">
        <f>HEX2DEC(RIGHT(Table1323214[[#This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7" t="s">
        <v>97</v>
      </c>
      <c r="P1038" s="47">
        <f>HEX2DEC(RIGHT(Table1323214[[#This Row],[h1]],8))</f>
        <v>0</v>
      </c>
      <c r="Q1038" s="47" t="s">
        <v>97</v>
      </c>
      <c r="R1038" s="47">
        <f>HEX2DEC(RIGHT(Table1323214[[#This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7" t="s">
        <v>97</v>
      </c>
      <c r="P1039" s="47">
        <f>HEX2DEC(RIGHT(Table1323214[[#This Row],[h1]],8))</f>
        <v>0</v>
      </c>
      <c r="Q1039" s="47" t="s">
        <v>97</v>
      </c>
      <c r="R1039" s="47">
        <f>HEX2DEC(RIGHT(Table1323214[[#This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7" t="s">
        <v>97</v>
      </c>
      <c r="P1040" s="47">
        <f>HEX2DEC(RIGHT(Table1323214[[#This Row],[h1]],8))</f>
        <v>0</v>
      </c>
      <c r="Q1040" s="47" t="s">
        <v>97</v>
      </c>
      <c r="R1040" s="47">
        <f>HEX2DEC(RIGHT(Table1323214[[#This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7" t="s">
        <v>97</v>
      </c>
      <c r="P1041" s="47">
        <f>HEX2DEC(RIGHT(Table1323214[[#This Row],[h1]],8))</f>
        <v>0</v>
      </c>
      <c r="Q1041" s="47" t="s">
        <v>97</v>
      </c>
      <c r="R1041" s="47">
        <f>HEX2DEC(RIGHT(Table1323214[[#This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7" t="s">
        <v>97</v>
      </c>
      <c r="P1042" s="47">
        <f>HEX2DEC(RIGHT(Table1323214[[#This Row],[h1]],8))</f>
        <v>0</v>
      </c>
      <c r="Q1042" s="47" t="s">
        <v>97</v>
      </c>
      <c r="R1042" s="47">
        <f>HEX2DEC(RIGHT(Table1323214[[#This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7" t="s">
        <v>97</v>
      </c>
      <c r="P1043" s="47">
        <f>HEX2DEC(RIGHT(Table1323214[[#This Row],[h1]],8))</f>
        <v>0</v>
      </c>
      <c r="Q1043" s="47" t="s">
        <v>97</v>
      </c>
      <c r="R1043" s="47">
        <f>HEX2DEC(RIGHT(Table1323214[[#This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7" t="s">
        <v>97</v>
      </c>
      <c r="P1044" s="47">
        <f>HEX2DEC(RIGHT(Table1323214[[#This Row],[h1]],8))</f>
        <v>0</v>
      </c>
      <c r="Q1044" s="47" t="s">
        <v>97</v>
      </c>
      <c r="R1044" s="47">
        <f>HEX2DEC(RIGHT(Table1323214[[#This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7" t="s">
        <v>97</v>
      </c>
      <c r="P1045" s="47">
        <f>HEX2DEC(RIGHT(Table1323214[[#This Row],[h1]],8))</f>
        <v>0</v>
      </c>
      <c r="Q1045" s="47" t="s">
        <v>97</v>
      </c>
      <c r="R1045" s="47">
        <f>HEX2DEC(RIGHT(Table1323214[[#This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7" t="s">
        <v>97</v>
      </c>
      <c r="P1046" s="47">
        <f>HEX2DEC(RIGHT(Table1323214[[#This Row],[h1]],8))</f>
        <v>0</v>
      </c>
      <c r="Q1046" s="47" t="s">
        <v>97</v>
      </c>
      <c r="R1046" s="47">
        <f>HEX2DEC(RIGHT(Table1323214[[#This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7" t="s">
        <v>97</v>
      </c>
      <c r="P1047" s="47">
        <f>HEX2DEC(RIGHT(Table1323214[[#This Row],[h1]],8))</f>
        <v>0</v>
      </c>
      <c r="Q1047" s="47" t="s">
        <v>97</v>
      </c>
      <c r="R1047" s="47">
        <f>HEX2DEC(RIGHT(Table1323214[[#This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7" t="s">
        <v>97</v>
      </c>
      <c r="P1048" s="47">
        <f>HEX2DEC(RIGHT(Table1323214[[#This Row],[h1]],8))</f>
        <v>0</v>
      </c>
      <c r="Q1048" s="47" t="s">
        <v>97</v>
      </c>
      <c r="R1048" s="47">
        <f>HEX2DEC(RIGHT(Table1323214[[#This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7" t="s">
        <v>97</v>
      </c>
      <c r="P1049" s="47">
        <f>HEX2DEC(RIGHT(Table1323214[[#This Row],[h1]],8))</f>
        <v>0</v>
      </c>
      <c r="Q1049" s="47" t="s">
        <v>97</v>
      </c>
      <c r="R1049" s="47">
        <f>HEX2DEC(RIGHT(Table1323214[[#This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7" t="s">
        <v>97</v>
      </c>
      <c r="P1050" s="47">
        <f>HEX2DEC(RIGHT(Table1323214[[#This Row],[h1]],8))</f>
        <v>0</v>
      </c>
      <c r="Q1050" s="47" t="s">
        <v>97</v>
      </c>
      <c r="R1050" s="47">
        <f>HEX2DEC(RIGHT(Table1323214[[#This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7" t="s">
        <v>97</v>
      </c>
      <c r="P1051" s="47">
        <f>HEX2DEC(RIGHT(Table1323214[[#This Row],[h1]],8))</f>
        <v>0</v>
      </c>
      <c r="Q1051" s="47" t="s">
        <v>97</v>
      </c>
      <c r="R1051" s="47">
        <f>HEX2DEC(RIGHT(Table1323214[[#This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7" t="s">
        <v>97</v>
      </c>
      <c r="P1052" s="47">
        <f>HEX2DEC(RIGHT(Table1323214[[#This Row],[h1]],8))</f>
        <v>0</v>
      </c>
      <c r="Q1052" s="47" t="s">
        <v>97</v>
      </c>
      <c r="R1052" s="47">
        <f>HEX2DEC(RIGHT(Table1323214[[#This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7" t="s">
        <v>97</v>
      </c>
      <c r="P1053" s="47">
        <f>HEX2DEC(RIGHT(Table1323214[[#This Row],[h1]],8))</f>
        <v>0</v>
      </c>
      <c r="Q1053" s="47" t="s">
        <v>97</v>
      </c>
      <c r="R1053" s="47">
        <f>HEX2DEC(RIGHT(Table1323214[[#This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7" t="s">
        <v>97</v>
      </c>
      <c r="P1054" s="47">
        <f>HEX2DEC(RIGHT(Table1323214[[#This Row],[h1]],8))</f>
        <v>0</v>
      </c>
      <c r="Q1054" s="47" t="s">
        <v>97</v>
      </c>
      <c r="R1054" s="47">
        <f>HEX2DEC(RIGHT(Table1323214[[#This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7" t="s">
        <v>97</v>
      </c>
      <c r="P1055" s="47">
        <f>HEX2DEC(RIGHT(Table1323214[[#This Row],[h1]],8))</f>
        <v>0</v>
      </c>
      <c r="Q1055" s="47" t="s">
        <v>97</v>
      </c>
      <c r="R1055" s="47">
        <f>HEX2DEC(RIGHT(Table1323214[[#This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7" t="s">
        <v>97</v>
      </c>
      <c r="P1056" s="47">
        <f>HEX2DEC(RIGHT(Table1323214[[#This Row],[h1]],8))</f>
        <v>0</v>
      </c>
      <c r="Q1056" s="47" t="s">
        <v>97</v>
      </c>
      <c r="R1056" s="47">
        <f>HEX2DEC(RIGHT(Table1323214[[#This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7" t="s">
        <v>97</v>
      </c>
      <c r="P1057" s="47">
        <f>HEX2DEC(RIGHT(Table1323214[[#This Row],[h1]],8))</f>
        <v>0</v>
      </c>
      <c r="Q1057" s="47" t="s">
        <v>97</v>
      </c>
      <c r="R1057" s="47">
        <f>HEX2DEC(RIGHT(Table1323214[[#This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7" t="s">
        <v>97</v>
      </c>
      <c r="P1058" s="47">
        <f>HEX2DEC(RIGHT(Table1323214[[#This Row],[h1]],8))</f>
        <v>0</v>
      </c>
      <c r="Q1058" s="47" t="s">
        <v>97</v>
      </c>
      <c r="R1058" s="47">
        <f>HEX2DEC(RIGHT(Table1323214[[#This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7" t="s">
        <v>97</v>
      </c>
      <c r="P1059" s="47">
        <f>HEX2DEC(RIGHT(Table1323214[[#This Row],[h1]],8))</f>
        <v>0</v>
      </c>
      <c r="Q1059" s="47" t="s">
        <v>97</v>
      </c>
      <c r="R1059" s="47">
        <f>HEX2DEC(RIGHT(Table1323214[[#This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7" t="s">
        <v>97</v>
      </c>
      <c r="P1060" s="47">
        <f>HEX2DEC(RIGHT(Table1323214[[#This Row],[h1]],8))</f>
        <v>0</v>
      </c>
      <c r="Q1060" s="47" t="s">
        <v>97</v>
      </c>
      <c r="R1060" s="47">
        <f>HEX2DEC(RIGHT(Table1323214[[#This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7" t="s">
        <v>97</v>
      </c>
      <c r="P1061" s="47">
        <f>HEX2DEC(RIGHT(Table1323214[[#This Row],[h1]],8))</f>
        <v>0</v>
      </c>
      <c r="Q1061" s="47" t="s">
        <v>97</v>
      </c>
      <c r="R1061" s="47">
        <f>HEX2DEC(RIGHT(Table1323214[[#This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7" t="s">
        <v>97</v>
      </c>
      <c r="P1062" s="47">
        <f>HEX2DEC(RIGHT(Table1323214[[#This Row],[h1]],8))</f>
        <v>0</v>
      </c>
      <c r="Q1062" s="47" t="s">
        <v>97</v>
      </c>
      <c r="R1062" s="47">
        <f>HEX2DEC(RIGHT(Table1323214[[#This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7" t="s">
        <v>97</v>
      </c>
      <c r="P1063" s="47">
        <f>HEX2DEC(RIGHT(Table1323214[[#This Row],[h1]],8))</f>
        <v>0</v>
      </c>
      <c r="Q1063" s="47" t="s">
        <v>97</v>
      </c>
      <c r="R1063" s="47">
        <f>HEX2DEC(RIGHT(Table1323214[[#This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7" t="s">
        <v>97</v>
      </c>
      <c r="P1064" s="47">
        <f>HEX2DEC(RIGHT(Table1323214[[#This Row],[h1]],8))</f>
        <v>0</v>
      </c>
      <c r="Q1064" s="47" t="s">
        <v>97</v>
      </c>
      <c r="R1064" s="47">
        <f>HEX2DEC(RIGHT(Table1323214[[#This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7" t="s">
        <v>97</v>
      </c>
      <c r="P1065" s="47">
        <f>HEX2DEC(RIGHT(Table1323214[[#This Row],[h1]],8))</f>
        <v>0</v>
      </c>
      <c r="Q1065" s="47" t="s">
        <v>97</v>
      </c>
      <c r="R1065" s="47">
        <f>HEX2DEC(RIGHT(Table1323214[[#This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7" t="s">
        <v>97</v>
      </c>
      <c r="P1066" s="47">
        <f>HEX2DEC(RIGHT(Table1323214[[#This Row],[h1]],8))</f>
        <v>0</v>
      </c>
      <c r="Q1066" s="47" t="s">
        <v>97</v>
      </c>
      <c r="R1066" s="47">
        <f>HEX2DEC(RIGHT(Table1323214[[#This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7" t="s">
        <v>97</v>
      </c>
      <c r="P1067" s="47">
        <f>HEX2DEC(RIGHT(Table1323214[[#This Row],[h1]],8))</f>
        <v>0</v>
      </c>
      <c r="Q1067" s="47" t="s">
        <v>97</v>
      </c>
      <c r="R1067" s="47">
        <f>HEX2DEC(RIGHT(Table1323214[[#This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7" t="s">
        <v>97</v>
      </c>
      <c r="P1068" s="47">
        <f>HEX2DEC(RIGHT(Table1323214[[#This Row],[h1]],8))</f>
        <v>0</v>
      </c>
      <c r="Q1068" s="47" t="s">
        <v>97</v>
      </c>
      <c r="R1068" s="47">
        <f>HEX2DEC(RIGHT(Table1323214[[#This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7" t="s">
        <v>97</v>
      </c>
      <c r="P1069" s="47">
        <f>HEX2DEC(RIGHT(Table1323214[[#This Row],[h1]],8))</f>
        <v>0</v>
      </c>
      <c r="Q1069" s="47" t="s">
        <v>97</v>
      </c>
      <c r="R1069" s="47">
        <f>HEX2DEC(RIGHT(Table1323214[[#This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7" t="s">
        <v>97</v>
      </c>
      <c r="P1070" s="47">
        <f>HEX2DEC(RIGHT(Table1323214[[#This Row],[h1]],8))</f>
        <v>0</v>
      </c>
      <c r="Q1070" s="47" t="s">
        <v>97</v>
      </c>
      <c r="R1070" s="47">
        <f>HEX2DEC(RIGHT(Table1323214[[#This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7" t="s">
        <v>97</v>
      </c>
      <c r="P1071" s="47">
        <f>HEX2DEC(RIGHT(Table1323214[[#This Row],[h1]],8))</f>
        <v>0</v>
      </c>
      <c r="Q1071" s="47" t="s">
        <v>97</v>
      </c>
      <c r="R1071" s="47">
        <f>HEX2DEC(RIGHT(Table1323214[[#This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7" t="s">
        <v>97</v>
      </c>
      <c r="P1072" s="47">
        <f>HEX2DEC(RIGHT(Table1323214[[#This Row],[h1]],8))</f>
        <v>0</v>
      </c>
      <c r="Q1072" s="47" t="s">
        <v>97</v>
      </c>
      <c r="R1072" s="47">
        <f>HEX2DEC(RIGHT(Table1323214[[#This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7" t="s">
        <v>97</v>
      </c>
      <c r="P1073" s="47">
        <f>HEX2DEC(RIGHT(Table1323214[[#This Row],[h1]],8))</f>
        <v>0</v>
      </c>
      <c r="Q1073" s="47" t="s">
        <v>97</v>
      </c>
      <c r="R1073" s="47">
        <f>HEX2DEC(RIGHT(Table1323214[[#This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7" t="s">
        <v>97</v>
      </c>
      <c r="P1074" s="47">
        <f>HEX2DEC(RIGHT(Table1323214[[#This Row],[h1]],8))</f>
        <v>0</v>
      </c>
      <c r="Q1074" s="47" t="s">
        <v>97</v>
      </c>
      <c r="R1074" s="47">
        <f>HEX2DEC(RIGHT(Table1323214[[#This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7" t="s">
        <v>97</v>
      </c>
      <c r="P1075" s="47">
        <f>HEX2DEC(RIGHT(Table1323214[[#This Row],[h1]],8))</f>
        <v>0</v>
      </c>
      <c r="Q1075" s="47" t="s">
        <v>97</v>
      </c>
      <c r="R1075" s="47">
        <f>HEX2DEC(RIGHT(Table1323214[[#This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7" t="s">
        <v>97</v>
      </c>
      <c r="P1076" s="47">
        <f>HEX2DEC(RIGHT(Table1323214[[#This Row],[h1]],8))</f>
        <v>0</v>
      </c>
      <c r="Q1076" s="47" t="s">
        <v>97</v>
      </c>
      <c r="R1076" s="47">
        <f>HEX2DEC(RIGHT(Table1323214[[#This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7" t="s">
        <v>97</v>
      </c>
      <c r="P1077" s="47">
        <f>HEX2DEC(RIGHT(Table1323214[[#This Row],[h1]],8))</f>
        <v>0</v>
      </c>
      <c r="Q1077" s="47" t="s">
        <v>97</v>
      </c>
      <c r="R1077" s="47">
        <f>HEX2DEC(RIGHT(Table1323214[[#This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7" t="s">
        <v>97</v>
      </c>
      <c r="P1078" s="47">
        <f>HEX2DEC(RIGHT(Table1323214[[#This Row],[h1]],8))</f>
        <v>0</v>
      </c>
      <c r="Q1078" s="47" t="s">
        <v>97</v>
      </c>
      <c r="R1078" s="47">
        <f>HEX2DEC(RIGHT(Table1323214[[#This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7" t="s">
        <v>97</v>
      </c>
      <c r="P1079" s="47">
        <f>HEX2DEC(RIGHT(Table1323214[[#This Row],[h1]],8))</f>
        <v>0</v>
      </c>
      <c r="Q1079" s="47" t="s">
        <v>97</v>
      </c>
      <c r="R1079" s="47">
        <f>HEX2DEC(RIGHT(Table1323214[[#This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7" t="s">
        <v>97</v>
      </c>
      <c r="P1080" s="47">
        <f>HEX2DEC(RIGHT(Table1323214[[#This Row],[h1]],8))</f>
        <v>0</v>
      </c>
      <c r="Q1080" s="47" t="s">
        <v>97</v>
      </c>
      <c r="R1080" s="47">
        <f>HEX2DEC(RIGHT(Table1323214[[#This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7" t="s">
        <v>97</v>
      </c>
      <c r="P1081" s="47">
        <f>HEX2DEC(RIGHT(Table1323214[[#This Row],[h1]],8))</f>
        <v>0</v>
      </c>
      <c r="Q1081" s="47" t="s">
        <v>97</v>
      </c>
      <c r="R1081" s="47">
        <f>HEX2DEC(RIGHT(Table1323214[[#This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7" t="s">
        <v>97</v>
      </c>
      <c r="P1082" s="47">
        <f>HEX2DEC(RIGHT(Table1323214[[#This Row],[h1]],8))</f>
        <v>0</v>
      </c>
      <c r="Q1082" s="47" t="s">
        <v>97</v>
      </c>
      <c r="R1082" s="47">
        <f>HEX2DEC(RIGHT(Table1323214[[#This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7" t="s">
        <v>97</v>
      </c>
      <c r="P1083" s="47">
        <f>HEX2DEC(RIGHT(Table1323214[[#This Row],[h1]],8))</f>
        <v>0</v>
      </c>
      <c r="Q1083" s="47" t="s">
        <v>97</v>
      </c>
      <c r="R1083" s="47">
        <f>HEX2DEC(RIGHT(Table1323214[[#This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7" t="s">
        <v>97</v>
      </c>
      <c r="P1084" s="47">
        <f>HEX2DEC(RIGHT(Table1323214[[#This Row],[h1]],8))</f>
        <v>0</v>
      </c>
      <c r="Q1084" s="47" t="s">
        <v>97</v>
      </c>
      <c r="R1084" s="47">
        <f>HEX2DEC(RIGHT(Table1323214[[#This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7" t="s">
        <v>97</v>
      </c>
      <c r="P1085" s="47">
        <f>HEX2DEC(RIGHT(Table1323214[[#This Row],[h1]],8))</f>
        <v>0</v>
      </c>
      <c r="Q1085" s="47" t="s">
        <v>97</v>
      </c>
      <c r="R1085" s="47">
        <f>HEX2DEC(RIGHT(Table1323214[[#This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7" t="s">
        <v>97</v>
      </c>
      <c r="P1086" s="47">
        <f>HEX2DEC(RIGHT(Table1323214[[#This Row],[h1]],8))</f>
        <v>0</v>
      </c>
      <c r="Q1086" s="47" t="s">
        <v>97</v>
      </c>
      <c r="R1086" s="47">
        <f>HEX2DEC(RIGHT(Table1323214[[#This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7" t="s">
        <v>97</v>
      </c>
      <c r="P1087" s="47">
        <f>HEX2DEC(RIGHT(Table1323214[[#This Row],[h1]],8))</f>
        <v>0</v>
      </c>
      <c r="Q1087" s="47" t="s">
        <v>97</v>
      </c>
      <c r="R1087" s="47">
        <f>HEX2DEC(RIGHT(Table1323214[[#This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7" t="s">
        <v>97</v>
      </c>
      <c r="P1088" s="47">
        <f>HEX2DEC(RIGHT(Table1323214[[#This Row],[h1]],8))</f>
        <v>0</v>
      </c>
      <c r="Q1088" s="47" t="s">
        <v>97</v>
      </c>
      <c r="R1088" s="47">
        <f>HEX2DEC(RIGHT(Table1323214[[#This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7" t="s">
        <v>97</v>
      </c>
      <c r="P1089" s="47">
        <f>HEX2DEC(RIGHT(Table1323214[[#This Row],[h1]],8))</f>
        <v>0</v>
      </c>
      <c r="Q1089" s="47" t="s">
        <v>97</v>
      </c>
      <c r="R1089" s="47">
        <f>HEX2DEC(RIGHT(Table1323214[[#This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7" t="s">
        <v>97</v>
      </c>
      <c r="P1090" s="47">
        <f>HEX2DEC(RIGHT(Table1323214[[#This Row],[h1]],8))</f>
        <v>0</v>
      </c>
      <c r="Q1090" s="47" t="s">
        <v>97</v>
      </c>
      <c r="R1090" s="47">
        <f>HEX2DEC(RIGHT(Table1323214[[#This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7" t="s">
        <v>97</v>
      </c>
      <c r="P1091" s="47">
        <f>HEX2DEC(RIGHT(Table1323214[[#This Row],[h1]],8))</f>
        <v>0</v>
      </c>
      <c r="Q1091" s="47" t="s">
        <v>97</v>
      </c>
      <c r="R1091" s="47">
        <f>HEX2DEC(RIGHT(Table1323214[[#This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7" t="s">
        <v>97</v>
      </c>
      <c r="P1092" s="47">
        <f>HEX2DEC(RIGHT(Table1323214[[#This Row],[h1]],8))</f>
        <v>0</v>
      </c>
      <c r="Q1092" s="47" t="s">
        <v>97</v>
      </c>
      <c r="R1092" s="47">
        <f>HEX2DEC(RIGHT(Table1323214[[#This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7" t="s">
        <v>97</v>
      </c>
      <c r="P1093" s="47">
        <f>HEX2DEC(RIGHT(Table1323214[[#This Row],[h1]],8))</f>
        <v>0</v>
      </c>
      <c r="Q1093" s="47" t="s">
        <v>97</v>
      </c>
      <c r="R1093" s="47">
        <f>HEX2DEC(RIGHT(Table1323214[[#This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7" t="s">
        <v>97</v>
      </c>
      <c r="P1094" s="47">
        <f>HEX2DEC(RIGHT(Table1323214[[#This Row],[h1]],8))</f>
        <v>0</v>
      </c>
      <c r="Q1094" s="47" t="s">
        <v>97</v>
      </c>
      <c r="R1094" s="47">
        <f>HEX2DEC(RIGHT(Table1323214[[#This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7" t="s">
        <v>97</v>
      </c>
      <c r="P1095" s="47">
        <f>HEX2DEC(RIGHT(Table1323214[[#This Row],[h1]],8))</f>
        <v>0</v>
      </c>
      <c r="Q1095" s="47" t="s">
        <v>97</v>
      </c>
      <c r="R1095" s="47">
        <f>HEX2DEC(RIGHT(Table1323214[[#This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7" t="s">
        <v>97</v>
      </c>
      <c r="P1096" s="47">
        <f>HEX2DEC(RIGHT(Table1323214[[#This Row],[h1]],8))</f>
        <v>0</v>
      </c>
      <c r="Q1096" s="47" t="s">
        <v>97</v>
      </c>
      <c r="R1096" s="47">
        <f>HEX2DEC(RIGHT(Table1323214[[#This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7" t="s">
        <v>97</v>
      </c>
      <c r="P1097" s="47">
        <f>HEX2DEC(RIGHT(Table1323214[[#This Row],[h1]],8))</f>
        <v>0</v>
      </c>
      <c r="Q1097" s="47" t="s">
        <v>97</v>
      </c>
      <c r="R1097" s="47">
        <f>HEX2DEC(RIGHT(Table1323214[[#This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7" t="s">
        <v>97</v>
      </c>
      <c r="P1098" s="47">
        <f>HEX2DEC(RIGHT(Table1323214[[#This Row],[h1]],8))</f>
        <v>0</v>
      </c>
      <c r="Q1098" s="47" t="s">
        <v>97</v>
      </c>
      <c r="R1098" s="47">
        <f>HEX2DEC(RIGHT(Table1323214[[#This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7" t="s">
        <v>97</v>
      </c>
      <c r="P1099" s="47">
        <f>HEX2DEC(RIGHT(Table1323214[[#This Row],[h1]],8))</f>
        <v>0</v>
      </c>
      <c r="Q1099" s="47" t="s">
        <v>97</v>
      </c>
      <c r="R1099" s="47">
        <f>HEX2DEC(RIGHT(Table1323214[[#This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7" t="s">
        <v>97</v>
      </c>
      <c r="P1100" s="47">
        <f>HEX2DEC(RIGHT(Table1323214[[#This Row],[h1]],8))</f>
        <v>0</v>
      </c>
      <c r="Q1100" s="47" t="s">
        <v>97</v>
      </c>
      <c r="R1100" s="47">
        <f>HEX2DEC(RIGHT(Table1323214[[#This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7" t="s">
        <v>97</v>
      </c>
      <c r="P1101" s="47">
        <f>HEX2DEC(RIGHT(Table1323214[[#This Row],[h1]],8))</f>
        <v>0</v>
      </c>
      <c r="Q1101" s="47" t="s">
        <v>97</v>
      </c>
      <c r="R1101" s="47">
        <f>HEX2DEC(RIGHT(Table1323214[[#This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7" t="s">
        <v>97</v>
      </c>
      <c r="P1102" s="47">
        <f>HEX2DEC(RIGHT(Table1323214[[#This Row],[h1]],8))</f>
        <v>0</v>
      </c>
      <c r="Q1102" s="47" t="s">
        <v>97</v>
      </c>
      <c r="R1102" s="47">
        <f>HEX2DEC(RIGHT(Table1323214[[#This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7" t="s">
        <v>97</v>
      </c>
      <c r="P1103" s="47">
        <f>HEX2DEC(RIGHT(Table1323214[[#This Row],[h1]],8))</f>
        <v>0</v>
      </c>
      <c r="Q1103" s="47" t="s">
        <v>97</v>
      </c>
      <c r="R1103" s="47">
        <f>HEX2DEC(RIGHT(Table1323214[[#This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7" t="s">
        <v>97</v>
      </c>
      <c r="P1104" s="47">
        <f>HEX2DEC(RIGHT(Table1323214[[#This Row],[h1]],8))</f>
        <v>0</v>
      </c>
      <c r="Q1104" s="47" t="s">
        <v>97</v>
      </c>
      <c r="R1104" s="47">
        <f>HEX2DEC(RIGHT(Table1323214[[#This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7" t="s">
        <v>97</v>
      </c>
      <c r="P1105" s="47">
        <f>HEX2DEC(RIGHT(Table1323214[[#This Row],[h1]],8))</f>
        <v>0</v>
      </c>
      <c r="Q1105" s="47" t="s">
        <v>97</v>
      </c>
      <c r="R1105" s="47">
        <f>HEX2DEC(RIGHT(Table1323214[[#This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7" t="s">
        <v>97</v>
      </c>
      <c r="P1106" s="47">
        <f>HEX2DEC(RIGHT(Table1323214[[#This Row],[h1]],8))</f>
        <v>0</v>
      </c>
      <c r="Q1106" s="47" t="s">
        <v>97</v>
      </c>
      <c r="R1106" s="47">
        <f>HEX2DEC(RIGHT(Table1323214[[#This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7" t="s">
        <v>97</v>
      </c>
      <c r="P1107" s="47">
        <f>HEX2DEC(RIGHT(Table1323214[[#This Row],[h1]],8))</f>
        <v>0</v>
      </c>
      <c r="Q1107" s="47" t="s">
        <v>97</v>
      </c>
      <c r="R1107" s="47">
        <f>HEX2DEC(RIGHT(Table1323214[[#This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7" t="s">
        <v>97</v>
      </c>
      <c r="P1108" s="47">
        <f>HEX2DEC(RIGHT(Table1323214[[#This Row],[h1]],8))</f>
        <v>0</v>
      </c>
      <c r="Q1108" s="47" t="s">
        <v>97</v>
      </c>
      <c r="R1108" s="47">
        <f>HEX2DEC(RIGHT(Table1323214[[#This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7" t="s">
        <v>97</v>
      </c>
      <c r="P1109" s="47">
        <f>HEX2DEC(RIGHT(Table1323214[[#This Row],[h1]],8))</f>
        <v>0</v>
      </c>
      <c r="Q1109" s="47" t="s">
        <v>97</v>
      </c>
      <c r="R1109" s="47">
        <f>HEX2DEC(RIGHT(Table1323214[[#This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7" t="s">
        <v>97</v>
      </c>
      <c r="P1110" s="47">
        <f>HEX2DEC(RIGHT(Table1323214[[#This Row],[h1]],8))</f>
        <v>0</v>
      </c>
      <c r="Q1110" s="47" t="s">
        <v>97</v>
      </c>
      <c r="R1110" s="47">
        <f>HEX2DEC(RIGHT(Table1323214[[#This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7" t="s">
        <v>97</v>
      </c>
      <c r="P1111" s="47">
        <f>HEX2DEC(RIGHT(Table1323214[[#This Row],[h1]],8))</f>
        <v>0</v>
      </c>
      <c r="Q1111" s="47" t="s">
        <v>97</v>
      </c>
      <c r="R1111" s="47">
        <f>HEX2DEC(RIGHT(Table1323214[[#This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7" t="s">
        <v>97</v>
      </c>
      <c r="P1112" s="47">
        <f>HEX2DEC(RIGHT(Table1323214[[#This Row],[h1]],8))</f>
        <v>0</v>
      </c>
      <c r="Q1112" s="47" t="s">
        <v>97</v>
      </c>
      <c r="R1112" s="47">
        <f>HEX2DEC(RIGHT(Table1323214[[#This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7" t="s">
        <v>97</v>
      </c>
      <c r="P1113" s="47">
        <f>HEX2DEC(RIGHT(Table1323214[[#This Row],[h1]],8))</f>
        <v>0</v>
      </c>
      <c r="Q1113" s="47" t="s">
        <v>97</v>
      </c>
      <c r="R1113" s="47">
        <f>HEX2DEC(RIGHT(Table1323214[[#This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7" t="s">
        <v>97</v>
      </c>
      <c r="P1114" s="47">
        <f>HEX2DEC(RIGHT(Table1323214[[#This Row],[h1]],8))</f>
        <v>0</v>
      </c>
      <c r="Q1114" s="47" t="s">
        <v>97</v>
      </c>
      <c r="R1114" s="47">
        <f>HEX2DEC(RIGHT(Table1323214[[#This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7" t="s">
        <v>97</v>
      </c>
      <c r="P1115" s="47">
        <f>HEX2DEC(RIGHT(Table1323214[[#This Row],[h1]],8))</f>
        <v>0</v>
      </c>
      <c r="Q1115" s="47" t="s">
        <v>97</v>
      </c>
      <c r="R1115" s="47">
        <f>HEX2DEC(RIGHT(Table1323214[[#This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7" t="s">
        <v>97</v>
      </c>
      <c r="P1116" s="47">
        <f>HEX2DEC(RIGHT(Table1323214[[#This Row],[h1]],8))</f>
        <v>0</v>
      </c>
      <c r="Q1116" s="47" t="s">
        <v>97</v>
      </c>
      <c r="R1116" s="47">
        <f>HEX2DEC(RIGHT(Table1323214[[#This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7" t="s">
        <v>97</v>
      </c>
      <c r="P1117" s="47">
        <f>HEX2DEC(RIGHT(Table1323214[[#This Row],[h1]],8))</f>
        <v>0</v>
      </c>
      <c r="Q1117" s="47" t="s">
        <v>97</v>
      </c>
      <c r="R1117" s="47">
        <f>HEX2DEC(RIGHT(Table1323214[[#This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7" t="s">
        <v>97</v>
      </c>
      <c r="P1118" s="47">
        <f>HEX2DEC(RIGHT(Table1323214[[#This Row],[h1]],8))</f>
        <v>0</v>
      </c>
      <c r="Q1118" s="47" t="s">
        <v>97</v>
      </c>
      <c r="R1118" s="47">
        <f>HEX2DEC(RIGHT(Table1323214[[#This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7" t="s">
        <v>97</v>
      </c>
      <c r="P1119" s="47">
        <f>HEX2DEC(RIGHT(Table1323214[[#This Row],[h1]],8))</f>
        <v>0</v>
      </c>
      <c r="Q1119" s="47" t="s">
        <v>97</v>
      </c>
      <c r="R1119" s="47">
        <f>HEX2DEC(RIGHT(Table1323214[[#This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7" t="s">
        <v>97</v>
      </c>
      <c r="P1120" s="47">
        <f>HEX2DEC(RIGHT(Table1323214[[#This Row],[h1]],8))</f>
        <v>0</v>
      </c>
      <c r="Q1120" s="47" t="s">
        <v>97</v>
      </c>
      <c r="R1120" s="47">
        <f>HEX2DEC(RIGHT(Table1323214[[#This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7" t="s">
        <v>97</v>
      </c>
      <c r="P1121" s="47">
        <f>HEX2DEC(RIGHT(Table1323214[[#This Row],[h1]],8))</f>
        <v>0</v>
      </c>
      <c r="Q1121" s="47" t="s">
        <v>97</v>
      </c>
      <c r="R1121" s="47">
        <f>HEX2DEC(RIGHT(Table1323214[[#This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7" t="s">
        <v>97</v>
      </c>
      <c r="P1122" s="47">
        <f>HEX2DEC(RIGHT(Table1323214[[#This Row],[h1]],8))</f>
        <v>0</v>
      </c>
      <c r="Q1122" s="47" t="s">
        <v>97</v>
      </c>
      <c r="R1122" s="47">
        <f>HEX2DEC(RIGHT(Table1323214[[#This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7" t="s">
        <v>97</v>
      </c>
      <c r="P1123" s="47">
        <f>HEX2DEC(RIGHT(Table1323214[[#This Row],[h1]],8))</f>
        <v>0</v>
      </c>
      <c r="Q1123" s="47" t="s">
        <v>97</v>
      </c>
      <c r="R1123" s="47">
        <f>HEX2DEC(RIGHT(Table1323214[[#This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7" t="s">
        <v>97</v>
      </c>
      <c r="P1124" s="47">
        <f>HEX2DEC(RIGHT(Table1323214[[#This Row],[h1]],8))</f>
        <v>0</v>
      </c>
      <c r="Q1124" s="47" t="s">
        <v>97</v>
      </c>
      <c r="R1124" s="47">
        <f>HEX2DEC(RIGHT(Table1323214[[#This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7" t="s">
        <v>97</v>
      </c>
      <c r="P1125" s="47">
        <f>HEX2DEC(RIGHT(Table1323214[[#This Row],[h1]],8))</f>
        <v>0</v>
      </c>
      <c r="Q1125" s="47" t="s">
        <v>97</v>
      </c>
      <c r="R1125" s="47">
        <f>HEX2DEC(RIGHT(Table1323214[[#This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7" t="s">
        <v>97</v>
      </c>
      <c r="P1126" s="47">
        <f>HEX2DEC(RIGHT(Table1323214[[#This Row],[h1]],8))</f>
        <v>0</v>
      </c>
      <c r="Q1126" s="47" t="s">
        <v>97</v>
      </c>
      <c r="R1126" s="47">
        <f>HEX2DEC(RIGHT(Table1323214[[#This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7" t="s">
        <v>97</v>
      </c>
      <c r="P1127" s="47">
        <f>HEX2DEC(RIGHT(Table1323214[[#This Row],[h1]],8))</f>
        <v>0</v>
      </c>
      <c r="Q1127" s="47" t="s">
        <v>97</v>
      </c>
      <c r="R1127" s="47">
        <f>HEX2DEC(RIGHT(Table1323214[[#This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7" t="s">
        <v>97</v>
      </c>
      <c r="P1128" s="47">
        <f>HEX2DEC(RIGHT(Table1323214[[#This Row],[h1]],8))</f>
        <v>0</v>
      </c>
      <c r="Q1128" s="47" t="s">
        <v>97</v>
      </c>
      <c r="R1128" s="47">
        <f>HEX2DEC(RIGHT(Table1323214[[#This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7" t="s">
        <v>97</v>
      </c>
      <c r="P1129" s="47">
        <f>HEX2DEC(RIGHT(Table1323214[[#This Row],[h1]],8))</f>
        <v>0</v>
      </c>
      <c r="Q1129" s="47" t="s">
        <v>97</v>
      </c>
      <c r="R1129" s="47">
        <f>HEX2DEC(RIGHT(Table1323214[[#This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7" t="s">
        <v>97</v>
      </c>
      <c r="P1130" s="47">
        <f>HEX2DEC(RIGHT(Table1323214[[#This Row],[h1]],8))</f>
        <v>0</v>
      </c>
      <c r="Q1130" s="47" t="s">
        <v>97</v>
      </c>
      <c r="R1130" s="47">
        <f>HEX2DEC(RIGHT(Table1323214[[#This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7" t="s">
        <v>97</v>
      </c>
      <c r="P1131" s="47">
        <f>HEX2DEC(RIGHT(Table1323214[[#This Row],[h1]],8))</f>
        <v>0</v>
      </c>
      <c r="Q1131" s="47" t="s">
        <v>97</v>
      </c>
      <c r="R1131" s="47">
        <f>HEX2DEC(RIGHT(Table1323214[[#This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7" t="s">
        <v>97</v>
      </c>
      <c r="P1132" s="47">
        <f>HEX2DEC(RIGHT(Table1323214[[#This Row],[h1]],8))</f>
        <v>0</v>
      </c>
      <c r="Q1132" s="47" t="s">
        <v>97</v>
      </c>
      <c r="R1132" s="47">
        <f>HEX2DEC(RIGHT(Table1323214[[#This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7" t="s">
        <v>97</v>
      </c>
      <c r="P1133" s="47">
        <f>HEX2DEC(RIGHT(Table1323214[[#This Row],[h1]],8))</f>
        <v>0</v>
      </c>
      <c r="Q1133" s="47" t="s">
        <v>97</v>
      </c>
      <c r="R1133" s="47">
        <f>HEX2DEC(RIGHT(Table1323214[[#This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7" t="s">
        <v>97</v>
      </c>
      <c r="P1134" s="47">
        <f>HEX2DEC(RIGHT(Table1323214[[#This Row],[h1]],8))</f>
        <v>0</v>
      </c>
      <c r="Q1134" s="47" t="s">
        <v>97</v>
      </c>
      <c r="R1134" s="47">
        <f>HEX2DEC(RIGHT(Table1323214[[#This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7" t="s">
        <v>97</v>
      </c>
      <c r="P1135" s="47">
        <f>HEX2DEC(RIGHT(Table1323214[[#This Row],[h1]],8))</f>
        <v>0</v>
      </c>
      <c r="Q1135" s="47" t="s">
        <v>97</v>
      </c>
      <c r="R1135" s="47">
        <f>HEX2DEC(RIGHT(Table1323214[[#This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7" t="s">
        <v>97</v>
      </c>
      <c r="P1136" s="47">
        <f>HEX2DEC(RIGHT(Table1323214[[#This Row],[h1]],8))</f>
        <v>0</v>
      </c>
      <c r="Q1136" s="47" t="s">
        <v>97</v>
      </c>
      <c r="R1136" s="47">
        <f>HEX2DEC(RIGHT(Table1323214[[#This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7" t="s">
        <v>97</v>
      </c>
      <c r="P1137" s="47">
        <f>HEX2DEC(RIGHT(Table1323214[[#This Row],[h1]],8))</f>
        <v>0</v>
      </c>
      <c r="Q1137" s="47" t="s">
        <v>97</v>
      </c>
      <c r="R1137" s="47">
        <f>HEX2DEC(RIGHT(Table1323214[[#This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7" t="s">
        <v>97</v>
      </c>
      <c r="P1138" s="47">
        <f>HEX2DEC(RIGHT(Table1323214[[#This Row],[h1]],8))</f>
        <v>0</v>
      </c>
      <c r="Q1138" s="47" t="s">
        <v>97</v>
      </c>
      <c r="R1138" s="47">
        <f>HEX2DEC(RIGHT(Table1323214[[#This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7" t="s">
        <v>97</v>
      </c>
      <c r="P1139" s="47">
        <f>HEX2DEC(RIGHT(Table1323214[[#This Row],[h1]],8))</f>
        <v>0</v>
      </c>
      <c r="Q1139" s="47" t="s">
        <v>97</v>
      </c>
      <c r="R1139" s="47">
        <f>HEX2DEC(RIGHT(Table1323214[[#This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7" t="s">
        <v>97</v>
      </c>
      <c r="P1140" s="47">
        <f>HEX2DEC(RIGHT(Table1323214[[#This Row],[h1]],8))</f>
        <v>0</v>
      </c>
      <c r="Q1140" s="47" t="s">
        <v>97</v>
      </c>
      <c r="R1140" s="47">
        <f>HEX2DEC(RIGHT(Table1323214[[#This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7" t="s">
        <v>97</v>
      </c>
      <c r="P1141" s="47">
        <f>HEX2DEC(RIGHT(Table1323214[[#This Row],[h1]],8))</f>
        <v>0</v>
      </c>
      <c r="Q1141" s="47" t="s">
        <v>97</v>
      </c>
      <c r="R1141" s="47">
        <f>HEX2DEC(RIGHT(Table1323214[[#This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7" t="s">
        <v>97</v>
      </c>
      <c r="P1142" s="47">
        <f>HEX2DEC(RIGHT(Table1323214[[#This Row],[h1]],8))</f>
        <v>0</v>
      </c>
      <c r="Q1142" s="47" t="s">
        <v>97</v>
      </c>
      <c r="R1142" s="47">
        <f>HEX2DEC(RIGHT(Table1323214[[#This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7" t="s">
        <v>97</v>
      </c>
      <c r="P1143" s="47">
        <f>HEX2DEC(RIGHT(Table1323214[[#This Row],[h1]],8))</f>
        <v>0</v>
      </c>
      <c r="Q1143" s="47" t="s">
        <v>97</v>
      </c>
      <c r="R1143" s="47">
        <f>HEX2DEC(RIGHT(Table1323214[[#This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7" t="s">
        <v>97</v>
      </c>
      <c r="P1144" s="47">
        <f>HEX2DEC(RIGHT(Table1323214[[#This Row],[h1]],8))</f>
        <v>0</v>
      </c>
      <c r="Q1144" s="47" t="s">
        <v>97</v>
      </c>
      <c r="R1144" s="47">
        <f>HEX2DEC(RIGHT(Table1323214[[#This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7" t="s">
        <v>97</v>
      </c>
      <c r="P1145" s="47">
        <f>HEX2DEC(RIGHT(Table1323214[[#This Row],[h1]],8))</f>
        <v>0</v>
      </c>
      <c r="Q1145" s="47" t="s">
        <v>97</v>
      </c>
      <c r="R1145" s="47">
        <f>HEX2DEC(RIGHT(Table1323214[[#This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7" t="s">
        <v>97</v>
      </c>
      <c r="P1146" s="47">
        <f>HEX2DEC(RIGHT(Table1323214[[#This Row],[h1]],8))</f>
        <v>0</v>
      </c>
      <c r="Q1146" s="47" t="s">
        <v>97</v>
      </c>
      <c r="R1146" s="47">
        <f>HEX2DEC(RIGHT(Table1323214[[#This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7" t="s">
        <v>97</v>
      </c>
      <c r="P1147" s="47">
        <f>HEX2DEC(RIGHT(Table1323214[[#This Row],[h1]],8))</f>
        <v>0</v>
      </c>
      <c r="Q1147" s="47" t="s">
        <v>97</v>
      </c>
      <c r="R1147" s="47">
        <f>HEX2DEC(RIGHT(Table1323214[[#This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7" t="s">
        <v>97</v>
      </c>
      <c r="P1148" s="47">
        <f>HEX2DEC(RIGHT(Table1323214[[#This Row],[h1]],8))</f>
        <v>0</v>
      </c>
      <c r="Q1148" s="47" t="s">
        <v>97</v>
      </c>
      <c r="R1148" s="47">
        <f>HEX2DEC(RIGHT(Table1323214[[#This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7" t="s">
        <v>97</v>
      </c>
      <c r="P1149" s="47">
        <f>HEX2DEC(RIGHT(Table1323214[[#This Row],[h1]],8))</f>
        <v>0</v>
      </c>
      <c r="Q1149" s="47" t="s">
        <v>97</v>
      </c>
      <c r="R1149" s="47">
        <f>HEX2DEC(RIGHT(Table1323214[[#This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7" t="s">
        <v>97</v>
      </c>
      <c r="P1150" s="47">
        <f>HEX2DEC(RIGHT(Table1323214[[#This Row],[h1]],8))</f>
        <v>0</v>
      </c>
      <c r="Q1150" s="47" t="s">
        <v>97</v>
      </c>
      <c r="R1150" s="47">
        <f>HEX2DEC(RIGHT(Table1323214[[#This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7" t="s">
        <v>97</v>
      </c>
      <c r="P1151" s="47">
        <f>HEX2DEC(RIGHT(Table1323214[[#This Row],[h1]],8))</f>
        <v>0</v>
      </c>
      <c r="Q1151" s="47" t="s">
        <v>97</v>
      </c>
      <c r="R1151" s="47">
        <f>HEX2DEC(RIGHT(Table1323214[[#This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7" t="s">
        <v>97</v>
      </c>
      <c r="P1152" s="47">
        <f>HEX2DEC(RIGHT(Table1323214[[#This Row],[h1]],8))</f>
        <v>0</v>
      </c>
      <c r="Q1152" s="47" t="s">
        <v>97</v>
      </c>
      <c r="R1152" s="47">
        <f>HEX2DEC(RIGHT(Table1323214[[#This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7" t="s">
        <v>97</v>
      </c>
      <c r="P1153" s="47">
        <f>HEX2DEC(RIGHT(Table1323214[[#This Row],[h1]],8))</f>
        <v>0</v>
      </c>
      <c r="Q1153" s="47" t="s">
        <v>97</v>
      </c>
      <c r="R1153" s="47">
        <f>HEX2DEC(RIGHT(Table1323214[[#This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7" t="s">
        <v>97</v>
      </c>
      <c r="P1154" s="47">
        <f>HEX2DEC(RIGHT(Table1323214[[#This Row],[h1]],8))</f>
        <v>0</v>
      </c>
      <c r="Q1154" s="47" t="s">
        <v>97</v>
      </c>
      <c r="R1154" s="47">
        <f>HEX2DEC(RIGHT(Table1323214[[#This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7" t="s">
        <v>97</v>
      </c>
      <c r="P1155" s="47">
        <f>HEX2DEC(RIGHT(Table1323214[[#This Row],[h1]],8))</f>
        <v>0</v>
      </c>
      <c r="Q1155" s="47" t="s">
        <v>97</v>
      </c>
      <c r="R1155" s="47">
        <f>HEX2DEC(RIGHT(Table1323214[[#This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7" t="s">
        <v>97</v>
      </c>
      <c r="P1156" s="47">
        <f>HEX2DEC(RIGHT(Table1323214[[#This Row],[h1]],8))</f>
        <v>0</v>
      </c>
      <c r="Q1156" s="47" t="s">
        <v>97</v>
      </c>
      <c r="R1156" s="47">
        <f>HEX2DEC(RIGHT(Table1323214[[#This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7" t="s">
        <v>97</v>
      </c>
      <c r="P1157" s="47">
        <f>HEX2DEC(RIGHT(Table1323214[[#This Row],[h1]],8))</f>
        <v>0</v>
      </c>
      <c r="Q1157" s="47" t="s">
        <v>97</v>
      </c>
      <c r="R1157" s="47">
        <f>HEX2DEC(RIGHT(Table1323214[[#This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7" t="s">
        <v>97</v>
      </c>
      <c r="P1158" s="47">
        <f>HEX2DEC(RIGHT(Table1323214[[#This Row],[h1]],8))</f>
        <v>0</v>
      </c>
      <c r="Q1158" s="47" t="s">
        <v>97</v>
      </c>
      <c r="R1158" s="47">
        <f>HEX2DEC(RIGHT(Table1323214[[#This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7" t="s">
        <v>97</v>
      </c>
      <c r="P1159" s="47">
        <f>HEX2DEC(RIGHT(Table1323214[[#This Row],[h1]],8))</f>
        <v>0</v>
      </c>
      <c r="Q1159" s="47" t="s">
        <v>97</v>
      </c>
      <c r="R1159" s="47">
        <f>HEX2DEC(RIGHT(Table1323214[[#This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7" t="s">
        <v>97</v>
      </c>
      <c r="P1160" s="47">
        <f>HEX2DEC(RIGHT(Table1323214[[#This Row],[h1]],8))</f>
        <v>0</v>
      </c>
      <c r="Q1160" s="47" t="s">
        <v>97</v>
      </c>
      <c r="R1160" s="47">
        <f>HEX2DEC(RIGHT(Table1323214[[#This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7" t="s">
        <v>97</v>
      </c>
      <c r="P1161" s="47">
        <f>HEX2DEC(RIGHT(Table1323214[[#This Row],[h1]],8))</f>
        <v>0</v>
      </c>
      <c r="Q1161" s="47" t="s">
        <v>97</v>
      </c>
      <c r="R1161" s="47">
        <f>HEX2DEC(RIGHT(Table1323214[[#This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7" t="s">
        <v>97</v>
      </c>
      <c r="P1162" s="47">
        <f>HEX2DEC(RIGHT(Table1323214[[#This Row],[h1]],8))</f>
        <v>0</v>
      </c>
      <c r="Q1162" s="47" t="s">
        <v>97</v>
      </c>
      <c r="R1162" s="47">
        <f>HEX2DEC(RIGHT(Table1323214[[#This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7" t="s">
        <v>97</v>
      </c>
      <c r="P1163" s="47">
        <f>HEX2DEC(RIGHT(Table1323214[[#This Row],[h1]],8))</f>
        <v>0</v>
      </c>
      <c r="Q1163" s="47" t="s">
        <v>97</v>
      </c>
      <c r="R1163" s="47">
        <f>HEX2DEC(RIGHT(Table1323214[[#This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7" t="s">
        <v>97</v>
      </c>
      <c r="P1164" s="47">
        <f>HEX2DEC(RIGHT(Table1323214[[#This Row],[h1]],8))</f>
        <v>0</v>
      </c>
      <c r="Q1164" s="47" t="s">
        <v>97</v>
      </c>
      <c r="R1164" s="47">
        <f>HEX2DEC(RIGHT(Table1323214[[#This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7" t="s">
        <v>97</v>
      </c>
      <c r="P1165" s="47">
        <f>HEX2DEC(RIGHT(Table1323214[[#This Row],[h1]],8))</f>
        <v>0</v>
      </c>
      <c r="Q1165" s="47" t="s">
        <v>97</v>
      </c>
      <c r="R1165" s="47">
        <f>HEX2DEC(RIGHT(Table1323214[[#This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7" t="s">
        <v>97</v>
      </c>
      <c r="P1166" s="47">
        <f>HEX2DEC(RIGHT(Table1323214[[#This Row],[h1]],8))</f>
        <v>0</v>
      </c>
      <c r="Q1166" s="47" t="s">
        <v>97</v>
      </c>
      <c r="R1166" s="47">
        <f>HEX2DEC(RIGHT(Table1323214[[#This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7" t="s">
        <v>97</v>
      </c>
      <c r="P1167" s="47">
        <f>HEX2DEC(RIGHT(Table1323214[[#This Row],[h1]],8))</f>
        <v>0</v>
      </c>
      <c r="Q1167" s="47" t="s">
        <v>97</v>
      </c>
      <c r="R1167" s="47">
        <f>HEX2DEC(RIGHT(Table1323214[[#This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7" t="s">
        <v>97</v>
      </c>
      <c r="P1168" s="47">
        <f>HEX2DEC(RIGHT(Table1323214[[#This Row],[h1]],8))</f>
        <v>0</v>
      </c>
      <c r="Q1168" s="47" t="s">
        <v>97</v>
      </c>
      <c r="R1168" s="47">
        <f>HEX2DEC(RIGHT(Table1323214[[#This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7" t="s">
        <v>97</v>
      </c>
      <c r="P1169" s="47">
        <f>HEX2DEC(RIGHT(Table1323214[[#This Row],[h1]],8))</f>
        <v>0</v>
      </c>
      <c r="Q1169" s="47" t="s">
        <v>97</v>
      </c>
      <c r="R1169" s="47">
        <f>HEX2DEC(RIGHT(Table1323214[[#This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7" t="s">
        <v>97</v>
      </c>
      <c r="P1170" s="47">
        <f>HEX2DEC(RIGHT(Table1323214[[#This Row],[h1]],8))</f>
        <v>0</v>
      </c>
      <c r="Q1170" s="47" t="s">
        <v>97</v>
      </c>
      <c r="R1170" s="47">
        <f>HEX2DEC(RIGHT(Table1323214[[#This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7" t="s">
        <v>97</v>
      </c>
      <c r="P1171" s="47">
        <f>HEX2DEC(RIGHT(Table1323214[[#This Row],[h1]],8))</f>
        <v>0</v>
      </c>
      <c r="Q1171" s="47" t="s">
        <v>97</v>
      </c>
      <c r="R1171" s="47">
        <f>HEX2DEC(RIGHT(Table1323214[[#This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7" t="s">
        <v>97</v>
      </c>
      <c r="P1172" s="47">
        <f>HEX2DEC(RIGHT(Table1323214[[#This Row],[h1]],8))</f>
        <v>0</v>
      </c>
      <c r="Q1172" s="47" t="s">
        <v>97</v>
      </c>
      <c r="R1172" s="47">
        <f>HEX2DEC(RIGHT(Table1323214[[#This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7" t="s">
        <v>97</v>
      </c>
      <c r="P1173" s="47">
        <f>HEX2DEC(RIGHT(Table1323214[[#This Row],[h1]],8))</f>
        <v>0</v>
      </c>
      <c r="Q1173" s="47" t="s">
        <v>97</v>
      </c>
      <c r="R1173" s="47">
        <f>HEX2DEC(RIGHT(Table1323214[[#This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7" t="s">
        <v>97</v>
      </c>
      <c r="P1174" s="47">
        <f>HEX2DEC(RIGHT(Table1323214[[#This Row],[h1]],8))</f>
        <v>0</v>
      </c>
      <c r="Q1174" s="47" t="s">
        <v>97</v>
      </c>
      <c r="R1174" s="47">
        <f>HEX2DEC(RIGHT(Table1323214[[#This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7" t="s">
        <v>97</v>
      </c>
      <c r="P1175" s="47">
        <f>HEX2DEC(RIGHT(Table1323214[[#This Row],[h1]],8))</f>
        <v>0</v>
      </c>
      <c r="Q1175" s="47" t="s">
        <v>97</v>
      </c>
      <c r="R1175" s="47">
        <f>HEX2DEC(RIGHT(Table1323214[[#This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7" t="s">
        <v>97</v>
      </c>
      <c r="P1176" s="47">
        <f>HEX2DEC(RIGHT(Table1323214[[#This Row],[h1]],8))</f>
        <v>0</v>
      </c>
      <c r="Q1176" s="47" t="s">
        <v>97</v>
      </c>
      <c r="R1176" s="47">
        <f>HEX2DEC(RIGHT(Table1323214[[#This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7" t="s">
        <v>97</v>
      </c>
      <c r="P1177" s="47">
        <f>HEX2DEC(RIGHT(Table1323214[[#This Row],[h1]],8))</f>
        <v>0</v>
      </c>
      <c r="Q1177" s="47" t="s">
        <v>97</v>
      </c>
      <c r="R1177" s="47">
        <f>HEX2DEC(RIGHT(Table1323214[[#This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7" t="s">
        <v>97</v>
      </c>
      <c r="P1178" s="47">
        <f>HEX2DEC(RIGHT(Table1323214[[#This Row],[h1]],8))</f>
        <v>0</v>
      </c>
      <c r="Q1178" s="47" t="s">
        <v>97</v>
      </c>
      <c r="R1178" s="47">
        <f>HEX2DEC(RIGHT(Table1323214[[#This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7" t="s">
        <v>97</v>
      </c>
      <c r="P1179" s="47">
        <f>HEX2DEC(RIGHT(Table1323214[[#This Row],[h1]],8))</f>
        <v>0</v>
      </c>
      <c r="Q1179" s="47" t="s">
        <v>97</v>
      </c>
      <c r="R1179" s="47">
        <f>HEX2DEC(RIGHT(Table1323214[[#This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7" t="s">
        <v>97</v>
      </c>
      <c r="P1180" s="47">
        <f>HEX2DEC(RIGHT(Table1323214[[#This Row],[h1]],8))</f>
        <v>0</v>
      </c>
      <c r="Q1180" s="47" t="s">
        <v>97</v>
      </c>
      <c r="R1180" s="47">
        <f>HEX2DEC(RIGHT(Table1323214[[#This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7" t="s">
        <v>97</v>
      </c>
      <c r="P1181" s="47">
        <f>HEX2DEC(RIGHT(Table1323214[[#This Row],[h1]],8))</f>
        <v>0</v>
      </c>
      <c r="Q1181" s="47" t="s">
        <v>97</v>
      </c>
      <c r="R1181" s="47">
        <f>HEX2DEC(RIGHT(Table1323214[[#This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7" t="s">
        <v>97</v>
      </c>
      <c r="P1182" s="47">
        <f>HEX2DEC(RIGHT(Table1323214[[#This Row],[h1]],8))</f>
        <v>0</v>
      </c>
      <c r="Q1182" s="47" t="s">
        <v>97</v>
      </c>
      <c r="R1182" s="47">
        <f>HEX2DEC(RIGHT(Table1323214[[#This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7" t="s">
        <v>97</v>
      </c>
      <c r="P1183" s="47">
        <f>HEX2DEC(RIGHT(Table1323214[[#This Row],[h1]],8))</f>
        <v>0</v>
      </c>
      <c r="Q1183" s="47" t="s">
        <v>97</v>
      </c>
      <c r="R1183" s="47">
        <f>HEX2DEC(RIGHT(Table1323214[[#This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7" t="s">
        <v>97</v>
      </c>
      <c r="P1184" s="47">
        <f>HEX2DEC(RIGHT(Table1323214[[#This Row],[h1]],8))</f>
        <v>0</v>
      </c>
      <c r="Q1184" s="47" t="s">
        <v>97</v>
      </c>
      <c r="R1184" s="47">
        <f>HEX2DEC(RIGHT(Table1323214[[#This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7" t="s">
        <v>97</v>
      </c>
      <c r="P1185" s="47">
        <f>HEX2DEC(RIGHT(Table1323214[[#This Row],[h1]],8))</f>
        <v>0</v>
      </c>
      <c r="Q1185" s="47" t="s">
        <v>97</v>
      </c>
      <c r="R1185" s="47">
        <f>HEX2DEC(RIGHT(Table1323214[[#This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7" t="s">
        <v>97</v>
      </c>
      <c r="P1186" s="47">
        <f>HEX2DEC(RIGHT(Table1323214[[#This Row],[h1]],8))</f>
        <v>0</v>
      </c>
      <c r="Q1186" s="47" t="s">
        <v>97</v>
      </c>
      <c r="R1186" s="47">
        <f>HEX2DEC(RIGHT(Table1323214[[#This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7" t="s">
        <v>97</v>
      </c>
      <c r="P1187" s="47">
        <f>HEX2DEC(RIGHT(Table1323214[[#This Row],[h1]],8))</f>
        <v>0</v>
      </c>
      <c r="Q1187" s="47" t="s">
        <v>97</v>
      </c>
      <c r="R1187" s="47">
        <f>HEX2DEC(RIGHT(Table1323214[[#This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7" t="s">
        <v>97</v>
      </c>
      <c r="P1188" s="47">
        <f>HEX2DEC(RIGHT(Table1323214[[#This Row],[h1]],8))</f>
        <v>0</v>
      </c>
      <c r="Q1188" s="47" t="s">
        <v>97</v>
      </c>
      <c r="R1188" s="47">
        <f>HEX2DEC(RIGHT(Table1323214[[#This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7" t="s">
        <v>97</v>
      </c>
      <c r="P1189" s="47">
        <f>HEX2DEC(RIGHT(Table1323214[[#This Row],[h1]],8))</f>
        <v>0</v>
      </c>
      <c r="Q1189" s="47" t="s">
        <v>97</v>
      </c>
      <c r="R1189" s="47">
        <f>HEX2DEC(RIGHT(Table1323214[[#This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7" t="s">
        <v>97</v>
      </c>
      <c r="P1190" s="47">
        <f>HEX2DEC(RIGHT(Table1323214[[#This Row],[h1]],8))</f>
        <v>0</v>
      </c>
      <c r="Q1190" s="47" t="s">
        <v>97</v>
      </c>
      <c r="R1190" s="47">
        <f>HEX2DEC(RIGHT(Table1323214[[#This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7" t="s">
        <v>97</v>
      </c>
      <c r="P1191" s="47">
        <f>HEX2DEC(RIGHT(Table1323214[[#This Row],[h1]],8))</f>
        <v>0</v>
      </c>
      <c r="Q1191" s="47" t="s">
        <v>97</v>
      </c>
      <c r="R1191" s="47">
        <f>HEX2DEC(RIGHT(Table1323214[[#This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7" t="s">
        <v>97</v>
      </c>
      <c r="P1192" s="47">
        <f>HEX2DEC(RIGHT(Table1323214[[#This Row],[h1]],8))</f>
        <v>0</v>
      </c>
      <c r="Q1192" s="47" t="s">
        <v>97</v>
      </c>
      <c r="R1192" s="47">
        <f>HEX2DEC(RIGHT(Table1323214[[#This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7" t="s">
        <v>97</v>
      </c>
      <c r="P1193" s="47">
        <f>HEX2DEC(RIGHT(Table1323214[[#This Row],[h1]],8))</f>
        <v>0</v>
      </c>
      <c r="Q1193" s="47" t="s">
        <v>97</v>
      </c>
      <c r="R1193" s="47">
        <f>HEX2DEC(RIGHT(Table1323214[[#This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7" t="s">
        <v>97</v>
      </c>
      <c r="P1194" s="47">
        <f>HEX2DEC(RIGHT(Table1323214[[#This Row],[h1]],8))</f>
        <v>0</v>
      </c>
      <c r="Q1194" s="47" t="s">
        <v>97</v>
      </c>
      <c r="R1194" s="47">
        <f>HEX2DEC(RIGHT(Table1323214[[#This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7" t="s">
        <v>97</v>
      </c>
      <c r="P1195" s="47">
        <f>HEX2DEC(RIGHT(Table1323214[[#This Row],[h1]],8))</f>
        <v>0</v>
      </c>
      <c r="Q1195" s="47" t="s">
        <v>97</v>
      </c>
      <c r="R1195" s="47">
        <f>HEX2DEC(RIGHT(Table1323214[[#This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7" t="s">
        <v>97</v>
      </c>
      <c r="P1196" s="47">
        <f>HEX2DEC(RIGHT(Table1323214[[#This Row],[h1]],8))</f>
        <v>0</v>
      </c>
      <c r="Q1196" s="47" t="s">
        <v>97</v>
      </c>
      <c r="R1196" s="47">
        <f>HEX2DEC(RIGHT(Table1323214[[#This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7" t="s">
        <v>97</v>
      </c>
      <c r="P1197" s="47">
        <f>HEX2DEC(RIGHT(Table1323214[[#This Row],[h1]],8))</f>
        <v>0</v>
      </c>
      <c r="Q1197" s="47" t="s">
        <v>97</v>
      </c>
      <c r="R1197" s="47">
        <f>HEX2DEC(RIGHT(Table1323214[[#This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7" t="s">
        <v>97</v>
      </c>
      <c r="P1198" s="47">
        <f>HEX2DEC(RIGHT(Table1323214[[#This Row],[h1]],8))</f>
        <v>0</v>
      </c>
      <c r="Q1198" s="47" t="s">
        <v>97</v>
      </c>
      <c r="R1198" s="47">
        <f>HEX2DEC(RIGHT(Table1323214[[#This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7" t="s">
        <v>97</v>
      </c>
      <c r="P1199" s="47">
        <f>HEX2DEC(RIGHT(Table1323214[[#This Row],[h1]],8))</f>
        <v>0</v>
      </c>
      <c r="Q1199" s="47" t="s">
        <v>97</v>
      </c>
      <c r="R1199" s="47">
        <f>HEX2DEC(RIGHT(Table1323214[[#This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7" t="s">
        <v>97</v>
      </c>
      <c r="P1200" s="47">
        <f>HEX2DEC(RIGHT(Table1323214[[#This Row],[h1]],8))</f>
        <v>0</v>
      </c>
      <c r="Q1200" s="47" t="s">
        <v>97</v>
      </c>
      <c r="R1200" s="47">
        <f>HEX2DEC(RIGHT(Table1323214[[#This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7" t="s">
        <v>97</v>
      </c>
      <c r="P1201" s="47">
        <f>HEX2DEC(RIGHT(Table1323214[[#This Row],[h1]],8))</f>
        <v>0</v>
      </c>
      <c r="Q1201" s="47" t="s">
        <v>97</v>
      </c>
      <c r="R1201" s="47">
        <f>HEX2DEC(RIGHT(Table1323214[[#This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7" t="s">
        <v>97</v>
      </c>
      <c r="P1202" s="47">
        <f>HEX2DEC(RIGHT(Table1323214[[#This Row],[h1]],8))</f>
        <v>0</v>
      </c>
      <c r="Q1202" s="47" t="s">
        <v>97</v>
      </c>
      <c r="R1202" s="47">
        <f>HEX2DEC(RIGHT(Table1323214[[#This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7" t="s">
        <v>97</v>
      </c>
      <c r="P1203" s="47">
        <f>HEX2DEC(RIGHT(Table1323214[[#This Row],[h1]],8))</f>
        <v>0</v>
      </c>
      <c r="Q1203" s="47" t="s">
        <v>97</v>
      </c>
      <c r="R1203" s="47">
        <f>HEX2DEC(RIGHT(Table1323214[[#This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7" t="s">
        <v>97</v>
      </c>
      <c r="P1204" s="47">
        <f>HEX2DEC(RIGHT(Table1323214[[#This Row],[h1]],8))</f>
        <v>0</v>
      </c>
      <c r="Q1204" s="47" t="s">
        <v>97</v>
      </c>
      <c r="R1204" s="47">
        <f>HEX2DEC(RIGHT(Table1323214[[#This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7" t="s">
        <v>97</v>
      </c>
      <c r="P1205" s="47">
        <f>HEX2DEC(RIGHT(Table1323214[[#This Row],[h1]],8))</f>
        <v>0</v>
      </c>
      <c r="Q1205" s="47" t="s">
        <v>97</v>
      </c>
      <c r="R1205" s="47">
        <f>HEX2DEC(RIGHT(Table1323214[[#This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7" t="s">
        <v>97</v>
      </c>
      <c r="P1206" s="47">
        <f>HEX2DEC(RIGHT(Table1323214[[#This Row],[h1]],8))</f>
        <v>0</v>
      </c>
      <c r="Q1206" s="47" t="s">
        <v>97</v>
      </c>
      <c r="R1206" s="47">
        <f>HEX2DEC(RIGHT(Table1323214[[#This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7" t="s">
        <v>97</v>
      </c>
      <c r="P1207" s="47">
        <f>HEX2DEC(RIGHT(Table1323214[[#This Row],[h1]],8))</f>
        <v>0</v>
      </c>
      <c r="Q1207" s="47" t="s">
        <v>97</v>
      </c>
      <c r="R1207" s="47">
        <f>HEX2DEC(RIGHT(Table1323214[[#This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7" t="s">
        <v>97</v>
      </c>
      <c r="P1208" s="47">
        <f>HEX2DEC(RIGHT(Table1323214[[#This Row],[h1]],8))</f>
        <v>0</v>
      </c>
      <c r="Q1208" s="47" t="s">
        <v>97</v>
      </c>
      <c r="R1208" s="47">
        <f>HEX2DEC(RIGHT(Table1323214[[#This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7" t="s">
        <v>97</v>
      </c>
      <c r="P1209" s="47">
        <f>HEX2DEC(RIGHT(Table1323214[[#This Row],[h1]],8))</f>
        <v>0</v>
      </c>
      <c r="Q1209" s="47" t="s">
        <v>97</v>
      </c>
      <c r="R1209" s="47">
        <f>HEX2DEC(RIGHT(Table1323214[[#This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7" t="s">
        <v>97</v>
      </c>
      <c r="P1210" s="47">
        <f>HEX2DEC(RIGHT(Table1323214[[#This Row],[h1]],8))</f>
        <v>0</v>
      </c>
      <c r="Q1210" s="47" t="s">
        <v>97</v>
      </c>
      <c r="R1210" s="47">
        <f>HEX2DEC(RIGHT(Table1323214[[#This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7" t="s">
        <v>97</v>
      </c>
      <c r="P1211" s="47">
        <f>HEX2DEC(RIGHT(Table1323214[[#This Row],[h1]],8))</f>
        <v>0</v>
      </c>
      <c r="Q1211" s="47" t="s">
        <v>97</v>
      </c>
      <c r="R1211" s="47">
        <f>HEX2DEC(RIGHT(Table1323214[[#This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7" t="s">
        <v>97</v>
      </c>
      <c r="P1212" s="47">
        <f>HEX2DEC(RIGHT(Table1323214[[#This Row],[h1]],8))</f>
        <v>0</v>
      </c>
      <c r="Q1212" s="47" t="s">
        <v>97</v>
      </c>
      <c r="R1212" s="47">
        <f>HEX2DEC(RIGHT(Table1323214[[#This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7" t="s">
        <v>97</v>
      </c>
      <c r="P1213" s="47">
        <f>HEX2DEC(RIGHT(Table1323214[[#This Row],[h1]],8))</f>
        <v>0</v>
      </c>
      <c r="Q1213" s="47" t="s">
        <v>97</v>
      </c>
      <c r="R1213" s="47">
        <f>HEX2DEC(RIGHT(Table1323214[[#This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7" t="s">
        <v>97</v>
      </c>
      <c r="P1214" s="47">
        <f>HEX2DEC(RIGHT(Table1323214[[#This Row],[h1]],8))</f>
        <v>0</v>
      </c>
      <c r="Q1214" s="47" t="s">
        <v>97</v>
      </c>
      <c r="R1214" s="47">
        <f>HEX2DEC(RIGHT(Table1323214[[#This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7" t="s">
        <v>97</v>
      </c>
      <c r="P1215" s="47">
        <f>HEX2DEC(RIGHT(Table1323214[[#This Row],[h1]],8))</f>
        <v>0</v>
      </c>
      <c r="Q1215" s="47" t="s">
        <v>97</v>
      </c>
      <c r="R1215" s="47">
        <f>HEX2DEC(RIGHT(Table1323214[[#This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7" t="s">
        <v>97</v>
      </c>
      <c r="P1216" s="47">
        <f>HEX2DEC(RIGHT(Table1323214[[#This Row],[h1]],8))</f>
        <v>0</v>
      </c>
      <c r="Q1216" s="47" t="s">
        <v>97</v>
      </c>
      <c r="R1216" s="47">
        <f>HEX2DEC(RIGHT(Table1323214[[#This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7" t="s">
        <v>97</v>
      </c>
      <c r="P1217" s="47">
        <f>HEX2DEC(RIGHT(Table1323214[[#This Row],[h1]],8))</f>
        <v>0</v>
      </c>
      <c r="Q1217" s="47" t="s">
        <v>97</v>
      </c>
      <c r="R1217" s="47">
        <f>HEX2DEC(RIGHT(Table1323214[[#This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7" t="s">
        <v>97</v>
      </c>
      <c r="P1218" s="47">
        <f>HEX2DEC(RIGHT(Table1323214[[#This Row],[h1]],8))</f>
        <v>0</v>
      </c>
      <c r="Q1218" s="47" t="s">
        <v>97</v>
      </c>
      <c r="R1218" s="47">
        <f>HEX2DEC(RIGHT(Table1323214[[#This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7" t="s">
        <v>97</v>
      </c>
      <c r="P1219" s="47">
        <f>HEX2DEC(RIGHT(Table1323214[[#This Row],[h1]],8))</f>
        <v>0</v>
      </c>
      <c r="Q1219" s="47" t="s">
        <v>97</v>
      </c>
      <c r="R1219" s="47">
        <f>HEX2DEC(RIGHT(Table1323214[[#This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7" t="s">
        <v>97</v>
      </c>
      <c r="P1220" s="47">
        <f>HEX2DEC(RIGHT(Table1323214[[#This Row],[h1]],8))</f>
        <v>0</v>
      </c>
      <c r="Q1220" s="47" t="s">
        <v>97</v>
      </c>
      <c r="R1220" s="47">
        <f>HEX2DEC(RIGHT(Table1323214[[#This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7" t="s">
        <v>97</v>
      </c>
      <c r="P1221" s="47">
        <f>HEX2DEC(RIGHT(Table1323214[[#This Row],[h1]],8))</f>
        <v>0</v>
      </c>
      <c r="Q1221" s="47" t="s">
        <v>97</v>
      </c>
      <c r="R1221" s="47">
        <f>HEX2DEC(RIGHT(Table1323214[[#This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7" t="s">
        <v>97</v>
      </c>
      <c r="P1222" s="47">
        <f>HEX2DEC(RIGHT(Table1323214[[#This Row],[h1]],8))</f>
        <v>0</v>
      </c>
      <c r="Q1222" s="47" t="s">
        <v>97</v>
      </c>
      <c r="R1222" s="47">
        <f>HEX2DEC(RIGHT(Table1323214[[#This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7" t="s">
        <v>97</v>
      </c>
      <c r="P1223" s="47">
        <f>HEX2DEC(RIGHT(Table1323214[[#This Row],[h1]],8))</f>
        <v>0</v>
      </c>
      <c r="Q1223" s="47" t="s">
        <v>97</v>
      </c>
      <c r="R1223" s="47">
        <f>HEX2DEC(RIGHT(Table1323214[[#This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7" t="s">
        <v>97</v>
      </c>
      <c r="P1224" s="47">
        <f>HEX2DEC(RIGHT(Table1323214[[#This Row],[h1]],8))</f>
        <v>0</v>
      </c>
      <c r="Q1224" s="47" t="s">
        <v>97</v>
      </c>
      <c r="R1224" s="47">
        <f>HEX2DEC(RIGHT(Table1323214[[#This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7" t="s">
        <v>97</v>
      </c>
      <c r="P1225" s="47">
        <f>HEX2DEC(RIGHT(Table1323214[[#This Row],[h1]],8))</f>
        <v>0</v>
      </c>
      <c r="Q1225" s="47" t="s">
        <v>97</v>
      </c>
      <c r="R1225" s="47">
        <f>HEX2DEC(RIGHT(Table1323214[[#This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7" t="s">
        <v>97</v>
      </c>
      <c r="P1226" s="47">
        <f>HEX2DEC(RIGHT(Table1323214[[#This Row],[h1]],8))</f>
        <v>0</v>
      </c>
      <c r="Q1226" s="47" t="s">
        <v>97</v>
      </c>
      <c r="R1226" s="47">
        <f>HEX2DEC(RIGHT(Table1323214[[#This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7" t="s">
        <v>97</v>
      </c>
      <c r="P1227" s="47">
        <f>HEX2DEC(RIGHT(Table1323214[[#This Row],[h1]],8))</f>
        <v>0</v>
      </c>
      <c r="Q1227" s="47" t="s">
        <v>97</v>
      </c>
      <c r="R1227" s="47">
        <f>HEX2DEC(RIGHT(Table1323214[[#This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7" t="s">
        <v>97</v>
      </c>
      <c r="P1228" s="47">
        <f>HEX2DEC(RIGHT(Table1323214[[#This Row],[h1]],8))</f>
        <v>0</v>
      </c>
      <c r="Q1228" s="47" t="s">
        <v>97</v>
      </c>
      <c r="R1228" s="47">
        <f>HEX2DEC(RIGHT(Table1323214[[#This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7" t="s">
        <v>97</v>
      </c>
      <c r="P1229" s="47">
        <f>HEX2DEC(RIGHT(Table1323214[[#This Row],[h1]],8))</f>
        <v>0</v>
      </c>
      <c r="Q1229" s="47" t="s">
        <v>97</v>
      </c>
      <c r="R1229" s="47">
        <f>HEX2DEC(RIGHT(Table1323214[[#This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7" t="s">
        <v>97</v>
      </c>
      <c r="P1230" s="47">
        <f>HEX2DEC(RIGHT(Table1323214[[#This Row],[h1]],8))</f>
        <v>0</v>
      </c>
      <c r="Q1230" s="47" t="s">
        <v>97</v>
      </c>
      <c r="R1230" s="47">
        <f>HEX2DEC(RIGHT(Table1323214[[#This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7" t="s">
        <v>97</v>
      </c>
      <c r="P1231" s="47">
        <f>HEX2DEC(RIGHT(Table1323214[[#This Row],[h1]],8))</f>
        <v>0</v>
      </c>
      <c r="Q1231" s="47" t="s">
        <v>97</v>
      </c>
      <c r="R1231" s="47">
        <f>HEX2DEC(RIGHT(Table1323214[[#This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7" t="s">
        <v>97</v>
      </c>
      <c r="P1232" s="47">
        <f>HEX2DEC(RIGHT(Table1323214[[#This Row],[h1]],8))</f>
        <v>0</v>
      </c>
      <c r="Q1232" s="47" t="s">
        <v>97</v>
      </c>
      <c r="R1232" s="47">
        <f>HEX2DEC(RIGHT(Table1323214[[#This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7" t="s">
        <v>97</v>
      </c>
      <c r="P1233" s="47">
        <f>HEX2DEC(RIGHT(Table1323214[[#This Row],[h1]],8))</f>
        <v>0</v>
      </c>
      <c r="Q1233" s="47" t="s">
        <v>97</v>
      </c>
      <c r="R1233" s="47">
        <f>HEX2DEC(RIGHT(Table1323214[[#This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7" t="s">
        <v>97</v>
      </c>
      <c r="P1234" s="47">
        <f>HEX2DEC(RIGHT(Table1323214[[#This Row],[h1]],8))</f>
        <v>0</v>
      </c>
      <c r="Q1234" s="47" t="s">
        <v>97</v>
      </c>
      <c r="R1234" s="47">
        <f>HEX2DEC(RIGHT(Table1323214[[#This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7" t="s">
        <v>97</v>
      </c>
      <c r="P1235" s="47">
        <f>HEX2DEC(RIGHT(Table1323214[[#This Row],[h1]],8))</f>
        <v>0</v>
      </c>
      <c r="Q1235" s="47" t="s">
        <v>97</v>
      </c>
      <c r="R1235" s="47">
        <f>HEX2DEC(RIGHT(Table1323214[[#This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7" t="s">
        <v>97</v>
      </c>
      <c r="P1236" s="47">
        <f>HEX2DEC(RIGHT(Table1323214[[#This Row],[h1]],8))</f>
        <v>0</v>
      </c>
      <c r="Q1236" s="47" t="s">
        <v>97</v>
      </c>
      <c r="R1236" s="47">
        <f>HEX2DEC(RIGHT(Table1323214[[#This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7" t="s">
        <v>97</v>
      </c>
      <c r="P1237" s="47">
        <f>HEX2DEC(RIGHT(Table1323214[[#This Row],[h1]],8))</f>
        <v>0</v>
      </c>
      <c r="Q1237" s="47" t="s">
        <v>97</v>
      </c>
      <c r="R1237" s="47">
        <f>HEX2DEC(RIGHT(Table1323214[[#This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7" t="s">
        <v>97</v>
      </c>
      <c r="P1238" s="47">
        <f>HEX2DEC(RIGHT(Table1323214[[#This Row],[h1]],8))</f>
        <v>0</v>
      </c>
      <c r="Q1238" s="47" t="s">
        <v>97</v>
      </c>
      <c r="R1238" s="47">
        <f>HEX2DEC(RIGHT(Table1323214[[#This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7" t="s">
        <v>97</v>
      </c>
      <c r="P1239" s="47">
        <f>HEX2DEC(RIGHT(Table1323214[[#This Row],[h1]],8))</f>
        <v>0</v>
      </c>
      <c r="Q1239" s="47" t="s">
        <v>97</v>
      </c>
      <c r="R1239" s="47">
        <f>HEX2DEC(RIGHT(Table1323214[[#This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7" t="s">
        <v>97</v>
      </c>
      <c r="P1240" s="47">
        <f>HEX2DEC(RIGHT(Table1323214[[#This Row],[h1]],8))</f>
        <v>0</v>
      </c>
      <c r="Q1240" s="47" t="s">
        <v>97</v>
      </c>
      <c r="R1240" s="47">
        <f>HEX2DEC(RIGHT(Table1323214[[#This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7" t="s">
        <v>97</v>
      </c>
      <c r="P1241" s="47">
        <f>HEX2DEC(RIGHT(Table1323214[[#This Row],[h1]],8))</f>
        <v>0</v>
      </c>
      <c r="Q1241" s="47" t="s">
        <v>97</v>
      </c>
      <c r="R1241" s="47">
        <f>HEX2DEC(RIGHT(Table1323214[[#This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7" t="s">
        <v>97</v>
      </c>
      <c r="P1242" s="47">
        <f>HEX2DEC(RIGHT(Table1323214[[#This Row],[h1]],8))</f>
        <v>0</v>
      </c>
      <c r="Q1242" s="47" t="s">
        <v>97</v>
      </c>
      <c r="R1242" s="47">
        <f>HEX2DEC(RIGHT(Table1323214[[#This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7" t="s">
        <v>97</v>
      </c>
      <c r="P1243" s="47">
        <f>HEX2DEC(RIGHT(Table1323214[[#This Row],[h1]],8))</f>
        <v>0</v>
      </c>
      <c r="Q1243" s="47" t="s">
        <v>97</v>
      </c>
      <c r="R1243" s="47">
        <f>HEX2DEC(RIGHT(Table1323214[[#This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7" t="s">
        <v>97</v>
      </c>
      <c r="P1244" s="47">
        <f>HEX2DEC(RIGHT(Table1323214[[#This Row],[h1]],8))</f>
        <v>0</v>
      </c>
      <c r="Q1244" s="47" t="s">
        <v>97</v>
      </c>
      <c r="R1244" s="47">
        <f>HEX2DEC(RIGHT(Table1323214[[#This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7" t="s">
        <v>97</v>
      </c>
      <c r="P1245" s="47">
        <f>HEX2DEC(RIGHT(Table1323214[[#This Row],[h1]],8))</f>
        <v>0</v>
      </c>
      <c r="Q1245" s="47" t="s">
        <v>97</v>
      </c>
      <c r="R1245" s="47">
        <f>HEX2DEC(RIGHT(Table1323214[[#This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7" t="s">
        <v>97</v>
      </c>
      <c r="P1246" s="47">
        <f>HEX2DEC(RIGHT(Table1323214[[#This Row],[h1]],8))</f>
        <v>0</v>
      </c>
      <c r="Q1246" s="47" t="s">
        <v>97</v>
      </c>
      <c r="R1246" s="47">
        <f>HEX2DEC(RIGHT(Table1323214[[#This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7" t="s">
        <v>97</v>
      </c>
      <c r="P1247" s="47">
        <f>HEX2DEC(RIGHT(Table1323214[[#This Row],[h1]],8))</f>
        <v>0</v>
      </c>
      <c r="Q1247" s="47" t="s">
        <v>97</v>
      </c>
      <c r="R1247" s="47">
        <f>HEX2DEC(RIGHT(Table1323214[[#This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7" t="s">
        <v>97</v>
      </c>
      <c r="P1248" s="47">
        <f>HEX2DEC(RIGHT(Table1323214[[#This Row],[h1]],8))</f>
        <v>0</v>
      </c>
      <c r="Q1248" s="47" t="s">
        <v>97</v>
      </c>
      <c r="R1248" s="47">
        <f>HEX2DEC(RIGHT(Table1323214[[#This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7" t="s">
        <v>97</v>
      </c>
      <c r="P1249" s="47">
        <f>HEX2DEC(RIGHT(Table1323214[[#This Row],[h1]],8))</f>
        <v>0</v>
      </c>
      <c r="Q1249" s="47" t="s">
        <v>97</v>
      </c>
      <c r="R1249" s="47">
        <f>HEX2DEC(RIGHT(Table1323214[[#This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7" t="s">
        <v>97</v>
      </c>
      <c r="P1250" s="47">
        <f>HEX2DEC(RIGHT(Table1323214[[#This Row],[h1]],8))</f>
        <v>0</v>
      </c>
      <c r="Q1250" s="47" t="s">
        <v>97</v>
      </c>
      <c r="R1250" s="47">
        <f>HEX2DEC(RIGHT(Table1323214[[#This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7" t="s">
        <v>97</v>
      </c>
      <c r="P1251" s="47">
        <f>HEX2DEC(RIGHT(Table1323214[[#This Row],[h1]],8))</f>
        <v>0</v>
      </c>
      <c r="Q1251" s="47" t="s">
        <v>97</v>
      </c>
      <c r="R1251" s="47">
        <f>HEX2DEC(RIGHT(Table1323214[[#This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7" t="s">
        <v>97</v>
      </c>
      <c r="P1252" s="47">
        <f>HEX2DEC(RIGHT(Table1323214[[#This Row],[h1]],8))</f>
        <v>0</v>
      </c>
      <c r="Q1252" s="47" t="s">
        <v>97</v>
      </c>
      <c r="R1252" s="47">
        <f>HEX2DEC(RIGHT(Table1323214[[#This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7" t="s">
        <v>97</v>
      </c>
      <c r="P1253" s="47">
        <f>HEX2DEC(RIGHT(Table1323214[[#This Row],[h1]],8))</f>
        <v>0</v>
      </c>
      <c r="Q1253" s="47" t="s">
        <v>97</v>
      </c>
      <c r="R1253" s="47">
        <f>HEX2DEC(RIGHT(Table1323214[[#This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7" t="s">
        <v>97</v>
      </c>
      <c r="P1254" s="47">
        <f>HEX2DEC(RIGHT(Table1323214[[#This Row],[h1]],8))</f>
        <v>0</v>
      </c>
      <c r="Q1254" s="47" t="s">
        <v>97</v>
      </c>
      <c r="R1254" s="47">
        <f>HEX2DEC(RIGHT(Table1323214[[#This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7" t="s">
        <v>97</v>
      </c>
      <c r="P1255" s="47">
        <f>HEX2DEC(RIGHT(Table1323214[[#This Row],[h1]],8))</f>
        <v>0</v>
      </c>
      <c r="Q1255" s="47" t="s">
        <v>97</v>
      </c>
      <c r="R1255" s="47">
        <f>HEX2DEC(RIGHT(Table1323214[[#This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7" t="s">
        <v>97</v>
      </c>
      <c r="P1256" s="47">
        <f>HEX2DEC(RIGHT(Table1323214[[#This Row],[h1]],8))</f>
        <v>0</v>
      </c>
      <c r="Q1256" s="47" t="s">
        <v>97</v>
      </c>
      <c r="R1256" s="47">
        <f>HEX2DEC(RIGHT(Table1323214[[#This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7" t="s">
        <v>97</v>
      </c>
      <c r="P1257" s="47">
        <f>HEX2DEC(RIGHT(Table1323214[[#This Row],[h1]],8))</f>
        <v>0</v>
      </c>
      <c r="Q1257" s="47" t="s">
        <v>97</v>
      </c>
      <c r="R1257" s="47">
        <f>HEX2DEC(RIGHT(Table1323214[[#This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7" t="s">
        <v>97</v>
      </c>
      <c r="P1258" s="47">
        <f>HEX2DEC(RIGHT(Table1323214[[#This Row],[h1]],8))</f>
        <v>0</v>
      </c>
      <c r="Q1258" s="47" t="s">
        <v>97</v>
      </c>
      <c r="R1258" s="47">
        <f>HEX2DEC(RIGHT(Table1323214[[#This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7" t="s">
        <v>97</v>
      </c>
      <c r="P1259" s="47">
        <f>HEX2DEC(RIGHT(Table1323214[[#This Row],[h1]],8))</f>
        <v>0</v>
      </c>
      <c r="Q1259" s="47" t="s">
        <v>97</v>
      </c>
      <c r="R1259" s="47">
        <f>HEX2DEC(RIGHT(Table1323214[[#This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7" t="s">
        <v>97</v>
      </c>
      <c r="P1260" s="47">
        <f>HEX2DEC(RIGHT(Table1323214[[#This Row],[h1]],8))</f>
        <v>0</v>
      </c>
      <c r="Q1260" s="47" t="s">
        <v>97</v>
      </c>
      <c r="R1260" s="47">
        <f>HEX2DEC(RIGHT(Table1323214[[#This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7" t="s">
        <v>97</v>
      </c>
      <c r="P1261" s="47">
        <f>HEX2DEC(RIGHT(Table1323214[[#This Row],[h1]],8))</f>
        <v>0</v>
      </c>
      <c r="Q1261" s="47" t="s">
        <v>97</v>
      </c>
      <c r="R1261" s="47">
        <f>HEX2DEC(RIGHT(Table1323214[[#This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7" t="s">
        <v>97</v>
      </c>
      <c r="P1262" s="47">
        <f>HEX2DEC(RIGHT(Table1323214[[#This Row],[h1]],8))</f>
        <v>0</v>
      </c>
      <c r="Q1262" s="47" t="s">
        <v>97</v>
      </c>
      <c r="R1262" s="47">
        <f>HEX2DEC(RIGHT(Table1323214[[#This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7" t="s">
        <v>97</v>
      </c>
      <c r="P1263" s="47">
        <f>HEX2DEC(RIGHT(Table1323214[[#This Row],[h1]],8))</f>
        <v>0</v>
      </c>
      <c r="Q1263" s="47" t="s">
        <v>97</v>
      </c>
      <c r="R1263" s="47">
        <f>HEX2DEC(RIGHT(Table1323214[[#This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7" t="s">
        <v>97</v>
      </c>
      <c r="P1264" s="47">
        <f>HEX2DEC(RIGHT(Table1323214[[#This Row],[h1]],8))</f>
        <v>0</v>
      </c>
      <c r="Q1264" s="47" t="s">
        <v>97</v>
      </c>
      <c r="R1264" s="47">
        <f>HEX2DEC(RIGHT(Table1323214[[#This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7" t="s">
        <v>97</v>
      </c>
      <c r="P1265" s="47">
        <f>HEX2DEC(RIGHT(Table1323214[[#This Row],[h1]],8))</f>
        <v>0</v>
      </c>
      <c r="Q1265" s="47" t="s">
        <v>97</v>
      </c>
      <c r="R1265" s="47">
        <f>HEX2DEC(RIGHT(Table1323214[[#This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7" t="s">
        <v>97</v>
      </c>
      <c r="P1266" s="47">
        <f>HEX2DEC(RIGHT(Table1323214[[#This Row],[h1]],8))</f>
        <v>0</v>
      </c>
      <c r="Q1266" s="47" t="s">
        <v>97</v>
      </c>
      <c r="R1266" s="47">
        <f>HEX2DEC(RIGHT(Table1323214[[#This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7" t="s">
        <v>97</v>
      </c>
      <c r="P1267" s="47">
        <f>HEX2DEC(RIGHT(Table1323214[[#This Row],[h1]],8))</f>
        <v>0</v>
      </c>
      <c r="Q1267" s="47" t="s">
        <v>97</v>
      </c>
      <c r="R1267" s="47">
        <f>HEX2DEC(RIGHT(Table1323214[[#This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7" t="s">
        <v>97</v>
      </c>
      <c r="P1268" s="47">
        <f>HEX2DEC(RIGHT(Table1323214[[#This Row],[h1]],8))</f>
        <v>0</v>
      </c>
      <c r="Q1268" s="47" t="s">
        <v>97</v>
      </c>
      <c r="R1268" s="47">
        <f>HEX2DEC(RIGHT(Table1323214[[#This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7" t="s">
        <v>97</v>
      </c>
      <c r="P1269" s="47">
        <f>HEX2DEC(RIGHT(Table1323214[[#This Row],[h1]],8))</f>
        <v>0</v>
      </c>
      <c r="Q1269" s="47" t="s">
        <v>97</v>
      </c>
      <c r="R1269" s="47">
        <f>HEX2DEC(RIGHT(Table1323214[[#This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7" t="s">
        <v>97</v>
      </c>
      <c r="P1270" s="47">
        <f>HEX2DEC(RIGHT(Table1323214[[#This Row],[h1]],8))</f>
        <v>0</v>
      </c>
      <c r="Q1270" s="47" t="s">
        <v>97</v>
      </c>
      <c r="R1270" s="47">
        <f>HEX2DEC(RIGHT(Table1323214[[#This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7" t="s">
        <v>97</v>
      </c>
      <c r="P1271" s="47">
        <f>HEX2DEC(RIGHT(Table1323214[[#This Row],[h1]],8))</f>
        <v>0</v>
      </c>
      <c r="Q1271" s="47" t="s">
        <v>97</v>
      </c>
      <c r="R1271" s="47">
        <f>HEX2DEC(RIGHT(Table1323214[[#This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7" t="s">
        <v>97</v>
      </c>
      <c r="P1272" s="47">
        <f>HEX2DEC(RIGHT(Table1323214[[#This Row],[h1]],8))</f>
        <v>0</v>
      </c>
      <c r="Q1272" s="47" t="s">
        <v>97</v>
      </c>
      <c r="R1272" s="47">
        <f>HEX2DEC(RIGHT(Table1323214[[#This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7" t="s">
        <v>97</v>
      </c>
      <c r="P1273" s="47">
        <f>HEX2DEC(RIGHT(Table1323214[[#This Row],[h1]],8))</f>
        <v>0</v>
      </c>
      <c r="Q1273" s="47" t="s">
        <v>97</v>
      </c>
      <c r="R1273" s="47">
        <f>HEX2DEC(RIGHT(Table1323214[[#This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7" t="s">
        <v>97</v>
      </c>
      <c r="P1274" s="47">
        <f>HEX2DEC(RIGHT(Table1323214[[#This Row],[h1]],8))</f>
        <v>0</v>
      </c>
      <c r="Q1274" s="47" t="s">
        <v>97</v>
      </c>
      <c r="R1274" s="47">
        <f>HEX2DEC(RIGHT(Table1323214[[#This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7" t="s">
        <v>97</v>
      </c>
      <c r="P1275" s="47">
        <f>HEX2DEC(RIGHT(Table1323214[[#This Row],[h1]],8))</f>
        <v>0</v>
      </c>
      <c r="Q1275" s="47" t="s">
        <v>97</v>
      </c>
      <c r="R1275" s="47">
        <f>HEX2DEC(RIGHT(Table1323214[[#This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7" t="s">
        <v>97</v>
      </c>
      <c r="P1276" s="47">
        <f>HEX2DEC(RIGHT(Table1323214[[#This Row],[h1]],8))</f>
        <v>0</v>
      </c>
      <c r="Q1276" s="47" t="s">
        <v>97</v>
      </c>
      <c r="R1276" s="47">
        <f>HEX2DEC(RIGHT(Table1323214[[#This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7" t="s">
        <v>97</v>
      </c>
      <c r="P1277" s="47">
        <f>HEX2DEC(RIGHT(Table1323214[[#This Row],[h1]],8))</f>
        <v>0</v>
      </c>
      <c r="Q1277" s="47" t="s">
        <v>97</v>
      </c>
      <c r="R1277" s="47">
        <f>HEX2DEC(RIGHT(Table1323214[[#This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7" t="s">
        <v>97</v>
      </c>
      <c r="P1278" s="47">
        <f>HEX2DEC(RIGHT(Table1323214[[#This Row],[h1]],8))</f>
        <v>0</v>
      </c>
      <c r="Q1278" s="47" t="s">
        <v>97</v>
      </c>
      <c r="R1278" s="47">
        <f>HEX2DEC(RIGHT(Table1323214[[#This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7" t="s">
        <v>97</v>
      </c>
      <c r="P1279" s="47">
        <f>HEX2DEC(RIGHT(Table1323214[[#This Row],[h1]],8))</f>
        <v>0</v>
      </c>
      <c r="Q1279" s="47" t="s">
        <v>97</v>
      </c>
      <c r="R1279" s="47">
        <f>HEX2DEC(RIGHT(Table1323214[[#This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7" t="s">
        <v>97</v>
      </c>
      <c r="P1280" s="47">
        <f>HEX2DEC(RIGHT(Table1323214[[#This Row],[h1]],8))</f>
        <v>0</v>
      </c>
      <c r="Q1280" s="47" t="s">
        <v>97</v>
      </c>
      <c r="R1280" s="47">
        <f>HEX2DEC(RIGHT(Table1323214[[#This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7" t="s">
        <v>97</v>
      </c>
      <c r="P1281" s="47">
        <f>HEX2DEC(RIGHT(Table1323214[[#This Row],[h1]],8))</f>
        <v>0</v>
      </c>
      <c r="Q1281" s="47" t="s">
        <v>97</v>
      </c>
      <c r="R1281" s="47">
        <f>HEX2DEC(RIGHT(Table1323214[[#This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7" t="s">
        <v>97</v>
      </c>
      <c r="P1282" s="47">
        <f>HEX2DEC(RIGHT(Table1323214[[#This Row],[h1]],8))</f>
        <v>0</v>
      </c>
      <c r="Q1282" s="47" t="s">
        <v>97</v>
      </c>
      <c r="R1282" s="47">
        <f>HEX2DEC(RIGHT(Table1323214[[#This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7" t="s">
        <v>97</v>
      </c>
      <c r="P1283" s="47">
        <f>HEX2DEC(RIGHT(Table1323214[[#This Row],[h1]],8))</f>
        <v>0</v>
      </c>
      <c r="Q1283" s="47" t="s">
        <v>97</v>
      </c>
      <c r="R1283" s="47">
        <f>HEX2DEC(RIGHT(Table1323214[[#This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7" t="s">
        <v>97</v>
      </c>
      <c r="P1284" s="47">
        <f>HEX2DEC(RIGHT(Table1323214[[#This Row],[h1]],8))</f>
        <v>0</v>
      </c>
      <c r="Q1284" s="47" t="s">
        <v>97</v>
      </c>
      <c r="R1284" s="47">
        <f>HEX2DEC(RIGHT(Table1323214[[#This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7" t="s">
        <v>97</v>
      </c>
      <c r="P1285" s="47">
        <f>HEX2DEC(RIGHT(Table1323214[[#This Row],[h1]],8))</f>
        <v>0</v>
      </c>
      <c r="Q1285" s="47" t="s">
        <v>97</v>
      </c>
      <c r="R1285" s="47">
        <f>HEX2DEC(RIGHT(Table1323214[[#This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7" t="s">
        <v>97</v>
      </c>
      <c r="P1286" s="47">
        <f>HEX2DEC(RIGHT(Table1323214[[#This Row],[h1]],8))</f>
        <v>0</v>
      </c>
      <c r="Q1286" s="47" t="s">
        <v>97</v>
      </c>
      <c r="R1286" s="47">
        <f>HEX2DEC(RIGHT(Table1323214[[#This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7" t="s">
        <v>97</v>
      </c>
      <c r="P1287" s="47">
        <f>HEX2DEC(RIGHT(Table1323214[[#This Row],[h1]],8))</f>
        <v>0</v>
      </c>
      <c r="Q1287" s="47" t="s">
        <v>97</v>
      </c>
      <c r="R1287" s="47">
        <f>HEX2DEC(RIGHT(Table1323214[[#This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7" t="s">
        <v>97</v>
      </c>
      <c r="P1288" s="47">
        <f>HEX2DEC(RIGHT(Table1323214[[#This Row],[h1]],8))</f>
        <v>0</v>
      </c>
      <c r="Q1288" s="47" t="s">
        <v>97</v>
      </c>
      <c r="R1288" s="47">
        <f>HEX2DEC(RIGHT(Table1323214[[#This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7" t="s">
        <v>97</v>
      </c>
      <c r="P1289" s="47">
        <f>HEX2DEC(RIGHT(Table1323214[[#This Row],[h1]],8))</f>
        <v>0</v>
      </c>
      <c r="Q1289" s="47" t="s">
        <v>97</v>
      </c>
      <c r="R1289" s="47">
        <f>HEX2DEC(RIGHT(Table1323214[[#This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7" t="s">
        <v>97</v>
      </c>
      <c r="P1290" s="47">
        <f>HEX2DEC(RIGHT(Table1323214[[#This Row],[h1]],8))</f>
        <v>0</v>
      </c>
      <c r="Q1290" s="47" t="s">
        <v>97</v>
      </c>
      <c r="R1290" s="47">
        <f>HEX2DEC(RIGHT(Table1323214[[#This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7" t="s">
        <v>97</v>
      </c>
      <c r="P1291" s="47">
        <f>HEX2DEC(RIGHT(Table1323214[[#This Row],[h1]],8))</f>
        <v>0</v>
      </c>
      <c r="Q1291" s="47" t="s">
        <v>97</v>
      </c>
      <c r="R1291" s="47">
        <f>HEX2DEC(RIGHT(Table1323214[[#This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7" t="s">
        <v>97</v>
      </c>
      <c r="P1292" s="47">
        <f>HEX2DEC(RIGHT(Table1323214[[#This Row],[h1]],8))</f>
        <v>0</v>
      </c>
      <c r="Q1292" s="47" t="s">
        <v>97</v>
      </c>
      <c r="R1292" s="47">
        <f>HEX2DEC(RIGHT(Table1323214[[#This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7" t="s">
        <v>97</v>
      </c>
      <c r="P1293" s="47">
        <f>HEX2DEC(RIGHT(Table1323214[[#This Row],[h1]],8))</f>
        <v>0</v>
      </c>
      <c r="Q1293" s="47" t="s">
        <v>97</v>
      </c>
      <c r="R1293" s="47">
        <f>HEX2DEC(RIGHT(Table1323214[[#This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7" t="s">
        <v>97</v>
      </c>
      <c r="P1294" s="47">
        <f>HEX2DEC(RIGHT(Table1323214[[#This Row],[h1]],8))</f>
        <v>0</v>
      </c>
      <c r="Q1294" s="47" t="s">
        <v>97</v>
      </c>
      <c r="R1294" s="47">
        <f>HEX2DEC(RIGHT(Table1323214[[#This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7" t="s">
        <v>97</v>
      </c>
      <c r="P1295" s="47">
        <f>HEX2DEC(RIGHT(Table1323214[[#This Row],[h1]],8))</f>
        <v>0</v>
      </c>
      <c r="Q1295" s="47" t="s">
        <v>97</v>
      </c>
      <c r="R1295" s="47">
        <f>HEX2DEC(RIGHT(Table1323214[[#This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7" t="s">
        <v>97</v>
      </c>
      <c r="P1296" s="47">
        <f>HEX2DEC(RIGHT(Table1323214[[#This Row],[h1]],8))</f>
        <v>0</v>
      </c>
      <c r="Q1296" s="47" t="s">
        <v>97</v>
      </c>
      <c r="R1296" s="47">
        <f>HEX2DEC(RIGHT(Table1323214[[#This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7" t="s">
        <v>97</v>
      </c>
      <c r="P1297" s="47">
        <f>HEX2DEC(RIGHT(Table1323214[[#This Row],[h1]],8))</f>
        <v>0</v>
      </c>
      <c r="Q1297" s="47" t="s">
        <v>97</v>
      </c>
      <c r="R1297" s="47">
        <f>HEX2DEC(RIGHT(Table1323214[[#This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7" t="s">
        <v>97</v>
      </c>
      <c r="P1298" s="47">
        <f>HEX2DEC(RIGHT(Table1323214[[#This Row],[h1]],8))</f>
        <v>0</v>
      </c>
      <c r="Q1298" s="47" t="s">
        <v>97</v>
      </c>
      <c r="R1298" s="47">
        <f>HEX2DEC(RIGHT(Table1323214[[#This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7" t="s">
        <v>97</v>
      </c>
      <c r="P1299" s="47">
        <f>HEX2DEC(RIGHT(Table1323214[[#This Row],[h1]],8))</f>
        <v>0</v>
      </c>
      <c r="Q1299" s="47" t="s">
        <v>97</v>
      </c>
      <c r="R1299" s="47">
        <f>HEX2DEC(RIGHT(Table1323214[[#This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7" t="s">
        <v>97</v>
      </c>
      <c r="P1300" s="47">
        <f>HEX2DEC(RIGHT(Table1323214[[#This Row],[h1]],8))</f>
        <v>0</v>
      </c>
      <c r="Q1300" s="47" t="s">
        <v>97</v>
      </c>
      <c r="R1300" s="47">
        <f>HEX2DEC(RIGHT(Table1323214[[#This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7" t="s">
        <v>97</v>
      </c>
      <c r="P1301" s="47">
        <f>HEX2DEC(RIGHT(Table1323214[[#This Row],[h1]],8))</f>
        <v>0</v>
      </c>
      <c r="Q1301" s="47" t="s">
        <v>97</v>
      </c>
      <c r="R1301" s="47">
        <f>HEX2DEC(RIGHT(Table1323214[[#This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7" t="s">
        <v>97</v>
      </c>
      <c r="P1302" s="47">
        <f>HEX2DEC(RIGHT(Table1323214[[#This Row],[h1]],8))</f>
        <v>0</v>
      </c>
      <c r="Q1302" s="47" t="s">
        <v>97</v>
      </c>
      <c r="R1302" s="47">
        <f>HEX2DEC(RIGHT(Table1323214[[#This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7" t="s">
        <v>97</v>
      </c>
      <c r="P1303" s="47">
        <f>HEX2DEC(RIGHT(Table1323214[[#This Row],[h1]],8))</f>
        <v>0</v>
      </c>
      <c r="Q1303" s="47" t="s">
        <v>97</v>
      </c>
      <c r="R1303" s="47">
        <f>HEX2DEC(RIGHT(Table1323214[[#This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7" t="s">
        <v>97</v>
      </c>
      <c r="P1304" s="47">
        <f>HEX2DEC(RIGHT(Table1323214[[#This Row],[h1]],8))</f>
        <v>0</v>
      </c>
      <c r="Q1304" s="47" t="s">
        <v>97</v>
      </c>
      <c r="R1304" s="47">
        <f>HEX2DEC(RIGHT(Table1323214[[#This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7" t="s">
        <v>97</v>
      </c>
      <c r="P1305" s="47">
        <f>HEX2DEC(RIGHT(Table1323214[[#This Row],[h1]],8))</f>
        <v>0</v>
      </c>
      <c r="Q1305" s="47" t="s">
        <v>97</v>
      </c>
      <c r="R1305" s="47">
        <f>HEX2DEC(RIGHT(Table1323214[[#This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7" t="s">
        <v>97</v>
      </c>
      <c r="P1306" s="47">
        <f>HEX2DEC(RIGHT(Table1323214[[#This Row],[h1]],8))</f>
        <v>0</v>
      </c>
      <c r="Q1306" s="47" t="s">
        <v>97</v>
      </c>
      <c r="R1306" s="47">
        <f>HEX2DEC(RIGHT(Table1323214[[#This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7" t="s">
        <v>97</v>
      </c>
      <c r="P1307" s="47">
        <f>HEX2DEC(RIGHT(Table1323214[[#This Row],[h1]],8))</f>
        <v>0</v>
      </c>
      <c r="Q1307" s="47" t="s">
        <v>97</v>
      </c>
      <c r="R1307" s="47">
        <f>HEX2DEC(RIGHT(Table1323214[[#This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7" t="s">
        <v>97</v>
      </c>
      <c r="P1308" s="47">
        <f>HEX2DEC(RIGHT(Table1323214[[#This Row],[h1]],8))</f>
        <v>0</v>
      </c>
      <c r="Q1308" s="47" t="s">
        <v>97</v>
      </c>
      <c r="R1308" s="47">
        <f>HEX2DEC(RIGHT(Table1323214[[#This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7" t="s">
        <v>97</v>
      </c>
      <c r="P1309" s="47">
        <f>HEX2DEC(RIGHT(Table1323214[[#This Row],[h1]],8))</f>
        <v>0</v>
      </c>
      <c r="Q1309" s="47" t="s">
        <v>97</v>
      </c>
      <c r="R1309" s="47">
        <f>HEX2DEC(RIGHT(Table1323214[[#This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7" t="s">
        <v>97</v>
      </c>
      <c r="P1310" s="47">
        <f>HEX2DEC(RIGHT(Table1323214[[#This Row],[h1]],8))</f>
        <v>0</v>
      </c>
      <c r="Q1310" s="47" t="s">
        <v>97</v>
      </c>
      <c r="R1310" s="47">
        <f>HEX2DEC(RIGHT(Table1323214[[#This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7" t="s">
        <v>97</v>
      </c>
      <c r="P1311" s="47">
        <f>HEX2DEC(RIGHT(Table1323214[[#This Row],[h1]],8))</f>
        <v>0</v>
      </c>
      <c r="Q1311" s="47" t="s">
        <v>97</v>
      </c>
      <c r="R1311" s="47">
        <f>HEX2DEC(RIGHT(Table1323214[[#This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7" t="s">
        <v>97</v>
      </c>
      <c r="P1312" s="47">
        <f>HEX2DEC(RIGHT(Table1323214[[#This Row],[h1]],8))</f>
        <v>0</v>
      </c>
      <c r="Q1312" s="47" t="s">
        <v>97</v>
      </c>
      <c r="R1312" s="47">
        <f>HEX2DEC(RIGHT(Table1323214[[#This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7" t="s">
        <v>97</v>
      </c>
      <c r="P1313" s="47">
        <f>HEX2DEC(RIGHT(Table1323214[[#This Row],[h1]],8))</f>
        <v>0</v>
      </c>
      <c r="Q1313" s="47" t="s">
        <v>97</v>
      </c>
      <c r="R1313" s="47">
        <f>HEX2DEC(RIGHT(Table1323214[[#This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7" t="s">
        <v>97</v>
      </c>
      <c r="P1314" s="47">
        <f>HEX2DEC(RIGHT(Table1323214[[#This Row],[h1]],8))</f>
        <v>0</v>
      </c>
      <c r="Q1314" s="47" t="s">
        <v>97</v>
      </c>
      <c r="R1314" s="47">
        <f>HEX2DEC(RIGHT(Table1323214[[#This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7" t="s">
        <v>97</v>
      </c>
      <c r="P1315" s="47">
        <f>HEX2DEC(RIGHT(Table1323214[[#This Row],[h1]],8))</f>
        <v>0</v>
      </c>
      <c r="Q1315" s="47" t="s">
        <v>97</v>
      </c>
      <c r="R1315" s="47">
        <f>HEX2DEC(RIGHT(Table1323214[[#This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7" t="s">
        <v>97</v>
      </c>
      <c r="P1316" s="47">
        <f>HEX2DEC(RIGHT(Table1323214[[#This Row],[h1]],8))</f>
        <v>0</v>
      </c>
      <c r="Q1316" s="47" t="s">
        <v>97</v>
      </c>
      <c r="R1316" s="47">
        <f>HEX2DEC(RIGHT(Table1323214[[#This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7" t="s">
        <v>97</v>
      </c>
      <c r="P1317" s="47">
        <f>HEX2DEC(RIGHT(Table1323214[[#This Row],[h1]],8))</f>
        <v>0</v>
      </c>
      <c r="Q1317" s="47" t="s">
        <v>97</v>
      </c>
      <c r="R1317" s="47">
        <f>HEX2DEC(RIGHT(Table1323214[[#This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7" t="s">
        <v>97</v>
      </c>
      <c r="P1318" s="47">
        <f>HEX2DEC(RIGHT(Table1323214[[#This Row],[h1]],8))</f>
        <v>0</v>
      </c>
      <c r="Q1318" s="47" t="s">
        <v>97</v>
      </c>
      <c r="R1318" s="47">
        <f>HEX2DEC(RIGHT(Table1323214[[#This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7" t="s">
        <v>97</v>
      </c>
      <c r="P1319" s="47">
        <f>HEX2DEC(RIGHT(Table1323214[[#This Row],[h1]],8))</f>
        <v>0</v>
      </c>
      <c r="Q1319" s="47" t="s">
        <v>97</v>
      </c>
      <c r="R1319" s="47">
        <f>HEX2DEC(RIGHT(Table1323214[[#This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7" t="s">
        <v>97</v>
      </c>
      <c r="P1320" s="47">
        <f>HEX2DEC(RIGHT(Table1323214[[#This Row],[h1]],8))</f>
        <v>0</v>
      </c>
      <c r="Q1320" s="47" t="s">
        <v>97</v>
      </c>
      <c r="R1320" s="47">
        <f>HEX2DEC(RIGHT(Table1323214[[#This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7" t="s">
        <v>97</v>
      </c>
      <c r="P1321" s="47">
        <f>HEX2DEC(RIGHT(Table1323214[[#This Row],[h1]],8))</f>
        <v>0</v>
      </c>
      <c r="Q1321" s="47" t="s">
        <v>97</v>
      </c>
      <c r="R1321" s="47">
        <f>HEX2DEC(RIGHT(Table1323214[[#This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7" t="s">
        <v>97</v>
      </c>
      <c r="P1322" s="47">
        <f>HEX2DEC(RIGHT(Table1323214[[#This Row],[h1]],8))</f>
        <v>0</v>
      </c>
      <c r="Q1322" s="47" t="s">
        <v>97</v>
      </c>
      <c r="R1322" s="47">
        <f>HEX2DEC(RIGHT(Table1323214[[#This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7" t="s">
        <v>97</v>
      </c>
      <c r="P1323" s="47">
        <f>HEX2DEC(RIGHT(Table1323214[[#This Row],[h1]],8))</f>
        <v>0</v>
      </c>
      <c r="Q1323" s="47" t="s">
        <v>97</v>
      </c>
      <c r="R1323" s="47">
        <f>HEX2DEC(RIGHT(Table1323214[[#This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7" t="s">
        <v>97</v>
      </c>
      <c r="P1324" s="47">
        <f>HEX2DEC(RIGHT(Table1323214[[#This Row],[h1]],8))</f>
        <v>0</v>
      </c>
      <c r="Q1324" s="47" t="s">
        <v>97</v>
      </c>
      <c r="R1324" s="47">
        <f>HEX2DEC(RIGHT(Table1323214[[#This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7" t="s">
        <v>97</v>
      </c>
      <c r="P1325" s="47">
        <f>HEX2DEC(RIGHT(Table1323214[[#This Row],[h1]],8))</f>
        <v>0</v>
      </c>
      <c r="Q1325" s="47" t="s">
        <v>97</v>
      </c>
      <c r="R1325" s="47">
        <f>HEX2DEC(RIGHT(Table1323214[[#This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7" t="s">
        <v>97</v>
      </c>
      <c r="P1326" s="47">
        <f>HEX2DEC(RIGHT(Table1323214[[#This Row],[h1]],8))</f>
        <v>0</v>
      </c>
      <c r="Q1326" s="47" t="s">
        <v>97</v>
      </c>
      <c r="R1326" s="47">
        <f>HEX2DEC(RIGHT(Table1323214[[#This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7" t="s">
        <v>97</v>
      </c>
      <c r="P1327" s="47">
        <f>HEX2DEC(RIGHT(Table1323214[[#This Row],[h1]],8))</f>
        <v>0</v>
      </c>
      <c r="Q1327" s="47" t="s">
        <v>97</v>
      </c>
      <c r="R1327" s="47">
        <f>HEX2DEC(RIGHT(Table1323214[[#This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7" t="s">
        <v>97</v>
      </c>
      <c r="P1328" s="47">
        <f>HEX2DEC(RIGHT(Table1323214[[#This Row],[h1]],8))</f>
        <v>0</v>
      </c>
      <c r="Q1328" s="47" t="s">
        <v>97</v>
      </c>
      <c r="R1328" s="47">
        <f>HEX2DEC(RIGHT(Table1323214[[#This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7" t="s">
        <v>97</v>
      </c>
      <c r="P1329" s="47">
        <f>HEX2DEC(RIGHT(Table1323214[[#This Row],[h1]],8))</f>
        <v>0</v>
      </c>
      <c r="Q1329" s="47" t="s">
        <v>97</v>
      </c>
      <c r="R1329" s="47">
        <f>HEX2DEC(RIGHT(Table1323214[[#This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7" t="s">
        <v>97</v>
      </c>
      <c r="P1330" s="47">
        <f>HEX2DEC(RIGHT(Table1323214[[#This Row],[h1]],8))</f>
        <v>0</v>
      </c>
      <c r="Q1330" s="47" t="s">
        <v>97</v>
      </c>
      <c r="R1330" s="47">
        <f>HEX2DEC(RIGHT(Table1323214[[#This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7" t="s">
        <v>97</v>
      </c>
      <c r="P1331" s="47">
        <f>HEX2DEC(RIGHT(Table1323214[[#This Row],[h1]],8))</f>
        <v>0</v>
      </c>
      <c r="Q1331" s="47" t="s">
        <v>97</v>
      </c>
      <c r="R1331" s="47">
        <f>HEX2DEC(RIGHT(Table1323214[[#This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7" t="s">
        <v>97</v>
      </c>
      <c r="P1332" s="47">
        <f>HEX2DEC(RIGHT(Table1323214[[#This Row],[h1]],8))</f>
        <v>0</v>
      </c>
      <c r="Q1332" s="47" t="s">
        <v>97</v>
      </c>
      <c r="R1332" s="47">
        <f>HEX2DEC(RIGHT(Table1323214[[#This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7" t="s">
        <v>97</v>
      </c>
      <c r="P1333" s="47">
        <f>HEX2DEC(RIGHT(Table1323214[[#This Row],[h1]],8))</f>
        <v>0</v>
      </c>
      <c r="Q1333" s="47" t="s">
        <v>97</v>
      </c>
      <c r="R1333" s="47">
        <f>HEX2DEC(RIGHT(Table1323214[[#This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7" t="s">
        <v>97</v>
      </c>
      <c r="P1334" s="47">
        <f>HEX2DEC(RIGHT(Table1323214[[#This Row],[h1]],8))</f>
        <v>0</v>
      </c>
      <c r="Q1334" s="47" t="s">
        <v>97</v>
      </c>
      <c r="R1334" s="47">
        <f>HEX2DEC(RIGHT(Table1323214[[#This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7" t="s">
        <v>97</v>
      </c>
      <c r="P1335" s="47">
        <f>HEX2DEC(RIGHT(Table1323214[[#This Row],[h1]],8))</f>
        <v>0</v>
      </c>
      <c r="Q1335" s="47" t="s">
        <v>97</v>
      </c>
      <c r="R1335" s="47">
        <f>HEX2DEC(RIGHT(Table1323214[[#This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7" t="s">
        <v>97</v>
      </c>
      <c r="P1336" s="47">
        <f>HEX2DEC(RIGHT(Table1323214[[#This Row],[h1]],8))</f>
        <v>0</v>
      </c>
      <c r="Q1336" s="47" t="s">
        <v>97</v>
      </c>
      <c r="R1336" s="47">
        <f>HEX2DEC(RIGHT(Table1323214[[#This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7" t="s">
        <v>97</v>
      </c>
      <c r="P1337" s="47">
        <f>HEX2DEC(RIGHT(Table1323214[[#This Row],[h1]],8))</f>
        <v>0</v>
      </c>
      <c r="Q1337" s="47" t="s">
        <v>97</v>
      </c>
      <c r="R1337" s="47">
        <f>HEX2DEC(RIGHT(Table1323214[[#This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7" t="s">
        <v>97</v>
      </c>
      <c r="P1338" s="47">
        <f>HEX2DEC(RIGHT(Table1323214[[#This Row],[h1]],8))</f>
        <v>0</v>
      </c>
      <c r="Q1338" s="47" t="s">
        <v>97</v>
      </c>
      <c r="R1338" s="47">
        <f>HEX2DEC(RIGHT(Table1323214[[#This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7" t="s">
        <v>97</v>
      </c>
      <c r="P1339" s="47">
        <f>HEX2DEC(RIGHT(Table1323214[[#This Row],[h1]],8))</f>
        <v>0</v>
      </c>
      <c r="Q1339" s="47" t="s">
        <v>97</v>
      </c>
      <c r="R1339" s="47">
        <f>HEX2DEC(RIGHT(Table1323214[[#This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7" t="s">
        <v>97</v>
      </c>
      <c r="P1340" s="47">
        <f>HEX2DEC(RIGHT(Table1323214[[#This Row],[h1]],8))</f>
        <v>0</v>
      </c>
      <c r="Q1340" s="47" t="s">
        <v>97</v>
      </c>
      <c r="R1340" s="47">
        <f>HEX2DEC(RIGHT(Table1323214[[#This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7" t="s">
        <v>97</v>
      </c>
      <c r="P1341" s="47">
        <f>HEX2DEC(RIGHT(Table1323214[[#This Row],[h1]],8))</f>
        <v>0</v>
      </c>
      <c r="Q1341" s="47" t="s">
        <v>97</v>
      </c>
      <c r="R1341" s="47">
        <f>HEX2DEC(RIGHT(Table1323214[[#This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7" t="s">
        <v>97</v>
      </c>
      <c r="P1342" s="47">
        <f>HEX2DEC(RIGHT(Table1323214[[#This Row],[h1]],8))</f>
        <v>0</v>
      </c>
      <c r="Q1342" s="47" t="s">
        <v>97</v>
      </c>
      <c r="R1342" s="47">
        <f>HEX2DEC(RIGHT(Table1323214[[#This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7" t="s">
        <v>97</v>
      </c>
      <c r="P1343" s="47">
        <f>HEX2DEC(RIGHT(Table1323214[[#This Row],[h1]],8))</f>
        <v>0</v>
      </c>
      <c r="Q1343" s="47" t="s">
        <v>97</v>
      </c>
      <c r="R1343" s="47">
        <f>HEX2DEC(RIGHT(Table1323214[[#This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7" t="s">
        <v>97</v>
      </c>
      <c r="P1344" s="47">
        <f>HEX2DEC(RIGHT(Table1323214[[#This Row],[h1]],8))</f>
        <v>0</v>
      </c>
      <c r="Q1344" s="47" t="s">
        <v>97</v>
      </c>
      <c r="R1344" s="47">
        <f>HEX2DEC(RIGHT(Table1323214[[#This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7" t="s">
        <v>97</v>
      </c>
      <c r="P1345" s="47">
        <f>HEX2DEC(RIGHT(Table1323214[[#This Row],[h1]],8))</f>
        <v>0</v>
      </c>
      <c r="Q1345" s="47" t="s">
        <v>97</v>
      </c>
      <c r="R1345" s="47">
        <f>HEX2DEC(RIGHT(Table1323214[[#This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7" t="s">
        <v>97</v>
      </c>
      <c r="P1346" s="47">
        <f>HEX2DEC(RIGHT(Table1323214[[#This Row],[h1]],8))</f>
        <v>0</v>
      </c>
      <c r="Q1346" s="47" t="s">
        <v>97</v>
      </c>
      <c r="R1346" s="47">
        <f>HEX2DEC(RIGHT(Table1323214[[#This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7" t="s">
        <v>97</v>
      </c>
      <c r="P1347" s="47">
        <f>HEX2DEC(RIGHT(Table1323214[[#This Row],[h1]],8))</f>
        <v>0</v>
      </c>
      <c r="Q1347" s="47" t="s">
        <v>97</v>
      </c>
      <c r="R1347" s="47">
        <f>HEX2DEC(RIGHT(Table1323214[[#This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7" t="s">
        <v>97</v>
      </c>
      <c r="P1348" s="47">
        <f>HEX2DEC(RIGHT(Table1323214[[#This Row],[h1]],8))</f>
        <v>0</v>
      </c>
      <c r="Q1348" s="47" t="s">
        <v>97</v>
      </c>
      <c r="R1348" s="47">
        <f>HEX2DEC(RIGHT(Table1323214[[#This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7" t="s">
        <v>97</v>
      </c>
      <c r="P1349" s="47">
        <f>HEX2DEC(RIGHT(Table1323214[[#This Row],[h1]],8))</f>
        <v>0</v>
      </c>
      <c r="Q1349" s="47" t="s">
        <v>97</v>
      </c>
      <c r="R1349" s="47">
        <f>HEX2DEC(RIGHT(Table1323214[[#This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7" t="s">
        <v>97</v>
      </c>
      <c r="P1350" s="47">
        <f>HEX2DEC(RIGHT(Table1323214[[#This Row],[h1]],8))</f>
        <v>0</v>
      </c>
      <c r="Q1350" s="47" t="s">
        <v>97</v>
      </c>
      <c r="R1350" s="47">
        <f>HEX2DEC(RIGHT(Table1323214[[#This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7" t="s">
        <v>97</v>
      </c>
      <c r="P1351" s="47">
        <f>HEX2DEC(RIGHT(Table1323214[[#This Row],[h1]],8))</f>
        <v>0</v>
      </c>
      <c r="Q1351" s="47" t="s">
        <v>97</v>
      </c>
      <c r="R1351" s="47">
        <f>HEX2DEC(RIGHT(Table1323214[[#This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7" t="s">
        <v>97</v>
      </c>
      <c r="P1352" s="47">
        <f>HEX2DEC(RIGHT(Table1323214[[#This Row],[h1]],8))</f>
        <v>0</v>
      </c>
      <c r="Q1352" s="47" t="s">
        <v>97</v>
      </c>
      <c r="R1352" s="47">
        <f>HEX2DEC(RIGHT(Table1323214[[#This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7" t="s">
        <v>97</v>
      </c>
      <c r="P1353" s="47">
        <f>HEX2DEC(RIGHT(Table1323214[[#This Row],[h1]],8))</f>
        <v>0</v>
      </c>
      <c r="Q1353" s="47" t="s">
        <v>97</v>
      </c>
      <c r="R1353" s="47">
        <f>HEX2DEC(RIGHT(Table1323214[[#This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7" t="s">
        <v>97</v>
      </c>
      <c r="P1354" s="47">
        <f>HEX2DEC(RIGHT(Table1323214[[#This Row],[h1]],8))</f>
        <v>0</v>
      </c>
      <c r="Q1354" s="47" t="s">
        <v>97</v>
      </c>
      <c r="R1354" s="47">
        <f>HEX2DEC(RIGHT(Table1323214[[#This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7" t="s">
        <v>97</v>
      </c>
      <c r="P1355" s="47">
        <f>HEX2DEC(RIGHT(Table1323214[[#This Row],[h1]],8))</f>
        <v>0</v>
      </c>
      <c r="Q1355" s="47" t="s">
        <v>97</v>
      </c>
      <c r="R1355" s="47">
        <f>HEX2DEC(RIGHT(Table1323214[[#This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7" t="s">
        <v>97</v>
      </c>
      <c r="P1356" s="47">
        <f>HEX2DEC(RIGHT(Table1323214[[#This Row],[h1]],8))</f>
        <v>0</v>
      </c>
      <c r="Q1356" s="47" t="s">
        <v>97</v>
      </c>
      <c r="R1356" s="47">
        <f>HEX2DEC(RIGHT(Table1323214[[#This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7" t="s">
        <v>97</v>
      </c>
      <c r="P1357" s="47">
        <f>HEX2DEC(RIGHT(Table1323214[[#This Row],[h1]],8))</f>
        <v>0</v>
      </c>
      <c r="Q1357" s="47" t="s">
        <v>97</v>
      </c>
      <c r="R1357" s="47">
        <f>HEX2DEC(RIGHT(Table1323214[[#This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7" t="s">
        <v>97</v>
      </c>
      <c r="P1358" s="47">
        <f>HEX2DEC(RIGHT(Table1323214[[#This Row],[h1]],8))</f>
        <v>0</v>
      </c>
      <c r="Q1358" s="47" t="s">
        <v>97</v>
      </c>
      <c r="R1358" s="47">
        <f>HEX2DEC(RIGHT(Table1323214[[#This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7" t="s">
        <v>97</v>
      </c>
      <c r="P1359" s="47">
        <f>HEX2DEC(RIGHT(Table1323214[[#This Row],[h1]],8))</f>
        <v>0</v>
      </c>
      <c r="Q1359" s="47" t="s">
        <v>97</v>
      </c>
      <c r="R1359" s="47">
        <f>HEX2DEC(RIGHT(Table1323214[[#This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7" t="s">
        <v>97</v>
      </c>
      <c r="P1360" s="47">
        <f>HEX2DEC(RIGHT(Table1323214[[#This Row],[h1]],8))</f>
        <v>0</v>
      </c>
      <c r="Q1360" s="47" t="s">
        <v>97</v>
      </c>
      <c r="R1360" s="47">
        <f>HEX2DEC(RIGHT(Table1323214[[#This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7" t="s">
        <v>97</v>
      </c>
      <c r="P1361" s="47">
        <f>HEX2DEC(RIGHT(Table1323214[[#This Row],[h1]],8))</f>
        <v>0</v>
      </c>
      <c r="Q1361" s="47" t="s">
        <v>97</v>
      </c>
      <c r="R1361" s="47">
        <f>HEX2DEC(RIGHT(Table1323214[[#This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7" t="s">
        <v>97</v>
      </c>
      <c r="P1362" s="47">
        <f>HEX2DEC(RIGHT(Table1323214[[#This Row],[h1]],8))</f>
        <v>0</v>
      </c>
      <c r="Q1362" s="47" t="s">
        <v>97</v>
      </c>
      <c r="R1362" s="47">
        <f>HEX2DEC(RIGHT(Table1323214[[#This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7" t="s">
        <v>97</v>
      </c>
      <c r="P1363" s="47">
        <f>HEX2DEC(RIGHT(Table1323214[[#This Row],[h1]],8))</f>
        <v>0</v>
      </c>
      <c r="Q1363" s="47" t="s">
        <v>97</v>
      </c>
      <c r="R1363" s="47">
        <f>HEX2DEC(RIGHT(Table1323214[[#This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7" t="s">
        <v>97</v>
      </c>
      <c r="P1364" s="47">
        <f>HEX2DEC(RIGHT(Table1323214[[#This Row],[h1]],8))</f>
        <v>0</v>
      </c>
      <c r="Q1364" s="47" t="s">
        <v>97</v>
      </c>
      <c r="R1364" s="47">
        <f>HEX2DEC(RIGHT(Table1323214[[#This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7" t="s">
        <v>97</v>
      </c>
      <c r="P1365" s="47">
        <f>HEX2DEC(RIGHT(Table1323214[[#This Row],[h1]],8))</f>
        <v>0</v>
      </c>
      <c r="Q1365" s="47" t="s">
        <v>97</v>
      </c>
      <c r="R1365" s="47">
        <f>HEX2DEC(RIGHT(Table1323214[[#This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7" t="s">
        <v>97</v>
      </c>
      <c r="P1366" s="47">
        <f>HEX2DEC(RIGHT(Table1323214[[#This Row],[h1]],8))</f>
        <v>0</v>
      </c>
      <c r="Q1366" s="47" t="s">
        <v>97</v>
      </c>
      <c r="R1366" s="47">
        <f>HEX2DEC(RIGHT(Table1323214[[#This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7" t="s">
        <v>97</v>
      </c>
      <c r="P1367" s="47">
        <f>HEX2DEC(RIGHT(Table1323214[[#This Row],[h1]],8))</f>
        <v>0</v>
      </c>
      <c r="Q1367" s="47" t="s">
        <v>97</v>
      </c>
      <c r="R1367" s="47">
        <f>HEX2DEC(RIGHT(Table1323214[[#This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7" t="s">
        <v>97</v>
      </c>
      <c r="P1368" s="47">
        <f>HEX2DEC(RIGHT(Table1323214[[#This Row],[h1]],8))</f>
        <v>0</v>
      </c>
      <c r="Q1368" s="47" t="s">
        <v>97</v>
      </c>
      <c r="R1368" s="47">
        <f>HEX2DEC(RIGHT(Table1323214[[#This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7" t="s">
        <v>97</v>
      </c>
      <c r="P1369" s="47">
        <f>HEX2DEC(RIGHT(Table1323214[[#This Row],[h1]],8))</f>
        <v>0</v>
      </c>
      <c r="Q1369" s="47" t="s">
        <v>97</v>
      </c>
      <c r="R1369" s="47">
        <f>HEX2DEC(RIGHT(Table1323214[[#This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7" t="s">
        <v>97</v>
      </c>
      <c r="P1370" s="47">
        <f>HEX2DEC(RIGHT(Table1323214[[#This Row],[h1]],8))</f>
        <v>0</v>
      </c>
      <c r="Q1370" s="47" t="s">
        <v>97</v>
      </c>
      <c r="R1370" s="47">
        <f>HEX2DEC(RIGHT(Table1323214[[#This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7" t="s">
        <v>97</v>
      </c>
      <c r="P1371" s="47">
        <f>HEX2DEC(RIGHT(Table1323214[[#This Row],[h1]],8))</f>
        <v>0</v>
      </c>
      <c r="Q1371" s="47" t="s">
        <v>97</v>
      </c>
      <c r="R1371" s="47">
        <f>HEX2DEC(RIGHT(Table1323214[[#This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7" t="s">
        <v>97</v>
      </c>
      <c r="P1372" s="47">
        <f>HEX2DEC(RIGHT(Table1323214[[#This Row],[h1]],8))</f>
        <v>0</v>
      </c>
      <c r="Q1372" s="47" t="s">
        <v>97</v>
      </c>
      <c r="R1372" s="47">
        <f>HEX2DEC(RIGHT(Table1323214[[#This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7" t="s">
        <v>97</v>
      </c>
      <c r="P1373" s="47">
        <f>HEX2DEC(RIGHT(Table1323214[[#This Row],[h1]],8))</f>
        <v>0</v>
      </c>
      <c r="Q1373" s="47" t="s">
        <v>97</v>
      </c>
      <c r="R1373" s="47">
        <f>HEX2DEC(RIGHT(Table1323214[[#This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7" t="s">
        <v>97</v>
      </c>
      <c r="P1374" s="47">
        <f>HEX2DEC(RIGHT(Table1323214[[#This Row],[h1]],8))</f>
        <v>0</v>
      </c>
      <c r="Q1374" s="47" t="s">
        <v>97</v>
      </c>
      <c r="R1374" s="47">
        <f>HEX2DEC(RIGHT(Table1323214[[#This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7" t="s">
        <v>97</v>
      </c>
      <c r="P1375" s="47">
        <f>HEX2DEC(RIGHT(Table1323214[[#This Row],[h1]],8))</f>
        <v>0</v>
      </c>
      <c r="Q1375" s="47" t="s">
        <v>97</v>
      </c>
      <c r="R1375" s="47">
        <f>HEX2DEC(RIGHT(Table1323214[[#This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7" t="s">
        <v>97</v>
      </c>
      <c r="P1376" s="47">
        <f>HEX2DEC(RIGHT(Table1323214[[#This Row],[h1]],8))</f>
        <v>0</v>
      </c>
      <c r="Q1376" s="47" t="s">
        <v>97</v>
      </c>
      <c r="R1376" s="47">
        <f>HEX2DEC(RIGHT(Table1323214[[#This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7" t="s">
        <v>97</v>
      </c>
      <c r="P1377" s="47">
        <f>HEX2DEC(RIGHT(Table1323214[[#This Row],[h1]],8))</f>
        <v>0</v>
      </c>
      <c r="Q1377" s="47" t="s">
        <v>97</v>
      </c>
      <c r="R1377" s="47">
        <f>HEX2DEC(RIGHT(Table1323214[[#This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7" t="s">
        <v>97</v>
      </c>
      <c r="P1378" s="47">
        <f>HEX2DEC(RIGHT(Table1323214[[#This Row],[h1]],8))</f>
        <v>0</v>
      </c>
      <c r="Q1378" s="47" t="s">
        <v>97</v>
      </c>
      <c r="R1378" s="47">
        <f>HEX2DEC(RIGHT(Table1323214[[#This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7" t="s">
        <v>97</v>
      </c>
      <c r="P1379" s="47">
        <f>HEX2DEC(RIGHT(Table1323214[[#This Row],[h1]],8))</f>
        <v>0</v>
      </c>
      <c r="Q1379" s="47" t="s">
        <v>97</v>
      </c>
      <c r="R1379" s="47">
        <f>HEX2DEC(RIGHT(Table1323214[[#This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7" t="s">
        <v>97</v>
      </c>
      <c r="P1380" s="47">
        <f>HEX2DEC(RIGHT(Table1323214[[#This Row],[h1]],8))</f>
        <v>0</v>
      </c>
      <c r="Q1380" s="47" t="s">
        <v>97</v>
      </c>
      <c r="R1380" s="47">
        <f>HEX2DEC(RIGHT(Table1323214[[#This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7" t="s">
        <v>97</v>
      </c>
      <c r="P1381" s="47">
        <f>HEX2DEC(RIGHT(Table1323214[[#This Row],[h1]],8))</f>
        <v>0</v>
      </c>
      <c r="Q1381" s="47" t="s">
        <v>97</v>
      </c>
      <c r="R1381" s="47">
        <f>HEX2DEC(RIGHT(Table1323214[[#This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7" t="s">
        <v>97</v>
      </c>
      <c r="P1382" s="47">
        <f>HEX2DEC(RIGHT(Table1323214[[#This Row],[h1]],8))</f>
        <v>0</v>
      </c>
      <c r="Q1382" s="47" t="s">
        <v>97</v>
      </c>
      <c r="R1382" s="47">
        <f>HEX2DEC(RIGHT(Table1323214[[#This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7" t="s">
        <v>97</v>
      </c>
      <c r="P1383" s="47">
        <f>HEX2DEC(RIGHT(Table1323214[[#This Row],[h1]],8))</f>
        <v>0</v>
      </c>
      <c r="Q1383" s="47" t="s">
        <v>97</v>
      </c>
      <c r="R1383" s="47">
        <f>HEX2DEC(RIGHT(Table1323214[[#This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7" t="s">
        <v>97</v>
      </c>
      <c r="P1384" s="47">
        <f>HEX2DEC(RIGHT(Table1323214[[#This Row],[h1]],8))</f>
        <v>0</v>
      </c>
      <c r="Q1384" s="47" t="s">
        <v>97</v>
      </c>
      <c r="R1384" s="47">
        <f>HEX2DEC(RIGHT(Table1323214[[#This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7" t="s">
        <v>97</v>
      </c>
      <c r="P1385" s="47">
        <f>HEX2DEC(RIGHT(Table1323214[[#This Row],[h1]],8))</f>
        <v>0</v>
      </c>
      <c r="Q1385" s="47" t="s">
        <v>97</v>
      </c>
      <c r="R1385" s="47">
        <f>HEX2DEC(RIGHT(Table1323214[[#This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7" t="s">
        <v>97</v>
      </c>
      <c r="P1386" s="47">
        <f>HEX2DEC(RIGHT(Table1323214[[#This Row],[h1]],8))</f>
        <v>0</v>
      </c>
      <c r="Q1386" s="47" t="s">
        <v>97</v>
      </c>
      <c r="R1386" s="47">
        <f>HEX2DEC(RIGHT(Table1323214[[#This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7" t="s">
        <v>97</v>
      </c>
      <c r="P1387" s="47">
        <f>HEX2DEC(RIGHT(Table1323214[[#This Row],[h1]],8))</f>
        <v>0</v>
      </c>
      <c r="Q1387" s="47" t="s">
        <v>97</v>
      </c>
      <c r="R1387" s="47">
        <f>HEX2DEC(RIGHT(Table1323214[[#This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7" t="s">
        <v>97</v>
      </c>
      <c r="P1388" s="47">
        <f>HEX2DEC(RIGHT(Table1323214[[#This Row],[h1]],8))</f>
        <v>0</v>
      </c>
      <c r="Q1388" s="47" t="s">
        <v>97</v>
      </c>
      <c r="R1388" s="47">
        <f>HEX2DEC(RIGHT(Table1323214[[#This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7" t="s">
        <v>97</v>
      </c>
      <c r="P1389" s="47">
        <f>HEX2DEC(RIGHT(Table1323214[[#This Row],[h1]],8))</f>
        <v>0</v>
      </c>
      <c r="Q1389" s="47" t="s">
        <v>97</v>
      </c>
      <c r="R1389" s="47">
        <f>HEX2DEC(RIGHT(Table1323214[[#This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7" t="s">
        <v>97</v>
      </c>
      <c r="P1390" s="47">
        <f>HEX2DEC(RIGHT(Table1323214[[#This Row],[h1]],8))</f>
        <v>0</v>
      </c>
      <c r="Q1390" s="47" t="s">
        <v>97</v>
      </c>
      <c r="R1390" s="47">
        <f>HEX2DEC(RIGHT(Table1323214[[#This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7" t="s">
        <v>97</v>
      </c>
      <c r="P1391" s="47">
        <f>HEX2DEC(RIGHT(Table1323214[[#This Row],[h1]],8))</f>
        <v>0</v>
      </c>
      <c r="Q1391" s="47" t="s">
        <v>97</v>
      </c>
      <c r="R1391" s="47">
        <f>HEX2DEC(RIGHT(Table1323214[[#This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7" t="s">
        <v>97</v>
      </c>
      <c r="P1392" s="47">
        <f>HEX2DEC(RIGHT(Table1323214[[#This Row],[h1]],8))</f>
        <v>0</v>
      </c>
      <c r="Q1392" s="47" t="s">
        <v>97</v>
      </c>
      <c r="R1392" s="47">
        <f>HEX2DEC(RIGHT(Table1323214[[#This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7" t="s">
        <v>97</v>
      </c>
      <c r="P1393" s="47">
        <f>HEX2DEC(RIGHT(Table1323214[[#This Row],[h1]],8))</f>
        <v>0</v>
      </c>
      <c r="Q1393" s="47" t="s">
        <v>97</v>
      </c>
      <c r="R1393" s="47">
        <f>HEX2DEC(RIGHT(Table1323214[[#This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7" t="s">
        <v>97</v>
      </c>
      <c r="P1394" s="47">
        <f>HEX2DEC(RIGHT(Table1323214[[#This Row],[h1]],8))</f>
        <v>0</v>
      </c>
      <c r="Q1394" s="47" t="s">
        <v>97</v>
      </c>
      <c r="R1394" s="47">
        <f>HEX2DEC(RIGHT(Table1323214[[#This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7" t="s">
        <v>97</v>
      </c>
      <c r="P1395" s="47">
        <f>HEX2DEC(RIGHT(Table1323214[[#This Row],[h1]],8))</f>
        <v>0</v>
      </c>
      <c r="Q1395" s="47" t="s">
        <v>97</v>
      </c>
      <c r="R1395" s="47">
        <f>HEX2DEC(RIGHT(Table1323214[[#This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7" t="s">
        <v>97</v>
      </c>
      <c r="P1396" s="47">
        <f>HEX2DEC(RIGHT(Table1323214[[#This Row],[h1]],8))</f>
        <v>0</v>
      </c>
      <c r="Q1396" s="47" t="s">
        <v>97</v>
      </c>
      <c r="R1396" s="47">
        <f>HEX2DEC(RIGHT(Table1323214[[#This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7" t="s">
        <v>97</v>
      </c>
      <c r="P1397" s="47">
        <f>HEX2DEC(RIGHT(Table1323214[[#This Row],[h1]],8))</f>
        <v>0</v>
      </c>
      <c r="Q1397" s="47" t="s">
        <v>97</v>
      </c>
      <c r="R1397" s="47">
        <f>HEX2DEC(RIGHT(Table1323214[[#This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7" t="s">
        <v>97</v>
      </c>
      <c r="P1398" s="47">
        <f>HEX2DEC(RIGHT(Table1323214[[#This Row],[h1]],8))</f>
        <v>0</v>
      </c>
      <c r="Q1398" s="47" t="s">
        <v>97</v>
      </c>
      <c r="R1398" s="47">
        <f>HEX2DEC(RIGHT(Table1323214[[#This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7" t="s">
        <v>97</v>
      </c>
      <c r="P1399" s="47">
        <f>HEX2DEC(RIGHT(Table1323214[[#This Row],[h1]],8))</f>
        <v>0</v>
      </c>
      <c r="Q1399" s="47" t="s">
        <v>97</v>
      </c>
      <c r="R1399" s="47">
        <f>HEX2DEC(RIGHT(Table1323214[[#This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7" t="s">
        <v>97</v>
      </c>
      <c r="P1400" s="47">
        <f>HEX2DEC(RIGHT(Table1323214[[#This Row],[h1]],8))</f>
        <v>0</v>
      </c>
      <c r="Q1400" s="47" t="s">
        <v>97</v>
      </c>
      <c r="R1400" s="47">
        <f>HEX2DEC(RIGHT(Table1323214[[#This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7" t="s">
        <v>97</v>
      </c>
      <c r="P1401" s="47">
        <f>HEX2DEC(RIGHT(Table1323214[[#This Row],[h1]],8))</f>
        <v>0</v>
      </c>
      <c r="Q1401" s="47" t="s">
        <v>97</v>
      </c>
      <c r="R1401" s="47">
        <f>HEX2DEC(RIGHT(Table1323214[[#This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7" t="s">
        <v>97</v>
      </c>
      <c r="P1402" s="47">
        <f>HEX2DEC(RIGHT(Table1323214[[#This Row],[h1]],8))</f>
        <v>0</v>
      </c>
      <c r="Q1402" s="47" t="s">
        <v>97</v>
      </c>
      <c r="R1402" s="47">
        <f>HEX2DEC(RIGHT(Table1323214[[#This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7" t="s">
        <v>97</v>
      </c>
      <c r="P1403" s="47">
        <f>HEX2DEC(RIGHT(Table1323214[[#This Row],[h1]],8))</f>
        <v>0</v>
      </c>
      <c r="Q1403" s="47" t="s">
        <v>97</v>
      </c>
      <c r="R1403" s="47">
        <f>HEX2DEC(RIGHT(Table1323214[[#This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7" t="s">
        <v>97</v>
      </c>
      <c r="P1404" s="47">
        <f>HEX2DEC(RIGHT(Table1323214[[#This Row],[h1]],8))</f>
        <v>0</v>
      </c>
      <c r="Q1404" s="47" t="s">
        <v>97</v>
      </c>
      <c r="R1404" s="47">
        <f>HEX2DEC(RIGHT(Table1323214[[#This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7" t="s">
        <v>97</v>
      </c>
      <c r="P1405" s="47">
        <f>HEX2DEC(RIGHT(Table1323214[[#This Row],[h1]],8))</f>
        <v>0</v>
      </c>
      <c r="Q1405" s="47" t="s">
        <v>97</v>
      </c>
      <c r="R1405" s="47">
        <f>HEX2DEC(RIGHT(Table1323214[[#This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7" t="s">
        <v>97</v>
      </c>
      <c r="P1406" s="47">
        <f>HEX2DEC(RIGHT(Table1323214[[#This Row],[h1]],8))</f>
        <v>0</v>
      </c>
      <c r="Q1406" s="47" t="s">
        <v>97</v>
      </c>
      <c r="R1406" s="47">
        <f>HEX2DEC(RIGHT(Table1323214[[#This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7" t="s">
        <v>97</v>
      </c>
      <c r="P1407" s="47">
        <f>HEX2DEC(RIGHT(Table1323214[[#This Row],[h1]],8))</f>
        <v>0</v>
      </c>
      <c r="Q1407" s="47" t="s">
        <v>97</v>
      </c>
      <c r="R1407" s="47">
        <f>HEX2DEC(RIGHT(Table1323214[[#This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7" t="s">
        <v>97</v>
      </c>
      <c r="P1408" s="47">
        <f>HEX2DEC(RIGHT(Table1323214[[#This Row],[h1]],8))</f>
        <v>0</v>
      </c>
      <c r="Q1408" s="47" t="s">
        <v>97</v>
      </c>
      <c r="R1408" s="47">
        <f>HEX2DEC(RIGHT(Table1323214[[#This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7" t="s">
        <v>97</v>
      </c>
      <c r="P1409" s="47">
        <f>HEX2DEC(RIGHT(Table1323214[[#This Row],[h1]],8))</f>
        <v>0</v>
      </c>
      <c r="Q1409" s="47" t="s">
        <v>97</v>
      </c>
      <c r="R1409" s="47">
        <f>HEX2DEC(RIGHT(Table1323214[[#This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7" t="s">
        <v>97</v>
      </c>
      <c r="P1410" s="47">
        <f>HEX2DEC(RIGHT(Table1323214[[#This Row],[h1]],8))</f>
        <v>0</v>
      </c>
      <c r="Q1410" s="47" t="s">
        <v>97</v>
      </c>
      <c r="R1410" s="47">
        <f>HEX2DEC(RIGHT(Table1323214[[#This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7" t="s">
        <v>97</v>
      </c>
      <c r="P1411" s="47">
        <f>HEX2DEC(RIGHT(Table1323214[[#This Row],[h1]],8))</f>
        <v>0</v>
      </c>
      <c r="Q1411" s="47" t="s">
        <v>97</v>
      </c>
      <c r="R1411" s="47">
        <f>HEX2DEC(RIGHT(Table1323214[[#This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7" t="s">
        <v>97</v>
      </c>
      <c r="P1412" s="47">
        <f>HEX2DEC(RIGHT(Table1323214[[#This Row],[h1]],8))</f>
        <v>0</v>
      </c>
      <c r="Q1412" s="47" t="s">
        <v>97</v>
      </c>
      <c r="R1412" s="47">
        <f>HEX2DEC(RIGHT(Table1323214[[#This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7" t="s">
        <v>97</v>
      </c>
      <c r="P1413" s="47">
        <f>HEX2DEC(RIGHT(Table1323214[[#This Row],[h1]],8))</f>
        <v>0</v>
      </c>
      <c r="Q1413" s="47" t="s">
        <v>97</v>
      </c>
      <c r="R1413" s="47">
        <f>HEX2DEC(RIGHT(Table1323214[[#This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7" t="s">
        <v>97</v>
      </c>
      <c r="P1414" s="47">
        <f>HEX2DEC(RIGHT(Table1323214[[#This Row],[h1]],8))</f>
        <v>0</v>
      </c>
      <c r="Q1414" s="47" t="s">
        <v>97</v>
      </c>
      <c r="R1414" s="47">
        <f>HEX2DEC(RIGHT(Table1323214[[#This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7" t="s">
        <v>97</v>
      </c>
      <c r="P1415" s="47">
        <f>HEX2DEC(RIGHT(Table1323214[[#This Row],[h1]],8))</f>
        <v>0</v>
      </c>
      <c r="Q1415" s="47" t="s">
        <v>97</v>
      </c>
      <c r="R1415" s="47">
        <f>HEX2DEC(RIGHT(Table1323214[[#This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7" t="s">
        <v>97</v>
      </c>
      <c r="P1416" s="47">
        <f>HEX2DEC(RIGHT(Table1323214[[#This Row],[h1]],8))</f>
        <v>0</v>
      </c>
      <c r="Q1416" s="47" t="s">
        <v>97</v>
      </c>
      <c r="R1416" s="47">
        <f>HEX2DEC(RIGHT(Table1323214[[#This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7" t="s">
        <v>97</v>
      </c>
      <c r="P1417" s="47">
        <f>HEX2DEC(RIGHT(Table1323214[[#This Row],[h1]],8))</f>
        <v>0</v>
      </c>
      <c r="Q1417" s="47" t="s">
        <v>97</v>
      </c>
      <c r="R1417" s="47">
        <f>HEX2DEC(RIGHT(Table1323214[[#This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7" t="s">
        <v>97</v>
      </c>
      <c r="P1418" s="47">
        <f>HEX2DEC(RIGHT(Table1323214[[#This Row],[h1]],8))</f>
        <v>0</v>
      </c>
      <c r="Q1418" s="47" t="s">
        <v>97</v>
      </c>
      <c r="R1418" s="47">
        <f>HEX2DEC(RIGHT(Table1323214[[#This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7" t="s">
        <v>97</v>
      </c>
      <c r="P1419" s="47">
        <f>HEX2DEC(RIGHT(Table1323214[[#This Row],[h1]],8))</f>
        <v>0</v>
      </c>
      <c r="Q1419" s="47" t="s">
        <v>97</v>
      </c>
      <c r="R1419" s="47">
        <f>HEX2DEC(RIGHT(Table1323214[[#This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7" t="s">
        <v>97</v>
      </c>
      <c r="P1420" s="47">
        <f>HEX2DEC(RIGHT(Table1323214[[#This Row],[h1]],8))</f>
        <v>0</v>
      </c>
      <c r="Q1420" s="47" t="s">
        <v>97</v>
      </c>
      <c r="R1420" s="47">
        <f>HEX2DEC(RIGHT(Table1323214[[#This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7" t="s">
        <v>97</v>
      </c>
      <c r="P1421" s="47">
        <f>HEX2DEC(RIGHT(Table1323214[[#This Row],[h1]],8))</f>
        <v>0</v>
      </c>
      <c r="Q1421" s="47" t="s">
        <v>97</v>
      </c>
      <c r="R1421" s="47">
        <f>HEX2DEC(RIGHT(Table1323214[[#This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7" t="s">
        <v>97</v>
      </c>
      <c r="P1422" s="47">
        <f>HEX2DEC(RIGHT(Table1323214[[#This Row],[h1]],8))</f>
        <v>0</v>
      </c>
      <c r="Q1422" s="47" t="s">
        <v>97</v>
      </c>
      <c r="R1422" s="47">
        <f>HEX2DEC(RIGHT(Table1323214[[#This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7" t="s">
        <v>97</v>
      </c>
      <c r="P1423" s="47">
        <f>HEX2DEC(RIGHT(Table1323214[[#This Row],[h1]],8))</f>
        <v>0</v>
      </c>
      <c r="Q1423" s="47" t="s">
        <v>97</v>
      </c>
      <c r="R1423" s="47">
        <f>HEX2DEC(RIGHT(Table1323214[[#This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7" t="s">
        <v>97</v>
      </c>
      <c r="P1424" s="47">
        <f>HEX2DEC(RIGHT(Table1323214[[#This Row],[h1]],8))</f>
        <v>0</v>
      </c>
      <c r="Q1424" s="47" t="s">
        <v>97</v>
      </c>
      <c r="R1424" s="47">
        <f>HEX2DEC(RIGHT(Table1323214[[#This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7" t="s">
        <v>97</v>
      </c>
      <c r="P1425" s="47">
        <f>HEX2DEC(RIGHT(Table1323214[[#This Row],[h1]],8))</f>
        <v>0</v>
      </c>
      <c r="Q1425" s="47" t="s">
        <v>97</v>
      </c>
      <c r="R1425" s="47">
        <f>HEX2DEC(RIGHT(Table1323214[[#This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7" t="s">
        <v>97</v>
      </c>
      <c r="P1426" s="47">
        <f>HEX2DEC(RIGHT(Table1323214[[#This Row],[h1]],8))</f>
        <v>0</v>
      </c>
      <c r="Q1426" s="47" t="s">
        <v>97</v>
      </c>
      <c r="R1426" s="47">
        <f>HEX2DEC(RIGHT(Table1323214[[#This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7" t="s">
        <v>97</v>
      </c>
      <c r="P1427" s="47">
        <f>HEX2DEC(RIGHT(Table1323214[[#This Row],[h1]],8))</f>
        <v>0</v>
      </c>
      <c r="Q1427" s="47" t="s">
        <v>97</v>
      </c>
      <c r="R1427" s="47">
        <f>HEX2DEC(RIGHT(Table1323214[[#This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7" t="s">
        <v>97</v>
      </c>
      <c r="P1428" s="47">
        <f>HEX2DEC(RIGHT(Table1323214[[#This Row],[h1]],8))</f>
        <v>0</v>
      </c>
      <c r="Q1428" s="47" t="s">
        <v>97</v>
      </c>
      <c r="R1428" s="47">
        <f>HEX2DEC(RIGHT(Table1323214[[#This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7" t="s">
        <v>97</v>
      </c>
      <c r="P1429" s="47">
        <f>HEX2DEC(RIGHT(Table1323214[[#This Row],[h1]],8))</f>
        <v>0</v>
      </c>
      <c r="Q1429" s="47" t="s">
        <v>97</v>
      </c>
      <c r="R1429" s="47">
        <f>HEX2DEC(RIGHT(Table1323214[[#This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7" t="s">
        <v>97</v>
      </c>
      <c r="P1430" s="47">
        <f>HEX2DEC(RIGHT(Table1323214[[#This Row],[h1]],8))</f>
        <v>0</v>
      </c>
      <c r="Q1430" s="47" t="s">
        <v>97</v>
      </c>
      <c r="R1430" s="47">
        <f>HEX2DEC(RIGHT(Table1323214[[#This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7" t="s">
        <v>97</v>
      </c>
      <c r="P1431" s="47">
        <f>HEX2DEC(RIGHT(Table1323214[[#This Row],[h1]],8))</f>
        <v>0</v>
      </c>
      <c r="Q1431" s="47" t="s">
        <v>97</v>
      </c>
      <c r="R1431" s="47">
        <f>HEX2DEC(RIGHT(Table1323214[[#This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7" t="s">
        <v>97</v>
      </c>
      <c r="P1432" s="47">
        <f>HEX2DEC(RIGHT(Table1323214[[#This Row],[h1]],8))</f>
        <v>0</v>
      </c>
      <c r="Q1432" s="47" t="s">
        <v>97</v>
      </c>
      <c r="R1432" s="47">
        <f>HEX2DEC(RIGHT(Table1323214[[#This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7" t="s">
        <v>97</v>
      </c>
      <c r="P1433" s="47">
        <f>HEX2DEC(RIGHT(Table1323214[[#This Row],[h1]],8))</f>
        <v>0</v>
      </c>
      <c r="Q1433" s="47" t="s">
        <v>97</v>
      </c>
      <c r="R1433" s="47">
        <f>HEX2DEC(RIGHT(Table1323214[[#This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7" t="s">
        <v>97</v>
      </c>
      <c r="P1434" s="47">
        <f>HEX2DEC(RIGHT(Table1323214[[#This Row],[h1]],8))</f>
        <v>0</v>
      </c>
      <c r="Q1434" s="47" t="s">
        <v>97</v>
      </c>
      <c r="R1434" s="47">
        <f>HEX2DEC(RIGHT(Table1323214[[#This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7" t="s">
        <v>97</v>
      </c>
      <c r="P1435" s="47">
        <f>HEX2DEC(RIGHT(Table1323214[[#This Row],[h1]],8))</f>
        <v>0</v>
      </c>
      <c r="Q1435" s="47" t="s">
        <v>97</v>
      </c>
      <c r="R1435" s="47">
        <f>HEX2DEC(RIGHT(Table1323214[[#This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7" t="s">
        <v>97</v>
      </c>
      <c r="P1436" s="47">
        <f>HEX2DEC(RIGHT(Table1323214[[#This Row],[h1]],8))</f>
        <v>0</v>
      </c>
      <c r="Q1436" s="47" t="s">
        <v>97</v>
      </c>
      <c r="R1436" s="47">
        <f>HEX2DEC(RIGHT(Table1323214[[#This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7" t="s">
        <v>97</v>
      </c>
      <c r="P1437" s="47">
        <f>HEX2DEC(RIGHT(Table1323214[[#This Row],[h1]],8))</f>
        <v>0</v>
      </c>
      <c r="Q1437" s="47" t="s">
        <v>97</v>
      </c>
      <c r="R1437" s="47">
        <f>HEX2DEC(RIGHT(Table1323214[[#This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7" t="s">
        <v>97</v>
      </c>
      <c r="P1438" s="47">
        <f>HEX2DEC(RIGHT(Table1323214[[#This Row],[h1]],8))</f>
        <v>0</v>
      </c>
      <c r="Q1438" s="47" t="s">
        <v>97</v>
      </c>
      <c r="R1438" s="47">
        <f>HEX2DEC(RIGHT(Table1323214[[#This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7" t="s">
        <v>97</v>
      </c>
      <c r="P1439" s="47">
        <f>HEX2DEC(RIGHT(Table1323214[[#This Row],[h1]],8))</f>
        <v>0</v>
      </c>
      <c r="Q1439" s="47" t="s">
        <v>97</v>
      </c>
      <c r="R1439" s="47">
        <f>HEX2DEC(RIGHT(Table1323214[[#This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7" t="s">
        <v>97</v>
      </c>
      <c r="P1440" s="47">
        <f>HEX2DEC(RIGHT(Table1323214[[#This Row],[h1]],8))</f>
        <v>0</v>
      </c>
      <c r="Q1440" s="47" t="s">
        <v>97</v>
      </c>
      <c r="R1440" s="47">
        <f>HEX2DEC(RIGHT(Table1323214[[#This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7" t="s">
        <v>97</v>
      </c>
      <c r="P1441" s="47">
        <f>HEX2DEC(RIGHT(Table1323214[[#This Row],[h1]],8))</f>
        <v>0</v>
      </c>
      <c r="Q1441" s="47" t="s">
        <v>97</v>
      </c>
      <c r="R1441" s="47">
        <f>HEX2DEC(RIGHT(Table1323214[[#This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7" t="s">
        <v>97</v>
      </c>
      <c r="P1442" s="47">
        <f>HEX2DEC(RIGHT(Table1323214[[#This Row],[h1]],8))</f>
        <v>0</v>
      </c>
      <c r="Q1442" s="47" t="s">
        <v>97</v>
      </c>
      <c r="R1442" s="47">
        <f>HEX2DEC(RIGHT(Table1323214[[#This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7" t="s">
        <v>97</v>
      </c>
      <c r="P1443" s="47">
        <f>HEX2DEC(RIGHT(Table1323214[[#This Row],[h1]],8))</f>
        <v>0</v>
      </c>
      <c r="Q1443" s="47" t="s">
        <v>97</v>
      </c>
      <c r="R1443" s="47">
        <f>HEX2DEC(RIGHT(Table1323214[[#This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7" t="s">
        <v>97</v>
      </c>
      <c r="P1444" s="47">
        <f>HEX2DEC(RIGHT(Table1323214[[#This Row],[h1]],8))</f>
        <v>0</v>
      </c>
      <c r="Q1444" s="47" t="s">
        <v>97</v>
      </c>
      <c r="R1444" s="47">
        <f>HEX2DEC(RIGHT(Table1323214[[#This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7" t="s">
        <v>97</v>
      </c>
      <c r="P1445" s="47">
        <f>HEX2DEC(RIGHT(Table1323214[[#This Row],[h1]],8))</f>
        <v>0</v>
      </c>
      <c r="Q1445" s="47" t="s">
        <v>97</v>
      </c>
      <c r="R1445" s="47">
        <f>HEX2DEC(RIGHT(Table1323214[[#This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7" t="s">
        <v>97</v>
      </c>
      <c r="P1446" s="47">
        <f>HEX2DEC(RIGHT(Table1323214[[#This Row],[h1]],8))</f>
        <v>0</v>
      </c>
      <c r="Q1446" s="47" t="s">
        <v>97</v>
      </c>
      <c r="R1446" s="47">
        <f>HEX2DEC(RIGHT(Table1323214[[#This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7" t="s">
        <v>97</v>
      </c>
      <c r="P1447" s="47">
        <f>HEX2DEC(RIGHT(Table1323214[[#This Row],[h1]],8))</f>
        <v>0</v>
      </c>
      <c r="Q1447" s="47" t="s">
        <v>97</v>
      </c>
      <c r="R1447" s="47">
        <f>HEX2DEC(RIGHT(Table1323214[[#This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7" t="s">
        <v>97</v>
      </c>
      <c r="P1448" s="47">
        <f>HEX2DEC(RIGHT(Table1323214[[#This Row],[h1]],8))</f>
        <v>0</v>
      </c>
      <c r="Q1448" s="47" t="s">
        <v>97</v>
      </c>
      <c r="R1448" s="47">
        <f>HEX2DEC(RIGHT(Table1323214[[#This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7" t="s">
        <v>97</v>
      </c>
      <c r="P1449" s="47">
        <f>HEX2DEC(RIGHT(Table1323214[[#This Row],[h1]],8))</f>
        <v>0</v>
      </c>
      <c r="Q1449" s="47" t="s">
        <v>97</v>
      </c>
      <c r="R1449" s="47">
        <f>HEX2DEC(RIGHT(Table1323214[[#This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7" t="s">
        <v>97</v>
      </c>
      <c r="P1450" s="47">
        <f>HEX2DEC(RIGHT(Table1323214[[#This Row],[h1]],8))</f>
        <v>0</v>
      </c>
      <c r="Q1450" s="47" t="s">
        <v>97</v>
      </c>
      <c r="R1450" s="47">
        <f>HEX2DEC(RIGHT(Table1323214[[#This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7" t="s">
        <v>97</v>
      </c>
      <c r="P1451" s="47">
        <f>HEX2DEC(RIGHT(Table1323214[[#This Row],[h1]],8))</f>
        <v>0</v>
      </c>
      <c r="Q1451" s="47" t="s">
        <v>97</v>
      </c>
      <c r="R1451" s="47">
        <f>HEX2DEC(RIGHT(Table1323214[[#This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7" t="s">
        <v>97</v>
      </c>
      <c r="P1452" s="47">
        <f>HEX2DEC(RIGHT(Table1323214[[#This Row],[h1]],8))</f>
        <v>0</v>
      </c>
      <c r="Q1452" s="47" t="s">
        <v>97</v>
      </c>
      <c r="R1452" s="47">
        <f>HEX2DEC(RIGHT(Table1323214[[#This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7" t="s">
        <v>97</v>
      </c>
      <c r="P1453" s="47">
        <f>HEX2DEC(RIGHT(Table1323214[[#This Row],[h1]],8))</f>
        <v>0</v>
      </c>
      <c r="Q1453" s="47" t="s">
        <v>97</v>
      </c>
      <c r="R1453" s="47">
        <f>HEX2DEC(RIGHT(Table1323214[[#This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7" t="s">
        <v>97</v>
      </c>
      <c r="P1454" s="47">
        <f>HEX2DEC(RIGHT(Table1323214[[#This Row],[h1]],8))</f>
        <v>0</v>
      </c>
      <c r="Q1454" s="47" t="s">
        <v>97</v>
      </c>
      <c r="R1454" s="47">
        <f>HEX2DEC(RIGHT(Table1323214[[#This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7" t="s">
        <v>97</v>
      </c>
      <c r="P1455" s="47">
        <f>HEX2DEC(RIGHT(Table1323214[[#This Row],[h1]],8))</f>
        <v>0</v>
      </c>
      <c r="Q1455" s="47" t="s">
        <v>97</v>
      </c>
      <c r="R1455" s="47">
        <f>HEX2DEC(RIGHT(Table1323214[[#This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7" t="s">
        <v>97</v>
      </c>
      <c r="P1456" s="47">
        <f>HEX2DEC(RIGHT(Table1323214[[#This Row],[h1]],8))</f>
        <v>0</v>
      </c>
      <c r="Q1456" s="47" t="s">
        <v>97</v>
      </c>
      <c r="R1456" s="47">
        <f>HEX2DEC(RIGHT(Table1323214[[#This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7" t="s">
        <v>97</v>
      </c>
      <c r="P1457" s="47">
        <f>HEX2DEC(RIGHT(Table1323214[[#This Row],[h1]],8))</f>
        <v>0</v>
      </c>
      <c r="Q1457" s="47" t="s">
        <v>97</v>
      </c>
      <c r="R1457" s="47">
        <f>HEX2DEC(RIGHT(Table1323214[[#This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7" t="s">
        <v>97</v>
      </c>
      <c r="P1458" s="47">
        <f>HEX2DEC(RIGHT(Table1323214[[#This Row],[h1]],8))</f>
        <v>0</v>
      </c>
      <c r="Q1458" s="47" t="s">
        <v>97</v>
      </c>
      <c r="R1458" s="47">
        <f>HEX2DEC(RIGHT(Table1323214[[#This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7" t="s">
        <v>97</v>
      </c>
      <c r="P1459" s="47">
        <f>HEX2DEC(RIGHT(Table1323214[[#This Row],[h1]],8))</f>
        <v>0</v>
      </c>
      <c r="Q1459" s="47" t="s">
        <v>97</v>
      </c>
      <c r="R1459" s="47">
        <f>HEX2DEC(RIGHT(Table1323214[[#This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7" t="s">
        <v>97</v>
      </c>
      <c r="P1460" s="47">
        <f>HEX2DEC(RIGHT(Table1323214[[#This Row],[h1]],8))</f>
        <v>0</v>
      </c>
      <c r="Q1460" s="47" t="s">
        <v>97</v>
      </c>
      <c r="R1460" s="47">
        <f>HEX2DEC(RIGHT(Table1323214[[#This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7" t="s">
        <v>97</v>
      </c>
      <c r="P1461" s="47">
        <f>HEX2DEC(RIGHT(Table1323214[[#This Row],[h1]],8))</f>
        <v>0</v>
      </c>
      <c r="Q1461" s="47" t="s">
        <v>97</v>
      </c>
      <c r="R1461" s="47">
        <f>HEX2DEC(RIGHT(Table1323214[[#This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7" t="s">
        <v>97</v>
      </c>
      <c r="P1462" s="47">
        <f>HEX2DEC(RIGHT(Table1323214[[#This Row],[h1]],8))</f>
        <v>0</v>
      </c>
      <c r="Q1462" s="47" t="s">
        <v>97</v>
      </c>
      <c r="R1462" s="47">
        <f>HEX2DEC(RIGHT(Table1323214[[#This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7" t="s">
        <v>97</v>
      </c>
      <c r="P1463" s="47">
        <f>HEX2DEC(RIGHT(Table1323214[[#This Row],[h1]],8))</f>
        <v>0</v>
      </c>
      <c r="Q1463" s="47" t="s">
        <v>97</v>
      </c>
      <c r="R1463" s="47">
        <f>HEX2DEC(RIGHT(Table1323214[[#This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7" t="s">
        <v>97</v>
      </c>
      <c r="P1464" s="47">
        <f>HEX2DEC(RIGHT(Table1323214[[#This Row],[h1]],8))</f>
        <v>0</v>
      </c>
      <c r="Q1464" s="47" t="s">
        <v>97</v>
      </c>
      <c r="R1464" s="47">
        <f>HEX2DEC(RIGHT(Table1323214[[#This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7" t="s">
        <v>97</v>
      </c>
      <c r="P1465" s="47">
        <f>HEX2DEC(RIGHT(Table1323214[[#This Row],[h1]],8))</f>
        <v>0</v>
      </c>
      <c r="Q1465" s="47" t="s">
        <v>97</v>
      </c>
      <c r="R1465" s="47">
        <f>HEX2DEC(RIGHT(Table1323214[[#This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7" t="s">
        <v>97</v>
      </c>
      <c r="P1466" s="47">
        <f>HEX2DEC(RIGHT(Table1323214[[#This Row],[h1]],8))</f>
        <v>0</v>
      </c>
      <c r="Q1466" s="47" t="s">
        <v>97</v>
      </c>
      <c r="R1466" s="47">
        <f>HEX2DEC(RIGHT(Table1323214[[#This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7" t="s">
        <v>97</v>
      </c>
      <c r="P1467" s="47">
        <f>HEX2DEC(RIGHT(Table1323214[[#This Row],[h1]],8))</f>
        <v>0</v>
      </c>
      <c r="Q1467" s="47" t="s">
        <v>97</v>
      </c>
      <c r="R1467" s="47">
        <f>HEX2DEC(RIGHT(Table1323214[[#This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7" t="s">
        <v>97</v>
      </c>
      <c r="P1468" s="47">
        <f>HEX2DEC(RIGHT(Table1323214[[#This Row],[h1]],8))</f>
        <v>0</v>
      </c>
      <c r="Q1468" s="47" t="s">
        <v>97</v>
      </c>
      <c r="R1468" s="47">
        <f>HEX2DEC(RIGHT(Table1323214[[#This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7" t="s">
        <v>97</v>
      </c>
      <c r="P1469" s="47">
        <f>HEX2DEC(RIGHT(Table1323214[[#This Row],[h1]],8))</f>
        <v>0</v>
      </c>
      <c r="Q1469" s="47" t="s">
        <v>97</v>
      </c>
      <c r="R1469" s="47">
        <f>HEX2DEC(RIGHT(Table1323214[[#This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7" t="s">
        <v>97</v>
      </c>
      <c r="P1470" s="47">
        <f>HEX2DEC(RIGHT(Table1323214[[#This Row],[h1]],8))</f>
        <v>0</v>
      </c>
      <c r="Q1470" s="47" t="s">
        <v>97</v>
      </c>
      <c r="R1470" s="47">
        <f>HEX2DEC(RIGHT(Table1323214[[#This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7" t="s">
        <v>97</v>
      </c>
      <c r="P1471" s="47">
        <f>HEX2DEC(RIGHT(Table1323214[[#This Row],[h1]],8))</f>
        <v>0</v>
      </c>
      <c r="Q1471" s="47" t="s">
        <v>97</v>
      </c>
      <c r="R1471" s="47">
        <f>HEX2DEC(RIGHT(Table1323214[[#This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7" t="s">
        <v>97</v>
      </c>
      <c r="P1472" s="47">
        <f>HEX2DEC(RIGHT(Table1323214[[#This Row],[h1]],8))</f>
        <v>0</v>
      </c>
      <c r="Q1472" s="47" t="s">
        <v>97</v>
      </c>
      <c r="R1472" s="47">
        <f>HEX2DEC(RIGHT(Table1323214[[#This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7" t="s">
        <v>97</v>
      </c>
      <c r="P1473" s="47">
        <f>HEX2DEC(RIGHT(Table1323214[[#This Row],[h1]],8))</f>
        <v>0</v>
      </c>
      <c r="Q1473" s="47" t="s">
        <v>97</v>
      </c>
      <c r="R1473" s="47">
        <f>HEX2DEC(RIGHT(Table1323214[[#This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7" t="s">
        <v>97</v>
      </c>
      <c r="P1474" s="47">
        <f>HEX2DEC(RIGHT(Table1323214[[#This Row],[h1]],8))</f>
        <v>0</v>
      </c>
      <c r="Q1474" s="47" t="s">
        <v>97</v>
      </c>
      <c r="R1474" s="47">
        <f>HEX2DEC(RIGHT(Table1323214[[#This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7" t="s">
        <v>97</v>
      </c>
      <c r="P1475" s="47">
        <f>HEX2DEC(RIGHT(Table1323214[[#This Row],[h1]],8))</f>
        <v>0</v>
      </c>
      <c r="Q1475" s="47" t="s">
        <v>97</v>
      </c>
      <c r="R1475" s="47">
        <f>HEX2DEC(RIGHT(Table1323214[[#This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7" t="s">
        <v>97</v>
      </c>
      <c r="P1476" s="47">
        <f>HEX2DEC(RIGHT(Table1323214[[#This Row],[h1]],8))</f>
        <v>0</v>
      </c>
      <c r="Q1476" s="47" t="s">
        <v>97</v>
      </c>
      <c r="R1476" s="47">
        <f>HEX2DEC(RIGHT(Table1323214[[#This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7" t="s">
        <v>97</v>
      </c>
      <c r="P1477" s="47">
        <f>HEX2DEC(RIGHT(Table1323214[[#This Row],[h1]],8))</f>
        <v>0</v>
      </c>
      <c r="Q1477" s="47" t="s">
        <v>97</v>
      </c>
      <c r="R1477" s="47">
        <f>HEX2DEC(RIGHT(Table1323214[[#This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7" t="s">
        <v>97</v>
      </c>
      <c r="P1478" s="47">
        <f>HEX2DEC(RIGHT(Table1323214[[#This Row],[h1]],8))</f>
        <v>0</v>
      </c>
      <c r="Q1478" s="47" t="s">
        <v>97</v>
      </c>
      <c r="R1478" s="47">
        <f>HEX2DEC(RIGHT(Table1323214[[#This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7" t="s">
        <v>97</v>
      </c>
      <c r="P1479" s="47">
        <f>HEX2DEC(RIGHT(Table1323214[[#This Row],[h1]],8))</f>
        <v>0</v>
      </c>
      <c r="Q1479" s="47" t="s">
        <v>97</v>
      </c>
      <c r="R1479" s="47">
        <f>HEX2DEC(RIGHT(Table1323214[[#This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7" t="s">
        <v>97</v>
      </c>
      <c r="P1480" s="47">
        <f>HEX2DEC(RIGHT(Table1323214[[#This Row],[h1]],8))</f>
        <v>0</v>
      </c>
      <c r="Q1480" s="47" t="s">
        <v>97</v>
      </c>
      <c r="R1480" s="47">
        <f>HEX2DEC(RIGHT(Table1323214[[#This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7" t="s">
        <v>97</v>
      </c>
      <c r="P1481" s="47">
        <f>HEX2DEC(RIGHT(Table1323214[[#This Row],[h1]],8))</f>
        <v>0</v>
      </c>
      <c r="Q1481" s="47" t="s">
        <v>97</v>
      </c>
      <c r="R1481" s="47">
        <f>HEX2DEC(RIGHT(Table1323214[[#This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7" t="s">
        <v>97</v>
      </c>
      <c r="P1482" s="47">
        <f>HEX2DEC(RIGHT(Table1323214[[#This Row],[h1]],8))</f>
        <v>0</v>
      </c>
      <c r="Q1482" s="47" t="s">
        <v>97</v>
      </c>
      <c r="R1482" s="47">
        <f>HEX2DEC(RIGHT(Table1323214[[#This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7" t="s">
        <v>97</v>
      </c>
      <c r="P1483" s="47">
        <f>HEX2DEC(RIGHT(Table1323214[[#This Row],[h1]],8))</f>
        <v>0</v>
      </c>
      <c r="Q1483" s="47" t="s">
        <v>97</v>
      </c>
      <c r="R1483" s="47">
        <f>HEX2DEC(RIGHT(Table1323214[[#This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7" t="s">
        <v>97</v>
      </c>
      <c r="P1484" s="47">
        <f>HEX2DEC(RIGHT(Table1323214[[#This Row],[h1]],8))</f>
        <v>0</v>
      </c>
      <c r="Q1484" s="47" t="s">
        <v>97</v>
      </c>
      <c r="R1484" s="47">
        <f>HEX2DEC(RIGHT(Table1323214[[#This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7" t="s">
        <v>97</v>
      </c>
      <c r="P1485" s="47">
        <f>HEX2DEC(RIGHT(Table1323214[[#This Row],[h1]],8))</f>
        <v>0</v>
      </c>
      <c r="Q1485" s="47" t="s">
        <v>97</v>
      </c>
      <c r="R1485" s="47">
        <f>HEX2DEC(RIGHT(Table1323214[[#This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7" t="s">
        <v>97</v>
      </c>
      <c r="P1486" s="47">
        <f>HEX2DEC(RIGHT(Table1323214[[#This Row],[h1]],8))</f>
        <v>0</v>
      </c>
      <c r="Q1486" s="47" t="s">
        <v>97</v>
      </c>
      <c r="R1486" s="47">
        <f>HEX2DEC(RIGHT(Table1323214[[#This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7" t="s">
        <v>97</v>
      </c>
      <c r="P1487" s="47">
        <f>HEX2DEC(RIGHT(Table1323214[[#This Row],[h1]],8))</f>
        <v>0</v>
      </c>
      <c r="Q1487" s="47" t="s">
        <v>97</v>
      </c>
      <c r="R1487" s="47">
        <f>HEX2DEC(RIGHT(Table1323214[[#This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7" t="s">
        <v>97</v>
      </c>
      <c r="P1488" s="47">
        <f>HEX2DEC(RIGHT(Table1323214[[#This Row],[h1]],8))</f>
        <v>0</v>
      </c>
      <c r="Q1488" s="47" t="s">
        <v>97</v>
      </c>
      <c r="R1488" s="47">
        <f>HEX2DEC(RIGHT(Table1323214[[#This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7" t="s">
        <v>97</v>
      </c>
      <c r="P1489" s="47">
        <f>HEX2DEC(RIGHT(Table1323214[[#This Row],[h1]],8))</f>
        <v>0</v>
      </c>
      <c r="Q1489" s="47" t="s">
        <v>97</v>
      </c>
      <c r="R1489" s="47">
        <f>HEX2DEC(RIGHT(Table1323214[[#This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7" t="s">
        <v>97</v>
      </c>
      <c r="P1490" s="47">
        <f>HEX2DEC(RIGHT(Table1323214[[#This Row],[h1]],8))</f>
        <v>0</v>
      </c>
      <c r="Q1490" s="47" t="s">
        <v>97</v>
      </c>
      <c r="R1490" s="47">
        <f>HEX2DEC(RIGHT(Table1323214[[#This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7" t="s">
        <v>97</v>
      </c>
      <c r="P1491" s="47">
        <f>HEX2DEC(RIGHT(Table1323214[[#This Row],[h1]],8))</f>
        <v>0</v>
      </c>
      <c r="Q1491" s="47" t="s">
        <v>97</v>
      </c>
      <c r="R1491" s="47">
        <f>HEX2DEC(RIGHT(Table1323214[[#This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7" t="s">
        <v>97</v>
      </c>
      <c r="P1492" s="47">
        <f>HEX2DEC(RIGHT(Table1323214[[#This Row],[h1]],8))</f>
        <v>0</v>
      </c>
      <c r="Q1492" s="47" t="s">
        <v>97</v>
      </c>
      <c r="R1492" s="47">
        <f>HEX2DEC(RIGHT(Table1323214[[#This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7" t="s">
        <v>97</v>
      </c>
      <c r="P1493" s="47">
        <f>HEX2DEC(RIGHT(Table1323214[[#This Row],[h1]],8))</f>
        <v>0</v>
      </c>
      <c r="Q1493" s="47" t="s">
        <v>97</v>
      </c>
      <c r="R1493" s="47">
        <f>HEX2DEC(RIGHT(Table1323214[[#This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7" t="s">
        <v>97</v>
      </c>
      <c r="P1494" s="47">
        <f>HEX2DEC(RIGHT(Table1323214[[#This Row],[h1]],8))</f>
        <v>0</v>
      </c>
      <c r="Q1494" s="47" t="s">
        <v>97</v>
      </c>
      <c r="R1494" s="47">
        <f>HEX2DEC(RIGHT(Table1323214[[#This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7" t="s">
        <v>97</v>
      </c>
      <c r="P1495" s="47">
        <f>HEX2DEC(RIGHT(Table1323214[[#This Row],[h1]],8))</f>
        <v>0</v>
      </c>
      <c r="Q1495" s="47" t="s">
        <v>97</v>
      </c>
      <c r="R1495" s="47">
        <f>HEX2DEC(RIGHT(Table1323214[[#This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7" t="s">
        <v>97</v>
      </c>
      <c r="P1496" s="47">
        <f>HEX2DEC(RIGHT(Table1323214[[#This Row],[h1]],8))</f>
        <v>0</v>
      </c>
      <c r="Q1496" s="47" t="s">
        <v>97</v>
      </c>
      <c r="R1496" s="47">
        <f>HEX2DEC(RIGHT(Table1323214[[#This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7" t="s">
        <v>97</v>
      </c>
      <c r="P1497" s="47">
        <f>HEX2DEC(RIGHT(Table1323214[[#This Row],[h1]],8))</f>
        <v>0</v>
      </c>
      <c r="Q1497" s="47" t="s">
        <v>97</v>
      </c>
      <c r="R1497" s="47">
        <f>HEX2DEC(RIGHT(Table1323214[[#This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7" t="s">
        <v>97</v>
      </c>
      <c r="P1498" s="47">
        <f>HEX2DEC(RIGHT(Table1323214[[#This Row],[h1]],8))</f>
        <v>0</v>
      </c>
      <c r="Q1498" s="47" t="s">
        <v>97</v>
      </c>
      <c r="R1498" s="47">
        <f>HEX2DEC(RIGHT(Table1323214[[#This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7" t="s">
        <v>97</v>
      </c>
      <c r="P1499" s="47">
        <f>HEX2DEC(RIGHT(Table1323214[[#This Row],[h1]],8))</f>
        <v>0</v>
      </c>
      <c r="Q1499" s="47" t="s">
        <v>97</v>
      </c>
      <c r="R1499" s="47">
        <f>HEX2DEC(RIGHT(Table1323214[[#This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7" t="s">
        <v>97</v>
      </c>
      <c r="P1500" s="47">
        <f>HEX2DEC(RIGHT(Table1323214[[#This Row],[h1]],8))</f>
        <v>0</v>
      </c>
      <c r="Q1500" s="47" t="s">
        <v>97</v>
      </c>
      <c r="R1500" s="47">
        <f>HEX2DEC(RIGHT(Table1323214[[#This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7" t="s">
        <v>97</v>
      </c>
      <c r="P1501" s="47">
        <f>HEX2DEC(RIGHT(Table1323214[[#This Row],[h1]],8))</f>
        <v>0</v>
      </c>
      <c r="Q1501" s="47" t="s">
        <v>97</v>
      </c>
      <c r="R1501" s="47">
        <f>HEX2DEC(RIGHT(Table1323214[[#This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7" t="s">
        <v>97</v>
      </c>
      <c r="P1502" s="47">
        <f>HEX2DEC(RIGHT(Table1323214[[#This Row],[h1]],8))</f>
        <v>0</v>
      </c>
      <c r="Q1502" s="47" t="s">
        <v>97</v>
      </c>
      <c r="R1502" s="47">
        <f>HEX2DEC(RIGHT(Table1323214[[#This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7" t="s">
        <v>97</v>
      </c>
      <c r="P1503" s="47">
        <f>HEX2DEC(RIGHT(Table1323214[[#This Row],[h1]],8))</f>
        <v>0</v>
      </c>
      <c r="Q1503" s="47" t="s">
        <v>97</v>
      </c>
      <c r="R1503" s="47">
        <f>HEX2DEC(RIGHT(Table1323214[[#This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7" t="s">
        <v>97</v>
      </c>
      <c r="P1504" s="47">
        <f>HEX2DEC(RIGHT(Table1323214[[#This Row],[h1]],8))</f>
        <v>0</v>
      </c>
      <c r="Q1504" s="47" t="s">
        <v>97</v>
      </c>
      <c r="R1504" s="47">
        <f>HEX2DEC(RIGHT(Table1323214[[#This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7" t="s">
        <v>97</v>
      </c>
      <c r="P1505" s="47">
        <f>HEX2DEC(RIGHT(Table1323214[[#This Row],[h1]],8))</f>
        <v>0</v>
      </c>
      <c r="Q1505" s="47" t="s">
        <v>97</v>
      </c>
      <c r="R1505" s="47">
        <f>HEX2DEC(RIGHT(Table1323214[[#This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7" t="s">
        <v>97</v>
      </c>
      <c r="P1506" s="47">
        <f>HEX2DEC(RIGHT(Table1323214[[#This Row],[h1]],8))</f>
        <v>0</v>
      </c>
      <c r="Q1506" s="47" t="s">
        <v>97</v>
      </c>
      <c r="R1506" s="47">
        <f>HEX2DEC(RIGHT(Table1323214[[#This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7" t="s">
        <v>97</v>
      </c>
      <c r="P1507" s="47">
        <f>HEX2DEC(RIGHT(Table1323214[[#This Row],[h1]],8))</f>
        <v>0</v>
      </c>
      <c r="Q1507" s="47" t="s">
        <v>97</v>
      </c>
      <c r="R1507" s="47">
        <f>HEX2DEC(RIGHT(Table1323214[[#This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7" t="s">
        <v>97</v>
      </c>
      <c r="P1508" s="47">
        <f>HEX2DEC(RIGHT(Table1323214[[#This Row],[h1]],8))</f>
        <v>0</v>
      </c>
      <c r="Q1508" s="47" t="s">
        <v>97</v>
      </c>
      <c r="R1508" s="47">
        <f>HEX2DEC(RIGHT(Table1323214[[#This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7" t="s">
        <v>97</v>
      </c>
      <c r="P1509" s="47">
        <f>HEX2DEC(RIGHT(Table1323214[[#This Row],[h1]],8))</f>
        <v>0</v>
      </c>
      <c r="Q1509" s="47" t="s">
        <v>97</v>
      </c>
      <c r="R1509" s="47">
        <f>HEX2DEC(RIGHT(Table1323214[[#This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7" t="s">
        <v>97</v>
      </c>
      <c r="P1510" s="47">
        <f>HEX2DEC(RIGHT(Table1323214[[#This Row],[h1]],8))</f>
        <v>0</v>
      </c>
      <c r="Q1510" s="47" t="s">
        <v>97</v>
      </c>
      <c r="R1510" s="47">
        <f>HEX2DEC(RIGHT(Table1323214[[#This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7" t="s">
        <v>97</v>
      </c>
      <c r="P1511" s="47">
        <f>HEX2DEC(RIGHT(Table1323214[[#This Row],[h1]],8))</f>
        <v>0</v>
      </c>
      <c r="Q1511" s="47" t="s">
        <v>97</v>
      </c>
      <c r="R1511" s="47">
        <f>HEX2DEC(RIGHT(Table1323214[[#This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7" t="s">
        <v>97</v>
      </c>
      <c r="P1512" s="47">
        <f>HEX2DEC(RIGHT(Table1323214[[#This Row],[h1]],8))</f>
        <v>0</v>
      </c>
      <c r="Q1512" s="47" t="s">
        <v>97</v>
      </c>
      <c r="R1512" s="47">
        <f>HEX2DEC(RIGHT(Table1323214[[#This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7" t="s">
        <v>97</v>
      </c>
      <c r="P1513" s="47">
        <f>HEX2DEC(RIGHT(Table1323214[[#This Row],[h1]],8))</f>
        <v>0</v>
      </c>
      <c r="Q1513" s="47" t="s">
        <v>97</v>
      </c>
      <c r="R1513" s="47">
        <f>HEX2DEC(RIGHT(Table1323214[[#This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7" t="s">
        <v>97</v>
      </c>
      <c r="P1514" s="47">
        <f>HEX2DEC(RIGHT(Table1323214[[#This Row],[h1]],8))</f>
        <v>0</v>
      </c>
      <c r="Q1514" s="47" t="s">
        <v>97</v>
      </c>
      <c r="R1514" s="47">
        <f>HEX2DEC(RIGHT(Table1323214[[#This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7" t="s">
        <v>97</v>
      </c>
      <c r="P1515" s="47">
        <f>HEX2DEC(RIGHT(Table1323214[[#This Row],[h1]],8))</f>
        <v>0</v>
      </c>
      <c r="Q1515" s="47" t="s">
        <v>97</v>
      </c>
      <c r="R1515" s="47">
        <f>HEX2DEC(RIGHT(Table1323214[[#This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7" t="s">
        <v>97</v>
      </c>
      <c r="P1516" s="47">
        <f>HEX2DEC(RIGHT(Table1323214[[#This Row],[h1]],8))</f>
        <v>0</v>
      </c>
      <c r="Q1516" s="47" t="s">
        <v>97</v>
      </c>
      <c r="R1516" s="47">
        <f>HEX2DEC(RIGHT(Table1323214[[#This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7" t="s">
        <v>97</v>
      </c>
      <c r="P1517" s="47">
        <f>HEX2DEC(RIGHT(Table1323214[[#This Row],[h1]],8))</f>
        <v>0</v>
      </c>
      <c r="Q1517" s="47" t="s">
        <v>97</v>
      </c>
      <c r="R1517" s="47">
        <f>HEX2DEC(RIGHT(Table1323214[[#This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7" t="s">
        <v>97</v>
      </c>
      <c r="P1518" s="47">
        <f>HEX2DEC(RIGHT(Table1323214[[#This Row],[h1]],8))</f>
        <v>0</v>
      </c>
      <c r="Q1518" s="47" t="s">
        <v>97</v>
      </c>
      <c r="R1518" s="47">
        <f>HEX2DEC(RIGHT(Table1323214[[#This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7" t="s">
        <v>97</v>
      </c>
      <c r="P1519" s="47">
        <f>HEX2DEC(RIGHT(Table1323214[[#This Row],[h1]],8))</f>
        <v>0</v>
      </c>
      <c r="Q1519" s="47" t="s">
        <v>97</v>
      </c>
      <c r="R1519" s="47">
        <f>HEX2DEC(RIGHT(Table1323214[[#This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7" t="s">
        <v>97</v>
      </c>
      <c r="P1520" s="47">
        <f>HEX2DEC(RIGHT(Table1323214[[#This Row],[h1]],8))</f>
        <v>0</v>
      </c>
      <c r="Q1520" s="47" t="s">
        <v>97</v>
      </c>
      <c r="R1520" s="47">
        <f>HEX2DEC(RIGHT(Table1323214[[#This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7" t="s">
        <v>97</v>
      </c>
      <c r="P1521" s="47">
        <f>HEX2DEC(RIGHT(Table1323214[[#This Row],[h1]],8))</f>
        <v>0</v>
      </c>
      <c r="Q1521" s="47" t="s">
        <v>97</v>
      </c>
      <c r="R1521" s="47">
        <f>HEX2DEC(RIGHT(Table1323214[[#This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7" t="s">
        <v>97</v>
      </c>
      <c r="P1522" s="47">
        <f>HEX2DEC(RIGHT(Table1323214[[#This Row],[h1]],8))</f>
        <v>0</v>
      </c>
      <c r="Q1522" s="47" t="s">
        <v>97</v>
      </c>
      <c r="R1522" s="47">
        <f>HEX2DEC(RIGHT(Table1323214[[#This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7" t="s">
        <v>97</v>
      </c>
      <c r="P1523" s="47">
        <f>HEX2DEC(RIGHT(Table1323214[[#This Row],[h1]],8))</f>
        <v>0</v>
      </c>
      <c r="Q1523" s="47" t="s">
        <v>97</v>
      </c>
      <c r="R1523" s="47">
        <f>HEX2DEC(RIGHT(Table1323214[[#This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7" t="s">
        <v>97</v>
      </c>
      <c r="P1524" s="47">
        <f>HEX2DEC(RIGHT(Table1323214[[#This Row],[h1]],8))</f>
        <v>0</v>
      </c>
      <c r="Q1524" s="47" t="s">
        <v>97</v>
      </c>
      <c r="R1524" s="47">
        <f>HEX2DEC(RIGHT(Table1323214[[#This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7" t="s">
        <v>97</v>
      </c>
      <c r="P1525" s="47">
        <f>HEX2DEC(RIGHT(Table1323214[[#This Row],[h1]],8))</f>
        <v>0</v>
      </c>
      <c r="Q1525" s="47" t="s">
        <v>97</v>
      </c>
      <c r="R1525" s="47">
        <f>HEX2DEC(RIGHT(Table1323214[[#This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7" t="s">
        <v>97</v>
      </c>
      <c r="P1526" s="47">
        <f>HEX2DEC(RIGHT(Table1323214[[#This Row],[h1]],8))</f>
        <v>0</v>
      </c>
      <c r="Q1526" s="47" t="s">
        <v>97</v>
      </c>
      <c r="R1526" s="47">
        <f>HEX2DEC(RIGHT(Table1323214[[#This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7" t="s">
        <v>97</v>
      </c>
      <c r="P1527" s="47">
        <f>HEX2DEC(RIGHT(Table1323214[[#This Row],[h1]],8))</f>
        <v>0</v>
      </c>
      <c r="Q1527" s="47" t="s">
        <v>97</v>
      </c>
      <c r="R1527" s="47">
        <f>HEX2DEC(RIGHT(Table1323214[[#This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7" t="s">
        <v>97</v>
      </c>
      <c r="P1528" s="47">
        <f>HEX2DEC(RIGHT(Table1323214[[#This Row],[h1]],8))</f>
        <v>0</v>
      </c>
      <c r="Q1528" s="47" t="s">
        <v>97</v>
      </c>
      <c r="R1528" s="47">
        <f>HEX2DEC(RIGHT(Table1323214[[#This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7" t="s">
        <v>97</v>
      </c>
      <c r="P1529" s="47">
        <f>HEX2DEC(RIGHT(Table1323214[[#This Row],[h1]],8))</f>
        <v>0</v>
      </c>
      <c r="Q1529" s="47" t="s">
        <v>97</v>
      </c>
      <c r="R1529" s="47">
        <f>HEX2DEC(RIGHT(Table1323214[[#This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7" t="s">
        <v>97</v>
      </c>
      <c r="P1530" s="47">
        <f>HEX2DEC(RIGHT(Table1323214[[#This Row],[h1]],8))</f>
        <v>0</v>
      </c>
      <c r="Q1530" s="47" t="s">
        <v>97</v>
      </c>
      <c r="R1530" s="47">
        <f>HEX2DEC(RIGHT(Table1323214[[#This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7" t="s">
        <v>97</v>
      </c>
      <c r="P1531" s="47">
        <f>HEX2DEC(RIGHT(Table1323214[[#This Row],[h1]],8))</f>
        <v>0</v>
      </c>
      <c r="Q1531" s="47" t="s">
        <v>97</v>
      </c>
      <c r="R1531" s="47">
        <f>HEX2DEC(RIGHT(Table1323214[[#This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7" t="s">
        <v>97</v>
      </c>
      <c r="P1532" s="47">
        <f>HEX2DEC(RIGHT(Table1323214[[#This Row],[h1]],8))</f>
        <v>0</v>
      </c>
      <c r="Q1532" s="47" t="s">
        <v>97</v>
      </c>
      <c r="R1532" s="47">
        <f>HEX2DEC(RIGHT(Table1323214[[#This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7" t="s">
        <v>97</v>
      </c>
      <c r="P1533" s="47">
        <f>HEX2DEC(RIGHT(Table1323214[[#This Row],[h1]],8))</f>
        <v>0</v>
      </c>
      <c r="Q1533" s="47" t="s">
        <v>97</v>
      </c>
      <c r="R1533" s="47">
        <f>HEX2DEC(RIGHT(Table1323214[[#This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7" t="s">
        <v>97</v>
      </c>
      <c r="P1534" s="47">
        <f>HEX2DEC(RIGHT(Table1323214[[#This Row],[h1]],8))</f>
        <v>0</v>
      </c>
      <c r="Q1534" s="47" t="s">
        <v>97</v>
      </c>
      <c r="R1534" s="47">
        <f>HEX2DEC(RIGHT(Table1323214[[#This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7" t="s">
        <v>97</v>
      </c>
      <c r="P1535" s="47">
        <f>HEX2DEC(RIGHT(Table1323214[[#This Row],[h1]],8))</f>
        <v>0</v>
      </c>
      <c r="Q1535" s="47" t="s">
        <v>97</v>
      </c>
      <c r="R1535" s="47">
        <f>HEX2DEC(RIGHT(Table1323214[[#This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7" t="s">
        <v>97</v>
      </c>
      <c r="P1536" s="47">
        <f>HEX2DEC(RIGHT(Table1323214[[#This Row],[h1]],8))</f>
        <v>0</v>
      </c>
      <c r="Q1536" s="47" t="s">
        <v>97</v>
      </c>
      <c r="R1536" s="47">
        <f>HEX2DEC(RIGHT(Table1323214[[#This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7" t="s">
        <v>97</v>
      </c>
      <c r="P1537" s="47">
        <f>HEX2DEC(RIGHT(Table1323214[[#This Row],[h1]],8))</f>
        <v>0</v>
      </c>
      <c r="Q1537" s="47" t="s">
        <v>97</v>
      </c>
      <c r="R1537" s="47">
        <f>HEX2DEC(RIGHT(Table1323214[[#This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7" t="s">
        <v>97</v>
      </c>
      <c r="P1538" s="47">
        <f>HEX2DEC(RIGHT(Table1323214[[#This Row],[h1]],8))</f>
        <v>0</v>
      </c>
      <c r="Q1538" s="47" t="s">
        <v>97</v>
      </c>
      <c r="R1538" s="47">
        <f>HEX2DEC(RIGHT(Table1323214[[#This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7" t="s">
        <v>97</v>
      </c>
      <c r="P1539" s="47">
        <f>HEX2DEC(RIGHT(Table1323214[[#This Row],[h1]],8))</f>
        <v>0</v>
      </c>
      <c r="Q1539" s="47" t="s">
        <v>97</v>
      </c>
      <c r="R1539" s="47">
        <f>HEX2DEC(RIGHT(Table1323214[[#This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7" t="s">
        <v>97</v>
      </c>
      <c r="P1540" s="47">
        <f>HEX2DEC(RIGHT(Table1323214[[#This Row],[h1]],8))</f>
        <v>0</v>
      </c>
      <c r="Q1540" s="47" t="s">
        <v>97</v>
      </c>
      <c r="R1540" s="47">
        <f>HEX2DEC(RIGHT(Table1323214[[#This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7" t="s">
        <v>97</v>
      </c>
      <c r="P1541" s="47">
        <f>HEX2DEC(RIGHT(Table1323214[[#This Row],[h1]],8))</f>
        <v>0</v>
      </c>
      <c r="Q1541" s="47" t="s">
        <v>97</v>
      </c>
      <c r="R1541" s="47">
        <f>HEX2DEC(RIGHT(Table1323214[[#This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7" t="s">
        <v>97</v>
      </c>
      <c r="P1542" s="47">
        <f>HEX2DEC(RIGHT(Table1323214[[#This Row],[h1]],8))</f>
        <v>0</v>
      </c>
      <c r="Q1542" s="47" t="s">
        <v>97</v>
      </c>
      <c r="R1542" s="47">
        <f>HEX2DEC(RIGHT(Table1323214[[#This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7" t="s">
        <v>97</v>
      </c>
      <c r="P1543" s="47">
        <f>HEX2DEC(RIGHT(Table1323214[[#This Row],[h1]],8))</f>
        <v>0</v>
      </c>
      <c r="Q1543" s="47" t="s">
        <v>97</v>
      </c>
      <c r="R1543" s="47">
        <f>HEX2DEC(RIGHT(Table1323214[[#This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7" t="s">
        <v>97</v>
      </c>
      <c r="P1544" s="47">
        <f>HEX2DEC(RIGHT(Table1323214[[#This Row],[h1]],8))</f>
        <v>0</v>
      </c>
      <c r="Q1544" s="47" t="s">
        <v>97</v>
      </c>
      <c r="R1544" s="47">
        <f>HEX2DEC(RIGHT(Table1323214[[#This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7" t="s">
        <v>97</v>
      </c>
      <c r="P1545" s="47">
        <f>HEX2DEC(RIGHT(Table1323214[[#This Row],[h1]],8))</f>
        <v>0</v>
      </c>
      <c r="Q1545" s="47" t="s">
        <v>97</v>
      </c>
      <c r="R1545" s="47">
        <f>HEX2DEC(RIGHT(Table1323214[[#This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7" t="s">
        <v>97</v>
      </c>
      <c r="P1546" s="47">
        <f>HEX2DEC(RIGHT(Table1323214[[#This Row],[h1]],8))</f>
        <v>0</v>
      </c>
      <c r="Q1546" s="47" t="s">
        <v>97</v>
      </c>
      <c r="R1546" s="47">
        <f>HEX2DEC(RIGHT(Table1323214[[#This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7" t="s">
        <v>97</v>
      </c>
      <c r="P1547" s="47">
        <f>HEX2DEC(RIGHT(Table1323214[[#This Row],[h1]],8))</f>
        <v>0</v>
      </c>
      <c r="Q1547" s="47" t="s">
        <v>97</v>
      </c>
      <c r="R1547" s="47">
        <f>HEX2DEC(RIGHT(Table1323214[[#This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7" t="s">
        <v>97</v>
      </c>
      <c r="P1548" s="47">
        <f>HEX2DEC(RIGHT(Table1323214[[#This Row],[h1]],8))</f>
        <v>0</v>
      </c>
      <c r="Q1548" s="47" t="s">
        <v>97</v>
      </c>
      <c r="R1548" s="47">
        <f>HEX2DEC(RIGHT(Table1323214[[#This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7" t="s">
        <v>97</v>
      </c>
      <c r="P1549" s="47">
        <f>HEX2DEC(RIGHT(Table1323214[[#This Row],[h1]],8))</f>
        <v>0</v>
      </c>
      <c r="Q1549" s="47" t="s">
        <v>97</v>
      </c>
      <c r="R1549" s="47">
        <f>HEX2DEC(RIGHT(Table1323214[[#This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7" t="s">
        <v>97</v>
      </c>
      <c r="P1550" s="47">
        <f>HEX2DEC(RIGHT(Table1323214[[#This Row],[h1]],8))</f>
        <v>0</v>
      </c>
      <c r="Q1550" s="47" t="s">
        <v>97</v>
      </c>
      <c r="R1550" s="47">
        <f>HEX2DEC(RIGHT(Table1323214[[#This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7" t="s">
        <v>97</v>
      </c>
      <c r="P1551" s="47">
        <f>HEX2DEC(RIGHT(Table1323214[[#This Row],[h1]],8))</f>
        <v>0</v>
      </c>
      <c r="Q1551" s="47" t="s">
        <v>97</v>
      </c>
      <c r="R1551" s="47">
        <f>HEX2DEC(RIGHT(Table1323214[[#This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7" t="s">
        <v>97</v>
      </c>
      <c r="P1552" s="47">
        <f>HEX2DEC(RIGHT(Table1323214[[#This Row],[h1]],8))</f>
        <v>0</v>
      </c>
      <c r="Q1552" s="47" t="s">
        <v>97</v>
      </c>
      <c r="R1552" s="47">
        <f>HEX2DEC(RIGHT(Table1323214[[#This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7" t="s">
        <v>97</v>
      </c>
      <c r="P1553" s="47">
        <f>HEX2DEC(RIGHT(Table1323214[[#This Row],[h1]],8))</f>
        <v>0</v>
      </c>
      <c r="Q1553" s="47" t="s">
        <v>97</v>
      </c>
      <c r="R1553" s="47">
        <f>HEX2DEC(RIGHT(Table1323214[[#This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7" t="s">
        <v>97</v>
      </c>
      <c r="P1554" s="47">
        <f>HEX2DEC(RIGHT(Table1323214[[#This Row],[h1]],8))</f>
        <v>0</v>
      </c>
      <c r="Q1554" s="47" t="s">
        <v>97</v>
      </c>
      <c r="R1554" s="47">
        <f>HEX2DEC(RIGHT(Table1323214[[#This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7" t="s">
        <v>97</v>
      </c>
      <c r="P1555" s="47">
        <f>HEX2DEC(RIGHT(Table1323214[[#This Row],[h1]],8))</f>
        <v>0</v>
      </c>
      <c r="Q1555" s="47" t="s">
        <v>97</v>
      </c>
      <c r="R1555" s="47">
        <f>HEX2DEC(RIGHT(Table1323214[[#This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7" t="s">
        <v>97</v>
      </c>
      <c r="P1556" s="47">
        <f>HEX2DEC(RIGHT(Table1323214[[#This Row],[h1]],8))</f>
        <v>0</v>
      </c>
      <c r="Q1556" s="47" t="s">
        <v>97</v>
      </c>
      <c r="R1556" s="47">
        <f>HEX2DEC(RIGHT(Table1323214[[#This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7" t="s">
        <v>97</v>
      </c>
      <c r="P1557" s="47">
        <f>HEX2DEC(RIGHT(Table1323214[[#This Row],[h1]],8))</f>
        <v>0</v>
      </c>
      <c r="Q1557" s="47" t="s">
        <v>97</v>
      </c>
      <c r="R1557" s="47">
        <f>HEX2DEC(RIGHT(Table1323214[[#This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7" t="s">
        <v>97</v>
      </c>
      <c r="P1558" s="47">
        <f>HEX2DEC(RIGHT(Table1323214[[#This Row],[h1]],8))</f>
        <v>0</v>
      </c>
      <c r="Q1558" s="47" t="s">
        <v>97</v>
      </c>
      <c r="R1558" s="47">
        <f>HEX2DEC(RIGHT(Table1323214[[#This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7" t="s">
        <v>97</v>
      </c>
      <c r="P1559" s="47">
        <f>HEX2DEC(RIGHT(Table1323214[[#This Row],[h1]],8))</f>
        <v>0</v>
      </c>
      <c r="Q1559" s="47" t="s">
        <v>97</v>
      </c>
      <c r="R1559" s="47">
        <f>HEX2DEC(RIGHT(Table1323214[[#This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7" t="s">
        <v>97</v>
      </c>
      <c r="P1560" s="47">
        <f>HEX2DEC(RIGHT(Table1323214[[#This Row],[h1]],8))</f>
        <v>0</v>
      </c>
      <c r="Q1560" s="47" t="s">
        <v>97</v>
      </c>
      <c r="R1560" s="47">
        <f>HEX2DEC(RIGHT(Table1323214[[#This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7" t="s">
        <v>97</v>
      </c>
      <c r="P1561" s="47">
        <f>HEX2DEC(RIGHT(Table1323214[[#This Row],[h1]],8))</f>
        <v>0</v>
      </c>
      <c r="Q1561" s="47" t="s">
        <v>97</v>
      </c>
      <c r="R1561" s="47">
        <f>HEX2DEC(RIGHT(Table1323214[[#This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7" t="s">
        <v>97</v>
      </c>
      <c r="P1562" s="47">
        <f>HEX2DEC(RIGHT(Table1323214[[#This Row],[h1]],8))</f>
        <v>0</v>
      </c>
      <c r="Q1562" s="47" t="s">
        <v>97</v>
      </c>
      <c r="R1562" s="47">
        <f>HEX2DEC(RIGHT(Table1323214[[#This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7" t="s">
        <v>97</v>
      </c>
      <c r="P1563" s="47">
        <f>HEX2DEC(RIGHT(Table1323214[[#This Row],[h1]],8))</f>
        <v>0</v>
      </c>
      <c r="Q1563" s="47" t="s">
        <v>97</v>
      </c>
      <c r="R1563" s="47">
        <f>HEX2DEC(RIGHT(Table1323214[[#This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7" t="s">
        <v>97</v>
      </c>
      <c r="P1564" s="47">
        <f>HEX2DEC(RIGHT(Table1323214[[#This Row],[h1]],8))</f>
        <v>0</v>
      </c>
      <c r="Q1564" s="47" t="s">
        <v>97</v>
      </c>
      <c r="R1564" s="47">
        <f>HEX2DEC(RIGHT(Table1323214[[#This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7" t="s">
        <v>97</v>
      </c>
      <c r="P1565" s="47">
        <f>HEX2DEC(RIGHT(Table1323214[[#This Row],[h1]],8))</f>
        <v>0</v>
      </c>
      <c r="Q1565" s="47" t="s">
        <v>97</v>
      </c>
      <c r="R1565" s="47">
        <f>HEX2DEC(RIGHT(Table1323214[[#This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7" t="s">
        <v>97</v>
      </c>
      <c r="P1566" s="47">
        <f>HEX2DEC(RIGHT(Table1323214[[#This Row],[h1]],8))</f>
        <v>0</v>
      </c>
      <c r="Q1566" s="47" t="s">
        <v>97</v>
      </c>
      <c r="R1566" s="47">
        <f>HEX2DEC(RIGHT(Table1323214[[#This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7" t="s">
        <v>97</v>
      </c>
      <c r="P1567" s="47">
        <f>HEX2DEC(RIGHT(Table1323214[[#This Row],[h1]],8))</f>
        <v>0</v>
      </c>
      <c r="Q1567" s="47" t="s">
        <v>97</v>
      </c>
      <c r="R1567" s="47">
        <f>HEX2DEC(RIGHT(Table1323214[[#This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7" t="s">
        <v>97</v>
      </c>
      <c r="P1568" s="47">
        <f>HEX2DEC(RIGHT(Table1323214[[#This Row],[h1]],8))</f>
        <v>0</v>
      </c>
      <c r="Q1568" s="47" t="s">
        <v>97</v>
      </c>
      <c r="R1568" s="47">
        <f>HEX2DEC(RIGHT(Table1323214[[#This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7" t="s">
        <v>97</v>
      </c>
      <c r="P1569" s="47">
        <f>HEX2DEC(RIGHT(Table1323214[[#This Row],[h1]],8))</f>
        <v>0</v>
      </c>
      <c r="Q1569" s="47" t="s">
        <v>97</v>
      </c>
      <c r="R1569" s="47">
        <f>HEX2DEC(RIGHT(Table1323214[[#This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7" t="s">
        <v>97</v>
      </c>
      <c r="P1570" s="47">
        <f>HEX2DEC(RIGHT(Table1323214[[#This Row],[h1]],8))</f>
        <v>0</v>
      </c>
      <c r="Q1570" s="47" t="s">
        <v>97</v>
      </c>
      <c r="R1570" s="47">
        <f>HEX2DEC(RIGHT(Table1323214[[#This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7" t="s">
        <v>97</v>
      </c>
      <c r="P1571" s="47">
        <f>HEX2DEC(RIGHT(Table1323214[[#This Row],[h1]],8))</f>
        <v>0</v>
      </c>
      <c r="Q1571" s="47" t="s">
        <v>97</v>
      </c>
      <c r="R1571" s="47">
        <f>HEX2DEC(RIGHT(Table1323214[[#This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7" t="s">
        <v>97</v>
      </c>
      <c r="P1572" s="47">
        <f>HEX2DEC(RIGHT(Table1323214[[#This Row],[h1]],8))</f>
        <v>0</v>
      </c>
      <c r="Q1572" s="47" t="s">
        <v>97</v>
      </c>
      <c r="R1572" s="47">
        <f>HEX2DEC(RIGHT(Table1323214[[#This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7" t="s">
        <v>97</v>
      </c>
      <c r="P1573" s="47">
        <f>HEX2DEC(RIGHT(Table1323214[[#This Row],[h1]],8))</f>
        <v>0</v>
      </c>
      <c r="Q1573" s="47" t="s">
        <v>97</v>
      </c>
      <c r="R1573" s="47">
        <f>HEX2DEC(RIGHT(Table1323214[[#This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7" t="s">
        <v>97</v>
      </c>
      <c r="P1574" s="47">
        <f>HEX2DEC(RIGHT(Table1323214[[#This Row],[h1]],8))</f>
        <v>0</v>
      </c>
      <c r="Q1574" s="47" t="s">
        <v>97</v>
      </c>
      <c r="R1574" s="47">
        <f>HEX2DEC(RIGHT(Table1323214[[#This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7" t="s">
        <v>97</v>
      </c>
      <c r="P1575" s="47">
        <f>HEX2DEC(RIGHT(Table1323214[[#This Row],[h1]],8))</f>
        <v>0</v>
      </c>
      <c r="Q1575" s="47" t="s">
        <v>97</v>
      </c>
      <c r="R1575" s="47">
        <f>HEX2DEC(RIGHT(Table1323214[[#This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7" t="s">
        <v>97</v>
      </c>
      <c r="P1576" s="47">
        <f>HEX2DEC(RIGHT(Table1323214[[#This Row],[h1]],8))</f>
        <v>0</v>
      </c>
      <c r="Q1576" s="47" t="s">
        <v>97</v>
      </c>
      <c r="R1576" s="47">
        <f>HEX2DEC(RIGHT(Table1323214[[#This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7" t="s">
        <v>97</v>
      </c>
      <c r="P1577" s="47">
        <f>HEX2DEC(RIGHT(Table1323214[[#This Row],[h1]],8))</f>
        <v>0</v>
      </c>
      <c r="Q1577" s="47" t="s">
        <v>97</v>
      </c>
      <c r="R1577" s="47">
        <f>HEX2DEC(RIGHT(Table1323214[[#This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7" t="s">
        <v>97</v>
      </c>
      <c r="P1578" s="47">
        <f>HEX2DEC(RIGHT(Table1323214[[#This Row],[h1]],8))</f>
        <v>0</v>
      </c>
      <c r="Q1578" s="47" t="s">
        <v>97</v>
      </c>
      <c r="R1578" s="47">
        <f>HEX2DEC(RIGHT(Table1323214[[#This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7" t="s">
        <v>97</v>
      </c>
      <c r="P1579" s="47">
        <f>HEX2DEC(RIGHT(Table1323214[[#This Row],[h1]],8))</f>
        <v>0</v>
      </c>
      <c r="Q1579" s="47" t="s">
        <v>97</v>
      </c>
      <c r="R1579" s="47">
        <f>HEX2DEC(RIGHT(Table1323214[[#This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7" t="s">
        <v>97</v>
      </c>
      <c r="P1580" s="47">
        <f>HEX2DEC(RIGHT(Table1323214[[#This Row],[h1]],8))</f>
        <v>0</v>
      </c>
      <c r="Q1580" s="47" t="s">
        <v>97</v>
      </c>
      <c r="R1580" s="47">
        <f>HEX2DEC(RIGHT(Table1323214[[#This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7" t="s">
        <v>97</v>
      </c>
      <c r="P1581" s="47">
        <f>HEX2DEC(RIGHT(Table1323214[[#This Row],[h1]],8))</f>
        <v>0</v>
      </c>
      <c r="Q1581" s="47" t="s">
        <v>97</v>
      </c>
      <c r="R1581" s="47">
        <f>HEX2DEC(RIGHT(Table1323214[[#This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7" t="s">
        <v>97</v>
      </c>
      <c r="P1582" s="47">
        <f>HEX2DEC(RIGHT(Table1323214[[#This Row],[h1]],8))</f>
        <v>0</v>
      </c>
      <c r="Q1582" s="47" t="s">
        <v>97</v>
      </c>
      <c r="R1582" s="47">
        <f>HEX2DEC(RIGHT(Table1323214[[#This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7" t="s">
        <v>97</v>
      </c>
      <c r="P1583" s="47">
        <f>HEX2DEC(RIGHT(Table1323214[[#This Row],[h1]],8))</f>
        <v>0</v>
      </c>
      <c r="Q1583" s="47" t="s">
        <v>97</v>
      </c>
      <c r="R1583" s="47">
        <f>HEX2DEC(RIGHT(Table1323214[[#This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7" t="s">
        <v>97</v>
      </c>
      <c r="P1584" s="47">
        <f>HEX2DEC(RIGHT(Table1323214[[#This Row],[h1]],8))</f>
        <v>0</v>
      </c>
      <c r="Q1584" s="47" t="s">
        <v>97</v>
      </c>
      <c r="R1584" s="47">
        <f>HEX2DEC(RIGHT(Table1323214[[#This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7" t="s">
        <v>97</v>
      </c>
      <c r="P1585" s="47">
        <f>HEX2DEC(RIGHT(Table1323214[[#This Row],[h1]],8))</f>
        <v>0</v>
      </c>
      <c r="Q1585" s="47" t="s">
        <v>97</v>
      </c>
      <c r="R1585" s="47">
        <f>HEX2DEC(RIGHT(Table1323214[[#This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7" t="s">
        <v>97</v>
      </c>
      <c r="P1586" s="47">
        <f>HEX2DEC(RIGHT(Table1323214[[#This Row],[h1]],8))</f>
        <v>0</v>
      </c>
      <c r="Q1586" s="47" t="s">
        <v>97</v>
      </c>
      <c r="R1586" s="47">
        <f>HEX2DEC(RIGHT(Table1323214[[#This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7" t="s">
        <v>97</v>
      </c>
      <c r="P1587" s="47">
        <f>HEX2DEC(RIGHT(Table1323214[[#This Row],[h1]],8))</f>
        <v>0</v>
      </c>
      <c r="Q1587" s="47" t="s">
        <v>97</v>
      </c>
      <c r="R1587" s="47">
        <f>HEX2DEC(RIGHT(Table1323214[[#This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7" t="s">
        <v>97</v>
      </c>
      <c r="P1588" s="47">
        <f>HEX2DEC(RIGHT(Table1323214[[#This Row],[h1]],8))</f>
        <v>0</v>
      </c>
      <c r="Q1588" s="47" t="s">
        <v>97</v>
      </c>
      <c r="R1588" s="47">
        <f>HEX2DEC(RIGHT(Table1323214[[#This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7" t="s">
        <v>97</v>
      </c>
      <c r="P1589" s="47">
        <f>HEX2DEC(RIGHT(Table1323214[[#This Row],[h1]],8))</f>
        <v>0</v>
      </c>
      <c r="Q1589" s="47" t="s">
        <v>97</v>
      </c>
      <c r="R1589" s="47">
        <f>HEX2DEC(RIGHT(Table1323214[[#This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7" t="s">
        <v>97</v>
      </c>
      <c r="P1590" s="47">
        <f>HEX2DEC(RIGHT(Table1323214[[#This Row],[h1]],8))</f>
        <v>0</v>
      </c>
      <c r="Q1590" s="47" t="s">
        <v>97</v>
      </c>
      <c r="R1590" s="47">
        <f>HEX2DEC(RIGHT(Table1323214[[#This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7" t="s">
        <v>97</v>
      </c>
      <c r="P1591" s="47">
        <f>HEX2DEC(RIGHT(Table1323214[[#This Row],[h1]],8))</f>
        <v>0</v>
      </c>
      <c r="Q1591" s="47" t="s">
        <v>97</v>
      </c>
      <c r="R1591" s="47">
        <f>HEX2DEC(RIGHT(Table1323214[[#This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7" t="s">
        <v>97</v>
      </c>
      <c r="P1592" s="47">
        <f>HEX2DEC(RIGHT(Table1323214[[#This Row],[h1]],8))</f>
        <v>0</v>
      </c>
      <c r="Q1592" s="47" t="s">
        <v>97</v>
      </c>
      <c r="R1592" s="47">
        <f>HEX2DEC(RIGHT(Table1323214[[#This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7" t="s">
        <v>97</v>
      </c>
      <c r="P1593" s="47">
        <f>HEX2DEC(RIGHT(Table1323214[[#This Row],[h1]],8))</f>
        <v>0</v>
      </c>
      <c r="Q1593" s="47" t="s">
        <v>97</v>
      </c>
      <c r="R1593" s="47">
        <f>HEX2DEC(RIGHT(Table1323214[[#This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7" t="s">
        <v>97</v>
      </c>
      <c r="P1594" s="47">
        <f>HEX2DEC(RIGHT(Table1323214[[#This Row],[h1]],8))</f>
        <v>0</v>
      </c>
      <c r="Q1594" s="47" t="s">
        <v>97</v>
      </c>
      <c r="R1594" s="47">
        <f>HEX2DEC(RIGHT(Table1323214[[#This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7" t="s">
        <v>97</v>
      </c>
      <c r="P1595" s="47">
        <f>HEX2DEC(RIGHT(Table1323214[[#This Row],[h1]],8))</f>
        <v>0</v>
      </c>
      <c r="Q1595" s="47" t="s">
        <v>97</v>
      </c>
      <c r="R1595" s="47">
        <f>HEX2DEC(RIGHT(Table1323214[[#This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7" t="s">
        <v>97</v>
      </c>
      <c r="P1596" s="47">
        <f>HEX2DEC(RIGHT(Table1323214[[#This Row],[h1]],8))</f>
        <v>0</v>
      </c>
      <c r="Q1596" s="47" t="s">
        <v>97</v>
      </c>
      <c r="R1596" s="47">
        <f>HEX2DEC(RIGHT(Table1323214[[#This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7" t="s">
        <v>97</v>
      </c>
      <c r="P1597" s="47">
        <f>HEX2DEC(RIGHT(Table1323214[[#This Row],[h1]],8))</f>
        <v>0</v>
      </c>
      <c r="Q1597" s="47" t="s">
        <v>97</v>
      </c>
      <c r="R1597" s="47">
        <f>HEX2DEC(RIGHT(Table1323214[[#This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7" t="s">
        <v>97</v>
      </c>
      <c r="P1598" s="47">
        <f>HEX2DEC(RIGHT(Table1323214[[#This Row],[h1]],8))</f>
        <v>0</v>
      </c>
      <c r="Q1598" s="47" t="s">
        <v>97</v>
      </c>
      <c r="R1598" s="47">
        <f>HEX2DEC(RIGHT(Table1323214[[#This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7" t="s">
        <v>97</v>
      </c>
      <c r="P1599" s="47">
        <f>HEX2DEC(RIGHT(Table1323214[[#This Row],[h1]],8))</f>
        <v>0</v>
      </c>
      <c r="Q1599" s="47" t="s">
        <v>97</v>
      </c>
      <c r="R1599" s="47">
        <f>HEX2DEC(RIGHT(Table1323214[[#This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7" t="s">
        <v>97</v>
      </c>
      <c r="P1600" s="47">
        <f>HEX2DEC(RIGHT(Table1323214[[#This Row],[h1]],8))</f>
        <v>0</v>
      </c>
      <c r="Q1600" s="47" t="s">
        <v>97</v>
      </c>
      <c r="R1600" s="47">
        <f>HEX2DEC(RIGHT(Table1323214[[#This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7" t="s">
        <v>97</v>
      </c>
      <c r="P1601" s="47">
        <f>HEX2DEC(RIGHT(Table1323214[[#This Row],[h1]],8))</f>
        <v>0</v>
      </c>
      <c r="Q1601" s="47" t="s">
        <v>97</v>
      </c>
      <c r="R1601" s="47">
        <f>HEX2DEC(RIGHT(Table1323214[[#This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7" t="s">
        <v>97</v>
      </c>
      <c r="P1602" s="47">
        <f>HEX2DEC(RIGHT(Table1323214[[#This Row],[h1]],8))</f>
        <v>0</v>
      </c>
      <c r="Q1602" s="47" t="s">
        <v>97</v>
      </c>
      <c r="R1602" s="47">
        <f>HEX2DEC(RIGHT(Table1323214[[#This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7" t="s">
        <v>97</v>
      </c>
      <c r="P1603" s="47">
        <f>HEX2DEC(RIGHT(Table1323214[[#This Row],[h1]],8))</f>
        <v>0</v>
      </c>
      <c r="Q1603" s="47" t="s">
        <v>97</v>
      </c>
      <c r="R1603" s="47">
        <f>HEX2DEC(RIGHT(Table1323214[[#This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7" t="s">
        <v>97</v>
      </c>
      <c r="P1604" s="47">
        <f>HEX2DEC(RIGHT(Table1323214[[#This Row],[h1]],8))</f>
        <v>0</v>
      </c>
      <c r="Q1604" s="47" t="s">
        <v>97</v>
      </c>
      <c r="R1604" s="47">
        <f>HEX2DEC(RIGHT(Table1323214[[#This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7" t="s">
        <v>97</v>
      </c>
      <c r="P1605" s="47">
        <f>HEX2DEC(RIGHT(Table1323214[[#This Row],[h1]],8))</f>
        <v>0</v>
      </c>
      <c r="Q1605" s="47" t="s">
        <v>97</v>
      </c>
      <c r="R1605" s="47">
        <f>HEX2DEC(RIGHT(Table1323214[[#This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7" t="s">
        <v>97</v>
      </c>
      <c r="P1606" s="47">
        <f>HEX2DEC(RIGHT(Table1323214[[#This Row],[h1]],8))</f>
        <v>0</v>
      </c>
      <c r="Q1606" s="47" t="s">
        <v>97</v>
      </c>
      <c r="R1606" s="47">
        <f>HEX2DEC(RIGHT(Table1323214[[#This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7" t="s">
        <v>97</v>
      </c>
      <c r="P1607" s="47">
        <f>HEX2DEC(RIGHT(Table1323214[[#This Row],[h1]],8))</f>
        <v>0</v>
      </c>
      <c r="Q1607" s="47" t="s">
        <v>97</v>
      </c>
      <c r="R1607" s="47">
        <f>HEX2DEC(RIGHT(Table1323214[[#This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7" t="s">
        <v>97</v>
      </c>
      <c r="P1608" s="47">
        <f>HEX2DEC(RIGHT(Table1323214[[#This Row],[h1]],8))</f>
        <v>0</v>
      </c>
      <c r="Q1608" s="47" t="s">
        <v>97</v>
      </c>
      <c r="R1608" s="47">
        <f>HEX2DEC(RIGHT(Table1323214[[#This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7" t="s">
        <v>97</v>
      </c>
      <c r="P1609" s="47">
        <f>HEX2DEC(RIGHT(Table1323214[[#This Row],[h1]],8))</f>
        <v>0</v>
      </c>
      <c r="Q1609" s="47" t="s">
        <v>97</v>
      </c>
      <c r="R1609" s="47">
        <f>HEX2DEC(RIGHT(Table1323214[[#This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7" t="s">
        <v>97</v>
      </c>
      <c r="P1610" s="47">
        <f>HEX2DEC(RIGHT(Table1323214[[#This Row],[h1]],8))</f>
        <v>0</v>
      </c>
      <c r="Q1610" s="47" t="s">
        <v>97</v>
      </c>
      <c r="R1610" s="47">
        <f>HEX2DEC(RIGHT(Table1323214[[#This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7" t="s">
        <v>97</v>
      </c>
      <c r="P1611" s="47">
        <f>HEX2DEC(RIGHT(Table1323214[[#This Row],[h1]],8))</f>
        <v>0</v>
      </c>
      <c r="Q1611" s="47" t="s">
        <v>97</v>
      </c>
      <c r="R1611" s="47">
        <f>HEX2DEC(RIGHT(Table1323214[[#This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7" t="s">
        <v>97</v>
      </c>
      <c r="P1612" s="47">
        <f>HEX2DEC(RIGHT(Table1323214[[#This Row],[h1]],8))</f>
        <v>0</v>
      </c>
      <c r="Q1612" s="47" t="s">
        <v>97</v>
      </c>
      <c r="R1612" s="47">
        <f>HEX2DEC(RIGHT(Table1323214[[#This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7" t="s">
        <v>97</v>
      </c>
      <c r="P1613" s="47">
        <f>HEX2DEC(RIGHT(Table1323214[[#This Row],[h1]],8))</f>
        <v>0</v>
      </c>
      <c r="Q1613" s="47" t="s">
        <v>97</v>
      </c>
      <c r="R1613" s="47">
        <f>HEX2DEC(RIGHT(Table1323214[[#This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7" t="s">
        <v>97</v>
      </c>
      <c r="P1614" s="47">
        <f>HEX2DEC(RIGHT(Table1323214[[#This Row],[h1]],8))</f>
        <v>0</v>
      </c>
      <c r="Q1614" s="47" t="s">
        <v>97</v>
      </c>
      <c r="R1614" s="47">
        <f>HEX2DEC(RIGHT(Table1323214[[#This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7" t="s">
        <v>97</v>
      </c>
      <c r="P1615" s="47">
        <f>HEX2DEC(RIGHT(Table1323214[[#This Row],[h1]],8))</f>
        <v>0</v>
      </c>
      <c r="Q1615" s="47" t="s">
        <v>97</v>
      </c>
      <c r="R1615" s="47">
        <f>HEX2DEC(RIGHT(Table1323214[[#This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7" t="s">
        <v>97</v>
      </c>
      <c r="P1616" s="47">
        <f>HEX2DEC(RIGHT(Table1323214[[#This Row],[h1]],8))</f>
        <v>0</v>
      </c>
      <c r="Q1616" s="47" t="s">
        <v>97</v>
      </c>
      <c r="R1616" s="47">
        <f>HEX2DEC(RIGHT(Table1323214[[#This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7" t="s">
        <v>97</v>
      </c>
      <c r="P1617" s="47">
        <f>HEX2DEC(RIGHT(Table1323214[[#This Row],[h1]],8))</f>
        <v>0</v>
      </c>
      <c r="Q1617" s="47" t="s">
        <v>97</v>
      </c>
      <c r="R1617" s="47">
        <f>HEX2DEC(RIGHT(Table1323214[[#This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7" t="s">
        <v>97</v>
      </c>
      <c r="P1618" s="47">
        <f>HEX2DEC(RIGHT(Table1323214[[#This Row],[h1]],8))</f>
        <v>0</v>
      </c>
      <c r="Q1618" s="47" t="s">
        <v>97</v>
      </c>
      <c r="R1618" s="47">
        <f>HEX2DEC(RIGHT(Table1323214[[#This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7" t="s">
        <v>97</v>
      </c>
      <c r="P1619" s="47">
        <f>HEX2DEC(RIGHT(Table1323214[[#This Row],[h1]],8))</f>
        <v>0</v>
      </c>
      <c r="Q1619" s="47" t="s">
        <v>97</v>
      </c>
      <c r="R1619" s="47">
        <f>HEX2DEC(RIGHT(Table1323214[[#This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7" t="s">
        <v>97</v>
      </c>
      <c r="P1620" s="47">
        <f>HEX2DEC(RIGHT(Table1323214[[#This Row],[h1]],8))</f>
        <v>0</v>
      </c>
      <c r="Q1620" s="47" t="s">
        <v>97</v>
      </c>
      <c r="R1620" s="47">
        <f>HEX2DEC(RIGHT(Table1323214[[#This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7" t="s">
        <v>97</v>
      </c>
      <c r="P1621" s="47">
        <f>HEX2DEC(RIGHT(Table1323214[[#This Row],[h1]],8))</f>
        <v>0</v>
      </c>
      <c r="Q1621" s="47" t="s">
        <v>97</v>
      </c>
      <c r="R1621" s="47">
        <f>HEX2DEC(RIGHT(Table1323214[[#This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7" t="s">
        <v>97</v>
      </c>
      <c r="P1622" s="47">
        <f>HEX2DEC(RIGHT(Table1323214[[#This Row],[h1]],8))</f>
        <v>0</v>
      </c>
      <c r="Q1622" s="47" t="s">
        <v>97</v>
      </c>
      <c r="R1622" s="47">
        <f>HEX2DEC(RIGHT(Table1323214[[#This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7" t="s">
        <v>97</v>
      </c>
      <c r="P1623" s="47">
        <f>HEX2DEC(RIGHT(Table1323214[[#This Row],[h1]],8))</f>
        <v>0</v>
      </c>
      <c r="Q1623" s="47" t="s">
        <v>97</v>
      </c>
      <c r="R1623" s="47">
        <f>HEX2DEC(RIGHT(Table1323214[[#This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7" t="s">
        <v>97</v>
      </c>
      <c r="P1624" s="47">
        <f>HEX2DEC(RIGHT(Table1323214[[#This Row],[h1]],8))</f>
        <v>0</v>
      </c>
      <c r="Q1624" s="47" t="s">
        <v>97</v>
      </c>
      <c r="R1624" s="47">
        <f>HEX2DEC(RIGHT(Table1323214[[#This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7" t="s">
        <v>97</v>
      </c>
      <c r="P1625" s="47">
        <f>HEX2DEC(RIGHT(Table1323214[[#This Row],[h1]],8))</f>
        <v>0</v>
      </c>
      <c r="Q1625" s="47" t="s">
        <v>97</v>
      </c>
      <c r="R1625" s="47">
        <f>HEX2DEC(RIGHT(Table1323214[[#This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7" t="s">
        <v>97</v>
      </c>
      <c r="P1626" s="47">
        <f>HEX2DEC(RIGHT(Table1323214[[#This Row],[h1]],8))</f>
        <v>0</v>
      </c>
      <c r="Q1626" s="47" t="s">
        <v>97</v>
      </c>
      <c r="R1626" s="47">
        <f>HEX2DEC(RIGHT(Table1323214[[#This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7" t="s">
        <v>97</v>
      </c>
      <c r="P1627" s="47">
        <f>HEX2DEC(RIGHT(Table1323214[[#This Row],[h1]],8))</f>
        <v>0</v>
      </c>
      <c r="Q1627" s="47" t="s">
        <v>97</v>
      </c>
      <c r="R1627" s="47">
        <f>HEX2DEC(RIGHT(Table1323214[[#This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7" t="s">
        <v>97</v>
      </c>
      <c r="P1628" s="47">
        <f>HEX2DEC(RIGHT(Table1323214[[#This Row],[h1]],8))</f>
        <v>0</v>
      </c>
      <c r="Q1628" s="47" t="s">
        <v>97</v>
      </c>
      <c r="R1628" s="47">
        <f>HEX2DEC(RIGHT(Table1323214[[#This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7" t="s">
        <v>97</v>
      </c>
      <c r="P1629" s="47">
        <f>HEX2DEC(RIGHT(Table1323214[[#This Row],[h1]],8))</f>
        <v>0</v>
      </c>
      <c r="Q1629" s="47" t="s">
        <v>97</v>
      </c>
      <c r="R1629" s="47">
        <f>HEX2DEC(RIGHT(Table1323214[[#This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7" t="s">
        <v>97</v>
      </c>
      <c r="P1630" s="47">
        <f>HEX2DEC(RIGHT(Table1323214[[#This Row],[h1]],8))</f>
        <v>0</v>
      </c>
      <c r="Q1630" s="47" t="s">
        <v>97</v>
      </c>
      <c r="R1630" s="47">
        <f>HEX2DEC(RIGHT(Table1323214[[#This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7" t="s">
        <v>97</v>
      </c>
      <c r="P1631" s="47">
        <f>HEX2DEC(RIGHT(Table1323214[[#This Row],[h1]],8))</f>
        <v>0</v>
      </c>
      <c r="Q1631" s="47" t="s">
        <v>97</v>
      </c>
      <c r="R1631" s="47">
        <f>HEX2DEC(RIGHT(Table1323214[[#This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7" t="s">
        <v>97</v>
      </c>
      <c r="P1632" s="47">
        <f>HEX2DEC(RIGHT(Table1323214[[#This Row],[h1]],8))</f>
        <v>0</v>
      </c>
      <c r="Q1632" s="47" t="s">
        <v>97</v>
      </c>
      <c r="R1632" s="47">
        <f>HEX2DEC(RIGHT(Table1323214[[#This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7" t="s">
        <v>97</v>
      </c>
      <c r="P1633" s="47">
        <f>HEX2DEC(RIGHT(Table1323214[[#This Row],[h1]],8))</f>
        <v>0</v>
      </c>
      <c r="Q1633" s="47" t="s">
        <v>97</v>
      </c>
      <c r="R1633" s="47">
        <f>HEX2DEC(RIGHT(Table1323214[[#This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7" t="s">
        <v>97</v>
      </c>
      <c r="P1634" s="47">
        <f>HEX2DEC(RIGHT(Table1323214[[#This Row],[h1]],8))</f>
        <v>0</v>
      </c>
      <c r="Q1634" s="47" t="s">
        <v>97</v>
      </c>
      <c r="R1634" s="47">
        <f>HEX2DEC(RIGHT(Table1323214[[#This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7" t="s">
        <v>97</v>
      </c>
      <c r="P1635" s="47">
        <f>HEX2DEC(RIGHT(Table1323214[[#This Row],[h1]],8))</f>
        <v>0</v>
      </c>
      <c r="Q1635" s="47" t="s">
        <v>97</v>
      </c>
      <c r="R1635" s="47">
        <f>HEX2DEC(RIGHT(Table1323214[[#This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7" t="s">
        <v>97</v>
      </c>
      <c r="P1636" s="47">
        <f>HEX2DEC(RIGHT(Table1323214[[#This Row],[h1]],8))</f>
        <v>0</v>
      </c>
      <c r="Q1636" s="47" t="s">
        <v>97</v>
      </c>
      <c r="R1636" s="47">
        <f>HEX2DEC(RIGHT(Table1323214[[#This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7" t="s">
        <v>97</v>
      </c>
      <c r="P1637" s="47">
        <f>HEX2DEC(RIGHT(Table1323214[[#This Row],[h1]],8))</f>
        <v>0</v>
      </c>
      <c r="Q1637" s="47" t="s">
        <v>97</v>
      </c>
      <c r="R1637" s="47">
        <f>HEX2DEC(RIGHT(Table1323214[[#This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7" t="s">
        <v>97</v>
      </c>
      <c r="P1638" s="47">
        <f>HEX2DEC(RIGHT(Table1323214[[#This Row],[h1]],8))</f>
        <v>0</v>
      </c>
      <c r="Q1638" s="47" t="s">
        <v>97</v>
      </c>
      <c r="R1638" s="47">
        <f>HEX2DEC(RIGHT(Table1323214[[#This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7" t="s">
        <v>97</v>
      </c>
      <c r="P1639" s="47">
        <f>HEX2DEC(RIGHT(Table1323214[[#This Row],[h1]],8))</f>
        <v>0</v>
      </c>
      <c r="Q1639" s="47" t="s">
        <v>97</v>
      </c>
      <c r="R1639" s="47">
        <f>HEX2DEC(RIGHT(Table1323214[[#This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7" t="s">
        <v>97</v>
      </c>
      <c r="P1640" s="47">
        <f>HEX2DEC(RIGHT(Table1323214[[#This Row],[h1]],8))</f>
        <v>0</v>
      </c>
      <c r="Q1640" s="47" t="s">
        <v>97</v>
      </c>
      <c r="R1640" s="47">
        <f>HEX2DEC(RIGHT(Table1323214[[#This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7" t="s">
        <v>97</v>
      </c>
      <c r="P1641" s="47">
        <f>HEX2DEC(RIGHT(Table1323214[[#This Row],[h1]],8))</f>
        <v>0</v>
      </c>
      <c r="Q1641" s="47" t="s">
        <v>97</v>
      </c>
      <c r="R1641" s="47">
        <f>HEX2DEC(RIGHT(Table1323214[[#This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7" t="s">
        <v>97</v>
      </c>
      <c r="P1642" s="47">
        <f>HEX2DEC(RIGHT(Table1323214[[#This Row],[h1]],8))</f>
        <v>0</v>
      </c>
      <c r="Q1642" s="47" t="s">
        <v>97</v>
      </c>
      <c r="R1642" s="47">
        <f>HEX2DEC(RIGHT(Table1323214[[#This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7" t="s">
        <v>97</v>
      </c>
      <c r="P1643" s="47">
        <f>HEX2DEC(RIGHT(Table1323214[[#This Row],[h1]],8))</f>
        <v>0</v>
      </c>
      <c r="Q1643" s="47" t="s">
        <v>97</v>
      </c>
      <c r="R1643" s="47">
        <f>HEX2DEC(RIGHT(Table1323214[[#This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7" t="s">
        <v>97</v>
      </c>
      <c r="P1644" s="47">
        <f>HEX2DEC(RIGHT(Table1323214[[#This Row],[h1]],8))</f>
        <v>0</v>
      </c>
      <c r="Q1644" s="47" t="s">
        <v>97</v>
      </c>
      <c r="R1644" s="47">
        <f>HEX2DEC(RIGHT(Table1323214[[#This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7" t="s">
        <v>97</v>
      </c>
      <c r="P1645" s="47">
        <f>HEX2DEC(RIGHT(Table1323214[[#This Row],[h1]],8))</f>
        <v>0</v>
      </c>
      <c r="Q1645" s="47" t="s">
        <v>97</v>
      </c>
      <c r="R1645" s="47">
        <f>HEX2DEC(RIGHT(Table1323214[[#This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7" t="s">
        <v>97</v>
      </c>
      <c r="P1646" s="47">
        <f>HEX2DEC(RIGHT(Table1323214[[#This Row],[h1]],8))</f>
        <v>0</v>
      </c>
      <c r="Q1646" s="47" t="s">
        <v>97</v>
      </c>
      <c r="R1646" s="47">
        <f>HEX2DEC(RIGHT(Table1323214[[#This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7" t="s">
        <v>97</v>
      </c>
      <c r="P1647" s="47">
        <f>HEX2DEC(RIGHT(Table1323214[[#This Row],[h1]],8))</f>
        <v>0</v>
      </c>
      <c r="Q1647" s="47" t="s">
        <v>97</v>
      </c>
      <c r="R1647" s="47">
        <f>HEX2DEC(RIGHT(Table1323214[[#This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7" t="s">
        <v>97</v>
      </c>
      <c r="P1648" s="47">
        <f>HEX2DEC(RIGHT(Table1323214[[#This Row],[h1]],8))</f>
        <v>0</v>
      </c>
      <c r="Q1648" s="47" t="s">
        <v>97</v>
      </c>
      <c r="R1648" s="47">
        <f>HEX2DEC(RIGHT(Table1323214[[#This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7" t="s">
        <v>97</v>
      </c>
      <c r="P1649" s="47">
        <f>HEX2DEC(RIGHT(Table1323214[[#This Row],[h1]],8))</f>
        <v>0</v>
      </c>
      <c r="Q1649" s="47" t="s">
        <v>97</v>
      </c>
      <c r="R1649" s="47">
        <f>HEX2DEC(RIGHT(Table1323214[[#This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7" t="s">
        <v>97</v>
      </c>
      <c r="P1650" s="47">
        <f>HEX2DEC(RIGHT(Table1323214[[#This Row],[h1]],8))</f>
        <v>0</v>
      </c>
      <c r="Q1650" s="47" t="s">
        <v>97</v>
      </c>
      <c r="R1650" s="47">
        <f>HEX2DEC(RIGHT(Table1323214[[#This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7" t="s">
        <v>97</v>
      </c>
      <c r="P1651" s="47">
        <f>HEX2DEC(RIGHT(Table1323214[[#This Row],[h1]],8))</f>
        <v>0</v>
      </c>
      <c r="Q1651" s="47" t="s">
        <v>97</v>
      </c>
      <c r="R1651" s="47">
        <f>HEX2DEC(RIGHT(Table1323214[[#This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7" t="s">
        <v>97</v>
      </c>
      <c r="P1652" s="47">
        <f>HEX2DEC(RIGHT(Table1323214[[#This Row],[h1]],8))</f>
        <v>0</v>
      </c>
      <c r="Q1652" s="47" t="s">
        <v>97</v>
      </c>
      <c r="R1652" s="47">
        <f>HEX2DEC(RIGHT(Table1323214[[#This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7" t="s">
        <v>97</v>
      </c>
      <c r="P1653" s="47">
        <f>HEX2DEC(RIGHT(Table1323214[[#This Row],[h1]],8))</f>
        <v>0</v>
      </c>
      <c r="Q1653" s="47" t="s">
        <v>97</v>
      </c>
      <c r="R1653" s="47">
        <f>HEX2DEC(RIGHT(Table1323214[[#This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7" t="s">
        <v>97</v>
      </c>
      <c r="P1654" s="47">
        <f>HEX2DEC(RIGHT(Table1323214[[#This Row],[h1]],8))</f>
        <v>0</v>
      </c>
      <c r="Q1654" s="47" t="s">
        <v>97</v>
      </c>
      <c r="R1654" s="47">
        <f>HEX2DEC(RIGHT(Table1323214[[#This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7" t="s">
        <v>97</v>
      </c>
      <c r="P1655" s="47">
        <f>HEX2DEC(RIGHT(Table1323214[[#This Row],[h1]],8))</f>
        <v>0</v>
      </c>
      <c r="Q1655" s="47" t="s">
        <v>97</v>
      </c>
      <c r="R1655" s="47">
        <f>HEX2DEC(RIGHT(Table1323214[[#This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7" t="s">
        <v>97</v>
      </c>
      <c r="P1656" s="47">
        <f>HEX2DEC(RIGHT(Table1323214[[#This Row],[h1]],8))</f>
        <v>0</v>
      </c>
      <c r="Q1656" s="47" t="s">
        <v>97</v>
      </c>
      <c r="R1656" s="47">
        <f>HEX2DEC(RIGHT(Table1323214[[#This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7" t="s">
        <v>97</v>
      </c>
      <c r="P1657" s="47">
        <f>HEX2DEC(RIGHT(Table1323214[[#This Row],[h1]],8))</f>
        <v>0</v>
      </c>
      <c r="Q1657" s="47" t="s">
        <v>97</v>
      </c>
      <c r="R1657" s="47">
        <f>HEX2DEC(RIGHT(Table1323214[[#This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7" t="s">
        <v>97</v>
      </c>
      <c r="P1658" s="47">
        <f>HEX2DEC(RIGHT(Table1323214[[#This Row],[h1]],8))</f>
        <v>0</v>
      </c>
      <c r="Q1658" s="47" t="s">
        <v>97</v>
      </c>
      <c r="R1658" s="47">
        <f>HEX2DEC(RIGHT(Table1323214[[#This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7" t="s">
        <v>97</v>
      </c>
      <c r="P1659" s="47">
        <f>HEX2DEC(RIGHT(Table1323214[[#This Row],[h1]],8))</f>
        <v>0</v>
      </c>
      <c r="Q1659" s="47" t="s">
        <v>97</v>
      </c>
      <c r="R1659" s="47">
        <f>HEX2DEC(RIGHT(Table1323214[[#This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7" t="s">
        <v>97</v>
      </c>
      <c r="P1660" s="47">
        <f>HEX2DEC(RIGHT(Table1323214[[#This Row],[h1]],8))</f>
        <v>0</v>
      </c>
      <c r="Q1660" s="47" t="s">
        <v>97</v>
      </c>
      <c r="R1660" s="47">
        <f>HEX2DEC(RIGHT(Table1323214[[#This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7" t="s">
        <v>97</v>
      </c>
      <c r="P1661" s="47">
        <f>HEX2DEC(RIGHT(Table1323214[[#This Row],[h1]],8))</f>
        <v>0</v>
      </c>
      <c r="Q1661" s="47" t="s">
        <v>97</v>
      </c>
      <c r="R1661" s="47">
        <f>HEX2DEC(RIGHT(Table1323214[[#This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7" t="s">
        <v>97</v>
      </c>
      <c r="P1662" s="47">
        <f>HEX2DEC(RIGHT(Table1323214[[#This Row],[h1]],8))</f>
        <v>0</v>
      </c>
      <c r="Q1662" s="47" t="s">
        <v>97</v>
      </c>
      <c r="R1662" s="47">
        <f>HEX2DEC(RIGHT(Table1323214[[#This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7" t="s">
        <v>97</v>
      </c>
      <c r="P1663" s="47">
        <f>HEX2DEC(RIGHT(Table1323214[[#This Row],[h1]],8))</f>
        <v>0</v>
      </c>
      <c r="Q1663" s="47" t="s">
        <v>97</v>
      </c>
      <c r="R1663" s="47">
        <f>HEX2DEC(RIGHT(Table1323214[[#This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7" t="s">
        <v>97</v>
      </c>
      <c r="P1664" s="47">
        <f>HEX2DEC(RIGHT(Table1323214[[#This Row],[h1]],8))</f>
        <v>0</v>
      </c>
      <c r="Q1664" s="47" t="s">
        <v>97</v>
      </c>
      <c r="R1664" s="47">
        <f>HEX2DEC(RIGHT(Table1323214[[#This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7" t="s">
        <v>97</v>
      </c>
      <c r="P1665" s="47">
        <f>HEX2DEC(RIGHT(Table1323214[[#This Row],[h1]],8))</f>
        <v>0</v>
      </c>
      <c r="Q1665" s="47" t="s">
        <v>97</v>
      </c>
      <c r="R1665" s="47">
        <f>HEX2DEC(RIGHT(Table1323214[[#This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7" t="s">
        <v>97</v>
      </c>
      <c r="P1666" s="47">
        <f>HEX2DEC(RIGHT(Table1323214[[#This Row],[h1]],8))</f>
        <v>0</v>
      </c>
      <c r="Q1666" s="47" t="s">
        <v>97</v>
      </c>
      <c r="R1666" s="47">
        <f>HEX2DEC(RIGHT(Table1323214[[#This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7" t="s">
        <v>97</v>
      </c>
      <c r="P1667" s="47">
        <f>HEX2DEC(RIGHT(Table1323214[[#This Row],[h1]],8))</f>
        <v>0</v>
      </c>
      <c r="Q1667" s="47" t="s">
        <v>97</v>
      </c>
      <c r="R1667" s="47">
        <f>HEX2DEC(RIGHT(Table1323214[[#This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7" t="s">
        <v>97</v>
      </c>
      <c r="P1668" s="47">
        <f>HEX2DEC(RIGHT(Table1323214[[#This Row],[h1]],8))</f>
        <v>0</v>
      </c>
      <c r="Q1668" s="47" t="s">
        <v>97</v>
      </c>
      <c r="R1668" s="47">
        <f>HEX2DEC(RIGHT(Table1323214[[#This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7" t="s">
        <v>97</v>
      </c>
      <c r="P1669" s="47">
        <f>HEX2DEC(RIGHT(Table1323214[[#This Row],[h1]],8))</f>
        <v>0</v>
      </c>
      <c r="Q1669" s="47" t="s">
        <v>97</v>
      </c>
      <c r="R1669" s="47">
        <f>HEX2DEC(RIGHT(Table1323214[[#This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7" t="s">
        <v>97</v>
      </c>
      <c r="P1670" s="47">
        <f>HEX2DEC(RIGHT(Table1323214[[#This Row],[h1]],8))</f>
        <v>0</v>
      </c>
      <c r="Q1670" s="47" t="s">
        <v>97</v>
      </c>
      <c r="R1670" s="47">
        <f>HEX2DEC(RIGHT(Table1323214[[#This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7" t="s">
        <v>97</v>
      </c>
      <c r="P1671" s="47">
        <f>HEX2DEC(RIGHT(Table1323214[[#This Row],[h1]],8))</f>
        <v>0</v>
      </c>
      <c r="Q1671" s="47" t="s">
        <v>97</v>
      </c>
      <c r="R1671" s="47">
        <f>HEX2DEC(RIGHT(Table1323214[[#This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7" t="s">
        <v>97</v>
      </c>
      <c r="P1672" s="47">
        <f>HEX2DEC(RIGHT(Table1323214[[#This Row],[h1]],8))</f>
        <v>0</v>
      </c>
      <c r="Q1672" s="47" t="s">
        <v>97</v>
      </c>
      <c r="R1672" s="47">
        <f>HEX2DEC(RIGHT(Table1323214[[#This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7" t="s">
        <v>97</v>
      </c>
      <c r="P1673" s="47">
        <f>HEX2DEC(RIGHT(Table1323214[[#This Row],[h1]],8))</f>
        <v>0</v>
      </c>
      <c r="Q1673" s="47" t="s">
        <v>97</v>
      </c>
      <c r="R1673" s="47">
        <f>HEX2DEC(RIGHT(Table1323214[[#This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7" t="s">
        <v>97</v>
      </c>
      <c r="P1674" s="47">
        <f>HEX2DEC(RIGHT(Table1323214[[#This Row],[h1]],8))</f>
        <v>0</v>
      </c>
      <c r="Q1674" s="47" t="s">
        <v>97</v>
      </c>
      <c r="R1674" s="47">
        <f>HEX2DEC(RIGHT(Table1323214[[#This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7" t="s">
        <v>97</v>
      </c>
      <c r="P1675" s="47">
        <f>HEX2DEC(RIGHT(Table1323214[[#This Row],[h1]],8))</f>
        <v>0</v>
      </c>
      <c r="Q1675" s="47" t="s">
        <v>97</v>
      </c>
      <c r="R1675" s="47">
        <f>HEX2DEC(RIGHT(Table1323214[[#This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7" t="s">
        <v>97</v>
      </c>
      <c r="P1676" s="47">
        <f>HEX2DEC(RIGHT(Table1323214[[#This Row],[h1]],8))</f>
        <v>0</v>
      </c>
      <c r="Q1676" s="47" t="s">
        <v>97</v>
      </c>
      <c r="R1676" s="47">
        <f>HEX2DEC(RIGHT(Table1323214[[#This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7" t="s">
        <v>97</v>
      </c>
      <c r="P1677" s="47">
        <f>HEX2DEC(RIGHT(Table1323214[[#This Row],[h1]],8))</f>
        <v>0</v>
      </c>
      <c r="Q1677" s="47" t="s">
        <v>97</v>
      </c>
      <c r="R1677" s="47">
        <f>HEX2DEC(RIGHT(Table1323214[[#This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7" t="s">
        <v>97</v>
      </c>
      <c r="P1678" s="47">
        <f>HEX2DEC(RIGHT(Table1323214[[#This Row],[h1]],8))</f>
        <v>0</v>
      </c>
      <c r="Q1678" s="47" t="s">
        <v>97</v>
      </c>
      <c r="R1678" s="47">
        <f>HEX2DEC(RIGHT(Table1323214[[#This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7" t="s">
        <v>97</v>
      </c>
      <c r="P1679" s="47">
        <f>HEX2DEC(RIGHT(Table1323214[[#This Row],[h1]],8))</f>
        <v>0</v>
      </c>
      <c r="Q1679" s="47" t="s">
        <v>97</v>
      </c>
      <c r="R1679" s="47">
        <f>HEX2DEC(RIGHT(Table1323214[[#This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7" t="s">
        <v>97</v>
      </c>
      <c r="P1680" s="47">
        <f>HEX2DEC(RIGHT(Table1323214[[#This Row],[h1]],8))</f>
        <v>0</v>
      </c>
      <c r="Q1680" s="47" t="s">
        <v>97</v>
      </c>
      <c r="R1680" s="47">
        <f>HEX2DEC(RIGHT(Table1323214[[#This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7" t="s">
        <v>97</v>
      </c>
      <c r="P1681" s="47">
        <f>HEX2DEC(RIGHT(Table1323214[[#This Row],[h1]],8))</f>
        <v>0</v>
      </c>
      <c r="Q1681" s="47" t="s">
        <v>97</v>
      </c>
      <c r="R1681" s="47">
        <f>HEX2DEC(RIGHT(Table1323214[[#This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7" t="s">
        <v>97</v>
      </c>
      <c r="P1682" s="47">
        <f>HEX2DEC(RIGHT(Table1323214[[#This Row],[h1]],8))</f>
        <v>0</v>
      </c>
      <c r="Q1682" s="47" t="s">
        <v>97</v>
      </c>
      <c r="R1682" s="47">
        <f>HEX2DEC(RIGHT(Table1323214[[#This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7" t="s">
        <v>97</v>
      </c>
      <c r="P1683" s="47">
        <f>HEX2DEC(RIGHT(Table1323214[[#This Row],[h1]],8))</f>
        <v>0</v>
      </c>
      <c r="Q1683" s="47" t="s">
        <v>97</v>
      </c>
      <c r="R1683" s="47">
        <f>HEX2DEC(RIGHT(Table1323214[[#This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7" t="s">
        <v>97</v>
      </c>
      <c r="P1684" s="47">
        <f>HEX2DEC(RIGHT(Table1323214[[#This Row],[h1]],8))</f>
        <v>0</v>
      </c>
      <c r="Q1684" s="47" t="s">
        <v>97</v>
      </c>
      <c r="R1684" s="47">
        <f>HEX2DEC(RIGHT(Table1323214[[#This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7" t="s">
        <v>97</v>
      </c>
      <c r="P1685" s="47">
        <f>HEX2DEC(RIGHT(Table1323214[[#This Row],[h1]],8))</f>
        <v>0</v>
      </c>
      <c r="Q1685" s="47" t="s">
        <v>97</v>
      </c>
      <c r="R1685" s="47">
        <f>HEX2DEC(RIGHT(Table1323214[[#This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7" t="s">
        <v>97</v>
      </c>
      <c r="P1686" s="47">
        <f>HEX2DEC(RIGHT(Table1323214[[#This Row],[h1]],8))</f>
        <v>0</v>
      </c>
      <c r="Q1686" s="47" t="s">
        <v>97</v>
      </c>
      <c r="R1686" s="47">
        <f>HEX2DEC(RIGHT(Table1323214[[#This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7" t="s">
        <v>97</v>
      </c>
      <c r="P1687" s="47">
        <f>HEX2DEC(RIGHT(Table1323214[[#This Row],[h1]],8))</f>
        <v>0</v>
      </c>
      <c r="Q1687" s="47" t="s">
        <v>97</v>
      </c>
      <c r="R1687" s="47">
        <f>HEX2DEC(RIGHT(Table1323214[[#This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7" t="s">
        <v>97</v>
      </c>
      <c r="P1688" s="47">
        <f>HEX2DEC(RIGHT(Table1323214[[#This Row],[h1]],8))</f>
        <v>0</v>
      </c>
      <c r="Q1688" s="47" t="s">
        <v>97</v>
      </c>
      <c r="R1688" s="47">
        <f>HEX2DEC(RIGHT(Table1323214[[#This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7" t="s">
        <v>97</v>
      </c>
      <c r="P1689" s="47">
        <f>HEX2DEC(RIGHT(Table1323214[[#This Row],[h1]],8))</f>
        <v>0</v>
      </c>
      <c r="Q1689" s="47" t="s">
        <v>97</v>
      </c>
      <c r="R1689" s="47">
        <f>HEX2DEC(RIGHT(Table1323214[[#This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7" t="s">
        <v>97</v>
      </c>
      <c r="P1690" s="47">
        <f>HEX2DEC(RIGHT(Table1323214[[#This Row],[h1]],8))</f>
        <v>0</v>
      </c>
      <c r="Q1690" s="47" t="s">
        <v>97</v>
      </c>
      <c r="R1690" s="47">
        <f>HEX2DEC(RIGHT(Table1323214[[#This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7" t="s">
        <v>97</v>
      </c>
      <c r="P1691" s="47">
        <f>HEX2DEC(RIGHT(Table1323214[[#This Row],[h1]],8))</f>
        <v>0</v>
      </c>
      <c r="Q1691" s="47" t="s">
        <v>97</v>
      </c>
      <c r="R1691" s="47">
        <f>HEX2DEC(RIGHT(Table1323214[[#This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7" t="s">
        <v>97</v>
      </c>
      <c r="P1692" s="47">
        <f>HEX2DEC(RIGHT(Table1323214[[#This Row],[h1]],8))</f>
        <v>0</v>
      </c>
      <c r="Q1692" s="47" t="s">
        <v>97</v>
      </c>
      <c r="R1692" s="47">
        <f>HEX2DEC(RIGHT(Table1323214[[#This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7" t="s">
        <v>97</v>
      </c>
      <c r="P1693" s="47">
        <f>HEX2DEC(RIGHT(Table1323214[[#This Row],[h1]],8))</f>
        <v>0</v>
      </c>
      <c r="Q1693" s="47" t="s">
        <v>97</v>
      </c>
      <c r="R1693" s="47">
        <f>HEX2DEC(RIGHT(Table1323214[[#This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7" t="s">
        <v>97</v>
      </c>
      <c r="P1694" s="47">
        <f>HEX2DEC(RIGHT(Table1323214[[#This Row],[h1]],8))</f>
        <v>0</v>
      </c>
      <c r="Q1694" s="47" t="s">
        <v>97</v>
      </c>
      <c r="R1694" s="47">
        <f>HEX2DEC(RIGHT(Table1323214[[#This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7" t="s">
        <v>97</v>
      </c>
      <c r="P1695" s="47">
        <f>HEX2DEC(RIGHT(Table1323214[[#This Row],[h1]],8))</f>
        <v>0</v>
      </c>
      <c r="Q1695" s="47" t="s">
        <v>97</v>
      </c>
      <c r="R1695" s="47">
        <f>HEX2DEC(RIGHT(Table1323214[[#This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7" t="s">
        <v>97</v>
      </c>
      <c r="P1696" s="47">
        <f>HEX2DEC(RIGHT(Table1323214[[#This Row],[h1]],8))</f>
        <v>0</v>
      </c>
      <c r="Q1696" s="47" t="s">
        <v>97</v>
      </c>
      <c r="R1696" s="47">
        <f>HEX2DEC(RIGHT(Table1323214[[#This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7" t="s">
        <v>97</v>
      </c>
      <c r="P1697" s="47">
        <f>HEX2DEC(RIGHT(Table1323214[[#This Row],[h1]],8))</f>
        <v>0</v>
      </c>
      <c r="Q1697" s="47" t="s">
        <v>97</v>
      </c>
      <c r="R1697" s="47">
        <f>HEX2DEC(RIGHT(Table1323214[[#This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7" t="s">
        <v>97</v>
      </c>
      <c r="P1698" s="47">
        <f>HEX2DEC(RIGHT(Table1323214[[#This Row],[h1]],8))</f>
        <v>0</v>
      </c>
      <c r="Q1698" s="47" t="s">
        <v>97</v>
      </c>
      <c r="R1698" s="47">
        <f>HEX2DEC(RIGHT(Table1323214[[#This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7" t="s">
        <v>97</v>
      </c>
      <c r="P1699" s="47">
        <f>HEX2DEC(RIGHT(Table1323214[[#This Row],[h1]],8))</f>
        <v>0</v>
      </c>
      <c r="Q1699" s="47" t="s">
        <v>97</v>
      </c>
      <c r="R1699" s="47">
        <f>HEX2DEC(RIGHT(Table1323214[[#This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7" t="s">
        <v>97</v>
      </c>
      <c r="P1700" s="47">
        <f>HEX2DEC(RIGHT(Table1323214[[#This Row],[h1]],8))</f>
        <v>0</v>
      </c>
      <c r="Q1700" s="47" t="s">
        <v>97</v>
      </c>
      <c r="R1700" s="47">
        <f>HEX2DEC(RIGHT(Table1323214[[#This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7" t="s">
        <v>97</v>
      </c>
      <c r="P1701" s="47">
        <f>HEX2DEC(RIGHT(Table1323214[[#This Row],[h1]],8))</f>
        <v>0</v>
      </c>
      <c r="Q1701" s="47" t="s">
        <v>97</v>
      </c>
      <c r="R1701" s="47">
        <f>HEX2DEC(RIGHT(Table1323214[[#This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7" t="s">
        <v>97</v>
      </c>
      <c r="P1702" s="47">
        <f>HEX2DEC(RIGHT(Table1323214[[#This Row],[h1]],8))</f>
        <v>0</v>
      </c>
      <c r="Q1702" s="47" t="s">
        <v>97</v>
      </c>
      <c r="R1702" s="47">
        <f>HEX2DEC(RIGHT(Table1323214[[#This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7" t="s">
        <v>97</v>
      </c>
      <c r="P1703" s="47">
        <f>HEX2DEC(RIGHT(Table1323214[[#This Row],[h1]],8))</f>
        <v>0</v>
      </c>
      <c r="Q1703" s="47" t="s">
        <v>97</v>
      </c>
      <c r="R1703" s="47">
        <f>HEX2DEC(RIGHT(Table1323214[[#This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7" t="s">
        <v>97</v>
      </c>
      <c r="P1704" s="47">
        <f>HEX2DEC(RIGHT(Table1323214[[#This Row],[h1]],8))</f>
        <v>0</v>
      </c>
      <c r="Q1704" s="47" t="s">
        <v>97</v>
      </c>
      <c r="R1704" s="47">
        <f>HEX2DEC(RIGHT(Table1323214[[#This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7" t="s">
        <v>97</v>
      </c>
      <c r="P1705" s="47">
        <f>HEX2DEC(RIGHT(Table1323214[[#This Row],[h1]],8))</f>
        <v>0</v>
      </c>
      <c r="Q1705" s="47" t="s">
        <v>97</v>
      </c>
      <c r="R1705" s="47">
        <f>HEX2DEC(RIGHT(Table1323214[[#This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7" t="s">
        <v>97</v>
      </c>
      <c r="P1706" s="47">
        <f>HEX2DEC(RIGHT(Table1323214[[#This Row],[h1]],8))</f>
        <v>0</v>
      </c>
      <c r="Q1706" s="47" t="s">
        <v>97</v>
      </c>
      <c r="R1706" s="47">
        <f>HEX2DEC(RIGHT(Table1323214[[#This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7" t="s">
        <v>97</v>
      </c>
      <c r="P1707" s="47">
        <f>HEX2DEC(RIGHT(Table1323214[[#This Row],[h1]],8))</f>
        <v>0</v>
      </c>
      <c r="Q1707" s="47" t="s">
        <v>97</v>
      </c>
      <c r="R1707" s="47">
        <f>HEX2DEC(RIGHT(Table1323214[[#This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7" t="s">
        <v>97</v>
      </c>
      <c r="P1708" s="47">
        <f>HEX2DEC(RIGHT(Table1323214[[#This Row],[h1]],8))</f>
        <v>0</v>
      </c>
      <c r="Q1708" s="47" t="s">
        <v>97</v>
      </c>
      <c r="R1708" s="47">
        <f>HEX2DEC(RIGHT(Table1323214[[#This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7" t="s">
        <v>97</v>
      </c>
      <c r="P1709" s="47">
        <f>HEX2DEC(RIGHT(Table1323214[[#This Row],[h1]],8))</f>
        <v>0</v>
      </c>
      <c r="Q1709" s="47" t="s">
        <v>97</v>
      </c>
      <c r="R1709" s="47">
        <f>HEX2DEC(RIGHT(Table1323214[[#This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7" t="s">
        <v>97</v>
      </c>
      <c r="P1710" s="47">
        <f>HEX2DEC(RIGHT(Table1323214[[#This Row],[h1]],8))</f>
        <v>0</v>
      </c>
      <c r="Q1710" s="47" t="s">
        <v>97</v>
      </c>
      <c r="R1710" s="47">
        <f>HEX2DEC(RIGHT(Table1323214[[#This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7" t="s">
        <v>97</v>
      </c>
      <c r="P1711" s="47">
        <f>HEX2DEC(RIGHT(Table1323214[[#This Row],[h1]],8))</f>
        <v>0</v>
      </c>
      <c r="Q1711" s="47" t="s">
        <v>97</v>
      </c>
      <c r="R1711" s="47">
        <f>HEX2DEC(RIGHT(Table1323214[[#This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7" t="s">
        <v>97</v>
      </c>
      <c r="P1712" s="47">
        <f>HEX2DEC(RIGHT(Table1323214[[#This Row],[h1]],8))</f>
        <v>0</v>
      </c>
      <c r="Q1712" s="47" t="s">
        <v>97</v>
      </c>
      <c r="R1712" s="47">
        <f>HEX2DEC(RIGHT(Table1323214[[#This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7" t="s">
        <v>97</v>
      </c>
      <c r="P1713" s="47">
        <f>HEX2DEC(RIGHT(Table1323214[[#This Row],[h1]],8))</f>
        <v>0</v>
      </c>
      <c r="Q1713" s="47" t="s">
        <v>97</v>
      </c>
      <c r="R1713" s="47">
        <f>HEX2DEC(RIGHT(Table1323214[[#This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7" t="s">
        <v>97</v>
      </c>
      <c r="P1714" s="47">
        <f>HEX2DEC(RIGHT(Table1323214[[#This Row],[h1]],8))</f>
        <v>0</v>
      </c>
      <c r="Q1714" s="47" t="s">
        <v>97</v>
      </c>
      <c r="R1714" s="47">
        <f>HEX2DEC(RIGHT(Table1323214[[#This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7" t="s">
        <v>97</v>
      </c>
      <c r="P1715" s="47">
        <f>HEX2DEC(RIGHT(Table1323214[[#This Row],[h1]],8))</f>
        <v>0</v>
      </c>
      <c r="Q1715" s="47" t="s">
        <v>97</v>
      </c>
      <c r="R1715" s="47">
        <f>HEX2DEC(RIGHT(Table1323214[[#This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7" t="s">
        <v>97</v>
      </c>
      <c r="P1716" s="47">
        <f>HEX2DEC(RIGHT(Table1323214[[#This Row],[h1]],8))</f>
        <v>0</v>
      </c>
      <c r="Q1716" s="47" t="s">
        <v>97</v>
      </c>
      <c r="R1716" s="47">
        <f>HEX2DEC(RIGHT(Table1323214[[#This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7" t="s">
        <v>97</v>
      </c>
      <c r="P1717" s="47">
        <f>HEX2DEC(RIGHT(Table1323214[[#This Row],[h1]],8))</f>
        <v>0</v>
      </c>
      <c r="Q1717" s="47" t="s">
        <v>97</v>
      </c>
      <c r="R1717" s="47">
        <f>HEX2DEC(RIGHT(Table1323214[[#This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7" t="s">
        <v>97</v>
      </c>
      <c r="P1718" s="47">
        <f>HEX2DEC(RIGHT(Table1323214[[#This Row],[h1]],8))</f>
        <v>0</v>
      </c>
      <c r="Q1718" s="47" t="s">
        <v>97</v>
      </c>
      <c r="R1718" s="47">
        <f>HEX2DEC(RIGHT(Table1323214[[#This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7" t="s">
        <v>97</v>
      </c>
      <c r="P1719" s="47">
        <f>HEX2DEC(RIGHT(Table1323214[[#This Row],[h1]],8))</f>
        <v>0</v>
      </c>
      <c r="Q1719" s="47" t="s">
        <v>97</v>
      </c>
      <c r="R1719" s="47">
        <f>HEX2DEC(RIGHT(Table1323214[[#This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7" t="s">
        <v>97</v>
      </c>
      <c r="P1720" s="47">
        <f>HEX2DEC(RIGHT(Table1323214[[#This Row],[h1]],8))</f>
        <v>0</v>
      </c>
      <c r="Q1720" s="47" t="s">
        <v>97</v>
      </c>
      <c r="R1720" s="47">
        <f>HEX2DEC(RIGHT(Table1323214[[#This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7" t="s">
        <v>97</v>
      </c>
      <c r="P1721" s="47">
        <f>HEX2DEC(RIGHT(Table1323214[[#This Row],[h1]],8))</f>
        <v>0</v>
      </c>
      <c r="Q1721" s="47" t="s">
        <v>97</v>
      </c>
      <c r="R1721" s="47">
        <f>HEX2DEC(RIGHT(Table1323214[[#This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7" t="s">
        <v>97</v>
      </c>
      <c r="P1722" s="47">
        <f>HEX2DEC(RIGHT(Table1323214[[#This Row],[h1]],8))</f>
        <v>0</v>
      </c>
      <c r="Q1722" s="47" t="s">
        <v>97</v>
      </c>
      <c r="R1722" s="47">
        <f>HEX2DEC(RIGHT(Table1323214[[#This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7" t="s">
        <v>97</v>
      </c>
      <c r="P1723" s="47">
        <f>HEX2DEC(RIGHT(Table1323214[[#This Row],[h1]],8))</f>
        <v>0</v>
      </c>
      <c r="Q1723" s="47" t="s">
        <v>97</v>
      </c>
      <c r="R1723" s="47">
        <f>HEX2DEC(RIGHT(Table1323214[[#This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7" t="s">
        <v>97</v>
      </c>
      <c r="P1724" s="47">
        <f>HEX2DEC(RIGHT(Table1323214[[#This Row],[h1]],8))</f>
        <v>0</v>
      </c>
      <c r="Q1724" s="47" t="s">
        <v>97</v>
      </c>
      <c r="R1724" s="47">
        <f>HEX2DEC(RIGHT(Table1323214[[#This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7" t="s">
        <v>97</v>
      </c>
      <c r="P1725" s="47">
        <f>HEX2DEC(RIGHT(Table1323214[[#This Row],[h1]],8))</f>
        <v>0</v>
      </c>
      <c r="Q1725" s="47" t="s">
        <v>97</v>
      </c>
      <c r="R1725" s="47">
        <f>HEX2DEC(RIGHT(Table1323214[[#This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7" t="s">
        <v>97</v>
      </c>
      <c r="P1726" s="47">
        <f>HEX2DEC(RIGHT(Table1323214[[#This Row],[h1]],8))</f>
        <v>0</v>
      </c>
      <c r="Q1726" s="47" t="s">
        <v>97</v>
      </c>
      <c r="R1726" s="47">
        <f>HEX2DEC(RIGHT(Table1323214[[#This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7" t="s">
        <v>97</v>
      </c>
      <c r="P1727" s="47">
        <f>HEX2DEC(RIGHT(Table1323214[[#This Row],[h1]],8))</f>
        <v>0</v>
      </c>
      <c r="Q1727" s="47" t="s">
        <v>97</v>
      </c>
      <c r="R1727" s="47">
        <f>HEX2DEC(RIGHT(Table1323214[[#This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7" t="s">
        <v>97</v>
      </c>
      <c r="P1728" s="47">
        <f>HEX2DEC(RIGHT(Table1323214[[#This Row],[h1]],8))</f>
        <v>0</v>
      </c>
      <c r="Q1728" s="47" t="s">
        <v>97</v>
      </c>
      <c r="R1728" s="47">
        <f>HEX2DEC(RIGHT(Table1323214[[#This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7" t="s">
        <v>97</v>
      </c>
      <c r="P1729" s="47">
        <f>HEX2DEC(RIGHT(Table1323214[[#This Row],[h1]],8))</f>
        <v>0</v>
      </c>
      <c r="Q1729" s="47" t="s">
        <v>97</v>
      </c>
      <c r="R1729" s="47">
        <f>HEX2DEC(RIGHT(Table1323214[[#This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7" t="s">
        <v>97</v>
      </c>
      <c r="P1730" s="47">
        <f>HEX2DEC(RIGHT(Table1323214[[#This Row],[h1]],8))</f>
        <v>0</v>
      </c>
      <c r="Q1730" s="47" t="s">
        <v>97</v>
      </c>
      <c r="R1730" s="47">
        <f>HEX2DEC(RIGHT(Table1323214[[#This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7" t="s">
        <v>97</v>
      </c>
      <c r="P1731" s="47">
        <f>HEX2DEC(RIGHT(Table1323214[[#This Row],[h1]],8))</f>
        <v>0</v>
      </c>
      <c r="Q1731" s="47" t="s">
        <v>97</v>
      </c>
      <c r="R1731" s="47">
        <f>HEX2DEC(RIGHT(Table1323214[[#This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7" t="s">
        <v>97</v>
      </c>
      <c r="P1732" s="47">
        <f>HEX2DEC(RIGHT(Table1323214[[#This Row],[h1]],8))</f>
        <v>0</v>
      </c>
      <c r="Q1732" s="47" t="s">
        <v>97</v>
      </c>
      <c r="R1732" s="47">
        <f>HEX2DEC(RIGHT(Table1323214[[#This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7" t="s">
        <v>97</v>
      </c>
      <c r="P1733" s="47">
        <f>HEX2DEC(RIGHT(Table1323214[[#This Row],[h1]],8))</f>
        <v>0</v>
      </c>
      <c r="Q1733" s="47" t="s">
        <v>97</v>
      </c>
      <c r="R1733" s="47">
        <f>HEX2DEC(RIGHT(Table1323214[[#This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7" t="s">
        <v>97</v>
      </c>
      <c r="P1734" s="47">
        <f>HEX2DEC(RIGHT(Table1323214[[#This Row],[h1]],8))</f>
        <v>0</v>
      </c>
      <c r="Q1734" s="47" t="s">
        <v>97</v>
      </c>
      <c r="R1734" s="47">
        <f>HEX2DEC(RIGHT(Table1323214[[#This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7" t="s">
        <v>97</v>
      </c>
      <c r="P1735" s="47">
        <f>HEX2DEC(RIGHT(Table1323214[[#This Row],[h1]],8))</f>
        <v>0</v>
      </c>
      <c r="Q1735" s="47" t="s">
        <v>97</v>
      </c>
      <c r="R1735" s="47">
        <f>HEX2DEC(RIGHT(Table1323214[[#This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7" t="s">
        <v>97</v>
      </c>
      <c r="P1736" s="47">
        <f>HEX2DEC(RIGHT(Table1323214[[#This Row],[h1]],8))</f>
        <v>0</v>
      </c>
      <c r="Q1736" s="47" t="s">
        <v>97</v>
      </c>
      <c r="R1736" s="47">
        <f>HEX2DEC(RIGHT(Table1323214[[#This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7" t="s">
        <v>97</v>
      </c>
      <c r="P1737" s="47">
        <f>HEX2DEC(RIGHT(Table1323214[[#This Row],[h1]],8))</f>
        <v>0</v>
      </c>
      <c r="Q1737" s="47" t="s">
        <v>97</v>
      </c>
      <c r="R1737" s="47">
        <f>HEX2DEC(RIGHT(Table1323214[[#This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7" t="s">
        <v>97</v>
      </c>
      <c r="P1738" s="47">
        <f>HEX2DEC(RIGHT(Table1323214[[#This Row],[h1]],8))</f>
        <v>0</v>
      </c>
      <c r="Q1738" s="47" t="s">
        <v>97</v>
      </c>
      <c r="R1738" s="47">
        <f>HEX2DEC(RIGHT(Table1323214[[#This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7" t="s">
        <v>97</v>
      </c>
      <c r="P1739" s="47">
        <f>HEX2DEC(RIGHT(Table1323214[[#This Row],[h1]],8))</f>
        <v>0</v>
      </c>
      <c r="Q1739" s="47" t="s">
        <v>97</v>
      </c>
      <c r="R1739" s="47">
        <f>HEX2DEC(RIGHT(Table1323214[[#This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7" t="s">
        <v>97</v>
      </c>
      <c r="P1740" s="47">
        <f>HEX2DEC(RIGHT(Table1323214[[#This Row],[h1]],8))</f>
        <v>0</v>
      </c>
      <c r="Q1740" s="47" t="s">
        <v>97</v>
      </c>
      <c r="R1740" s="47">
        <f>HEX2DEC(RIGHT(Table1323214[[#This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7" t="s">
        <v>97</v>
      </c>
      <c r="P1741" s="47">
        <f>HEX2DEC(RIGHT(Table1323214[[#This Row],[h1]],8))</f>
        <v>0</v>
      </c>
      <c r="Q1741" s="47" t="s">
        <v>97</v>
      </c>
      <c r="R1741" s="47">
        <f>HEX2DEC(RIGHT(Table1323214[[#This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7" t="s">
        <v>97</v>
      </c>
      <c r="P1742" s="47">
        <f>HEX2DEC(RIGHT(Table1323214[[#This Row],[h1]],8))</f>
        <v>0</v>
      </c>
      <c r="Q1742" s="47" t="s">
        <v>97</v>
      </c>
      <c r="R1742" s="47">
        <f>HEX2DEC(RIGHT(Table1323214[[#This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7" t="s">
        <v>97</v>
      </c>
      <c r="P1743" s="47">
        <f>HEX2DEC(RIGHT(Table1323214[[#This Row],[h1]],8))</f>
        <v>0</v>
      </c>
      <c r="Q1743" s="47" t="s">
        <v>97</v>
      </c>
      <c r="R1743" s="47">
        <f>HEX2DEC(RIGHT(Table1323214[[#This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7" t="s">
        <v>97</v>
      </c>
      <c r="P1744" s="47">
        <f>HEX2DEC(RIGHT(Table1323214[[#This Row],[h1]],8))</f>
        <v>0</v>
      </c>
      <c r="Q1744" s="47" t="s">
        <v>97</v>
      </c>
      <c r="R1744" s="47">
        <f>HEX2DEC(RIGHT(Table1323214[[#This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7" t="s">
        <v>97</v>
      </c>
      <c r="P1745" s="47">
        <f>HEX2DEC(RIGHT(Table1323214[[#This Row],[h1]],8))</f>
        <v>0</v>
      </c>
      <c r="Q1745" s="47" t="s">
        <v>97</v>
      </c>
      <c r="R1745" s="47">
        <f>HEX2DEC(RIGHT(Table1323214[[#This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7" t="s">
        <v>97</v>
      </c>
      <c r="P1746" s="47">
        <f>HEX2DEC(RIGHT(Table1323214[[#This Row],[h1]],8))</f>
        <v>0</v>
      </c>
      <c r="Q1746" s="47" t="s">
        <v>97</v>
      </c>
      <c r="R1746" s="47">
        <f>HEX2DEC(RIGHT(Table1323214[[#This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7" t="s">
        <v>97</v>
      </c>
      <c r="P1747" s="47">
        <f>HEX2DEC(RIGHT(Table1323214[[#This Row],[h1]],8))</f>
        <v>0</v>
      </c>
      <c r="Q1747" s="47" t="s">
        <v>97</v>
      </c>
      <c r="R1747" s="47">
        <f>HEX2DEC(RIGHT(Table1323214[[#This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7" t="s">
        <v>97</v>
      </c>
      <c r="P1748" s="47">
        <f>HEX2DEC(RIGHT(Table1323214[[#This Row],[h1]],8))</f>
        <v>0</v>
      </c>
      <c r="Q1748" s="47" t="s">
        <v>97</v>
      </c>
      <c r="R1748" s="47">
        <f>HEX2DEC(RIGHT(Table1323214[[#This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7" t="s">
        <v>97</v>
      </c>
      <c r="P1749" s="47">
        <f>HEX2DEC(RIGHT(Table1323214[[#This Row],[h1]],8))</f>
        <v>0</v>
      </c>
      <c r="Q1749" s="47" t="s">
        <v>97</v>
      </c>
      <c r="R1749" s="47">
        <f>HEX2DEC(RIGHT(Table1323214[[#This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7" t="s">
        <v>97</v>
      </c>
      <c r="P1750" s="47">
        <f>HEX2DEC(RIGHT(Table1323214[[#This Row],[h1]],8))</f>
        <v>0</v>
      </c>
      <c r="Q1750" s="47" t="s">
        <v>97</v>
      </c>
      <c r="R1750" s="47">
        <f>HEX2DEC(RIGHT(Table1323214[[#This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7" t="s">
        <v>97</v>
      </c>
      <c r="P1751" s="47">
        <f>HEX2DEC(RIGHT(Table1323214[[#This Row],[h1]],8))</f>
        <v>0</v>
      </c>
      <c r="Q1751" s="47" t="s">
        <v>97</v>
      </c>
      <c r="R1751" s="47">
        <f>HEX2DEC(RIGHT(Table1323214[[#This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7" t="s">
        <v>97</v>
      </c>
      <c r="P1752" s="47">
        <f>HEX2DEC(RIGHT(Table1323214[[#This Row],[h1]],8))</f>
        <v>0</v>
      </c>
      <c r="Q1752" s="47" t="s">
        <v>97</v>
      </c>
      <c r="R1752" s="47">
        <f>HEX2DEC(RIGHT(Table1323214[[#This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7" t="s">
        <v>97</v>
      </c>
      <c r="P1753" s="47">
        <f>HEX2DEC(RIGHT(Table1323214[[#This Row],[h1]],8))</f>
        <v>0</v>
      </c>
      <c r="Q1753" s="47" t="s">
        <v>97</v>
      </c>
      <c r="R1753" s="47">
        <f>HEX2DEC(RIGHT(Table1323214[[#This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7" t="s">
        <v>97</v>
      </c>
      <c r="P1754" s="47">
        <f>HEX2DEC(RIGHT(Table1323214[[#This Row],[h1]],8))</f>
        <v>0</v>
      </c>
      <c r="Q1754" s="47" t="s">
        <v>97</v>
      </c>
      <c r="R1754" s="47">
        <f>HEX2DEC(RIGHT(Table1323214[[#This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7" t="s">
        <v>97</v>
      </c>
      <c r="P1755" s="47">
        <f>HEX2DEC(RIGHT(Table1323214[[#This Row],[h1]],8))</f>
        <v>0</v>
      </c>
      <c r="Q1755" s="47" t="s">
        <v>97</v>
      </c>
      <c r="R1755" s="47">
        <f>HEX2DEC(RIGHT(Table1323214[[#This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7" t="s">
        <v>97</v>
      </c>
      <c r="P1756" s="47">
        <f>HEX2DEC(RIGHT(Table1323214[[#This Row],[h1]],8))</f>
        <v>0</v>
      </c>
      <c r="Q1756" s="47" t="s">
        <v>97</v>
      </c>
      <c r="R1756" s="47">
        <f>HEX2DEC(RIGHT(Table1323214[[#This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7" t="s">
        <v>97</v>
      </c>
      <c r="P1757" s="47">
        <f>HEX2DEC(RIGHT(Table1323214[[#This Row],[h1]],8))</f>
        <v>0</v>
      </c>
      <c r="Q1757" s="47" t="s">
        <v>97</v>
      </c>
      <c r="R1757" s="47">
        <f>HEX2DEC(RIGHT(Table1323214[[#This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7" t="s">
        <v>97</v>
      </c>
      <c r="P1758" s="47">
        <f>HEX2DEC(RIGHT(Table1323214[[#This Row],[h1]],8))</f>
        <v>0</v>
      </c>
      <c r="Q1758" s="47" t="s">
        <v>97</v>
      </c>
      <c r="R1758" s="47">
        <f>HEX2DEC(RIGHT(Table1323214[[#This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7" t="s">
        <v>97</v>
      </c>
      <c r="P1759" s="47">
        <f>HEX2DEC(RIGHT(Table1323214[[#This Row],[h1]],8))</f>
        <v>0</v>
      </c>
      <c r="Q1759" s="47" t="s">
        <v>97</v>
      </c>
      <c r="R1759" s="47">
        <f>HEX2DEC(RIGHT(Table1323214[[#This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7" t="s">
        <v>97</v>
      </c>
      <c r="P1760" s="47">
        <f>HEX2DEC(RIGHT(Table1323214[[#This Row],[h1]],8))</f>
        <v>0</v>
      </c>
      <c r="Q1760" s="47" t="s">
        <v>97</v>
      </c>
      <c r="R1760" s="47">
        <f>HEX2DEC(RIGHT(Table1323214[[#This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7" t="s">
        <v>97</v>
      </c>
      <c r="P1761" s="47">
        <f>HEX2DEC(RIGHT(Table1323214[[#This Row],[h1]],8))</f>
        <v>0</v>
      </c>
      <c r="Q1761" s="47" t="s">
        <v>97</v>
      </c>
      <c r="R1761" s="47">
        <f>HEX2DEC(RIGHT(Table1323214[[#This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7" t="s">
        <v>97</v>
      </c>
      <c r="P1762" s="47">
        <f>HEX2DEC(RIGHT(Table1323214[[#This Row],[h1]],8))</f>
        <v>0</v>
      </c>
      <c r="Q1762" s="47" t="s">
        <v>97</v>
      </c>
      <c r="R1762" s="47">
        <f>HEX2DEC(RIGHT(Table1323214[[#This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7" t="s">
        <v>97</v>
      </c>
      <c r="P1763" s="47">
        <f>HEX2DEC(RIGHT(Table1323214[[#This Row],[h1]],8))</f>
        <v>0</v>
      </c>
      <c r="Q1763" s="47" t="s">
        <v>97</v>
      </c>
      <c r="R1763" s="47">
        <f>HEX2DEC(RIGHT(Table1323214[[#This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7" t="s">
        <v>97</v>
      </c>
      <c r="P1764" s="47">
        <f>HEX2DEC(RIGHT(Table1323214[[#This Row],[h1]],8))</f>
        <v>0</v>
      </c>
      <c r="Q1764" s="47" t="s">
        <v>97</v>
      </c>
      <c r="R1764" s="47">
        <f>HEX2DEC(RIGHT(Table1323214[[#This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7" t="s">
        <v>97</v>
      </c>
      <c r="P1765" s="47">
        <f>HEX2DEC(RIGHT(Table1323214[[#This Row],[h1]],8))</f>
        <v>0</v>
      </c>
      <c r="Q1765" s="47" t="s">
        <v>97</v>
      </c>
      <c r="R1765" s="47">
        <f>HEX2DEC(RIGHT(Table1323214[[#This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7" t="s">
        <v>97</v>
      </c>
      <c r="P1766" s="47">
        <f>HEX2DEC(RIGHT(Table1323214[[#This Row],[h1]],8))</f>
        <v>0</v>
      </c>
      <c r="Q1766" s="47" t="s">
        <v>97</v>
      </c>
      <c r="R1766" s="47">
        <f>HEX2DEC(RIGHT(Table1323214[[#This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7" t="s">
        <v>97</v>
      </c>
      <c r="P1767" s="47">
        <f>HEX2DEC(RIGHT(Table1323214[[#This Row],[h1]],8))</f>
        <v>0</v>
      </c>
      <c r="Q1767" s="47" t="s">
        <v>97</v>
      </c>
      <c r="R1767" s="47">
        <f>HEX2DEC(RIGHT(Table1323214[[#This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7" t="s">
        <v>97</v>
      </c>
      <c r="P1768" s="47">
        <f>HEX2DEC(RIGHT(Table1323214[[#This Row],[h1]],8))</f>
        <v>0</v>
      </c>
      <c r="Q1768" s="47" t="s">
        <v>97</v>
      </c>
      <c r="R1768" s="47">
        <f>HEX2DEC(RIGHT(Table1323214[[#This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7" t="s">
        <v>97</v>
      </c>
      <c r="P1769" s="47">
        <f>HEX2DEC(RIGHT(Table1323214[[#This Row],[h1]],8))</f>
        <v>0</v>
      </c>
      <c r="Q1769" s="47" t="s">
        <v>97</v>
      </c>
      <c r="R1769" s="47">
        <f>HEX2DEC(RIGHT(Table1323214[[#This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7" t="s">
        <v>97</v>
      </c>
      <c r="P1770" s="47">
        <f>HEX2DEC(RIGHT(Table1323214[[#This Row],[h1]],8))</f>
        <v>0</v>
      </c>
      <c r="Q1770" s="47" t="s">
        <v>97</v>
      </c>
      <c r="R1770" s="47">
        <f>HEX2DEC(RIGHT(Table1323214[[#This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7" t="s">
        <v>97</v>
      </c>
      <c r="P1771" s="47">
        <f>HEX2DEC(RIGHT(Table1323214[[#This Row],[h1]],8))</f>
        <v>0</v>
      </c>
      <c r="Q1771" s="47" t="s">
        <v>97</v>
      </c>
      <c r="R1771" s="47">
        <f>HEX2DEC(RIGHT(Table1323214[[#This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7" t="s">
        <v>97</v>
      </c>
      <c r="P1772" s="47">
        <f>HEX2DEC(RIGHT(Table1323214[[#This Row],[h1]],8))</f>
        <v>0</v>
      </c>
      <c r="Q1772" s="47" t="s">
        <v>97</v>
      </c>
      <c r="R1772" s="47">
        <f>HEX2DEC(RIGHT(Table1323214[[#This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7" t="s">
        <v>97</v>
      </c>
      <c r="P1773" s="47">
        <f>HEX2DEC(RIGHT(Table1323214[[#This Row],[h1]],8))</f>
        <v>0</v>
      </c>
      <c r="Q1773" s="47" t="s">
        <v>97</v>
      </c>
      <c r="R1773" s="47">
        <f>HEX2DEC(RIGHT(Table1323214[[#This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7" t="s">
        <v>97</v>
      </c>
      <c r="P1774" s="47">
        <f>HEX2DEC(RIGHT(Table1323214[[#This Row],[h1]],8))</f>
        <v>0</v>
      </c>
      <c r="Q1774" s="47" t="s">
        <v>97</v>
      </c>
      <c r="R1774" s="47">
        <f>HEX2DEC(RIGHT(Table1323214[[#This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7" t="s">
        <v>97</v>
      </c>
      <c r="P1775" s="47">
        <f>HEX2DEC(RIGHT(Table1323214[[#This Row],[h1]],8))</f>
        <v>0</v>
      </c>
      <c r="Q1775" s="47" t="s">
        <v>97</v>
      </c>
      <c r="R1775" s="47">
        <f>HEX2DEC(RIGHT(Table1323214[[#This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7" t="s">
        <v>97</v>
      </c>
      <c r="P1776" s="47">
        <f>HEX2DEC(RIGHT(Table1323214[[#This Row],[h1]],8))</f>
        <v>0</v>
      </c>
      <c r="Q1776" s="47" t="s">
        <v>97</v>
      </c>
      <c r="R1776" s="47">
        <f>HEX2DEC(RIGHT(Table1323214[[#This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7" t="s">
        <v>97</v>
      </c>
      <c r="P1777" s="47">
        <f>HEX2DEC(RIGHT(Table1323214[[#This Row],[h1]],8))</f>
        <v>0</v>
      </c>
      <c r="Q1777" s="47" t="s">
        <v>97</v>
      </c>
      <c r="R1777" s="47">
        <f>HEX2DEC(RIGHT(Table1323214[[#This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7" t="s">
        <v>97</v>
      </c>
      <c r="P1778" s="47">
        <f>HEX2DEC(RIGHT(Table1323214[[#This Row],[h1]],8))</f>
        <v>0</v>
      </c>
      <c r="Q1778" s="47" t="s">
        <v>97</v>
      </c>
      <c r="R1778" s="47">
        <f>HEX2DEC(RIGHT(Table1323214[[#This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7" t="s">
        <v>97</v>
      </c>
      <c r="P1779" s="47">
        <f>HEX2DEC(RIGHT(Table1323214[[#This Row],[h1]],8))</f>
        <v>0</v>
      </c>
      <c r="Q1779" s="47" t="s">
        <v>97</v>
      </c>
      <c r="R1779" s="47">
        <f>HEX2DEC(RIGHT(Table1323214[[#This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7" t="s">
        <v>97</v>
      </c>
      <c r="P1780" s="47">
        <f>HEX2DEC(RIGHT(Table1323214[[#This Row],[h1]],8))</f>
        <v>0</v>
      </c>
      <c r="Q1780" s="47" t="s">
        <v>97</v>
      </c>
      <c r="R1780" s="47">
        <f>HEX2DEC(RIGHT(Table1323214[[#This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7" t="s">
        <v>97</v>
      </c>
      <c r="P1781" s="47">
        <f>HEX2DEC(RIGHT(Table1323214[[#This Row],[h1]],8))</f>
        <v>0</v>
      </c>
      <c r="Q1781" s="47" t="s">
        <v>97</v>
      </c>
      <c r="R1781" s="47">
        <f>HEX2DEC(RIGHT(Table1323214[[#This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7" t="s">
        <v>97</v>
      </c>
      <c r="P1782" s="47">
        <f>HEX2DEC(RIGHT(Table1323214[[#This Row],[h1]],8))</f>
        <v>0</v>
      </c>
      <c r="Q1782" s="47" t="s">
        <v>97</v>
      </c>
      <c r="R1782" s="47">
        <f>HEX2DEC(RIGHT(Table1323214[[#This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7" t="s">
        <v>97</v>
      </c>
      <c r="P1783" s="47">
        <f>HEX2DEC(RIGHT(Table1323214[[#This Row],[h1]],8))</f>
        <v>0</v>
      </c>
      <c r="Q1783" s="47" t="s">
        <v>97</v>
      </c>
      <c r="R1783" s="47">
        <f>HEX2DEC(RIGHT(Table1323214[[#This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7" t="s">
        <v>97</v>
      </c>
      <c r="P1784" s="47">
        <f>HEX2DEC(RIGHT(Table1323214[[#This Row],[h1]],8))</f>
        <v>0</v>
      </c>
      <c r="Q1784" s="47" t="s">
        <v>97</v>
      </c>
      <c r="R1784" s="47">
        <f>HEX2DEC(RIGHT(Table1323214[[#This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7" t="s">
        <v>97</v>
      </c>
      <c r="P1785" s="47">
        <f>HEX2DEC(RIGHT(Table1323214[[#This Row],[h1]],8))</f>
        <v>0</v>
      </c>
      <c r="Q1785" s="47" t="s">
        <v>97</v>
      </c>
      <c r="R1785" s="47">
        <f>HEX2DEC(RIGHT(Table1323214[[#This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7" t="s">
        <v>97</v>
      </c>
      <c r="P1786" s="47">
        <f>HEX2DEC(RIGHT(Table1323214[[#This Row],[h1]],8))</f>
        <v>0</v>
      </c>
      <c r="Q1786" s="47" t="s">
        <v>97</v>
      </c>
      <c r="R1786" s="47">
        <f>HEX2DEC(RIGHT(Table1323214[[#This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7" t="s">
        <v>97</v>
      </c>
      <c r="P1787" s="47">
        <f>HEX2DEC(RIGHT(Table1323214[[#This Row],[h1]],8))</f>
        <v>0</v>
      </c>
      <c r="Q1787" s="47" t="s">
        <v>97</v>
      </c>
      <c r="R1787" s="47">
        <f>HEX2DEC(RIGHT(Table1323214[[#This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7" t="s">
        <v>97</v>
      </c>
      <c r="P1788" s="47">
        <f>HEX2DEC(RIGHT(Table1323214[[#This Row],[h1]],8))</f>
        <v>0</v>
      </c>
      <c r="Q1788" s="47" t="s">
        <v>97</v>
      </c>
      <c r="R1788" s="47">
        <f>HEX2DEC(RIGHT(Table1323214[[#This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7" t="s">
        <v>97</v>
      </c>
      <c r="P1789" s="47">
        <f>HEX2DEC(RIGHT(Table1323214[[#This Row],[h1]],8))</f>
        <v>0</v>
      </c>
      <c r="Q1789" s="47" t="s">
        <v>97</v>
      </c>
      <c r="R1789" s="47">
        <f>HEX2DEC(RIGHT(Table1323214[[#This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7" t="s">
        <v>97</v>
      </c>
      <c r="P1790" s="47">
        <f>HEX2DEC(RIGHT(Table1323214[[#This Row],[h1]],8))</f>
        <v>0</v>
      </c>
      <c r="Q1790" s="47" t="s">
        <v>97</v>
      </c>
      <c r="R1790" s="47">
        <f>HEX2DEC(RIGHT(Table1323214[[#This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7" t="s">
        <v>97</v>
      </c>
      <c r="P1791" s="47">
        <f>HEX2DEC(RIGHT(Table1323214[[#This Row],[h1]],8))</f>
        <v>0</v>
      </c>
      <c r="Q1791" s="47" t="s">
        <v>97</v>
      </c>
      <c r="R1791" s="47">
        <f>HEX2DEC(RIGHT(Table1323214[[#This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7" t="s">
        <v>97</v>
      </c>
      <c r="P1792" s="47">
        <f>HEX2DEC(RIGHT(Table1323214[[#This Row],[h1]],8))</f>
        <v>0</v>
      </c>
      <c r="Q1792" s="47" t="s">
        <v>97</v>
      </c>
      <c r="R1792" s="47">
        <f>HEX2DEC(RIGHT(Table1323214[[#This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7" t="s">
        <v>97</v>
      </c>
      <c r="P1793" s="47">
        <f>HEX2DEC(RIGHT(Table1323214[[#This Row],[h1]],8))</f>
        <v>0</v>
      </c>
      <c r="Q1793" s="47" t="s">
        <v>97</v>
      </c>
      <c r="R1793" s="47">
        <f>HEX2DEC(RIGHT(Table1323214[[#This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7" t="s">
        <v>97</v>
      </c>
      <c r="P1794" s="47">
        <f>HEX2DEC(RIGHT(Table1323214[[#This Row],[h1]],8))</f>
        <v>0</v>
      </c>
      <c r="Q1794" s="47" t="s">
        <v>97</v>
      </c>
      <c r="R1794" s="47">
        <f>HEX2DEC(RIGHT(Table1323214[[#This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7" t="s">
        <v>97</v>
      </c>
      <c r="P1795" s="47">
        <f>HEX2DEC(RIGHT(Table1323214[[#This Row],[h1]],8))</f>
        <v>0</v>
      </c>
      <c r="Q1795" s="47" t="s">
        <v>97</v>
      </c>
      <c r="R1795" s="47">
        <f>HEX2DEC(RIGHT(Table1323214[[#This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7" t="s">
        <v>97</v>
      </c>
      <c r="P1796" s="47">
        <f>HEX2DEC(RIGHT(Table1323214[[#This Row],[h1]],8))</f>
        <v>0</v>
      </c>
      <c r="Q1796" s="47" t="s">
        <v>97</v>
      </c>
      <c r="R1796" s="47">
        <f>HEX2DEC(RIGHT(Table1323214[[#This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7" t="s">
        <v>97</v>
      </c>
      <c r="P1797" s="47">
        <f>HEX2DEC(RIGHT(Table1323214[[#This Row],[h1]],8))</f>
        <v>0</v>
      </c>
      <c r="Q1797" s="47" t="s">
        <v>97</v>
      </c>
      <c r="R1797" s="47">
        <f>HEX2DEC(RIGHT(Table1323214[[#This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7" t="s">
        <v>97</v>
      </c>
      <c r="P1798" s="47">
        <f>HEX2DEC(RIGHT(Table1323214[[#This Row],[h1]],8))</f>
        <v>0</v>
      </c>
      <c r="Q1798" s="47" t="s">
        <v>97</v>
      </c>
      <c r="R1798" s="47">
        <f>HEX2DEC(RIGHT(Table1323214[[#This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7" t="s">
        <v>97</v>
      </c>
      <c r="P1799" s="47">
        <f>HEX2DEC(RIGHT(Table1323214[[#This Row],[h1]],8))</f>
        <v>0</v>
      </c>
      <c r="Q1799" s="47" t="s">
        <v>97</v>
      </c>
      <c r="R1799" s="47">
        <f>HEX2DEC(RIGHT(Table1323214[[#This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7" t="s">
        <v>97</v>
      </c>
      <c r="P1800" s="47">
        <f>HEX2DEC(RIGHT(Table1323214[[#This Row],[h1]],8))</f>
        <v>0</v>
      </c>
      <c r="Q1800" s="47" t="s">
        <v>97</v>
      </c>
      <c r="R1800" s="47">
        <f>HEX2DEC(RIGHT(Table1323214[[#This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7" t="s">
        <v>97</v>
      </c>
      <c r="P1801" s="47">
        <f>HEX2DEC(RIGHT(Table1323214[[#This Row],[h1]],8))</f>
        <v>0</v>
      </c>
      <c r="Q1801" s="47" t="s">
        <v>97</v>
      </c>
      <c r="R1801" s="47">
        <f>HEX2DEC(RIGHT(Table1323214[[#This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7" t="s">
        <v>97</v>
      </c>
      <c r="P1802" s="47">
        <f>HEX2DEC(RIGHT(Table1323214[[#This Row],[h1]],8))</f>
        <v>0</v>
      </c>
      <c r="Q1802" s="47" t="s">
        <v>97</v>
      </c>
      <c r="R1802" s="47">
        <f>HEX2DEC(RIGHT(Table1323214[[#This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7" t="s">
        <v>97</v>
      </c>
      <c r="P1803" s="47">
        <f>HEX2DEC(RIGHT(Table1323214[[#This Row],[h1]],8))</f>
        <v>0</v>
      </c>
      <c r="Q1803" s="47" t="s">
        <v>97</v>
      </c>
      <c r="R1803" s="47">
        <f>HEX2DEC(RIGHT(Table1323214[[#This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7" t="s">
        <v>97</v>
      </c>
      <c r="P1804" s="47">
        <f>HEX2DEC(RIGHT(Table1323214[[#This Row],[h1]],8))</f>
        <v>0</v>
      </c>
      <c r="Q1804" s="47" t="s">
        <v>97</v>
      </c>
      <c r="R1804" s="47">
        <f>HEX2DEC(RIGHT(Table1323214[[#This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7" t="s">
        <v>97</v>
      </c>
      <c r="P1805" s="47">
        <f>HEX2DEC(RIGHT(Table1323214[[#This Row],[h1]],8))</f>
        <v>0</v>
      </c>
      <c r="Q1805" s="47" t="s">
        <v>97</v>
      </c>
      <c r="R1805" s="47">
        <f>HEX2DEC(RIGHT(Table1323214[[#This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7" t="s">
        <v>97</v>
      </c>
      <c r="P1806" s="47">
        <f>HEX2DEC(RIGHT(Table1323214[[#This Row],[h1]],8))</f>
        <v>0</v>
      </c>
      <c r="Q1806" s="47" t="s">
        <v>97</v>
      </c>
      <c r="R1806" s="47">
        <f>HEX2DEC(RIGHT(Table1323214[[#This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7" t="s">
        <v>97</v>
      </c>
      <c r="P1807" s="47">
        <f>HEX2DEC(RIGHT(Table1323214[[#This Row],[h1]],8))</f>
        <v>0</v>
      </c>
      <c r="Q1807" s="47" t="s">
        <v>97</v>
      </c>
      <c r="R1807" s="47">
        <f>HEX2DEC(RIGHT(Table1323214[[#This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7" t="s">
        <v>97</v>
      </c>
      <c r="P1808" s="47">
        <f>HEX2DEC(RIGHT(Table1323214[[#This Row],[h1]],8))</f>
        <v>0</v>
      </c>
      <c r="Q1808" s="47" t="s">
        <v>97</v>
      </c>
      <c r="R1808" s="47">
        <f>HEX2DEC(RIGHT(Table1323214[[#This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7" t="s">
        <v>97</v>
      </c>
      <c r="P1809" s="47">
        <f>HEX2DEC(RIGHT(Table1323214[[#This Row],[h1]],8))</f>
        <v>0</v>
      </c>
      <c r="Q1809" s="47" t="s">
        <v>97</v>
      </c>
      <c r="R1809" s="47">
        <f>HEX2DEC(RIGHT(Table1323214[[#This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7" t="s">
        <v>97</v>
      </c>
      <c r="P1810" s="47">
        <f>HEX2DEC(RIGHT(Table1323214[[#This Row],[h1]],8))</f>
        <v>0</v>
      </c>
      <c r="Q1810" s="47" t="s">
        <v>97</v>
      </c>
      <c r="R1810" s="47">
        <f>HEX2DEC(RIGHT(Table1323214[[#This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7" t="s">
        <v>97</v>
      </c>
      <c r="P1811" s="47">
        <f>HEX2DEC(RIGHT(Table1323214[[#This Row],[h1]],8))</f>
        <v>0</v>
      </c>
      <c r="Q1811" s="47" t="s">
        <v>97</v>
      </c>
      <c r="R1811" s="47">
        <f>HEX2DEC(RIGHT(Table1323214[[#This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7" t="s">
        <v>97</v>
      </c>
      <c r="P1812" s="47">
        <f>HEX2DEC(RIGHT(Table1323214[[#This Row],[h1]],8))</f>
        <v>0</v>
      </c>
      <c r="Q1812" s="47" t="s">
        <v>97</v>
      </c>
      <c r="R1812" s="47">
        <f>HEX2DEC(RIGHT(Table1323214[[#This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7" t="s">
        <v>97</v>
      </c>
      <c r="P1813" s="47">
        <f>HEX2DEC(RIGHT(Table1323214[[#This Row],[h1]],8))</f>
        <v>0</v>
      </c>
      <c r="Q1813" s="47" t="s">
        <v>97</v>
      </c>
      <c r="R1813" s="47">
        <f>HEX2DEC(RIGHT(Table1323214[[#This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7" t="s">
        <v>97</v>
      </c>
      <c r="P1814" s="47">
        <f>HEX2DEC(RIGHT(Table1323214[[#This Row],[h1]],8))</f>
        <v>0</v>
      </c>
      <c r="Q1814" s="47" t="s">
        <v>97</v>
      </c>
      <c r="R1814" s="47">
        <f>HEX2DEC(RIGHT(Table1323214[[#This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7" t="s">
        <v>97</v>
      </c>
      <c r="P1815" s="47">
        <f>HEX2DEC(RIGHT(Table1323214[[#This Row],[h1]],8))</f>
        <v>0</v>
      </c>
      <c r="Q1815" s="47" t="s">
        <v>97</v>
      </c>
      <c r="R1815" s="47">
        <f>HEX2DEC(RIGHT(Table1323214[[#This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7" t="s">
        <v>97</v>
      </c>
      <c r="P1816" s="47">
        <f>HEX2DEC(RIGHT(Table1323214[[#This Row],[h1]],8))</f>
        <v>0</v>
      </c>
      <c r="Q1816" s="47" t="s">
        <v>97</v>
      </c>
      <c r="R1816" s="47">
        <f>HEX2DEC(RIGHT(Table1323214[[#This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7" t="s">
        <v>97</v>
      </c>
      <c r="P1817" s="47">
        <f>HEX2DEC(RIGHT(Table1323214[[#This Row],[h1]],8))</f>
        <v>0</v>
      </c>
      <c r="Q1817" s="47" t="s">
        <v>97</v>
      </c>
      <c r="R1817" s="47">
        <f>HEX2DEC(RIGHT(Table1323214[[#This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7" t="s">
        <v>97</v>
      </c>
      <c r="P1818" s="47">
        <f>HEX2DEC(RIGHT(Table1323214[[#This Row],[h1]],8))</f>
        <v>0</v>
      </c>
      <c r="Q1818" s="47" t="s">
        <v>97</v>
      </c>
      <c r="R1818" s="47">
        <f>HEX2DEC(RIGHT(Table1323214[[#This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7" t="s">
        <v>97</v>
      </c>
      <c r="P1819" s="47">
        <f>HEX2DEC(RIGHT(Table1323214[[#This Row],[h1]],8))</f>
        <v>0</v>
      </c>
      <c r="Q1819" s="47" t="s">
        <v>97</v>
      </c>
      <c r="R1819" s="47">
        <f>HEX2DEC(RIGHT(Table1323214[[#This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7" t="s">
        <v>97</v>
      </c>
      <c r="P1820" s="47">
        <f>HEX2DEC(RIGHT(Table1323214[[#This Row],[h1]],8))</f>
        <v>0</v>
      </c>
      <c r="Q1820" s="47" t="s">
        <v>97</v>
      </c>
      <c r="R1820" s="47">
        <f>HEX2DEC(RIGHT(Table1323214[[#This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7" t="s">
        <v>97</v>
      </c>
      <c r="P1821" s="47">
        <f>HEX2DEC(RIGHT(Table1323214[[#This Row],[h1]],8))</f>
        <v>0</v>
      </c>
      <c r="Q1821" s="47" t="s">
        <v>97</v>
      </c>
      <c r="R1821" s="47">
        <f>HEX2DEC(RIGHT(Table1323214[[#This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7" t="s">
        <v>97</v>
      </c>
      <c r="P1822" s="47">
        <f>HEX2DEC(RIGHT(Table1323214[[#This Row],[h1]],8))</f>
        <v>0</v>
      </c>
      <c r="Q1822" s="47" t="s">
        <v>97</v>
      </c>
      <c r="R1822" s="47">
        <f>HEX2DEC(RIGHT(Table1323214[[#This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7" t="s">
        <v>97</v>
      </c>
      <c r="P1823" s="47">
        <f>HEX2DEC(RIGHT(Table1323214[[#This Row],[h1]],8))</f>
        <v>0</v>
      </c>
      <c r="Q1823" s="47" t="s">
        <v>97</v>
      </c>
      <c r="R1823" s="47">
        <f>HEX2DEC(RIGHT(Table1323214[[#This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7" t="s">
        <v>97</v>
      </c>
      <c r="P1824" s="47">
        <f>HEX2DEC(RIGHT(Table1323214[[#This Row],[h1]],8))</f>
        <v>0</v>
      </c>
      <c r="Q1824" s="47" t="s">
        <v>97</v>
      </c>
      <c r="R1824" s="47">
        <f>HEX2DEC(RIGHT(Table1323214[[#This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7" t="s">
        <v>97</v>
      </c>
      <c r="P1825" s="47">
        <f>HEX2DEC(RIGHT(Table1323214[[#This Row],[h1]],8))</f>
        <v>0</v>
      </c>
      <c r="Q1825" s="47" t="s">
        <v>97</v>
      </c>
      <c r="R1825" s="47">
        <f>HEX2DEC(RIGHT(Table1323214[[#This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7" t="s">
        <v>97</v>
      </c>
      <c r="P1826" s="47">
        <f>HEX2DEC(RIGHT(Table1323214[[#This Row],[h1]],8))</f>
        <v>0</v>
      </c>
      <c r="Q1826" s="47" t="s">
        <v>97</v>
      </c>
      <c r="R1826" s="47">
        <f>HEX2DEC(RIGHT(Table1323214[[#This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7" t="s">
        <v>97</v>
      </c>
      <c r="P1827" s="47">
        <f>HEX2DEC(RIGHT(Table1323214[[#This Row],[h1]],8))</f>
        <v>0</v>
      </c>
      <c r="Q1827" s="47" t="s">
        <v>97</v>
      </c>
      <c r="R1827" s="47">
        <f>HEX2DEC(RIGHT(Table1323214[[#This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7" t="s">
        <v>97</v>
      </c>
      <c r="P1828" s="47">
        <f>HEX2DEC(RIGHT(Table1323214[[#This Row],[h1]],8))</f>
        <v>0</v>
      </c>
      <c r="Q1828" s="47" t="s">
        <v>97</v>
      </c>
      <c r="R1828" s="47">
        <f>HEX2DEC(RIGHT(Table1323214[[#This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7" t="s">
        <v>97</v>
      </c>
      <c r="P1829" s="47">
        <f>HEX2DEC(RIGHT(Table1323214[[#This Row],[h1]],8))</f>
        <v>0</v>
      </c>
      <c r="Q1829" s="47" t="s">
        <v>97</v>
      </c>
      <c r="R1829" s="47">
        <f>HEX2DEC(RIGHT(Table1323214[[#This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7" t="s">
        <v>97</v>
      </c>
      <c r="P1830" s="47">
        <f>HEX2DEC(RIGHT(Table1323214[[#This Row],[h1]],8))</f>
        <v>0</v>
      </c>
      <c r="Q1830" s="47" t="s">
        <v>97</v>
      </c>
      <c r="R1830" s="47">
        <f>HEX2DEC(RIGHT(Table1323214[[#This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7" t="s">
        <v>97</v>
      </c>
      <c r="P1831" s="47">
        <f>HEX2DEC(RIGHT(Table1323214[[#This Row],[h1]],8))</f>
        <v>0</v>
      </c>
      <c r="Q1831" s="47" t="s">
        <v>97</v>
      </c>
      <c r="R1831" s="47">
        <f>HEX2DEC(RIGHT(Table1323214[[#This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7" t="s">
        <v>97</v>
      </c>
      <c r="P1832" s="47">
        <f>HEX2DEC(RIGHT(Table1323214[[#This Row],[h1]],8))</f>
        <v>0</v>
      </c>
      <c r="Q1832" s="47" t="s">
        <v>97</v>
      </c>
      <c r="R1832" s="47">
        <f>HEX2DEC(RIGHT(Table1323214[[#This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7" t="s">
        <v>97</v>
      </c>
      <c r="P1833" s="47">
        <f>HEX2DEC(RIGHT(Table1323214[[#This Row],[h1]],8))</f>
        <v>0</v>
      </c>
      <c r="Q1833" s="47" t="s">
        <v>97</v>
      </c>
      <c r="R1833" s="47">
        <f>HEX2DEC(RIGHT(Table1323214[[#This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7" t="s">
        <v>97</v>
      </c>
      <c r="P1834" s="47">
        <f>HEX2DEC(RIGHT(Table1323214[[#This Row],[h1]],8))</f>
        <v>0</v>
      </c>
      <c r="Q1834" s="47" t="s">
        <v>97</v>
      </c>
      <c r="R1834" s="47">
        <f>HEX2DEC(RIGHT(Table1323214[[#This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7" t="s">
        <v>97</v>
      </c>
      <c r="P1835" s="47">
        <f>HEX2DEC(RIGHT(Table1323214[[#This Row],[h1]],8))</f>
        <v>0</v>
      </c>
      <c r="Q1835" s="47" t="s">
        <v>97</v>
      </c>
      <c r="R1835" s="47">
        <f>HEX2DEC(RIGHT(Table1323214[[#This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7" t="s">
        <v>97</v>
      </c>
      <c r="P1836" s="47">
        <f>HEX2DEC(RIGHT(Table1323214[[#This Row],[h1]],8))</f>
        <v>0</v>
      </c>
      <c r="Q1836" s="47" t="s">
        <v>97</v>
      </c>
      <c r="R1836" s="47">
        <f>HEX2DEC(RIGHT(Table1323214[[#This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7" t="s">
        <v>97</v>
      </c>
      <c r="P1837" s="47">
        <f>HEX2DEC(RIGHT(Table1323214[[#This Row],[h1]],8))</f>
        <v>0</v>
      </c>
      <c r="Q1837" s="47" t="s">
        <v>97</v>
      </c>
      <c r="R1837" s="47">
        <f>HEX2DEC(RIGHT(Table1323214[[#This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7" t="s">
        <v>97</v>
      </c>
      <c r="P1838" s="47">
        <f>HEX2DEC(RIGHT(Table1323214[[#This Row],[h1]],8))</f>
        <v>0</v>
      </c>
      <c r="Q1838" s="47" t="s">
        <v>97</v>
      </c>
      <c r="R1838" s="47">
        <f>HEX2DEC(RIGHT(Table1323214[[#This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7" t="s">
        <v>97</v>
      </c>
      <c r="P1839" s="47">
        <f>HEX2DEC(RIGHT(Table1323214[[#This Row],[h1]],8))</f>
        <v>0</v>
      </c>
      <c r="Q1839" s="47" t="s">
        <v>97</v>
      </c>
      <c r="R1839" s="47">
        <f>HEX2DEC(RIGHT(Table1323214[[#This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7" t="s">
        <v>97</v>
      </c>
      <c r="P1840" s="47">
        <f>HEX2DEC(RIGHT(Table1323214[[#This Row],[h1]],8))</f>
        <v>0</v>
      </c>
      <c r="Q1840" s="47" t="s">
        <v>97</v>
      </c>
      <c r="R1840" s="47">
        <f>HEX2DEC(RIGHT(Table1323214[[#This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7" t="s">
        <v>97</v>
      </c>
      <c r="P1841" s="47">
        <f>HEX2DEC(RIGHT(Table1323214[[#This Row],[h1]],8))</f>
        <v>0</v>
      </c>
      <c r="Q1841" s="47" t="s">
        <v>97</v>
      </c>
      <c r="R1841" s="47">
        <f>HEX2DEC(RIGHT(Table1323214[[#This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7" t="s">
        <v>97</v>
      </c>
      <c r="P1842" s="47">
        <f>HEX2DEC(RIGHT(Table1323214[[#This Row],[h1]],8))</f>
        <v>0</v>
      </c>
      <c r="Q1842" s="47" t="s">
        <v>97</v>
      </c>
      <c r="R1842" s="47">
        <f>HEX2DEC(RIGHT(Table1323214[[#This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7" t="s">
        <v>97</v>
      </c>
      <c r="P1843" s="47">
        <f>HEX2DEC(RIGHT(Table1323214[[#This Row],[h1]],8))</f>
        <v>0</v>
      </c>
      <c r="Q1843" s="47" t="s">
        <v>97</v>
      </c>
      <c r="R1843" s="47">
        <f>HEX2DEC(RIGHT(Table1323214[[#This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7" t="s">
        <v>97</v>
      </c>
      <c r="P1844" s="47">
        <f>HEX2DEC(RIGHT(Table1323214[[#This Row],[h1]],8))</f>
        <v>0</v>
      </c>
      <c r="Q1844" s="47" t="s">
        <v>97</v>
      </c>
      <c r="R1844" s="47">
        <f>HEX2DEC(RIGHT(Table1323214[[#This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7" t="s">
        <v>97</v>
      </c>
      <c r="P1845" s="47">
        <f>HEX2DEC(RIGHT(Table1323214[[#This Row],[h1]],8))</f>
        <v>0</v>
      </c>
      <c r="Q1845" s="47" t="s">
        <v>97</v>
      </c>
      <c r="R1845" s="47">
        <f>HEX2DEC(RIGHT(Table1323214[[#This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7" t="s">
        <v>97</v>
      </c>
      <c r="P1846" s="47">
        <f>HEX2DEC(RIGHT(Table1323214[[#This Row],[h1]],8))</f>
        <v>0</v>
      </c>
      <c r="Q1846" s="47" t="s">
        <v>97</v>
      </c>
      <c r="R1846" s="47">
        <f>HEX2DEC(RIGHT(Table1323214[[#This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7" t="s">
        <v>97</v>
      </c>
      <c r="P1847" s="47">
        <f>HEX2DEC(RIGHT(Table1323214[[#This Row],[h1]],8))</f>
        <v>0</v>
      </c>
      <c r="Q1847" s="47" t="s">
        <v>97</v>
      </c>
      <c r="R1847" s="47">
        <f>HEX2DEC(RIGHT(Table1323214[[#This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7" t="s">
        <v>97</v>
      </c>
      <c r="P1848" s="47">
        <f>HEX2DEC(RIGHT(Table1323214[[#This Row],[h1]],8))</f>
        <v>0</v>
      </c>
      <c r="Q1848" s="47" t="s">
        <v>97</v>
      </c>
      <c r="R1848" s="47">
        <f>HEX2DEC(RIGHT(Table1323214[[#This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7" t="s">
        <v>97</v>
      </c>
      <c r="P1849" s="47">
        <f>HEX2DEC(RIGHT(Table1323214[[#This Row],[h1]],8))</f>
        <v>0</v>
      </c>
      <c r="Q1849" s="47" t="s">
        <v>97</v>
      </c>
      <c r="R1849" s="47">
        <f>HEX2DEC(RIGHT(Table1323214[[#This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7" t="s">
        <v>97</v>
      </c>
      <c r="P1850" s="47">
        <f>HEX2DEC(RIGHT(Table1323214[[#This Row],[h1]],8))</f>
        <v>0</v>
      </c>
      <c r="Q1850" s="47" t="s">
        <v>97</v>
      </c>
      <c r="R1850" s="47">
        <f>HEX2DEC(RIGHT(Table1323214[[#This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7" t="s">
        <v>97</v>
      </c>
      <c r="P1851" s="47">
        <f>HEX2DEC(RIGHT(Table1323214[[#This Row],[h1]],8))</f>
        <v>0</v>
      </c>
      <c r="Q1851" s="47" t="s">
        <v>97</v>
      </c>
      <c r="R1851" s="47">
        <f>HEX2DEC(RIGHT(Table1323214[[#This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7" t="s">
        <v>97</v>
      </c>
      <c r="P1852" s="47">
        <f>HEX2DEC(RIGHT(Table1323214[[#This Row],[h1]],8))</f>
        <v>0</v>
      </c>
      <c r="Q1852" s="47" t="s">
        <v>97</v>
      </c>
      <c r="R1852" s="47">
        <f>HEX2DEC(RIGHT(Table1323214[[#This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7" t="s">
        <v>97</v>
      </c>
      <c r="P1853" s="47">
        <f>HEX2DEC(RIGHT(Table1323214[[#This Row],[h1]],8))</f>
        <v>0</v>
      </c>
      <c r="Q1853" s="47" t="s">
        <v>97</v>
      </c>
      <c r="R1853" s="47">
        <f>HEX2DEC(RIGHT(Table1323214[[#This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7" t="s">
        <v>97</v>
      </c>
      <c r="P1854" s="47">
        <f>HEX2DEC(RIGHT(Table1323214[[#This Row],[h1]],8))</f>
        <v>0</v>
      </c>
      <c r="Q1854" s="47" t="s">
        <v>97</v>
      </c>
      <c r="R1854" s="47">
        <f>HEX2DEC(RIGHT(Table1323214[[#This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7" t="s">
        <v>97</v>
      </c>
      <c r="P1855" s="47">
        <f>HEX2DEC(RIGHT(Table1323214[[#This Row],[h1]],8))</f>
        <v>0</v>
      </c>
      <c r="Q1855" s="47" t="s">
        <v>97</v>
      </c>
      <c r="R1855" s="47">
        <f>HEX2DEC(RIGHT(Table1323214[[#This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7" t="s">
        <v>97</v>
      </c>
      <c r="P1856" s="47">
        <f>HEX2DEC(RIGHT(Table1323214[[#This Row],[h1]],8))</f>
        <v>0</v>
      </c>
      <c r="Q1856" s="47" t="s">
        <v>97</v>
      </c>
      <c r="R1856" s="47">
        <f>HEX2DEC(RIGHT(Table1323214[[#This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7" t="s">
        <v>97</v>
      </c>
      <c r="P1857" s="47">
        <f>HEX2DEC(RIGHT(Table1323214[[#This Row],[h1]],8))</f>
        <v>0</v>
      </c>
      <c r="Q1857" s="47" t="s">
        <v>97</v>
      </c>
      <c r="R1857" s="47">
        <f>HEX2DEC(RIGHT(Table1323214[[#This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7" t="s">
        <v>97</v>
      </c>
      <c r="P1858" s="47">
        <f>HEX2DEC(RIGHT(Table1323214[[#This Row],[h1]],8))</f>
        <v>0</v>
      </c>
      <c r="Q1858" s="47" t="s">
        <v>97</v>
      </c>
      <c r="R1858" s="47">
        <f>HEX2DEC(RIGHT(Table1323214[[#This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7" t="s">
        <v>97</v>
      </c>
      <c r="P1859" s="47">
        <f>HEX2DEC(RIGHT(Table1323214[[#This Row],[h1]],8))</f>
        <v>0</v>
      </c>
      <c r="Q1859" s="47" t="s">
        <v>97</v>
      </c>
      <c r="R1859" s="47">
        <f>HEX2DEC(RIGHT(Table1323214[[#This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7" t="s">
        <v>97</v>
      </c>
      <c r="P1860" s="47">
        <f>HEX2DEC(RIGHT(Table1323214[[#This Row],[h1]],8))</f>
        <v>0</v>
      </c>
      <c r="Q1860" s="47" t="s">
        <v>97</v>
      </c>
      <c r="R1860" s="47">
        <f>HEX2DEC(RIGHT(Table1323214[[#This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7" t="s">
        <v>97</v>
      </c>
      <c r="P1861" s="47">
        <f>HEX2DEC(RIGHT(Table1323214[[#This Row],[h1]],8))</f>
        <v>0</v>
      </c>
      <c r="Q1861" s="47" t="s">
        <v>97</v>
      </c>
      <c r="R1861" s="47">
        <f>HEX2DEC(RIGHT(Table1323214[[#This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7" t="s">
        <v>97</v>
      </c>
      <c r="P1862" s="47">
        <f>HEX2DEC(RIGHT(Table1323214[[#This Row],[h1]],8))</f>
        <v>0</v>
      </c>
      <c r="Q1862" s="47" t="s">
        <v>97</v>
      </c>
      <c r="R1862" s="47">
        <f>HEX2DEC(RIGHT(Table1323214[[#This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7" t="s">
        <v>97</v>
      </c>
      <c r="P1863" s="47">
        <f>HEX2DEC(RIGHT(Table1323214[[#This Row],[h1]],8))</f>
        <v>0</v>
      </c>
      <c r="Q1863" s="47" t="s">
        <v>97</v>
      </c>
      <c r="R1863" s="47">
        <f>HEX2DEC(RIGHT(Table1323214[[#This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7" t="s">
        <v>97</v>
      </c>
      <c r="P1864" s="47">
        <f>HEX2DEC(RIGHT(Table1323214[[#This Row],[h1]],8))</f>
        <v>0</v>
      </c>
      <c r="Q1864" s="47" t="s">
        <v>97</v>
      </c>
      <c r="R1864" s="47">
        <f>HEX2DEC(RIGHT(Table1323214[[#This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7" t="s">
        <v>97</v>
      </c>
      <c r="P1865" s="47">
        <f>HEX2DEC(RIGHT(Table1323214[[#This Row],[h1]],8))</f>
        <v>0</v>
      </c>
      <c r="Q1865" s="47" t="s">
        <v>97</v>
      </c>
      <c r="R1865" s="47">
        <f>HEX2DEC(RIGHT(Table1323214[[#This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7" t="s">
        <v>97</v>
      </c>
      <c r="P1866" s="47">
        <f>HEX2DEC(RIGHT(Table1323214[[#This Row],[h1]],8))</f>
        <v>0</v>
      </c>
      <c r="Q1866" s="47" t="s">
        <v>97</v>
      </c>
      <c r="R1866" s="47">
        <f>HEX2DEC(RIGHT(Table1323214[[#This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7" t="s">
        <v>97</v>
      </c>
      <c r="P1867" s="47">
        <f>HEX2DEC(RIGHT(Table1323214[[#This Row],[h1]],8))</f>
        <v>0</v>
      </c>
      <c r="Q1867" s="47" t="s">
        <v>97</v>
      </c>
      <c r="R1867" s="47">
        <f>HEX2DEC(RIGHT(Table1323214[[#This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7" t="s">
        <v>97</v>
      </c>
      <c r="P1868" s="47">
        <f>HEX2DEC(RIGHT(Table1323214[[#This Row],[h1]],8))</f>
        <v>0</v>
      </c>
      <c r="Q1868" s="47" t="s">
        <v>97</v>
      </c>
      <c r="R1868" s="47">
        <f>HEX2DEC(RIGHT(Table1323214[[#This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7" t="s">
        <v>97</v>
      </c>
      <c r="P1869" s="47">
        <f>HEX2DEC(RIGHT(Table1323214[[#This Row],[h1]],8))</f>
        <v>0</v>
      </c>
      <c r="Q1869" s="47" t="s">
        <v>97</v>
      </c>
      <c r="R1869" s="47">
        <f>HEX2DEC(RIGHT(Table1323214[[#This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7" t="s">
        <v>97</v>
      </c>
      <c r="P1870" s="47">
        <f>HEX2DEC(RIGHT(Table1323214[[#This Row],[h1]],8))</f>
        <v>0</v>
      </c>
      <c r="Q1870" s="47" t="s">
        <v>97</v>
      </c>
      <c r="R1870" s="47">
        <f>HEX2DEC(RIGHT(Table1323214[[#This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7" t="s">
        <v>97</v>
      </c>
      <c r="P1871" s="47">
        <f>HEX2DEC(RIGHT(Table1323214[[#This Row],[h1]],8))</f>
        <v>0</v>
      </c>
      <c r="Q1871" s="47" t="s">
        <v>97</v>
      </c>
      <c r="R1871" s="47">
        <f>HEX2DEC(RIGHT(Table1323214[[#This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7" t="s">
        <v>97</v>
      </c>
      <c r="P1872" s="47">
        <f>HEX2DEC(RIGHT(Table1323214[[#This Row],[h1]],8))</f>
        <v>0</v>
      </c>
      <c r="Q1872" s="47" t="s">
        <v>97</v>
      </c>
      <c r="R1872" s="47">
        <f>HEX2DEC(RIGHT(Table1323214[[#This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7" t="s">
        <v>97</v>
      </c>
      <c r="P1873" s="47">
        <f>HEX2DEC(RIGHT(Table1323214[[#This Row],[h1]],8))</f>
        <v>0</v>
      </c>
      <c r="Q1873" s="47" t="s">
        <v>97</v>
      </c>
      <c r="R1873" s="47">
        <f>HEX2DEC(RIGHT(Table1323214[[#This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7" t="s">
        <v>97</v>
      </c>
      <c r="P1874" s="47">
        <f>HEX2DEC(RIGHT(Table1323214[[#This Row],[h1]],8))</f>
        <v>0</v>
      </c>
      <c r="Q1874" s="47" t="s">
        <v>97</v>
      </c>
      <c r="R1874" s="47">
        <f>HEX2DEC(RIGHT(Table1323214[[#This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7" t="s">
        <v>97</v>
      </c>
      <c r="P1875" s="47">
        <f>HEX2DEC(RIGHT(Table1323214[[#This Row],[h1]],8))</f>
        <v>0</v>
      </c>
      <c r="Q1875" s="47" t="s">
        <v>97</v>
      </c>
      <c r="R1875" s="47">
        <f>HEX2DEC(RIGHT(Table1323214[[#This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7" t="s">
        <v>97</v>
      </c>
      <c r="P1876" s="47">
        <f>HEX2DEC(RIGHT(Table1323214[[#This Row],[h1]],8))</f>
        <v>0</v>
      </c>
      <c r="Q1876" s="47" t="s">
        <v>97</v>
      </c>
      <c r="R1876" s="47">
        <f>HEX2DEC(RIGHT(Table1323214[[#This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7" t="s">
        <v>97</v>
      </c>
      <c r="P1877" s="47">
        <f>HEX2DEC(RIGHT(Table1323214[[#This Row],[h1]],8))</f>
        <v>0</v>
      </c>
      <c r="Q1877" s="47" t="s">
        <v>97</v>
      </c>
      <c r="R1877" s="47">
        <f>HEX2DEC(RIGHT(Table1323214[[#This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7" t="s">
        <v>97</v>
      </c>
      <c r="P1878" s="47">
        <f>HEX2DEC(RIGHT(Table1323214[[#This Row],[h1]],8))</f>
        <v>0</v>
      </c>
      <c r="Q1878" s="47" t="s">
        <v>97</v>
      </c>
      <c r="R1878" s="47">
        <f>HEX2DEC(RIGHT(Table1323214[[#This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7" t="s">
        <v>97</v>
      </c>
      <c r="P1879" s="47">
        <f>HEX2DEC(RIGHT(Table1323214[[#This Row],[h1]],8))</f>
        <v>0</v>
      </c>
      <c r="Q1879" s="47" t="s">
        <v>97</v>
      </c>
      <c r="R1879" s="47">
        <f>HEX2DEC(RIGHT(Table1323214[[#This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7" t="s">
        <v>97</v>
      </c>
      <c r="P1880" s="47">
        <f>HEX2DEC(RIGHT(Table1323214[[#This Row],[h1]],8))</f>
        <v>0</v>
      </c>
      <c r="Q1880" s="47" t="s">
        <v>97</v>
      </c>
      <c r="R1880" s="47">
        <f>HEX2DEC(RIGHT(Table1323214[[#This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7" t="s">
        <v>97</v>
      </c>
      <c r="P1881" s="47">
        <f>HEX2DEC(RIGHT(Table1323214[[#This Row],[h1]],8))</f>
        <v>0</v>
      </c>
      <c r="Q1881" s="47" t="s">
        <v>97</v>
      </c>
      <c r="R1881" s="47">
        <f>HEX2DEC(RIGHT(Table1323214[[#This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7" t="s">
        <v>97</v>
      </c>
      <c r="P1882" s="47">
        <f>HEX2DEC(RIGHT(Table1323214[[#This Row],[h1]],8))</f>
        <v>0</v>
      </c>
      <c r="Q1882" s="47" t="s">
        <v>97</v>
      </c>
      <c r="R1882" s="47">
        <f>HEX2DEC(RIGHT(Table1323214[[#This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7" t="s">
        <v>97</v>
      </c>
      <c r="P1883" s="47">
        <f>HEX2DEC(RIGHT(Table1323214[[#This Row],[h1]],8))</f>
        <v>0</v>
      </c>
      <c r="Q1883" s="47" t="s">
        <v>97</v>
      </c>
      <c r="R1883" s="47">
        <f>HEX2DEC(RIGHT(Table1323214[[#This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7" t="s">
        <v>97</v>
      </c>
      <c r="P1884" s="47">
        <f>HEX2DEC(RIGHT(Table1323214[[#This Row],[h1]],8))</f>
        <v>0</v>
      </c>
      <c r="Q1884" s="47" t="s">
        <v>97</v>
      </c>
      <c r="R1884" s="47">
        <f>HEX2DEC(RIGHT(Table1323214[[#This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7" t="s">
        <v>97</v>
      </c>
      <c r="P1885" s="47">
        <f>HEX2DEC(RIGHT(Table1323214[[#This Row],[h1]],8))</f>
        <v>0</v>
      </c>
      <c r="Q1885" s="47" t="s">
        <v>97</v>
      </c>
      <c r="R1885" s="47">
        <f>HEX2DEC(RIGHT(Table1323214[[#This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7" t="s">
        <v>97</v>
      </c>
      <c r="P1886" s="47">
        <f>HEX2DEC(RIGHT(Table1323214[[#This Row],[h1]],8))</f>
        <v>0</v>
      </c>
      <c r="Q1886" s="47" t="s">
        <v>97</v>
      </c>
      <c r="R1886" s="47">
        <f>HEX2DEC(RIGHT(Table1323214[[#This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7" t="s">
        <v>97</v>
      </c>
      <c r="P1887" s="47">
        <f>HEX2DEC(RIGHT(Table1323214[[#This Row],[h1]],8))</f>
        <v>0</v>
      </c>
      <c r="Q1887" s="47" t="s">
        <v>97</v>
      </c>
      <c r="R1887" s="47">
        <f>HEX2DEC(RIGHT(Table1323214[[#This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7" t="s">
        <v>97</v>
      </c>
      <c r="P1888" s="47">
        <f>HEX2DEC(RIGHT(Table1323214[[#This Row],[h1]],8))</f>
        <v>0</v>
      </c>
      <c r="Q1888" s="47" t="s">
        <v>97</v>
      </c>
      <c r="R1888" s="47">
        <f>HEX2DEC(RIGHT(Table1323214[[#This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7" t="s">
        <v>97</v>
      </c>
      <c r="P1889" s="47">
        <f>HEX2DEC(RIGHT(Table1323214[[#This Row],[h1]],8))</f>
        <v>0</v>
      </c>
      <c r="Q1889" s="47" t="s">
        <v>97</v>
      </c>
      <c r="R1889" s="47">
        <f>HEX2DEC(RIGHT(Table1323214[[#This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7" t="s">
        <v>97</v>
      </c>
      <c r="P1890" s="47">
        <f>HEX2DEC(RIGHT(Table1323214[[#This Row],[h1]],8))</f>
        <v>0</v>
      </c>
      <c r="Q1890" s="47" t="s">
        <v>97</v>
      </c>
      <c r="R1890" s="47">
        <f>HEX2DEC(RIGHT(Table1323214[[#This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7" t="s">
        <v>97</v>
      </c>
      <c r="P1891" s="47">
        <f>HEX2DEC(RIGHT(Table1323214[[#This Row],[h1]],8))</f>
        <v>0</v>
      </c>
      <c r="Q1891" s="47" t="s">
        <v>97</v>
      </c>
      <c r="R1891" s="47">
        <f>HEX2DEC(RIGHT(Table1323214[[#This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7" t="s">
        <v>97</v>
      </c>
      <c r="P1892" s="47">
        <f>HEX2DEC(RIGHT(Table1323214[[#This Row],[h1]],8))</f>
        <v>0</v>
      </c>
      <c r="Q1892" s="47" t="s">
        <v>97</v>
      </c>
      <c r="R1892" s="47">
        <f>HEX2DEC(RIGHT(Table1323214[[#This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7" t="s">
        <v>97</v>
      </c>
      <c r="P1893" s="47">
        <f>HEX2DEC(RIGHT(Table1323214[[#This Row],[h1]],8))</f>
        <v>0</v>
      </c>
      <c r="Q1893" s="47" t="s">
        <v>97</v>
      </c>
      <c r="R1893" s="47">
        <f>HEX2DEC(RIGHT(Table1323214[[#This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7" t="s">
        <v>97</v>
      </c>
      <c r="P1894" s="47">
        <f>HEX2DEC(RIGHT(Table1323214[[#This Row],[h1]],8))</f>
        <v>0</v>
      </c>
      <c r="Q1894" s="47" t="s">
        <v>97</v>
      </c>
      <c r="R1894" s="47">
        <f>HEX2DEC(RIGHT(Table1323214[[#This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7" t="s">
        <v>97</v>
      </c>
      <c r="P1895" s="47">
        <f>HEX2DEC(RIGHT(Table1323214[[#This Row],[h1]],8))</f>
        <v>0</v>
      </c>
      <c r="Q1895" s="47" t="s">
        <v>97</v>
      </c>
      <c r="R1895" s="47">
        <f>HEX2DEC(RIGHT(Table1323214[[#This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7" t="s">
        <v>97</v>
      </c>
      <c r="P1896" s="47">
        <f>HEX2DEC(RIGHT(Table1323214[[#This Row],[h1]],8))</f>
        <v>0</v>
      </c>
      <c r="Q1896" s="47" t="s">
        <v>97</v>
      </c>
      <c r="R1896" s="47">
        <f>HEX2DEC(RIGHT(Table1323214[[#This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7" t="s">
        <v>97</v>
      </c>
      <c r="P1897" s="47">
        <f>HEX2DEC(RIGHT(Table1323214[[#This Row],[h1]],8))</f>
        <v>0</v>
      </c>
      <c r="Q1897" s="47" t="s">
        <v>97</v>
      </c>
      <c r="R1897" s="47">
        <f>HEX2DEC(RIGHT(Table1323214[[#This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7" t="s">
        <v>97</v>
      </c>
      <c r="P1898" s="47">
        <f>HEX2DEC(RIGHT(Table1323214[[#This Row],[h1]],8))</f>
        <v>0</v>
      </c>
      <c r="Q1898" s="47" t="s">
        <v>97</v>
      </c>
      <c r="R1898" s="47">
        <f>HEX2DEC(RIGHT(Table1323214[[#This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7" t="s">
        <v>97</v>
      </c>
      <c r="P1899" s="47">
        <f>HEX2DEC(RIGHT(Table1323214[[#This Row],[h1]],8))</f>
        <v>0</v>
      </c>
      <c r="Q1899" s="47" t="s">
        <v>97</v>
      </c>
      <c r="R1899" s="47">
        <f>HEX2DEC(RIGHT(Table1323214[[#This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7" t="s">
        <v>97</v>
      </c>
      <c r="P1900" s="47">
        <f>HEX2DEC(RIGHT(Table1323214[[#This Row],[h1]],8))</f>
        <v>0</v>
      </c>
      <c r="Q1900" s="47" t="s">
        <v>97</v>
      </c>
      <c r="R1900" s="47">
        <f>HEX2DEC(RIGHT(Table1323214[[#This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7" t="s">
        <v>97</v>
      </c>
      <c r="P1901" s="47">
        <f>HEX2DEC(RIGHT(Table1323214[[#This Row],[h1]],8))</f>
        <v>0</v>
      </c>
      <c r="Q1901" s="47" t="s">
        <v>97</v>
      </c>
      <c r="R1901" s="47">
        <f>HEX2DEC(RIGHT(Table1323214[[#This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7" t="s">
        <v>97</v>
      </c>
      <c r="P1902" s="47">
        <f>HEX2DEC(RIGHT(Table1323214[[#This Row],[h1]],8))</f>
        <v>0</v>
      </c>
      <c r="Q1902" s="47" t="s">
        <v>97</v>
      </c>
      <c r="R1902" s="47">
        <f>HEX2DEC(RIGHT(Table1323214[[#This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7" t="s">
        <v>97</v>
      </c>
      <c r="P1903" s="47">
        <f>HEX2DEC(RIGHT(Table1323214[[#This Row],[h1]],8))</f>
        <v>0</v>
      </c>
      <c r="Q1903" s="47" t="s">
        <v>97</v>
      </c>
      <c r="R1903" s="47">
        <f>HEX2DEC(RIGHT(Table1323214[[#This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7" t="s">
        <v>97</v>
      </c>
      <c r="P1904" s="47">
        <f>HEX2DEC(RIGHT(Table1323214[[#This Row],[h1]],8))</f>
        <v>0</v>
      </c>
      <c r="Q1904" s="47" t="s">
        <v>97</v>
      </c>
      <c r="R1904" s="47">
        <f>HEX2DEC(RIGHT(Table1323214[[#This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7" t="s">
        <v>97</v>
      </c>
      <c r="P1905" s="47">
        <f>HEX2DEC(RIGHT(Table1323214[[#This Row],[h1]],8))</f>
        <v>0</v>
      </c>
      <c r="Q1905" s="47" t="s">
        <v>97</v>
      </c>
      <c r="R1905" s="47">
        <f>HEX2DEC(RIGHT(Table1323214[[#This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7" t="s">
        <v>97</v>
      </c>
      <c r="P1906" s="47">
        <f>HEX2DEC(RIGHT(Table1323214[[#This Row],[h1]],8))</f>
        <v>0</v>
      </c>
      <c r="Q1906" s="47" t="s">
        <v>97</v>
      </c>
      <c r="R1906" s="47">
        <f>HEX2DEC(RIGHT(Table1323214[[#This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7" t="s">
        <v>97</v>
      </c>
      <c r="P1907" s="47">
        <f>HEX2DEC(RIGHT(Table1323214[[#This Row],[h1]],8))</f>
        <v>0</v>
      </c>
      <c r="Q1907" s="47" t="s">
        <v>97</v>
      </c>
      <c r="R1907" s="47">
        <f>HEX2DEC(RIGHT(Table1323214[[#This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7" t="s">
        <v>97</v>
      </c>
      <c r="P1908" s="47">
        <f>HEX2DEC(RIGHT(Table1323214[[#This Row],[h1]],8))</f>
        <v>0</v>
      </c>
      <c r="Q1908" s="47" t="s">
        <v>97</v>
      </c>
      <c r="R1908" s="47">
        <f>HEX2DEC(RIGHT(Table1323214[[#This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7" t="s">
        <v>97</v>
      </c>
      <c r="P1909" s="47">
        <f>HEX2DEC(RIGHT(Table1323214[[#This Row],[h1]],8))</f>
        <v>0</v>
      </c>
      <c r="Q1909" s="47" t="s">
        <v>97</v>
      </c>
      <c r="R1909" s="47">
        <f>HEX2DEC(RIGHT(Table1323214[[#This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7" t="s">
        <v>97</v>
      </c>
      <c r="P1910" s="47">
        <f>HEX2DEC(RIGHT(Table1323214[[#This Row],[h1]],8))</f>
        <v>0</v>
      </c>
      <c r="Q1910" s="47" t="s">
        <v>97</v>
      </c>
      <c r="R1910" s="47">
        <f>HEX2DEC(RIGHT(Table1323214[[#This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7" t="s">
        <v>97</v>
      </c>
      <c r="P1911" s="47">
        <f>HEX2DEC(RIGHT(Table1323214[[#This Row],[h1]],8))</f>
        <v>0</v>
      </c>
      <c r="Q1911" s="47" t="s">
        <v>97</v>
      </c>
      <c r="R1911" s="47">
        <f>HEX2DEC(RIGHT(Table1323214[[#This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7" t="s">
        <v>97</v>
      </c>
      <c r="P1912" s="47">
        <f>HEX2DEC(RIGHT(Table1323214[[#This Row],[h1]],8))</f>
        <v>0</v>
      </c>
      <c r="Q1912" s="47" t="s">
        <v>97</v>
      </c>
      <c r="R1912" s="47">
        <f>HEX2DEC(RIGHT(Table1323214[[#This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7" t="s">
        <v>97</v>
      </c>
      <c r="P1913" s="47">
        <f>HEX2DEC(RIGHT(Table1323214[[#This Row],[h1]],8))</f>
        <v>0</v>
      </c>
      <c r="Q1913" s="47" t="s">
        <v>97</v>
      </c>
      <c r="R1913" s="47">
        <f>HEX2DEC(RIGHT(Table1323214[[#This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7" t="s">
        <v>97</v>
      </c>
      <c r="P1914" s="47">
        <f>HEX2DEC(RIGHT(Table1323214[[#This Row],[h1]],8))</f>
        <v>0</v>
      </c>
      <c r="Q1914" s="47" t="s">
        <v>97</v>
      </c>
      <c r="R1914" s="47">
        <f>HEX2DEC(RIGHT(Table1323214[[#This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7" t="s">
        <v>97</v>
      </c>
      <c r="P1915" s="47">
        <f>HEX2DEC(RIGHT(Table1323214[[#This Row],[h1]],8))</f>
        <v>0</v>
      </c>
      <c r="Q1915" s="47" t="s">
        <v>97</v>
      </c>
      <c r="R1915" s="47">
        <f>HEX2DEC(RIGHT(Table1323214[[#This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7" t="s">
        <v>97</v>
      </c>
      <c r="P1916" s="47">
        <f>HEX2DEC(RIGHT(Table1323214[[#This Row],[h1]],8))</f>
        <v>0</v>
      </c>
      <c r="Q1916" s="47" t="s">
        <v>97</v>
      </c>
      <c r="R1916" s="47">
        <f>HEX2DEC(RIGHT(Table1323214[[#This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7" t="s">
        <v>97</v>
      </c>
      <c r="P1917" s="47">
        <f>HEX2DEC(RIGHT(Table1323214[[#This Row],[h1]],8))</f>
        <v>0</v>
      </c>
      <c r="Q1917" s="47" t="s">
        <v>97</v>
      </c>
      <c r="R1917" s="47">
        <f>HEX2DEC(RIGHT(Table1323214[[#This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7" t="s">
        <v>97</v>
      </c>
      <c r="P1918" s="47">
        <f>HEX2DEC(RIGHT(Table1323214[[#This Row],[h1]],8))</f>
        <v>0</v>
      </c>
      <c r="Q1918" s="47" t="s">
        <v>97</v>
      </c>
      <c r="R1918" s="47">
        <f>HEX2DEC(RIGHT(Table1323214[[#This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7" t="s">
        <v>97</v>
      </c>
      <c r="P1919" s="47">
        <f>HEX2DEC(RIGHT(Table1323214[[#This Row],[h1]],8))</f>
        <v>0</v>
      </c>
      <c r="Q1919" s="47" t="s">
        <v>97</v>
      </c>
      <c r="R1919" s="47">
        <f>HEX2DEC(RIGHT(Table1323214[[#This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7" t="s">
        <v>97</v>
      </c>
      <c r="P1920" s="47">
        <f>HEX2DEC(RIGHT(Table1323214[[#This Row],[h1]],8))</f>
        <v>0</v>
      </c>
      <c r="Q1920" s="47" t="s">
        <v>97</v>
      </c>
      <c r="R1920" s="47">
        <f>HEX2DEC(RIGHT(Table1323214[[#This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7" t="s">
        <v>97</v>
      </c>
      <c r="P1921" s="47">
        <f>HEX2DEC(RIGHT(Table1323214[[#This Row],[h1]],8))</f>
        <v>0</v>
      </c>
      <c r="Q1921" s="47" t="s">
        <v>97</v>
      </c>
      <c r="R1921" s="47">
        <f>HEX2DEC(RIGHT(Table1323214[[#This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7" t="s">
        <v>97</v>
      </c>
      <c r="P1922" s="47">
        <f>HEX2DEC(RIGHT(Table1323214[[#This Row],[h1]],8))</f>
        <v>0</v>
      </c>
      <c r="Q1922" s="47" t="s">
        <v>97</v>
      </c>
      <c r="R1922" s="47">
        <f>HEX2DEC(RIGHT(Table1323214[[#This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7" t="s">
        <v>97</v>
      </c>
      <c r="P1923" s="47">
        <f>HEX2DEC(RIGHT(Table1323214[[#This Row],[h1]],8))</f>
        <v>0</v>
      </c>
      <c r="Q1923" s="47" t="s">
        <v>97</v>
      </c>
      <c r="R1923" s="47">
        <f>HEX2DEC(RIGHT(Table1323214[[#This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7" t="s">
        <v>97</v>
      </c>
      <c r="P1924" s="47">
        <f>HEX2DEC(RIGHT(Table1323214[[#This Row],[h1]],8))</f>
        <v>0</v>
      </c>
      <c r="Q1924" s="47" t="s">
        <v>97</v>
      </c>
      <c r="R1924" s="47">
        <f>HEX2DEC(RIGHT(Table1323214[[#This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7" t="s">
        <v>97</v>
      </c>
      <c r="P1925" s="47">
        <f>HEX2DEC(RIGHT(Table1323214[[#This Row],[h1]],8))</f>
        <v>0</v>
      </c>
      <c r="Q1925" s="47" t="s">
        <v>97</v>
      </c>
      <c r="R1925" s="47">
        <f>HEX2DEC(RIGHT(Table1323214[[#This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7" t="s">
        <v>97</v>
      </c>
      <c r="P1926" s="47">
        <f>HEX2DEC(RIGHT(Table1323214[[#This Row],[h1]],8))</f>
        <v>0</v>
      </c>
      <c r="Q1926" s="47" t="s">
        <v>97</v>
      </c>
      <c r="R1926" s="47">
        <f>HEX2DEC(RIGHT(Table1323214[[#This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7" t="s">
        <v>97</v>
      </c>
      <c r="P1927" s="47">
        <f>HEX2DEC(RIGHT(Table1323214[[#This Row],[h1]],8))</f>
        <v>0</v>
      </c>
      <c r="Q1927" s="47" t="s">
        <v>97</v>
      </c>
      <c r="R1927" s="47">
        <f>HEX2DEC(RIGHT(Table1323214[[#This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7" t="s">
        <v>97</v>
      </c>
      <c r="P1928" s="47">
        <f>HEX2DEC(RIGHT(Table1323214[[#This Row],[h1]],8))</f>
        <v>0</v>
      </c>
      <c r="Q1928" s="47" t="s">
        <v>97</v>
      </c>
      <c r="R1928" s="47">
        <f>HEX2DEC(RIGHT(Table1323214[[#This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7" t="s">
        <v>97</v>
      </c>
      <c r="P1929" s="47">
        <f>HEX2DEC(RIGHT(Table1323214[[#This Row],[h1]],8))</f>
        <v>0</v>
      </c>
      <c r="Q1929" s="47" t="s">
        <v>97</v>
      </c>
      <c r="R1929" s="47">
        <f>HEX2DEC(RIGHT(Table1323214[[#This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7" t="s">
        <v>97</v>
      </c>
      <c r="P1930" s="47">
        <f>HEX2DEC(RIGHT(Table1323214[[#This Row],[h1]],8))</f>
        <v>0</v>
      </c>
      <c r="Q1930" s="47" t="s">
        <v>97</v>
      </c>
      <c r="R1930" s="47">
        <f>HEX2DEC(RIGHT(Table1323214[[#This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7" t="s">
        <v>97</v>
      </c>
      <c r="P1931" s="47">
        <f>HEX2DEC(RIGHT(Table1323214[[#This Row],[h1]],8))</f>
        <v>0</v>
      </c>
      <c r="Q1931" s="47" t="s">
        <v>97</v>
      </c>
      <c r="R1931" s="47">
        <f>HEX2DEC(RIGHT(Table1323214[[#This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7" t="s">
        <v>97</v>
      </c>
      <c r="P1932" s="47">
        <f>HEX2DEC(RIGHT(Table1323214[[#This Row],[h1]],8))</f>
        <v>0</v>
      </c>
      <c r="Q1932" s="47" t="s">
        <v>97</v>
      </c>
      <c r="R1932" s="47">
        <f>HEX2DEC(RIGHT(Table1323214[[#This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7" t="s">
        <v>97</v>
      </c>
      <c r="P1933" s="47">
        <f>HEX2DEC(RIGHT(Table1323214[[#This Row],[h1]],8))</f>
        <v>0</v>
      </c>
      <c r="Q1933" s="47" t="s">
        <v>97</v>
      </c>
      <c r="R1933" s="47">
        <f>HEX2DEC(RIGHT(Table1323214[[#This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7" t="s">
        <v>97</v>
      </c>
      <c r="P1934" s="47">
        <f>HEX2DEC(RIGHT(Table1323214[[#This Row],[h1]],8))</f>
        <v>0</v>
      </c>
      <c r="Q1934" s="47" t="s">
        <v>97</v>
      </c>
      <c r="R1934" s="47">
        <f>HEX2DEC(RIGHT(Table1323214[[#This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7" t="s">
        <v>97</v>
      </c>
      <c r="P1935" s="47">
        <f>HEX2DEC(RIGHT(Table1323214[[#This Row],[h1]],8))</f>
        <v>0</v>
      </c>
      <c r="Q1935" s="47" t="s">
        <v>97</v>
      </c>
      <c r="R1935" s="47">
        <f>HEX2DEC(RIGHT(Table1323214[[#This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7" t="s">
        <v>97</v>
      </c>
      <c r="P1936" s="47">
        <f>HEX2DEC(RIGHT(Table1323214[[#This Row],[h1]],8))</f>
        <v>0</v>
      </c>
      <c r="Q1936" s="47" t="s">
        <v>97</v>
      </c>
      <c r="R1936" s="47">
        <f>HEX2DEC(RIGHT(Table1323214[[#This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7" t="s">
        <v>97</v>
      </c>
      <c r="P1937" s="47">
        <f>HEX2DEC(RIGHT(Table1323214[[#This Row],[h1]],8))</f>
        <v>0</v>
      </c>
      <c r="Q1937" s="47" t="s">
        <v>97</v>
      </c>
      <c r="R1937" s="47">
        <f>HEX2DEC(RIGHT(Table1323214[[#This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7" t="s">
        <v>97</v>
      </c>
      <c r="P1938" s="47">
        <f>HEX2DEC(RIGHT(Table1323214[[#This Row],[h1]],8))</f>
        <v>0</v>
      </c>
      <c r="Q1938" s="47" t="s">
        <v>97</v>
      </c>
      <c r="R1938" s="47">
        <f>HEX2DEC(RIGHT(Table1323214[[#This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7" t="s">
        <v>97</v>
      </c>
      <c r="P1939" s="47">
        <f>HEX2DEC(RIGHT(Table1323214[[#This Row],[h1]],8))</f>
        <v>0</v>
      </c>
      <c r="Q1939" s="47" t="s">
        <v>97</v>
      </c>
      <c r="R1939" s="47">
        <f>HEX2DEC(RIGHT(Table1323214[[#This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7" t="s">
        <v>97</v>
      </c>
      <c r="P1940" s="47">
        <f>HEX2DEC(RIGHT(Table1323214[[#This Row],[h1]],8))</f>
        <v>0</v>
      </c>
      <c r="Q1940" s="47" t="s">
        <v>97</v>
      </c>
      <c r="R1940" s="47">
        <f>HEX2DEC(RIGHT(Table1323214[[#This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7" t="s">
        <v>97</v>
      </c>
      <c r="P1941" s="47">
        <f>HEX2DEC(RIGHT(Table1323214[[#This Row],[h1]],8))</f>
        <v>0</v>
      </c>
      <c r="Q1941" s="47" t="s">
        <v>97</v>
      </c>
      <c r="R1941" s="47">
        <f>HEX2DEC(RIGHT(Table1323214[[#This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7" t="s">
        <v>97</v>
      </c>
      <c r="P1942" s="47">
        <f>HEX2DEC(RIGHT(Table1323214[[#This Row],[h1]],8))</f>
        <v>0</v>
      </c>
      <c r="Q1942" s="47" t="s">
        <v>97</v>
      </c>
      <c r="R1942" s="47">
        <f>HEX2DEC(RIGHT(Table1323214[[#This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7" t="s">
        <v>97</v>
      </c>
      <c r="P1943" s="47">
        <f>HEX2DEC(RIGHT(Table1323214[[#This Row],[h1]],8))</f>
        <v>0</v>
      </c>
      <c r="Q1943" s="47" t="s">
        <v>97</v>
      </c>
      <c r="R1943" s="47">
        <f>HEX2DEC(RIGHT(Table1323214[[#This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7" t="s">
        <v>97</v>
      </c>
      <c r="P1944" s="47">
        <f>HEX2DEC(RIGHT(Table1323214[[#This Row],[h1]],8))</f>
        <v>0</v>
      </c>
      <c r="Q1944" s="47" t="s">
        <v>97</v>
      </c>
      <c r="R1944" s="47">
        <f>HEX2DEC(RIGHT(Table1323214[[#This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7" t="s">
        <v>97</v>
      </c>
      <c r="P1945" s="47">
        <f>HEX2DEC(RIGHT(Table1323214[[#This Row],[h1]],8))</f>
        <v>0</v>
      </c>
      <c r="Q1945" s="47" t="s">
        <v>97</v>
      </c>
      <c r="R1945" s="47">
        <f>HEX2DEC(RIGHT(Table1323214[[#This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7" t="s">
        <v>97</v>
      </c>
      <c r="P1946" s="47">
        <f>HEX2DEC(RIGHT(Table1323214[[#This Row],[h1]],8))</f>
        <v>0</v>
      </c>
      <c r="Q1946" s="47" t="s">
        <v>97</v>
      </c>
      <c r="R1946" s="47">
        <f>HEX2DEC(RIGHT(Table1323214[[#This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7" t="s">
        <v>97</v>
      </c>
      <c r="P1947" s="47">
        <f>HEX2DEC(RIGHT(Table1323214[[#This Row],[h1]],8))</f>
        <v>0</v>
      </c>
      <c r="Q1947" s="47" t="s">
        <v>97</v>
      </c>
      <c r="R1947" s="47">
        <f>HEX2DEC(RIGHT(Table1323214[[#This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7" t="s">
        <v>97</v>
      </c>
      <c r="P1948" s="47">
        <f>HEX2DEC(RIGHT(Table1323214[[#This Row],[h1]],8))</f>
        <v>0</v>
      </c>
      <c r="Q1948" s="47" t="s">
        <v>97</v>
      </c>
      <c r="R1948" s="47">
        <f>HEX2DEC(RIGHT(Table1323214[[#This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7" t="s">
        <v>97</v>
      </c>
      <c r="P1949" s="47">
        <f>HEX2DEC(RIGHT(Table1323214[[#This Row],[h1]],8))</f>
        <v>0</v>
      </c>
      <c r="Q1949" s="47" t="s">
        <v>97</v>
      </c>
      <c r="R1949" s="47">
        <f>HEX2DEC(RIGHT(Table1323214[[#This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7" t="s">
        <v>97</v>
      </c>
      <c r="P1950" s="47">
        <f>HEX2DEC(RIGHT(Table1323214[[#This Row],[h1]],8))</f>
        <v>0</v>
      </c>
      <c r="Q1950" s="47" t="s">
        <v>97</v>
      </c>
      <c r="R1950" s="47">
        <f>HEX2DEC(RIGHT(Table1323214[[#This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7" t="s">
        <v>97</v>
      </c>
      <c r="P1951" s="47">
        <f>HEX2DEC(RIGHT(Table1323214[[#This Row],[h1]],8))</f>
        <v>0</v>
      </c>
      <c r="Q1951" s="47" t="s">
        <v>97</v>
      </c>
      <c r="R1951" s="47">
        <f>HEX2DEC(RIGHT(Table1323214[[#This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7" t="s">
        <v>97</v>
      </c>
      <c r="P1952" s="47">
        <f>HEX2DEC(RIGHT(Table1323214[[#This Row],[h1]],8))</f>
        <v>0</v>
      </c>
      <c r="Q1952" s="47" t="s">
        <v>97</v>
      </c>
      <c r="R1952" s="47">
        <f>HEX2DEC(RIGHT(Table1323214[[#This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7" t="s">
        <v>97</v>
      </c>
      <c r="P1953" s="47">
        <f>HEX2DEC(RIGHT(Table1323214[[#This Row],[h1]],8))</f>
        <v>0</v>
      </c>
      <c r="Q1953" s="47" t="s">
        <v>97</v>
      </c>
      <c r="R1953" s="47">
        <f>HEX2DEC(RIGHT(Table1323214[[#This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7" t="s">
        <v>97</v>
      </c>
      <c r="P1954" s="47">
        <f>HEX2DEC(RIGHT(Table1323214[[#This Row],[h1]],8))</f>
        <v>0</v>
      </c>
      <c r="Q1954" s="47" t="s">
        <v>97</v>
      </c>
      <c r="R1954" s="47">
        <f>HEX2DEC(RIGHT(Table1323214[[#This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7" t="s">
        <v>97</v>
      </c>
      <c r="P1955" s="47">
        <f>HEX2DEC(RIGHT(Table1323214[[#This Row],[h1]],8))</f>
        <v>0</v>
      </c>
      <c r="Q1955" s="47" t="s">
        <v>97</v>
      </c>
      <c r="R1955" s="47">
        <f>HEX2DEC(RIGHT(Table1323214[[#This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7" t="s">
        <v>97</v>
      </c>
      <c r="P1956" s="47">
        <f>HEX2DEC(RIGHT(Table1323214[[#This Row],[h1]],8))</f>
        <v>0</v>
      </c>
      <c r="Q1956" s="47" t="s">
        <v>97</v>
      </c>
      <c r="R1956" s="47">
        <f>HEX2DEC(RIGHT(Table1323214[[#This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7" t="s">
        <v>97</v>
      </c>
      <c r="P1957" s="47">
        <f>HEX2DEC(RIGHT(Table1323214[[#This Row],[h1]],8))</f>
        <v>0</v>
      </c>
      <c r="Q1957" s="47" t="s">
        <v>97</v>
      </c>
      <c r="R1957" s="47">
        <f>HEX2DEC(RIGHT(Table1323214[[#This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7" t="s">
        <v>97</v>
      </c>
      <c r="P1958" s="47">
        <f>HEX2DEC(RIGHT(Table1323214[[#This Row],[h1]],8))</f>
        <v>0</v>
      </c>
      <c r="Q1958" s="47" t="s">
        <v>97</v>
      </c>
      <c r="R1958" s="47">
        <f>HEX2DEC(RIGHT(Table1323214[[#This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7" t="s">
        <v>97</v>
      </c>
      <c r="P1959" s="47">
        <f>HEX2DEC(RIGHT(Table1323214[[#This Row],[h1]],8))</f>
        <v>0</v>
      </c>
      <c r="Q1959" s="47" t="s">
        <v>97</v>
      </c>
      <c r="R1959" s="47">
        <f>HEX2DEC(RIGHT(Table1323214[[#This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7" t="s">
        <v>97</v>
      </c>
      <c r="P1960" s="47">
        <f>HEX2DEC(RIGHT(Table1323214[[#This Row],[h1]],8))</f>
        <v>0</v>
      </c>
      <c r="Q1960" s="47" t="s">
        <v>97</v>
      </c>
      <c r="R1960" s="47">
        <f>HEX2DEC(RIGHT(Table1323214[[#This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7" t="s">
        <v>97</v>
      </c>
      <c r="P1961" s="47">
        <f>HEX2DEC(RIGHT(Table1323214[[#This Row],[h1]],8))</f>
        <v>0</v>
      </c>
      <c r="Q1961" s="47" t="s">
        <v>97</v>
      </c>
      <c r="R1961" s="47">
        <f>HEX2DEC(RIGHT(Table1323214[[#This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7" t="s">
        <v>97</v>
      </c>
      <c r="P1962" s="47">
        <f>HEX2DEC(RIGHT(Table1323214[[#This Row],[h1]],8))</f>
        <v>0</v>
      </c>
      <c r="Q1962" s="47" t="s">
        <v>97</v>
      </c>
      <c r="R1962" s="47">
        <f>HEX2DEC(RIGHT(Table1323214[[#This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7" t="s">
        <v>97</v>
      </c>
      <c r="P1963" s="47">
        <f>HEX2DEC(RIGHT(Table1323214[[#This Row],[h1]],8))</f>
        <v>0</v>
      </c>
      <c r="Q1963" s="47" t="s">
        <v>97</v>
      </c>
      <c r="R1963" s="47">
        <f>HEX2DEC(RIGHT(Table1323214[[#This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7" t="s">
        <v>97</v>
      </c>
      <c r="P1964" s="47">
        <f>HEX2DEC(RIGHT(Table1323214[[#This Row],[h1]],8))</f>
        <v>0</v>
      </c>
      <c r="Q1964" s="47" t="s">
        <v>97</v>
      </c>
      <c r="R1964" s="47">
        <f>HEX2DEC(RIGHT(Table1323214[[#This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7" t="s">
        <v>97</v>
      </c>
      <c r="P1965" s="47">
        <f>HEX2DEC(RIGHT(Table1323214[[#This Row],[h1]],8))</f>
        <v>0</v>
      </c>
      <c r="Q1965" s="47" t="s">
        <v>97</v>
      </c>
      <c r="R1965" s="47">
        <f>HEX2DEC(RIGHT(Table1323214[[#This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7" t="s">
        <v>97</v>
      </c>
      <c r="P1966" s="47">
        <f>HEX2DEC(RIGHT(Table1323214[[#This Row],[h1]],8))</f>
        <v>0</v>
      </c>
      <c r="Q1966" s="47" t="s">
        <v>97</v>
      </c>
      <c r="R1966" s="47">
        <f>HEX2DEC(RIGHT(Table1323214[[#This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7" t="s">
        <v>97</v>
      </c>
      <c r="P1967" s="47">
        <f>HEX2DEC(RIGHT(Table1323214[[#This Row],[h1]],8))</f>
        <v>0</v>
      </c>
      <c r="Q1967" s="47" t="s">
        <v>97</v>
      </c>
      <c r="R1967" s="47">
        <f>HEX2DEC(RIGHT(Table1323214[[#This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7" t="s">
        <v>97</v>
      </c>
      <c r="P1968" s="47">
        <f>HEX2DEC(RIGHT(Table1323214[[#This Row],[h1]],8))</f>
        <v>0</v>
      </c>
      <c r="Q1968" s="47" t="s">
        <v>97</v>
      </c>
      <c r="R1968" s="47">
        <f>HEX2DEC(RIGHT(Table1323214[[#This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7" t="s">
        <v>97</v>
      </c>
      <c r="P1969" s="47">
        <f>HEX2DEC(RIGHT(Table1323214[[#This Row],[h1]],8))</f>
        <v>0</v>
      </c>
      <c r="Q1969" s="47" t="s">
        <v>97</v>
      </c>
      <c r="R1969" s="47">
        <f>HEX2DEC(RIGHT(Table1323214[[#This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7" t="s">
        <v>97</v>
      </c>
      <c r="P1970" s="47">
        <f>HEX2DEC(RIGHT(Table1323214[[#This Row],[h1]],8))</f>
        <v>0</v>
      </c>
      <c r="Q1970" s="47" t="s">
        <v>97</v>
      </c>
      <c r="R1970" s="47">
        <f>HEX2DEC(RIGHT(Table1323214[[#This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7" t="s">
        <v>97</v>
      </c>
      <c r="P1971" s="47">
        <f>HEX2DEC(RIGHT(Table1323214[[#This Row],[h1]],8))</f>
        <v>0</v>
      </c>
      <c r="Q1971" s="47" t="s">
        <v>97</v>
      </c>
      <c r="R1971" s="47">
        <f>HEX2DEC(RIGHT(Table1323214[[#This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7" t="s">
        <v>97</v>
      </c>
      <c r="P1972" s="47">
        <f>HEX2DEC(RIGHT(Table1323214[[#This Row],[h1]],8))</f>
        <v>0</v>
      </c>
      <c r="Q1972" s="47" t="s">
        <v>97</v>
      </c>
      <c r="R1972" s="47">
        <f>HEX2DEC(RIGHT(Table1323214[[#This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7" t="s">
        <v>97</v>
      </c>
      <c r="P1973" s="47">
        <f>HEX2DEC(RIGHT(Table1323214[[#This Row],[h1]],8))</f>
        <v>0</v>
      </c>
      <c r="Q1973" s="47" t="s">
        <v>97</v>
      </c>
      <c r="R1973" s="47">
        <f>HEX2DEC(RIGHT(Table1323214[[#This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7" t="s">
        <v>97</v>
      </c>
      <c r="P1974" s="47">
        <f>HEX2DEC(RIGHT(Table1323214[[#This Row],[h1]],8))</f>
        <v>0</v>
      </c>
      <c r="Q1974" s="47" t="s">
        <v>97</v>
      </c>
      <c r="R1974" s="47">
        <f>HEX2DEC(RIGHT(Table1323214[[#This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7" t="s">
        <v>97</v>
      </c>
      <c r="P1975" s="47">
        <f>HEX2DEC(RIGHT(Table1323214[[#This Row],[h1]],8))</f>
        <v>0</v>
      </c>
      <c r="Q1975" s="47" t="s">
        <v>97</v>
      </c>
      <c r="R1975" s="47">
        <f>HEX2DEC(RIGHT(Table1323214[[#This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7" t="s">
        <v>97</v>
      </c>
      <c r="P1976" s="47">
        <f>HEX2DEC(RIGHT(Table1323214[[#This Row],[h1]],8))</f>
        <v>0</v>
      </c>
      <c r="Q1976" s="47" t="s">
        <v>97</v>
      </c>
      <c r="R1976" s="47">
        <f>HEX2DEC(RIGHT(Table1323214[[#This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7" t="s">
        <v>97</v>
      </c>
      <c r="P1977" s="47">
        <f>HEX2DEC(RIGHT(Table1323214[[#This Row],[h1]],8))</f>
        <v>0</v>
      </c>
      <c r="Q1977" s="47" t="s">
        <v>97</v>
      </c>
      <c r="R1977" s="47">
        <f>HEX2DEC(RIGHT(Table1323214[[#This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7" t="s">
        <v>97</v>
      </c>
      <c r="P1978" s="47">
        <f>HEX2DEC(RIGHT(Table1323214[[#This Row],[h1]],8))</f>
        <v>0</v>
      </c>
      <c r="Q1978" s="47" t="s">
        <v>97</v>
      </c>
      <c r="R1978" s="47">
        <f>HEX2DEC(RIGHT(Table1323214[[#This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7" t="s">
        <v>97</v>
      </c>
      <c r="P1979" s="47">
        <f>HEX2DEC(RIGHT(Table1323214[[#This Row],[h1]],8))</f>
        <v>0</v>
      </c>
      <c r="Q1979" s="47" t="s">
        <v>97</v>
      </c>
      <c r="R1979" s="47">
        <f>HEX2DEC(RIGHT(Table1323214[[#This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7" t="s">
        <v>97</v>
      </c>
      <c r="P1980" s="47">
        <f>HEX2DEC(RIGHT(Table1323214[[#This Row],[h1]],8))</f>
        <v>0</v>
      </c>
      <c r="Q1980" s="47" t="s">
        <v>97</v>
      </c>
      <c r="R1980" s="47">
        <f>HEX2DEC(RIGHT(Table1323214[[#This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7" t="s">
        <v>97</v>
      </c>
      <c r="P1981" s="47">
        <f>HEX2DEC(RIGHT(Table1323214[[#This Row],[h1]],8))</f>
        <v>0</v>
      </c>
      <c r="Q1981" s="47" t="s">
        <v>97</v>
      </c>
      <c r="R1981" s="47">
        <f>HEX2DEC(RIGHT(Table1323214[[#This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7" t="s">
        <v>97</v>
      </c>
      <c r="P1982" s="47">
        <f>HEX2DEC(RIGHT(Table1323214[[#This Row],[h1]],8))</f>
        <v>0</v>
      </c>
      <c r="Q1982" s="47" t="s">
        <v>97</v>
      </c>
      <c r="R1982" s="47">
        <f>HEX2DEC(RIGHT(Table1323214[[#This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7" t="s">
        <v>97</v>
      </c>
      <c r="P1983" s="47">
        <f>HEX2DEC(RIGHT(Table1323214[[#This Row],[h1]],8))</f>
        <v>0</v>
      </c>
      <c r="Q1983" s="47" t="s">
        <v>97</v>
      </c>
      <c r="R1983" s="47">
        <f>HEX2DEC(RIGHT(Table1323214[[#This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7" t="s">
        <v>97</v>
      </c>
      <c r="P1984" s="47">
        <f>HEX2DEC(RIGHT(Table1323214[[#This Row],[h1]],8))</f>
        <v>0</v>
      </c>
      <c r="Q1984" s="47" t="s">
        <v>97</v>
      </c>
      <c r="R1984" s="47">
        <f>HEX2DEC(RIGHT(Table1323214[[#This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7" t="s">
        <v>97</v>
      </c>
      <c r="P1985" s="47">
        <f>HEX2DEC(RIGHT(Table1323214[[#This Row],[h1]],8))</f>
        <v>0</v>
      </c>
      <c r="Q1985" s="47" t="s">
        <v>97</v>
      </c>
      <c r="R1985" s="47">
        <f>HEX2DEC(RIGHT(Table1323214[[#This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7" t="s">
        <v>97</v>
      </c>
      <c r="P1986" s="47">
        <f>HEX2DEC(RIGHT(Table1323214[[#This Row],[h1]],8))</f>
        <v>0</v>
      </c>
      <c r="Q1986" s="47" t="s">
        <v>97</v>
      </c>
      <c r="R1986" s="47">
        <f>HEX2DEC(RIGHT(Table1323214[[#This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7" t="s">
        <v>97</v>
      </c>
      <c r="P1987" s="47">
        <f>HEX2DEC(RIGHT(Table1323214[[#This Row],[h1]],8))</f>
        <v>0</v>
      </c>
      <c r="Q1987" s="47" t="s">
        <v>97</v>
      </c>
      <c r="R1987" s="47">
        <f>HEX2DEC(RIGHT(Table1323214[[#This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7" t="s">
        <v>97</v>
      </c>
      <c r="P1988" s="47">
        <f>HEX2DEC(RIGHT(Table1323214[[#This Row],[h1]],8))</f>
        <v>0</v>
      </c>
      <c r="Q1988" s="47" t="s">
        <v>97</v>
      </c>
      <c r="R1988" s="47">
        <f>HEX2DEC(RIGHT(Table1323214[[#This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7" t="s">
        <v>97</v>
      </c>
      <c r="P1989" s="47">
        <f>HEX2DEC(RIGHT(Table1323214[[#This Row],[h1]],8))</f>
        <v>0</v>
      </c>
      <c r="Q1989" s="47" t="s">
        <v>97</v>
      </c>
      <c r="R1989" s="47">
        <f>HEX2DEC(RIGHT(Table1323214[[#This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7" t="s">
        <v>97</v>
      </c>
      <c r="P1990" s="47">
        <f>HEX2DEC(RIGHT(Table1323214[[#This Row],[h1]],8))</f>
        <v>0</v>
      </c>
      <c r="Q1990" s="47" t="s">
        <v>97</v>
      </c>
      <c r="R1990" s="47">
        <f>HEX2DEC(RIGHT(Table1323214[[#This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7" t="s">
        <v>97</v>
      </c>
      <c r="P1991" s="47">
        <f>HEX2DEC(RIGHT(Table1323214[[#This Row],[h1]],8))</f>
        <v>0</v>
      </c>
      <c r="Q1991" s="47" t="s">
        <v>97</v>
      </c>
      <c r="R1991" s="47">
        <f>HEX2DEC(RIGHT(Table1323214[[#This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7" t="s">
        <v>97</v>
      </c>
      <c r="P1992" s="47">
        <f>HEX2DEC(RIGHT(Table1323214[[#This Row],[h1]],8))</f>
        <v>0</v>
      </c>
      <c r="Q1992" s="47" t="s">
        <v>97</v>
      </c>
      <c r="R1992" s="47">
        <f>HEX2DEC(RIGHT(Table1323214[[#This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7" t="s">
        <v>97</v>
      </c>
      <c r="P1993" s="47">
        <f>HEX2DEC(RIGHT(Table1323214[[#This Row],[h1]],8))</f>
        <v>0</v>
      </c>
      <c r="Q1993" s="47" t="s">
        <v>97</v>
      </c>
      <c r="R1993" s="47">
        <f>HEX2DEC(RIGHT(Table1323214[[#This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7" t="s">
        <v>97</v>
      </c>
      <c r="P1994" s="47">
        <f>HEX2DEC(RIGHT(Table1323214[[#This Row],[h1]],8))</f>
        <v>0</v>
      </c>
      <c r="Q1994" s="47" t="s">
        <v>97</v>
      </c>
      <c r="R1994" s="47">
        <f>HEX2DEC(RIGHT(Table1323214[[#This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7" t="s">
        <v>97</v>
      </c>
      <c r="P1995" s="47">
        <f>HEX2DEC(RIGHT(Table1323214[[#This Row],[h1]],8))</f>
        <v>0</v>
      </c>
      <c r="Q1995" s="47" t="s">
        <v>97</v>
      </c>
      <c r="R1995" s="47">
        <f>HEX2DEC(RIGHT(Table1323214[[#This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7" t="s">
        <v>97</v>
      </c>
      <c r="P1996" s="47">
        <f>HEX2DEC(RIGHT(Table1323214[[#This Row],[h1]],8))</f>
        <v>0</v>
      </c>
      <c r="Q1996" s="47" t="s">
        <v>97</v>
      </c>
      <c r="R1996" s="47">
        <f>HEX2DEC(RIGHT(Table1323214[[#This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7" t="s">
        <v>97</v>
      </c>
      <c r="P1997" s="47">
        <f>HEX2DEC(RIGHT(Table1323214[[#This Row],[h1]],8))</f>
        <v>0</v>
      </c>
      <c r="Q1997" s="47" t="s">
        <v>97</v>
      </c>
      <c r="R1997" s="47">
        <f>HEX2DEC(RIGHT(Table1323214[[#This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7" t="s">
        <v>97</v>
      </c>
      <c r="P1998" s="47">
        <f>HEX2DEC(RIGHT(Table1323214[[#This Row],[h1]],8))</f>
        <v>0</v>
      </c>
      <c r="Q1998" s="47" t="s">
        <v>97</v>
      </c>
      <c r="R1998" s="47">
        <f>HEX2DEC(RIGHT(Table1323214[[#This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7" t="s">
        <v>97</v>
      </c>
      <c r="P1999" s="47">
        <f>HEX2DEC(RIGHT(Table1323214[[#This Row],[h1]],8))</f>
        <v>0</v>
      </c>
      <c r="Q1999" s="47" t="s">
        <v>97</v>
      </c>
      <c r="R1999" s="47">
        <f>HEX2DEC(RIGHT(Table1323214[[#This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7" t="s">
        <v>97</v>
      </c>
      <c r="P2000" s="47">
        <f>HEX2DEC(RIGHT(Table1323214[[#This Row],[h1]],8))</f>
        <v>0</v>
      </c>
      <c r="Q2000" s="47" t="s">
        <v>97</v>
      </c>
      <c r="R2000" s="47">
        <f>HEX2DEC(RIGHT(Table1323214[[#This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7" t="s">
        <v>97</v>
      </c>
      <c r="P2001" s="47">
        <f>HEX2DEC(RIGHT(Table1323214[[#This Row],[h1]],8))</f>
        <v>0</v>
      </c>
      <c r="Q2001" s="47" t="s">
        <v>97</v>
      </c>
      <c r="R2001" s="47">
        <f>HEX2DEC(RIGHT(Table1323214[[#This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7" t="s">
        <v>97</v>
      </c>
      <c r="P2002" s="47">
        <f>HEX2DEC(RIGHT(Table1323214[[#This Row],[h1]],8))</f>
        <v>0</v>
      </c>
      <c r="Q2002" s="47" t="s">
        <v>97</v>
      </c>
      <c r="R2002" s="47">
        <f>HEX2DEC(RIGHT(Table1323214[[#This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7" t="s">
        <v>97</v>
      </c>
      <c r="P2003" s="47">
        <f>HEX2DEC(RIGHT(Table1323214[[#This Row],[h1]],8))</f>
        <v>0</v>
      </c>
      <c r="Q2003" s="47" t="s">
        <v>97</v>
      </c>
      <c r="R2003" s="47">
        <f>HEX2DEC(RIGHT(Table1323214[[#This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7" t="s">
        <v>97</v>
      </c>
      <c r="P2004" s="47">
        <f>HEX2DEC(RIGHT(Table1323214[[#This Row],[h1]],8))</f>
        <v>0</v>
      </c>
      <c r="Q2004" s="47" t="s">
        <v>97</v>
      </c>
      <c r="R2004" s="47">
        <f>HEX2DEC(RIGHT(Table1323214[[#This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7" t="s">
        <v>97</v>
      </c>
      <c r="P2005" s="47">
        <f>HEX2DEC(RIGHT(Table1323214[[#This Row],[h1]],8))</f>
        <v>0</v>
      </c>
      <c r="Q2005" s="47" t="s">
        <v>97</v>
      </c>
      <c r="R2005" s="47">
        <f>HEX2DEC(RIGHT(Table1323214[[#This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7" t="s">
        <v>97</v>
      </c>
      <c r="P2006" s="47">
        <f>HEX2DEC(RIGHT(Table1323214[[#This Row],[h1]],8))</f>
        <v>0</v>
      </c>
      <c r="Q2006" s="47" t="s">
        <v>97</v>
      </c>
      <c r="R2006" s="47">
        <f>HEX2DEC(RIGHT(Table1323214[[#This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7" t="s">
        <v>97</v>
      </c>
      <c r="P2007" s="47">
        <f>HEX2DEC(RIGHT(Table1323214[[#This Row],[h1]],8))</f>
        <v>0</v>
      </c>
      <c r="Q2007" s="47" t="s">
        <v>97</v>
      </c>
      <c r="R2007" s="47">
        <f>HEX2DEC(RIGHT(Table1323214[[#This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7" t="s">
        <v>97</v>
      </c>
      <c r="P2008" s="47">
        <f>HEX2DEC(RIGHT(Table1323214[[#This Row],[h1]],8))</f>
        <v>0</v>
      </c>
      <c r="Q2008" s="47" t="s">
        <v>97</v>
      </c>
      <c r="R2008" s="47">
        <f>HEX2DEC(RIGHT(Table1323214[[#This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7" t="s">
        <v>97</v>
      </c>
      <c r="P2009" s="47">
        <f>HEX2DEC(RIGHT(Table1323214[[#This Row],[h1]],8))</f>
        <v>0</v>
      </c>
      <c r="Q2009" s="47" t="s">
        <v>97</v>
      </c>
      <c r="R2009" s="47">
        <f>HEX2DEC(RIGHT(Table1323214[[#This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7" t="s">
        <v>97</v>
      </c>
      <c r="P2010" s="47">
        <f>HEX2DEC(RIGHT(Table1323214[[#This Row],[h1]],8))</f>
        <v>0</v>
      </c>
      <c r="Q2010" s="47" t="s">
        <v>97</v>
      </c>
      <c r="R2010" s="47">
        <f>HEX2DEC(RIGHT(Table1323214[[#This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7" t="s">
        <v>97</v>
      </c>
      <c r="P2011" s="47">
        <f>HEX2DEC(RIGHT(Table1323214[[#This Row],[h1]],8))</f>
        <v>0</v>
      </c>
      <c r="Q2011" s="47" t="s">
        <v>97</v>
      </c>
      <c r="R2011" s="47">
        <f>HEX2DEC(RIGHT(Table1323214[[#This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7" t="s">
        <v>97</v>
      </c>
      <c r="P2012" s="47">
        <f>HEX2DEC(RIGHT(Table1323214[[#This Row],[h1]],8))</f>
        <v>0</v>
      </c>
      <c r="Q2012" s="47" t="s">
        <v>97</v>
      </c>
      <c r="R2012" s="47">
        <f>HEX2DEC(RIGHT(Table1323214[[#This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7" t="s">
        <v>97</v>
      </c>
      <c r="P2013" s="47">
        <f>HEX2DEC(RIGHT(Table1323214[[#This Row],[h1]],8))</f>
        <v>0</v>
      </c>
      <c r="Q2013" s="47" t="s">
        <v>97</v>
      </c>
      <c r="R2013" s="47">
        <f>HEX2DEC(RIGHT(Table1323214[[#This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7" t="s">
        <v>97</v>
      </c>
      <c r="P2014" s="47">
        <f>HEX2DEC(RIGHT(Table1323214[[#This Row],[h1]],8))</f>
        <v>0</v>
      </c>
      <c r="Q2014" s="47" t="s">
        <v>97</v>
      </c>
      <c r="R2014" s="47">
        <f>HEX2DEC(RIGHT(Table1323214[[#This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7" t="s">
        <v>97</v>
      </c>
      <c r="P2015" s="47">
        <f>HEX2DEC(RIGHT(Table1323214[[#This Row],[h1]],8))</f>
        <v>0</v>
      </c>
      <c r="Q2015" s="47" t="s">
        <v>97</v>
      </c>
      <c r="R2015" s="47">
        <f>HEX2DEC(RIGHT(Table1323214[[#This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7" t="s">
        <v>97</v>
      </c>
      <c r="P2016" s="47">
        <f>HEX2DEC(RIGHT(Table1323214[[#This Row],[h1]],8))</f>
        <v>0</v>
      </c>
      <c r="Q2016" s="47" t="s">
        <v>97</v>
      </c>
      <c r="R2016" s="47">
        <f>HEX2DEC(RIGHT(Table1323214[[#This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7" t="s">
        <v>97</v>
      </c>
      <c r="P2017" s="47">
        <f>HEX2DEC(RIGHT(Table1323214[[#This Row],[h1]],8))</f>
        <v>0</v>
      </c>
      <c r="Q2017" s="47" t="s">
        <v>97</v>
      </c>
      <c r="R2017" s="47">
        <f>HEX2DEC(RIGHT(Table1323214[[#This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7" t="s">
        <v>97</v>
      </c>
      <c r="P2018" s="47">
        <f>HEX2DEC(RIGHT(Table1323214[[#This Row],[h1]],8))</f>
        <v>0</v>
      </c>
      <c r="Q2018" s="47" t="s">
        <v>97</v>
      </c>
      <c r="R2018" s="47">
        <f>HEX2DEC(RIGHT(Table1323214[[#This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7" t="s">
        <v>97</v>
      </c>
      <c r="P2019" s="47">
        <f>HEX2DEC(RIGHT(Table1323214[[#This Row],[h1]],8))</f>
        <v>0</v>
      </c>
      <c r="Q2019" s="47" t="s">
        <v>97</v>
      </c>
      <c r="R2019" s="47">
        <f>HEX2DEC(RIGHT(Table1323214[[#This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7" t="s">
        <v>97</v>
      </c>
      <c r="P2020" s="47">
        <f>HEX2DEC(RIGHT(Table1323214[[#This Row],[h1]],8))</f>
        <v>0</v>
      </c>
      <c r="Q2020" s="47" t="s">
        <v>97</v>
      </c>
      <c r="R2020" s="47">
        <f>HEX2DEC(RIGHT(Table1323214[[#This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7" t="s">
        <v>97</v>
      </c>
      <c r="P2021" s="47">
        <f>HEX2DEC(RIGHT(Table1323214[[#This Row],[h1]],8))</f>
        <v>0</v>
      </c>
      <c r="Q2021" s="47" t="s">
        <v>97</v>
      </c>
      <c r="R2021" s="47">
        <f>HEX2DEC(RIGHT(Table1323214[[#This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7" t="s">
        <v>97</v>
      </c>
      <c r="P2022" s="47">
        <f>HEX2DEC(RIGHT(Table1323214[[#This Row],[h1]],8))</f>
        <v>0</v>
      </c>
      <c r="Q2022" s="47" t="s">
        <v>97</v>
      </c>
      <c r="R2022" s="47">
        <f>HEX2DEC(RIGHT(Table1323214[[#This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7" t="s">
        <v>97</v>
      </c>
      <c r="P2023" s="47">
        <f>HEX2DEC(RIGHT(Table1323214[[#This Row],[h1]],8))</f>
        <v>0</v>
      </c>
      <c r="Q2023" s="47" t="s">
        <v>97</v>
      </c>
      <c r="R2023" s="47">
        <f>HEX2DEC(RIGHT(Table1323214[[#This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7" t="s">
        <v>97</v>
      </c>
      <c r="P2024" s="47">
        <f>HEX2DEC(RIGHT(Table1323214[[#This Row],[h1]],8))</f>
        <v>0</v>
      </c>
      <c r="Q2024" s="47" t="s">
        <v>97</v>
      </c>
      <c r="R2024" s="47">
        <f>HEX2DEC(RIGHT(Table1323214[[#This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7" t="s">
        <v>97</v>
      </c>
      <c r="P2025" s="47">
        <f>HEX2DEC(RIGHT(Table1323214[[#This Row],[h1]],8))</f>
        <v>0</v>
      </c>
      <c r="Q2025" s="47" t="s">
        <v>97</v>
      </c>
      <c r="R2025" s="47">
        <f>HEX2DEC(RIGHT(Table1323214[[#This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7" t="s">
        <v>97</v>
      </c>
      <c r="P2026" s="47">
        <f>HEX2DEC(RIGHT(Table1323214[[#This Row],[h1]],8))</f>
        <v>0</v>
      </c>
      <c r="Q2026" s="47" t="s">
        <v>97</v>
      </c>
      <c r="R2026" s="47">
        <f>HEX2DEC(RIGHT(Table1323214[[#This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7" t="s">
        <v>97</v>
      </c>
      <c r="P2027" s="47">
        <f>HEX2DEC(RIGHT(Table1323214[[#This Row],[h1]],8))</f>
        <v>0</v>
      </c>
      <c r="Q2027" s="47" t="s">
        <v>97</v>
      </c>
      <c r="R2027" s="47">
        <f>HEX2DEC(RIGHT(Table1323214[[#This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7" t="s">
        <v>97</v>
      </c>
      <c r="P2028" s="47">
        <f>HEX2DEC(RIGHT(Table1323214[[#This Row],[h1]],8))</f>
        <v>0</v>
      </c>
      <c r="Q2028" s="47" t="s">
        <v>97</v>
      </c>
      <c r="R2028" s="47">
        <f>HEX2DEC(RIGHT(Table1323214[[#This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7" t="s">
        <v>97</v>
      </c>
      <c r="P2029" s="47">
        <f>HEX2DEC(RIGHT(Table1323214[[#This Row],[h1]],8))</f>
        <v>0</v>
      </c>
      <c r="Q2029" s="47" t="s">
        <v>97</v>
      </c>
      <c r="R2029" s="47">
        <f>HEX2DEC(RIGHT(Table1323214[[#This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7" t="s">
        <v>97</v>
      </c>
      <c r="P2030" s="47">
        <f>HEX2DEC(RIGHT(Table1323214[[#This Row],[h1]],8))</f>
        <v>0</v>
      </c>
      <c r="Q2030" s="47" t="s">
        <v>97</v>
      </c>
      <c r="R2030" s="47">
        <f>HEX2DEC(RIGHT(Table1323214[[#This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7" t="s">
        <v>97</v>
      </c>
      <c r="P2031" s="47">
        <f>HEX2DEC(RIGHT(Table1323214[[#This Row],[h1]],8))</f>
        <v>0</v>
      </c>
      <c r="Q2031" s="47" t="s">
        <v>97</v>
      </c>
      <c r="R2031" s="47">
        <f>HEX2DEC(RIGHT(Table1323214[[#This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7" t="s">
        <v>97</v>
      </c>
      <c r="P2032" s="47">
        <f>HEX2DEC(RIGHT(Table1323214[[#This Row],[h1]],8))</f>
        <v>0</v>
      </c>
      <c r="Q2032" s="47" t="s">
        <v>97</v>
      </c>
      <c r="R2032" s="47">
        <f>HEX2DEC(RIGHT(Table1323214[[#This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7" t="s">
        <v>97</v>
      </c>
      <c r="P2033" s="47">
        <f>HEX2DEC(RIGHT(Table1323214[[#This Row],[h1]],8))</f>
        <v>0</v>
      </c>
      <c r="Q2033" s="47" t="s">
        <v>97</v>
      </c>
      <c r="R2033" s="47">
        <f>HEX2DEC(RIGHT(Table1323214[[#This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7" t="s">
        <v>97</v>
      </c>
      <c r="P2034" s="47">
        <f>HEX2DEC(RIGHT(Table1323214[[#This Row],[h1]],8))</f>
        <v>0</v>
      </c>
      <c r="Q2034" s="47" t="s">
        <v>97</v>
      </c>
      <c r="R2034" s="47">
        <f>HEX2DEC(RIGHT(Table1323214[[#This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7" t="s">
        <v>97</v>
      </c>
      <c r="P2035" s="47">
        <f>HEX2DEC(RIGHT(Table1323214[[#This Row],[h1]],8))</f>
        <v>0</v>
      </c>
      <c r="Q2035" s="47" t="s">
        <v>97</v>
      </c>
      <c r="R2035" s="47">
        <f>HEX2DEC(RIGHT(Table1323214[[#This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7" t="s">
        <v>97</v>
      </c>
      <c r="P2036" s="47">
        <f>HEX2DEC(RIGHT(Table1323214[[#This Row],[h1]],8))</f>
        <v>0</v>
      </c>
      <c r="Q2036" s="47" t="s">
        <v>97</v>
      </c>
      <c r="R2036" s="47">
        <f>HEX2DEC(RIGHT(Table1323214[[#This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7" t="s">
        <v>97</v>
      </c>
      <c r="P2037" s="47">
        <f>HEX2DEC(RIGHT(Table1323214[[#This Row],[h1]],8))</f>
        <v>0</v>
      </c>
      <c r="Q2037" s="47" t="s">
        <v>97</v>
      </c>
      <c r="R2037" s="47">
        <f>HEX2DEC(RIGHT(Table1323214[[#This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7" t="s">
        <v>97</v>
      </c>
      <c r="P2038" s="47">
        <f>HEX2DEC(RIGHT(Table1323214[[#This Row],[h1]],8))</f>
        <v>0</v>
      </c>
      <c r="Q2038" s="47" t="s">
        <v>97</v>
      </c>
      <c r="R2038" s="47">
        <f>HEX2DEC(RIGHT(Table1323214[[#This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7" t="s">
        <v>97</v>
      </c>
      <c r="P2039" s="47">
        <f>HEX2DEC(RIGHT(Table1323214[[#This Row],[h1]],8))</f>
        <v>0</v>
      </c>
      <c r="Q2039" s="47" t="s">
        <v>97</v>
      </c>
      <c r="R2039" s="47">
        <f>HEX2DEC(RIGHT(Table1323214[[#This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7" t="s">
        <v>97</v>
      </c>
      <c r="P2040" s="47">
        <f>HEX2DEC(RIGHT(Table1323214[[#This Row],[h1]],8))</f>
        <v>0</v>
      </c>
      <c r="Q2040" s="47" t="s">
        <v>97</v>
      </c>
      <c r="R2040" s="47">
        <f>HEX2DEC(RIGHT(Table1323214[[#This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7" t="s">
        <v>97</v>
      </c>
      <c r="P2041" s="47">
        <f>HEX2DEC(RIGHT(Table1323214[[#This Row],[h1]],8))</f>
        <v>0</v>
      </c>
      <c r="Q2041" s="47" t="s">
        <v>97</v>
      </c>
      <c r="R2041" s="47">
        <f>HEX2DEC(RIGHT(Table1323214[[#This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7" t="s">
        <v>27</v>
      </c>
      <c r="Q2042" s="47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7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2094"/>
  <sheetViews>
    <sheetView zoomScaleNormal="100" workbookViewId="0">
      <pane xSplit="3" ySplit="6" topLeftCell="D106" activePane="bottomRight" state="frozen"/>
      <selection pane="topRight" activeCell="C1" sqref="C1"/>
      <selection pane="bottomLeft" activeCell="A7" sqref="A7"/>
      <selection pane="bottomRight" activeCell="G152" sqref="G152"/>
    </sheetView>
  </sheetViews>
  <sheetFormatPr defaultColWidth="11.5" defaultRowHeight="12" x14ac:dyDescent="0.3"/>
  <cols>
    <col min="1" max="1" width="8.5" style="15" bestFit="1" customWidth="1"/>
    <col min="2" max="2" width="17.125" style="15" bestFit="1" customWidth="1"/>
    <col min="3" max="3" width="5" style="50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50" bestFit="1" customWidth="1"/>
    <col min="16" max="16" width="12.25" style="50" customWidth="1"/>
    <col min="17" max="17" width="14.125" style="50" bestFit="1" customWidth="1"/>
    <col min="18" max="18" width="14.125" style="50" customWidth="1"/>
    <col min="19" max="19" width="1.75" style="50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50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50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50" customFormat="1" x14ac:dyDescent="0.3">
      <c r="A3" s="12" t="s">
        <v>32</v>
      </c>
      <c r="C3" s="50" t="s">
        <v>23</v>
      </c>
      <c r="D3" s="50" t="s">
        <v>9</v>
      </c>
      <c r="E3" s="50" t="s">
        <v>10</v>
      </c>
      <c r="F3" s="50" t="s">
        <v>11</v>
      </c>
      <c r="G3" s="50" t="s">
        <v>105</v>
      </c>
      <c r="I3" s="50" t="s">
        <v>6</v>
      </c>
      <c r="J3" s="50" t="s">
        <v>7</v>
      </c>
      <c r="L3" s="50" t="s">
        <v>6</v>
      </c>
      <c r="M3" s="50" t="s">
        <v>7</v>
      </c>
      <c r="O3" s="50" t="s">
        <v>98</v>
      </c>
      <c r="P3" s="34" t="s">
        <v>99</v>
      </c>
      <c r="Q3" s="50" t="s">
        <v>100</v>
      </c>
      <c r="R3" s="50" t="s">
        <v>101</v>
      </c>
      <c r="T3" s="50" t="s">
        <v>5</v>
      </c>
      <c r="U3" s="50" t="s">
        <v>6</v>
      </c>
      <c r="V3" s="50" t="s">
        <v>8</v>
      </c>
      <c r="W3" s="50" t="s">
        <v>7</v>
      </c>
    </row>
    <row r="4" spans="1:23" s="50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50" customFormat="1" x14ac:dyDescent="0.3">
      <c r="A5" s="12" t="s">
        <v>671</v>
      </c>
      <c r="B5" s="50" t="str">
        <f>A3&amp;"."&amp;A4&amp;"."&amp;A5&amp;A6&amp;"."</f>
        <v>SCL3.TS.EVRUP001.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50" customFormat="1" x14ac:dyDescent="0.3">
      <c r="A6" s="12" t="s">
        <v>41</v>
      </c>
      <c r="B6" s="50" t="str">
        <f>A3&amp;":"&amp;A4&amp;":"&amp;A5&amp;A6&amp;":"</f>
        <v>SCL3:TS:EVRUP001: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50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50"/>
      <c r="I8" s="20">
        <v>32768</v>
      </c>
      <c r="J8" s="21">
        <v>10</v>
      </c>
      <c r="K8" s="50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50"/>
      <c r="I9" s="20">
        <v>0</v>
      </c>
      <c r="J9" s="21">
        <v>10</v>
      </c>
      <c r="K9" s="50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50"/>
      <c r="I10" s="24">
        <v>0</v>
      </c>
      <c r="J10" s="24">
        <v>20</v>
      </c>
      <c r="K10" s="50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50"/>
      <c r="I11" s="24">
        <v>0</v>
      </c>
      <c r="J11" s="24">
        <v>20</v>
      </c>
      <c r="K11" s="50"/>
      <c r="L11" s="24">
        <v>11</v>
      </c>
      <c r="M11" s="24">
        <v>50000</v>
      </c>
      <c r="O11" s="50" t="s">
        <v>649</v>
      </c>
      <c r="P11" s="50">
        <f>HEX2DEC(RIGHT(Table132321432[[#This Row],[h1]],8))</f>
        <v>65537</v>
      </c>
      <c r="Q11" s="50" t="s">
        <v>97</v>
      </c>
      <c r="R11" s="50">
        <f>HEX2DEC(RIGHT(Table132321432[[#This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50"/>
      <c r="I12" s="24">
        <v>0</v>
      </c>
      <c r="J12" s="24">
        <v>20</v>
      </c>
      <c r="K12" s="50"/>
      <c r="L12" s="24">
        <v>12</v>
      </c>
      <c r="M12" s="24">
        <v>50000</v>
      </c>
      <c r="O12" s="50" t="s">
        <v>650</v>
      </c>
      <c r="P12" s="50">
        <f>HEX2DEC(RIGHT(Table132321432[[#This Row],[h1]],8))</f>
        <v>131074</v>
      </c>
      <c r="Q12" s="50" t="s">
        <v>97</v>
      </c>
      <c r="R12" s="50">
        <f>HEX2DEC(RIGHT(Table132321432[[#This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50"/>
      <c r="I13" s="20" t="s">
        <v>27</v>
      </c>
      <c r="J13" s="24">
        <v>50000</v>
      </c>
      <c r="K13" s="50"/>
      <c r="L13" s="24">
        <v>13</v>
      </c>
      <c r="M13" s="24">
        <v>50000</v>
      </c>
      <c r="O13" s="50" t="s">
        <v>651</v>
      </c>
      <c r="P13" s="50">
        <f>HEX2DEC(RIGHT(Table132321432[[#This Row],[h1]],8))</f>
        <v>262148</v>
      </c>
      <c r="Q13" s="50" t="s">
        <v>97</v>
      </c>
      <c r="R13" s="50">
        <f>HEX2DEC(RIGHT(Table132321432[[#This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50"/>
      <c r="J14" s="24">
        <v>50000</v>
      </c>
      <c r="K14" s="50"/>
      <c r="L14" s="24">
        <v>14</v>
      </c>
      <c r="M14" s="24">
        <v>50000</v>
      </c>
      <c r="O14" s="50" t="s">
        <v>652</v>
      </c>
      <c r="P14" s="50">
        <f>HEX2DEC(RIGHT(Table132321432[[#This Row],[h1]],8))</f>
        <v>524296</v>
      </c>
      <c r="Q14" s="50" t="s">
        <v>97</v>
      </c>
      <c r="R14" s="50">
        <f>HEX2DEC(RIGHT(Table132321432[[#This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50"/>
      <c r="J15" s="24">
        <v>50000</v>
      </c>
      <c r="K15" s="50"/>
      <c r="L15" s="24">
        <v>15</v>
      </c>
      <c r="M15" s="24">
        <v>50000</v>
      </c>
      <c r="O15" s="50" t="s">
        <v>653</v>
      </c>
      <c r="P15" s="50">
        <f>HEX2DEC(RIGHT(Table132321432[[#This Row],[h1]],8))</f>
        <v>1048592</v>
      </c>
      <c r="Q15" s="50" t="s">
        <v>97</v>
      </c>
      <c r="R15" s="50">
        <f>HEX2DEC(RIGHT(Table132321432[[#This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50"/>
      <c r="J16" s="24">
        <v>50000</v>
      </c>
      <c r="K16" s="50"/>
      <c r="L16" s="24">
        <v>16</v>
      </c>
      <c r="M16" s="24">
        <v>50000</v>
      </c>
      <c r="O16" s="50" t="s">
        <v>654</v>
      </c>
      <c r="P16" s="50">
        <f>HEX2DEC(RIGHT(Table132321432[[#This Row],[h1]],8))</f>
        <v>2097184</v>
      </c>
      <c r="Q16" s="50" t="s">
        <v>97</v>
      </c>
      <c r="R16" s="50">
        <f>HEX2DEC(RIGHT(Table132321432[[#This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50"/>
      <c r="J17" s="24">
        <v>50000</v>
      </c>
      <c r="K17" s="50"/>
      <c r="L17" s="24">
        <v>17</v>
      </c>
      <c r="M17" s="24">
        <v>50000</v>
      </c>
      <c r="O17" s="50" t="s">
        <v>655</v>
      </c>
      <c r="P17" s="50">
        <f>HEX2DEC(RIGHT(Table132321432[[#This Row],[h1]],8))</f>
        <v>4194368</v>
      </c>
      <c r="Q17" s="50" t="s">
        <v>97</v>
      </c>
      <c r="R17" s="50">
        <f>HEX2DEC(RIGHT(Table132321432[[#This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50"/>
      <c r="J18" s="24">
        <v>50000</v>
      </c>
      <c r="K18" s="50"/>
      <c r="L18" s="24">
        <v>18</v>
      </c>
      <c r="M18" s="24">
        <v>50000</v>
      </c>
      <c r="O18" s="50" t="s">
        <v>656</v>
      </c>
      <c r="P18" s="50">
        <f>HEX2DEC(RIGHT(Table132321432[[#This Row],[h1]],8))</f>
        <v>8388736</v>
      </c>
      <c r="Q18" s="50" t="s">
        <v>97</v>
      </c>
      <c r="R18" s="50">
        <f>HEX2DEC(RIGHT(Table132321432[[#This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50"/>
      <c r="J19" s="24">
        <v>50000</v>
      </c>
      <c r="K19" s="50"/>
      <c r="L19" s="24">
        <v>19</v>
      </c>
      <c r="M19" s="24">
        <v>50000</v>
      </c>
      <c r="O19" s="50" t="s">
        <v>657</v>
      </c>
      <c r="P19" s="50">
        <f>HEX2DEC(RIGHT(Table132321432[[#This Row],[h1]],8))</f>
        <v>16777472</v>
      </c>
      <c r="Q19" s="50" t="s">
        <v>97</v>
      </c>
      <c r="R19" s="50">
        <f>HEX2DEC(RIGHT(Table132321432[[#This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50"/>
      <c r="J20" s="24">
        <v>50000</v>
      </c>
      <c r="K20" s="50"/>
      <c r="L20" s="24">
        <v>20</v>
      </c>
      <c r="M20" s="24">
        <v>50000</v>
      </c>
      <c r="O20" s="50" t="s">
        <v>658</v>
      </c>
      <c r="P20" s="50">
        <f>HEX2DEC(RIGHT(Table132321432[[#This Row],[h1]],8))</f>
        <v>33554944</v>
      </c>
      <c r="Q20" s="50" t="s">
        <v>97</v>
      </c>
      <c r="R20" s="50">
        <f>HEX2DEC(RIGHT(Table132321432[[#This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50"/>
      <c r="J21" s="24">
        <v>50000</v>
      </c>
      <c r="K21" s="50"/>
      <c r="L21" s="24">
        <v>21</v>
      </c>
      <c r="M21" s="24">
        <v>50000</v>
      </c>
      <c r="O21" s="50" t="s">
        <v>659</v>
      </c>
      <c r="P21" s="50">
        <f>HEX2DEC(RIGHT(Table132321432[[#This Row],[h1]],8))</f>
        <v>67109888</v>
      </c>
      <c r="Q21" s="50" t="s">
        <v>97</v>
      </c>
      <c r="R21" s="50">
        <f>HEX2DEC(RIGHT(Table132321432[[#This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50"/>
      <c r="J22" s="24">
        <v>50000</v>
      </c>
      <c r="K22" s="50"/>
      <c r="L22" s="24">
        <v>22</v>
      </c>
      <c r="M22" s="24">
        <v>50000</v>
      </c>
      <c r="O22" s="50" t="s">
        <v>660</v>
      </c>
      <c r="P22" s="50">
        <f>HEX2DEC(RIGHT(Table132321432[[#This Row],[h1]],8))</f>
        <v>134219776</v>
      </c>
      <c r="Q22" s="50" t="s">
        <v>97</v>
      </c>
      <c r="R22" s="50">
        <f>HEX2DEC(RIGHT(Table132321432[[#This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50"/>
      <c r="J23" s="24">
        <v>50000</v>
      </c>
      <c r="K23" s="50"/>
      <c r="L23" s="24">
        <v>23</v>
      </c>
      <c r="M23" s="24">
        <v>50000</v>
      </c>
      <c r="O23" s="50" t="s">
        <v>661</v>
      </c>
      <c r="P23" s="50">
        <f>HEX2DEC(RIGHT(Table132321432[[#This Row],[h1]],8))</f>
        <v>268439552</v>
      </c>
      <c r="Q23" s="50" t="s">
        <v>97</v>
      </c>
      <c r="R23" s="50">
        <f>HEX2DEC(RIGHT(Table132321432[[#This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50"/>
      <c r="J24" s="24">
        <v>50000</v>
      </c>
      <c r="K24" s="50"/>
      <c r="L24" s="24">
        <v>24</v>
      </c>
      <c r="M24" s="24">
        <v>50000</v>
      </c>
      <c r="O24" s="50" t="s">
        <v>662</v>
      </c>
      <c r="P24" s="50">
        <f>HEX2DEC(RIGHT(Table132321432[[#This Row],[h1]],8))</f>
        <v>536879104</v>
      </c>
      <c r="Q24" s="50" t="s">
        <v>97</v>
      </c>
      <c r="R24" s="50">
        <f>HEX2DEC(RIGHT(Table132321432[[#This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50"/>
      <c r="J25" s="24">
        <v>50000</v>
      </c>
      <c r="K25" s="50"/>
      <c r="L25" s="24">
        <v>25</v>
      </c>
      <c r="M25" s="24">
        <v>50000</v>
      </c>
      <c r="O25" s="50" t="s">
        <v>663</v>
      </c>
      <c r="P25" s="50">
        <f>HEX2DEC(RIGHT(Table132321432[[#This Row],[h1]],8))</f>
        <v>1073758208</v>
      </c>
      <c r="Q25" s="50" t="s">
        <v>97</v>
      </c>
      <c r="R25" s="50">
        <f>HEX2DEC(RIGHT(Table132321432[[#This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50"/>
      <c r="J26" s="24">
        <v>50000</v>
      </c>
      <c r="K26" s="50"/>
      <c r="L26" s="24">
        <v>26</v>
      </c>
      <c r="M26" s="24">
        <v>50000</v>
      </c>
      <c r="O26" s="50" t="s">
        <v>664</v>
      </c>
      <c r="P26" s="50">
        <f>HEX2DEC(RIGHT(Table132321432[[#This Row],[h1]],8))</f>
        <v>2147516416</v>
      </c>
      <c r="Q26" s="50" t="s">
        <v>97</v>
      </c>
      <c r="R26" s="50">
        <f>HEX2DEC(RIGHT(Table132321432[[#This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50"/>
      <c r="J27" s="24">
        <v>50000</v>
      </c>
      <c r="K27" s="50"/>
      <c r="L27" s="24">
        <v>27</v>
      </c>
      <c r="M27" s="24">
        <v>50000</v>
      </c>
      <c r="O27" s="50" t="s">
        <v>97</v>
      </c>
      <c r="P27" s="50">
        <f>HEX2DEC(RIGHT(Table132321432[[#This Row],[h1]],8))</f>
        <v>0</v>
      </c>
      <c r="Q27" s="50" t="s">
        <v>97</v>
      </c>
      <c r="R27" s="50">
        <f>HEX2DEC(RIGHT(Table132321432[[#This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50"/>
      <c r="J28" s="24">
        <v>50000</v>
      </c>
      <c r="K28" s="50"/>
      <c r="L28" s="24">
        <v>28</v>
      </c>
      <c r="M28" s="24">
        <v>50000</v>
      </c>
      <c r="O28" s="50" t="s">
        <v>97</v>
      </c>
      <c r="P28" s="50">
        <f>HEX2DEC(RIGHT(Table132321432[[#This Row],[h1]],8))</f>
        <v>0</v>
      </c>
      <c r="Q28" s="50" t="s">
        <v>97</v>
      </c>
      <c r="R28" s="50">
        <f>HEX2DEC(RIGHT(Table132321432[[#This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50"/>
      <c r="J29" s="24">
        <v>50000</v>
      </c>
      <c r="K29" s="50"/>
      <c r="L29" s="24">
        <v>29</v>
      </c>
      <c r="M29" s="24">
        <v>50000</v>
      </c>
      <c r="O29" s="50" t="s">
        <v>97</v>
      </c>
      <c r="P29" s="50">
        <f>HEX2DEC(RIGHT(Table132321432[[#This Row],[h1]],8))</f>
        <v>0</v>
      </c>
      <c r="Q29" s="50" t="s">
        <v>97</v>
      </c>
      <c r="R29" s="50">
        <f>HEX2DEC(RIGHT(Table132321432[[#This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50"/>
      <c r="J30" s="24">
        <v>50000</v>
      </c>
      <c r="K30" s="50"/>
      <c r="L30" s="24">
        <v>30</v>
      </c>
      <c r="M30" s="24">
        <v>50000</v>
      </c>
      <c r="O30" s="50" t="s">
        <v>97</v>
      </c>
      <c r="P30" s="50">
        <f>HEX2DEC(RIGHT(Table132321432[[#This Row],[h1]],8))</f>
        <v>0</v>
      </c>
      <c r="Q30" s="50" t="s">
        <v>97</v>
      </c>
      <c r="R30" s="50">
        <f>HEX2DEC(RIGHT(Table132321432[[#This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50"/>
      <c r="J31" s="24">
        <v>50000</v>
      </c>
      <c r="K31" s="50"/>
      <c r="L31" s="20"/>
      <c r="M31" s="24">
        <v>50000</v>
      </c>
      <c r="O31" s="50" t="s">
        <v>97</v>
      </c>
      <c r="P31" s="50">
        <f>HEX2DEC(RIGHT(Table132321432[[#This Row],[h1]],8))</f>
        <v>0</v>
      </c>
      <c r="Q31" s="50" t="s">
        <v>97</v>
      </c>
      <c r="R31" s="50">
        <f>HEX2DEC(RIGHT(Table132321432[[#This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50"/>
      <c r="J32" s="24">
        <v>50000</v>
      </c>
      <c r="K32" s="50"/>
      <c r="M32" s="24">
        <v>50000</v>
      </c>
      <c r="O32" s="50" t="s">
        <v>97</v>
      </c>
      <c r="P32" s="50">
        <f>HEX2DEC(RIGHT(Table132321432[[#This Row],[h1]],8))</f>
        <v>0</v>
      </c>
      <c r="Q32" s="50" t="s">
        <v>97</v>
      </c>
      <c r="R32" s="50">
        <f>HEX2DEC(RIGHT(Table132321432[[#This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50"/>
      <c r="J33" s="24">
        <v>50000</v>
      </c>
      <c r="K33" s="50"/>
      <c r="M33" s="24">
        <v>50000</v>
      </c>
      <c r="O33" s="50" t="s">
        <v>97</v>
      </c>
      <c r="P33" s="50">
        <f>HEX2DEC(RIGHT(Table132321432[[#This Row],[h1]],8))</f>
        <v>0</v>
      </c>
      <c r="Q33" s="50" t="s">
        <v>97</v>
      </c>
      <c r="R33" s="50">
        <f>HEX2DEC(RIGHT(Table132321432[[#This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50"/>
      <c r="J34" s="24">
        <v>50000</v>
      </c>
      <c r="K34" s="50"/>
      <c r="M34" s="24">
        <v>50000</v>
      </c>
      <c r="O34" s="50" t="s">
        <v>97</v>
      </c>
      <c r="P34" s="50">
        <f>HEX2DEC(RIGHT(Table132321432[[#This Row],[h1]],8))</f>
        <v>0</v>
      </c>
      <c r="Q34" s="50" t="s">
        <v>97</v>
      </c>
      <c r="R34" s="50">
        <f>HEX2DEC(RIGHT(Table132321432[[#This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50"/>
      <c r="J35" s="24">
        <v>50000</v>
      </c>
      <c r="K35" s="50"/>
      <c r="M35" s="24">
        <v>50000</v>
      </c>
      <c r="O35" s="50" t="s">
        <v>97</v>
      </c>
      <c r="P35" s="50">
        <f>HEX2DEC(RIGHT(Table132321432[[#This Row],[h1]],8))</f>
        <v>0</v>
      </c>
      <c r="Q35" s="50" t="s">
        <v>97</v>
      </c>
      <c r="R35" s="50">
        <f>HEX2DEC(RIGHT(Table132321432[[#This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50"/>
      <c r="J36" s="24">
        <v>50000</v>
      </c>
      <c r="K36" s="50"/>
      <c r="M36" s="24">
        <v>50000</v>
      </c>
      <c r="O36" s="50" t="s">
        <v>97</v>
      </c>
      <c r="P36" s="50">
        <f>HEX2DEC(RIGHT(Table132321432[[#This Row],[h1]],8))</f>
        <v>0</v>
      </c>
      <c r="Q36" s="50" t="s">
        <v>97</v>
      </c>
      <c r="R36" s="50">
        <f>HEX2DEC(RIGHT(Table132321432[[#This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50"/>
      <c r="J37" s="24">
        <v>50000</v>
      </c>
      <c r="K37" s="50"/>
      <c r="M37" s="24">
        <v>50000</v>
      </c>
      <c r="O37" s="50" t="s">
        <v>97</v>
      </c>
      <c r="P37" s="50">
        <f>HEX2DEC(RIGHT(Table132321432[[#This Row],[h1]],8))</f>
        <v>0</v>
      </c>
      <c r="Q37" s="50" t="s">
        <v>97</v>
      </c>
      <c r="R37" s="50">
        <f>HEX2DEC(RIGHT(Table132321432[[#This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50"/>
      <c r="J38" s="24">
        <v>50000</v>
      </c>
      <c r="K38" s="50"/>
      <c r="L38" s="20" t="s">
        <v>88</v>
      </c>
      <c r="M38" s="24">
        <v>50000</v>
      </c>
      <c r="O38" s="50" t="s">
        <v>97</v>
      </c>
      <c r="P38" s="50">
        <f>HEX2DEC(RIGHT(Table132321432[[#This Row],[h1]],8))</f>
        <v>0</v>
      </c>
      <c r="Q38" s="50" t="s">
        <v>97</v>
      </c>
      <c r="R38" s="50">
        <f>HEX2DEC(RIGHT(Table132321432[[#This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50"/>
      <c r="J39" s="24">
        <v>50000</v>
      </c>
      <c r="K39" s="50"/>
      <c r="M39" s="24">
        <v>50000</v>
      </c>
      <c r="O39" s="50" t="s">
        <v>97</v>
      </c>
      <c r="P39" s="50">
        <f>HEX2DEC(RIGHT(Table132321432[[#This Row],[h1]],8))</f>
        <v>0</v>
      </c>
      <c r="Q39" s="50" t="s">
        <v>97</v>
      </c>
      <c r="R39" s="50">
        <f>HEX2DEC(RIGHT(Table132321432[[#This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50"/>
      <c r="J40" s="24">
        <v>50000</v>
      </c>
      <c r="K40" s="50"/>
      <c r="M40" s="24">
        <v>50000</v>
      </c>
      <c r="O40" s="50" t="s">
        <v>665</v>
      </c>
      <c r="P40" s="50">
        <f>HEX2DEC(RIGHT(Table132321432[[#This Row],[h1]],8))</f>
        <v>65536</v>
      </c>
      <c r="Q40" s="50" t="s">
        <v>97</v>
      </c>
      <c r="R40" s="50">
        <f>HEX2DEC(RIGHT(Table132321432[[#This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50"/>
      <c r="J41" s="24">
        <v>50000</v>
      </c>
      <c r="K41" s="50"/>
      <c r="M41" s="24">
        <v>50000</v>
      </c>
      <c r="O41" s="50" t="s">
        <v>666</v>
      </c>
      <c r="P41" s="50">
        <f>HEX2DEC(RIGHT(Table132321432[[#This Row],[h1]],8))</f>
        <v>196608</v>
      </c>
      <c r="Q41" s="50" t="s">
        <v>97</v>
      </c>
      <c r="R41" s="50">
        <f>HEX2DEC(RIGHT(Table132321432[[#This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50"/>
      <c r="J42" s="24">
        <v>50000</v>
      </c>
      <c r="K42" s="50"/>
      <c r="M42" s="24">
        <v>50000</v>
      </c>
      <c r="O42" s="50" t="s">
        <v>667</v>
      </c>
      <c r="P42" s="50">
        <f>HEX2DEC(RIGHT(Table132321432[[#This Row],[h1]],8))</f>
        <v>458752</v>
      </c>
      <c r="Q42" s="50" t="s">
        <v>97</v>
      </c>
      <c r="R42" s="50">
        <f>HEX2DEC(RIGHT(Table132321432[[#This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50"/>
      <c r="J43" s="24">
        <v>50000</v>
      </c>
      <c r="K43" s="50"/>
      <c r="M43" s="24">
        <v>50000</v>
      </c>
      <c r="O43" s="50" t="s">
        <v>668</v>
      </c>
      <c r="P43" s="50">
        <f>HEX2DEC(RIGHT(Table132321432[[#This Row],[h1]],8))</f>
        <v>983040</v>
      </c>
      <c r="Q43" s="50" t="s">
        <v>97</v>
      </c>
      <c r="R43" s="50">
        <f>HEX2DEC(RIGHT(Table132321432[[#This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50"/>
      <c r="J44" s="24">
        <v>50000</v>
      </c>
      <c r="K44" s="50"/>
      <c r="M44" s="24">
        <v>50000</v>
      </c>
      <c r="O44" s="50" t="s">
        <v>669</v>
      </c>
      <c r="P44" s="50">
        <f>HEX2DEC(RIGHT(Table132321432[[#This Row],[h1]],8))</f>
        <v>4294901760</v>
      </c>
      <c r="Q44" s="50" t="s">
        <v>97</v>
      </c>
      <c r="R44" s="50">
        <f>HEX2DEC(RIGHT(Table132321432[[#This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50"/>
      <c r="J45" s="24">
        <v>50000</v>
      </c>
      <c r="K45" s="50"/>
      <c r="M45" s="24">
        <v>50000</v>
      </c>
      <c r="O45" s="50" t="s">
        <v>670</v>
      </c>
      <c r="P45" s="50">
        <f>HEX2DEC(RIGHT(Table132321432[[#This Row],[h1]],8))</f>
        <v>0</v>
      </c>
      <c r="Q45" s="50" t="s">
        <v>97</v>
      </c>
      <c r="R45" s="50">
        <f>HEX2DEC(RIGHT(Table132321432[[#This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50"/>
      <c r="I46" s="20" t="s">
        <v>88</v>
      </c>
      <c r="J46" s="24">
        <v>50000</v>
      </c>
      <c r="K46" s="50"/>
      <c r="M46" s="24">
        <v>50000</v>
      </c>
      <c r="O46" s="50" t="s">
        <v>97</v>
      </c>
      <c r="P46" s="50">
        <f>HEX2DEC(RIGHT(Table132321432[[#This Row],[h1]],8))</f>
        <v>0</v>
      </c>
      <c r="Q46" s="50" t="s">
        <v>97</v>
      </c>
      <c r="R46" s="50">
        <f>HEX2DEC(RIGHT(Table132321432[[#This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50"/>
      <c r="J47" s="24">
        <v>50000</v>
      </c>
      <c r="K47" s="50"/>
      <c r="M47" s="24">
        <v>50000</v>
      </c>
      <c r="O47" s="50" t="s">
        <v>97</v>
      </c>
      <c r="P47" s="50">
        <f>HEX2DEC(RIGHT(Table132321432[[#This Row],[h1]],8))</f>
        <v>0</v>
      </c>
      <c r="Q47" s="50" t="s">
        <v>97</v>
      </c>
      <c r="R47" s="50">
        <f>HEX2DEC(RIGHT(Table132321432[[#This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50"/>
      <c r="J48" s="24">
        <v>50000</v>
      </c>
      <c r="K48" s="50"/>
      <c r="M48" s="24">
        <v>50000</v>
      </c>
      <c r="O48" s="50" t="s">
        <v>97</v>
      </c>
      <c r="P48" s="50">
        <f>HEX2DEC(RIGHT(Table132321432[[#This Row],[h1]],8))</f>
        <v>0</v>
      </c>
      <c r="Q48" s="50" t="s">
        <v>97</v>
      </c>
      <c r="R48" s="50">
        <f>HEX2DEC(RIGHT(Table132321432[[#This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50"/>
      <c r="J49" s="24">
        <v>50000</v>
      </c>
      <c r="K49" s="50"/>
      <c r="M49" s="24">
        <v>50000</v>
      </c>
      <c r="O49" s="50" t="s">
        <v>97</v>
      </c>
      <c r="P49" s="50">
        <f>HEX2DEC(RIGHT(Table132321432[[#This Row],[h1]],8))</f>
        <v>0</v>
      </c>
      <c r="Q49" s="50" t="s">
        <v>97</v>
      </c>
      <c r="R49" s="50">
        <f>HEX2DEC(RIGHT(Table132321432[[#This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50"/>
      <c r="J50" s="24">
        <v>50000</v>
      </c>
      <c r="K50" s="50"/>
      <c r="M50" s="24">
        <v>50000</v>
      </c>
      <c r="O50" s="50" t="s">
        <v>97</v>
      </c>
      <c r="P50" s="50">
        <f>HEX2DEC(RIGHT(Table132321432[[#This Row],[h1]],8))</f>
        <v>0</v>
      </c>
      <c r="Q50" s="50" t="s">
        <v>97</v>
      </c>
      <c r="R50" s="50">
        <f>HEX2DEC(RIGHT(Table132321432[[#This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50"/>
      <c r="J51" s="24">
        <v>50000</v>
      </c>
      <c r="K51" s="50"/>
      <c r="M51" s="24">
        <v>50000</v>
      </c>
      <c r="O51" s="50" t="s">
        <v>97</v>
      </c>
      <c r="P51" s="50">
        <f>HEX2DEC(RIGHT(Table132321432[[#This Row],[h1]],8))</f>
        <v>0</v>
      </c>
      <c r="Q51" s="50" t="s">
        <v>97</v>
      </c>
      <c r="R51" s="50">
        <f>HEX2DEC(RIGHT(Table132321432[[#This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50"/>
      <c r="J52" s="24">
        <v>50000</v>
      </c>
      <c r="K52" s="50"/>
      <c r="M52" s="24">
        <v>50000</v>
      </c>
      <c r="O52" s="50" t="s">
        <v>97</v>
      </c>
      <c r="P52" s="50">
        <f>HEX2DEC(RIGHT(Table132321432[[#This Row],[h1]],8))</f>
        <v>0</v>
      </c>
      <c r="Q52" s="50" t="s">
        <v>97</v>
      </c>
      <c r="R52" s="50">
        <f>HEX2DEC(RIGHT(Table132321432[[#This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50"/>
      <c r="J53" s="24">
        <v>50000</v>
      </c>
      <c r="K53" s="50"/>
      <c r="M53" s="24">
        <v>50000</v>
      </c>
      <c r="O53" s="50" t="s">
        <v>97</v>
      </c>
      <c r="P53" s="50">
        <f>HEX2DEC(RIGHT(Table132321432[[#This Row],[h1]],8))</f>
        <v>0</v>
      </c>
      <c r="Q53" s="50" t="s">
        <v>97</v>
      </c>
      <c r="R53" s="50">
        <f>HEX2DEC(RIGHT(Table132321432[[#This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50"/>
      <c r="J54" s="24">
        <v>50000</v>
      </c>
      <c r="K54" s="50"/>
      <c r="M54" s="24">
        <v>50000</v>
      </c>
      <c r="O54" s="50" t="s">
        <v>97</v>
      </c>
      <c r="P54" s="50">
        <f>HEX2DEC(RIGHT(Table132321432[[#This Row],[h1]],8))</f>
        <v>0</v>
      </c>
      <c r="Q54" s="50" t="s">
        <v>97</v>
      </c>
      <c r="R54" s="50">
        <f>HEX2DEC(RIGHT(Table132321432[[#This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50"/>
      <c r="J55" s="24">
        <v>50000</v>
      </c>
      <c r="K55" s="50"/>
      <c r="M55" s="24">
        <v>50000</v>
      </c>
      <c r="O55" s="50" t="s">
        <v>97</v>
      </c>
      <c r="P55" s="50">
        <f>HEX2DEC(RIGHT(Table132321432[[#This Row],[h1]],8))</f>
        <v>0</v>
      </c>
      <c r="Q55" s="50" t="s">
        <v>97</v>
      </c>
      <c r="R55" s="50">
        <f>HEX2DEC(RIGHT(Table132321432[[#This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50"/>
      <c r="J56" s="24">
        <v>50000</v>
      </c>
      <c r="K56" s="50"/>
      <c r="M56" s="24">
        <v>50000</v>
      </c>
      <c r="O56" s="50" t="s">
        <v>97</v>
      </c>
      <c r="P56" s="50">
        <f>HEX2DEC(RIGHT(Table132321432[[#This Row],[h1]],8))</f>
        <v>0</v>
      </c>
      <c r="Q56" s="50" t="s">
        <v>97</v>
      </c>
      <c r="R56" s="50">
        <f>HEX2DEC(RIGHT(Table132321432[[#This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50"/>
      <c r="J57" s="24">
        <v>50000</v>
      </c>
      <c r="K57" s="50"/>
      <c r="M57" s="24">
        <v>50000</v>
      </c>
      <c r="O57" s="50" t="s">
        <v>97</v>
      </c>
      <c r="P57" s="50">
        <f>HEX2DEC(RIGHT(Table132321432[[#This Row],[h1]],8))</f>
        <v>0</v>
      </c>
      <c r="Q57" s="50" t="s">
        <v>97</v>
      </c>
      <c r="R57" s="50">
        <f>HEX2DEC(RIGHT(Table132321432[[#This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50"/>
      <c r="J58" s="24">
        <v>50000</v>
      </c>
      <c r="K58" s="50"/>
      <c r="M58" s="24">
        <v>50000</v>
      </c>
      <c r="O58" s="50" t="s">
        <v>97</v>
      </c>
      <c r="P58" s="50">
        <f>HEX2DEC(RIGHT(Table132321432[[#This Row],[h1]],8))</f>
        <v>0</v>
      </c>
      <c r="Q58" s="50" t="s">
        <v>97</v>
      </c>
      <c r="R58" s="50">
        <f>HEX2DEC(RIGHT(Table132321432[[#This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50"/>
      <c r="J59" s="24">
        <v>50000</v>
      </c>
      <c r="K59" s="50"/>
      <c r="M59" s="24">
        <v>50000</v>
      </c>
      <c r="O59" s="50" t="s">
        <v>97</v>
      </c>
      <c r="P59" s="50">
        <f>HEX2DEC(RIGHT(Table132321432[[#This Row],[h1]],8))</f>
        <v>0</v>
      </c>
      <c r="Q59" s="50" t="s">
        <v>97</v>
      </c>
      <c r="R59" s="50">
        <f>HEX2DEC(RIGHT(Table132321432[[#This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50"/>
      <c r="J60" s="24">
        <v>50000</v>
      </c>
      <c r="K60" s="50"/>
      <c r="M60" s="24">
        <v>50000</v>
      </c>
      <c r="O60" s="50" t="s">
        <v>97</v>
      </c>
      <c r="P60" s="50">
        <f>HEX2DEC(RIGHT(Table132321432[[#This Row],[h1]],8))</f>
        <v>0</v>
      </c>
      <c r="Q60" s="50" t="s">
        <v>97</v>
      </c>
      <c r="R60" s="50">
        <f>HEX2DEC(RIGHT(Table132321432[[#This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50"/>
      <c r="J61" s="24">
        <v>50000</v>
      </c>
      <c r="K61" s="50"/>
      <c r="M61" s="24">
        <v>50000</v>
      </c>
      <c r="O61" s="50" t="s">
        <v>97</v>
      </c>
      <c r="P61" s="50">
        <f>HEX2DEC(RIGHT(Table132321432[[#This Row],[h1]],8))</f>
        <v>0</v>
      </c>
      <c r="Q61" s="50" t="s">
        <v>97</v>
      </c>
      <c r="R61" s="50">
        <f>HEX2DEC(RIGHT(Table132321432[[#This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50" t="s">
        <v>97</v>
      </c>
      <c r="P62" s="50">
        <f>HEX2DEC(RIGHT(Table132321432[[#This Row],[h1]],8))</f>
        <v>0</v>
      </c>
      <c r="Q62" s="50" t="s">
        <v>97</v>
      </c>
      <c r="R62" s="50">
        <f>HEX2DEC(RIGHT(Table132321432[[#This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50" t="s">
        <v>97</v>
      </c>
      <c r="P63" s="50">
        <f>HEX2DEC(RIGHT(Table132321432[[#This Row],[h1]],8))</f>
        <v>0</v>
      </c>
      <c r="Q63" s="50" t="s">
        <v>97</v>
      </c>
      <c r="R63" s="50">
        <f>HEX2DEC(RIGHT(Table132321432[[#This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50" t="s">
        <v>97</v>
      </c>
      <c r="P64" s="50">
        <f>HEX2DEC(RIGHT(Table132321432[[#This Row],[h1]],8))</f>
        <v>0</v>
      </c>
      <c r="Q64" s="50" t="s">
        <v>97</v>
      </c>
      <c r="R64" s="50">
        <f>HEX2DEC(RIGHT(Table132321432[[#This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50" t="s">
        <v>97</v>
      </c>
      <c r="P65" s="50">
        <f>HEX2DEC(RIGHT(Table132321432[[#This Row],[h1]],8))</f>
        <v>0</v>
      </c>
      <c r="Q65" s="50" t="s">
        <v>97</v>
      </c>
      <c r="R65" s="50">
        <f>HEX2DEC(RIGHT(Table132321432[[#This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50" t="s">
        <v>97</v>
      </c>
      <c r="P66" s="50">
        <f>HEX2DEC(RIGHT(Table132321432[[#This Row],[h1]],8))</f>
        <v>0</v>
      </c>
      <c r="Q66" s="50" t="s">
        <v>97</v>
      </c>
      <c r="R66" s="50">
        <f>HEX2DEC(RIGHT(Table132321432[[#This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50" t="s">
        <v>97</v>
      </c>
      <c r="P67" s="50">
        <f>HEX2DEC(RIGHT(Table132321432[[#This Row],[h1]],8))</f>
        <v>0</v>
      </c>
      <c r="Q67" s="50" t="s">
        <v>97</v>
      </c>
      <c r="R67" s="50">
        <f>HEX2DEC(RIGHT(Table132321432[[#This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50" t="s">
        <v>97</v>
      </c>
      <c r="P68" s="50">
        <f>HEX2DEC(RIGHT(Table132321432[[#This Row],[h1]],8))</f>
        <v>0</v>
      </c>
      <c r="Q68" s="50" t="s">
        <v>97</v>
      </c>
      <c r="R68" s="50">
        <f>HEX2DEC(RIGHT(Table132321432[[#This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50" t="s">
        <v>97</v>
      </c>
      <c r="P69" s="50">
        <f>HEX2DEC(RIGHT(Table132321432[[#This Row],[h1]],8))</f>
        <v>0</v>
      </c>
      <c r="Q69" s="50" t="s">
        <v>97</v>
      </c>
      <c r="R69" s="50">
        <f>HEX2DEC(RIGHT(Table132321432[[#This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50" t="s">
        <v>97</v>
      </c>
      <c r="P70" s="50">
        <f>HEX2DEC(RIGHT(Table132321432[[#This Row],[h1]],8))</f>
        <v>0</v>
      </c>
      <c r="Q70" s="50" t="s">
        <v>97</v>
      </c>
      <c r="R70" s="50">
        <f>HEX2DEC(RIGHT(Table132321432[[#This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50" t="s">
        <v>97</v>
      </c>
      <c r="P71" s="50">
        <f>HEX2DEC(RIGHT(Table132321432[[#This Row],[h1]],8))</f>
        <v>0</v>
      </c>
      <c r="Q71" s="50" t="s">
        <v>97</v>
      </c>
      <c r="R71" s="50">
        <f>HEX2DEC(RIGHT(Table132321432[[#This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50" t="s">
        <v>97</v>
      </c>
      <c r="P72" s="50">
        <f>HEX2DEC(RIGHT(Table132321432[[#This Row],[h1]],8))</f>
        <v>0</v>
      </c>
      <c r="Q72" s="50" t="s">
        <v>97</v>
      </c>
      <c r="R72" s="50">
        <f>HEX2DEC(RIGHT(Table132321432[[#This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50" t="s">
        <v>97</v>
      </c>
      <c r="P73" s="50">
        <f>HEX2DEC(RIGHT(Table132321432[[#This Row],[h1]],8))</f>
        <v>0</v>
      </c>
      <c r="Q73" s="50" t="s">
        <v>97</v>
      </c>
      <c r="R73" s="50">
        <f>HEX2DEC(RIGHT(Table132321432[[#This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0</v>
      </c>
      <c r="J74" s="24">
        <v>50000</v>
      </c>
      <c r="M74" s="24">
        <v>50000</v>
      </c>
      <c r="O74" s="50" t="s">
        <v>97</v>
      </c>
      <c r="P74" s="50">
        <f>HEX2DEC(RIGHT(Table132321432[[#This Row],[h1]],8))</f>
        <v>0</v>
      </c>
      <c r="Q74" s="50" t="s">
        <v>97</v>
      </c>
      <c r="R74" s="50">
        <f>HEX2DEC(RIGHT(Table132321432[[#This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0</v>
      </c>
      <c r="J75" s="24">
        <v>50000</v>
      </c>
      <c r="M75" s="24">
        <v>50000</v>
      </c>
      <c r="O75" s="50" t="s">
        <v>97</v>
      </c>
      <c r="P75" s="50">
        <f>HEX2DEC(RIGHT(Table132321432[[#This Row],[h1]],8))</f>
        <v>0</v>
      </c>
      <c r="Q75" s="50" t="s">
        <v>97</v>
      </c>
      <c r="R75" s="50">
        <f>HEX2DEC(RIGHT(Table132321432[[#This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0</v>
      </c>
      <c r="J76" s="24">
        <v>50000</v>
      </c>
      <c r="M76" s="24">
        <v>50000</v>
      </c>
      <c r="O76" s="50" t="s">
        <v>97</v>
      </c>
      <c r="P76" s="50">
        <f>HEX2DEC(RIGHT(Table132321432[[#This Row],[h1]],8))</f>
        <v>0</v>
      </c>
      <c r="Q76" s="50" t="s">
        <v>97</v>
      </c>
      <c r="R76" s="50">
        <f>HEX2DEC(RIGHT(Table132321432[[#This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50" t="s">
        <v>97</v>
      </c>
      <c r="P77" s="50">
        <f>HEX2DEC(RIGHT(Table132321432[[#This Row],[h1]],8))</f>
        <v>0</v>
      </c>
      <c r="Q77" s="50" t="s">
        <v>97</v>
      </c>
      <c r="R77" s="50">
        <f>HEX2DEC(RIGHT(Table132321432[[#This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50" t="s">
        <v>97</v>
      </c>
      <c r="P78" s="50">
        <f>HEX2DEC(RIGHT(Table132321432[[#This Row],[h1]],8))</f>
        <v>0</v>
      </c>
      <c r="Q78" s="50" t="s">
        <v>97</v>
      </c>
      <c r="R78" s="50">
        <f>HEX2DEC(RIGHT(Table132321432[[#This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50" t="s">
        <v>97</v>
      </c>
      <c r="P79" s="50">
        <f>HEX2DEC(RIGHT(Table132321432[[#This Row],[h1]],8))</f>
        <v>0</v>
      </c>
      <c r="Q79" s="50" t="s">
        <v>97</v>
      </c>
      <c r="R79" s="50">
        <f>HEX2DEC(RIGHT(Table132321432[[#This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50" t="s">
        <v>97</v>
      </c>
      <c r="P80" s="50">
        <f>HEX2DEC(RIGHT(Table132321432[[#This Row],[h1]],8))</f>
        <v>0</v>
      </c>
      <c r="Q80" s="50" t="s">
        <v>97</v>
      </c>
      <c r="R80" s="50">
        <f>HEX2DEC(RIGHT(Table132321432[[#This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50" t="s">
        <v>97</v>
      </c>
      <c r="P81" s="50">
        <f>HEX2DEC(RIGHT(Table132321432[[#This Row],[h1]],8))</f>
        <v>0</v>
      </c>
      <c r="Q81" s="50" t="s">
        <v>97</v>
      </c>
      <c r="R81" s="50">
        <f>HEX2DEC(RIGHT(Table132321432[[#This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50" t="s">
        <v>97</v>
      </c>
      <c r="P82" s="50">
        <f>HEX2DEC(RIGHT(Table132321432[[#This Row],[h1]],8))</f>
        <v>0</v>
      </c>
      <c r="Q82" s="50" t="s">
        <v>97</v>
      </c>
      <c r="R82" s="50">
        <f>HEX2DEC(RIGHT(Table132321432[[#This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50" t="s">
        <v>97</v>
      </c>
      <c r="P83" s="50">
        <f>HEX2DEC(RIGHT(Table132321432[[#This Row],[h1]],8))</f>
        <v>0</v>
      </c>
      <c r="Q83" s="50" t="s">
        <v>97</v>
      </c>
      <c r="R83" s="50">
        <f>HEX2DEC(RIGHT(Table132321432[[#This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50" t="s">
        <v>97</v>
      </c>
      <c r="P84" s="50">
        <f>HEX2DEC(RIGHT(Table132321432[[#This Row],[h1]],8))</f>
        <v>0</v>
      </c>
      <c r="Q84" s="50" t="s">
        <v>97</v>
      </c>
      <c r="R84" s="50">
        <f>HEX2DEC(RIGHT(Table132321432[[#This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50" t="s">
        <v>97</v>
      </c>
      <c r="P85" s="50">
        <f>HEX2DEC(RIGHT(Table132321432[[#This Row],[h1]],8))</f>
        <v>0</v>
      </c>
      <c r="Q85" s="50" t="s">
        <v>97</v>
      </c>
      <c r="R85" s="50">
        <f>HEX2DEC(RIGHT(Table132321432[[#This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50" t="s">
        <v>97</v>
      </c>
      <c r="P86" s="50">
        <f>HEX2DEC(RIGHT(Table132321432[[#This Row],[h1]],8))</f>
        <v>0</v>
      </c>
      <c r="Q86" s="50" t="s">
        <v>97</v>
      </c>
      <c r="R86" s="50">
        <f>HEX2DEC(RIGHT(Table132321432[[#This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50" t="s">
        <v>97</v>
      </c>
      <c r="P87" s="50">
        <f>HEX2DEC(RIGHT(Table132321432[[#This Row],[h1]],8))</f>
        <v>0</v>
      </c>
      <c r="Q87" s="50" t="s">
        <v>97</v>
      </c>
      <c r="R87" s="50">
        <f>HEX2DEC(RIGHT(Table132321432[[#This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50" t="s">
        <v>97</v>
      </c>
      <c r="P88" s="50">
        <f>HEX2DEC(RIGHT(Table132321432[[#This Row],[h1]],8))</f>
        <v>0</v>
      </c>
      <c r="Q88" s="50" t="s">
        <v>97</v>
      </c>
      <c r="R88" s="50">
        <f>HEX2DEC(RIGHT(Table132321432[[#This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50" t="s">
        <v>97</v>
      </c>
      <c r="P89" s="50">
        <f>HEX2DEC(RIGHT(Table132321432[[#This Row],[h1]],8))</f>
        <v>0</v>
      </c>
      <c r="Q89" s="50" t="s">
        <v>97</v>
      </c>
      <c r="R89" s="50">
        <f>HEX2DEC(RIGHT(Table132321432[[#This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50" t="s">
        <v>97</v>
      </c>
      <c r="P90" s="50">
        <f>HEX2DEC(RIGHT(Table132321432[[#This Row],[h1]],8))</f>
        <v>0</v>
      </c>
      <c r="Q90" s="50" t="s">
        <v>97</v>
      </c>
      <c r="R90" s="50">
        <f>HEX2DEC(RIGHT(Table132321432[[#This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50" t="s">
        <v>97</v>
      </c>
      <c r="P91" s="50">
        <f>HEX2DEC(RIGHT(Table132321432[[#This Row],[h1]],8))</f>
        <v>0</v>
      </c>
      <c r="Q91" s="50" t="s">
        <v>97</v>
      </c>
      <c r="R91" s="50">
        <f>HEX2DEC(RIGHT(Table132321432[[#This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50" t="s">
        <v>97</v>
      </c>
      <c r="P92" s="50">
        <f>HEX2DEC(RIGHT(Table132321432[[#This Row],[h1]],8))</f>
        <v>0</v>
      </c>
      <c r="Q92" s="50" t="s">
        <v>97</v>
      </c>
      <c r="R92" s="50">
        <f>HEX2DEC(RIGHT(Table132321432[[#This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50" t="s">
        <v>97</v>
      </c>
      <c r="P93" s="50">
        <f>HEX2DEC(RIGHT(Table132321432[[#This Row],[h1]],8))</f>
        <v>0</v>
      </c>
      <c r="Q93" s="50" t="s">
        <v>97</v>
      </c>
      <c r="R93" s="50">
        <f>HEX2DEC(RIGHT(Table132321432[[#This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50" t="s">
        <v>97</v>
      </c>
      <c r="P94" s="50">
        <f>HEX2DEC(RIGHT(Table132321432[[#This Row],[h1]],8))</f>
        <v>0</v>
      </c>
      <c r="Q94" s="50" t="s">
        <v>97</v>
      </c>
      <c r="R94" s="50">
        <f>HEX2DEC(RIGHT(Table132321432[[#This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50" t="s">
        <v>97</v>
      </c>
      <c r="P95" s="50">
        <f>HEX2DEC(RIGHT(Table132321432[[#This Row],[h1]],8))</f>
        <v>0</v>
      </c>
      <c r="Q95" s="50" t="s">
        <v>97</v>
      </c>
      <c r="R95" s="50">
        <f>HEX2DEC(RIGHT(Table132321432[[#This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50" t="s">
        <v>97</v>
      </c>
      <c r="P96" s="50">
        <f>HEX2DEC(RIGHT(Table132321432[[#This Row],[h1]],8))</f>
        <v>0</v>
      </c>
      <c r="Q96" s="50" t="s">
        <v>97</v>
      </c>
      <c r="R96" s="50">
        <f>HEX2DEC(RIGHT(Table132321432[[#This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50" t="s">
        <v>97</v>
      </c>
      <c r="P97" s="50">
        <f>HEX2DEC(RIGHT(Table132321432[[#This Row],[h1]],8))</f>
        <v>0</v>
      </c>
      <c r="Q97" s="50" t="s">
        <v>97</v>
      </c>
      <c r="R97" s="50">
        <f>HEX2DEC(RIGHT(Table132321432[[#This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50" t="s">
        <v>97</v>
      </c>
      <c r="P98" s="50">
        <f>HEX2DEC(RIGHT(Table132321432[[#This Row],[h1]],8))</f>
        <v>0</v>
      </c>
      <c r="Q98" s="50" t="s">
        <v>97</v>
      </c>
      <c r="R98" s="50">
        <f>HEX2DEC(RIGHT(Table132321432[[#This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50" t="s">
        <v>97</v>
      </c>
      <c r="P99" s="50">
        <f>HEX2DEC(RIGHT(Table132321432[[#This Row],[h1]],8))</f>
        <v>0</v>
      </c>
      <c r="Q99" s="50" t="s">
        <v>97</v>
      </c>
      <c r="R99" s="50">
        <f>HEX2DEC(RIGHT(Table132321432[[#This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50" t="s">
        <v>97</v>
      </c>
      <c r="P100" s="50">
        <f>HEX2DEC(RIGHT(Table132321432[[#This Row],[h1]],8))</f>
        <v>0</v>
      </c>
      <c r="Q100" s="50" t="s">
        <v>97</v>
      </c>
      <c r="R100" s="50">
        <f>HEX2DEC(RIGHT(Table132321432[[#This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50" t="s">
        <v>97</v>
      </c>
      <c r="P101" s="50">
        <f>HEX2DEC(RIGHT(Table132321432[[#This Row],[h1]],8))</f>
        <v>0</v>
      </c>
      <c r="Q101" s="50" t="s">
        <v>97</v>
      </c>
      <c r="R101" s="50">
        <f>HEX2DEC(RIGHT(Table132321432[[#This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50" t="s">
        <v>97</v>
      </c>
      <c r="P102" s="50">
        <f>HEX2DEC(RIGHT(Table132321432[[#This Row],[h1]],8))</f>
        <v>0</v>
      </c>
      <c r="Q102" s="50" t="s">
        <v>97</v>
      </c>
      <c r="R102" s="50">
        <f>HEX2DEC(RIGHT(Table132321432[[#This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50" t="s">
        <v>97</v>
      </c>
      <c r="P103" s="50">
        <f>HEX2DEC(RIGHT(Table132321432[[#This Row],[h1]],8))</f>
        <v>0</v>
      </c>
      <c r="Q103" s="50" t="s">
        <v>97</v>
      </c>
      <c r="R103" s="50">
        <f>HEX2DEC(RIGHT(Table132321432[[#This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50" t="s">
        <v>97</v>
      </c>
      <c r="P104" s="50">
        <f>HEX2DEC(RIGHT(Table132321432[[#This Row],[h1]],8))</f>
        <v>0</v>
      </c>
      <c r="Q104" s="50" t="s">
        <v>97</v>
      </c>
      <c r="R104" s="50">
        <f>HEX2DEC(RIGHT(Table132321432[[#This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50" t="s">
        <v>97</v>
      </c>
      <c r="P105" s="50">
        <f>HEX2DEC(RIGHT(Table132321432[[#This Row],[h1]],8))</f>
        <v>0</v>
      </c>
      <c r="Q105" s="50" t="s">
        <v>97</v>
      </c>
      <c r="R105" s="50">
        <f>HEX2DEC(RIGHT(Table132321432[[#This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50" t="s">
        <v>97</v>
      </c>
      <c r="P106" s="50">
        <f>HEX2DEC(RIGHT(Table132321432[[#This Row],[h1]],8))</f>
        <v>0</v>
      </c>
      <c r="Q106" s="50" t="s">
        <v>97</v>
      </c>
      <c r="R106" s="50">
        <f>HEX2DEC(RIGHT(Table132321432[[#This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124999</v>
      </c>
      <c r="J107" s="24">
        <v>50000</v>
      </c>
      <c r="M107" s="24">
        <v>50000</v>
      </c>
      <c r="O107" s="50" t="s">
        <v>97</v>
      </c>
      <c r="P107" s="50">
        <f>HEX2DEC(RIGHT(Table132321432[[#This Row],[h1]],8))</f>
        <v>0</v>
      </c>
      <c r="Q107" s="50" t="s">
        <v>97</v>
      </c>
      <c r="R107" s="50">
        <f>HEX2DEC(RIGHT(Table132321432[[#This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124999</v>
      </c>
      <c r="J108" s="24">
        <v>50000</v>
      </c>
      <c r="M108" s="24">
        <v>50000</v>
      </c>
      <c r="O108" s="50" t="s">
        <v>97</v>
      </c>
      <c r="P108" s="50">
        <f>HEX2DEC(RIGHT(Table132321432[[#This Row],[h1]],8))</f>
        <v>0</v>
      </c>
      <c r="Q108" s="50" t="s">
        <v>97</v>
      </c>
      <c r="R108" s="50">
        <f>HEX2DEC(RIGHT(Table132321432[[#This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124999</v>
      </c>
      <c r="J109" s="24">
        <v>50000</v>
      </c>
      <c r="M109" s="24">
        <v>50000</v>
      </c>
      <c r="O109" s="50" t="s">
        <v>97</v>
      </c>
      <c r="P109" s="50">
        <f>HEX2DEC(RIGHT(Table132321432[[#This Row],[h1]],8))</f>
        <v>0</v>
      </c>
      <c r="Q109" s="50" t="s">
        <v>97</v>
      </c>
      <c r="R109" s="50">
        <f>HEX2DEC(RIGHT(Table132321432[[#This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124999</v>
      </c>
      <c r="J110" s="24">
        <v>50000</v>
      </c>
      <c r="M110" s="24">
        <v>50000</v>
      </c>
      <c r="O110" s="50" t="s">
        <v>97</v>
      </c>
      <c r="P110" s="50">
        <f>HEX2DEC(RIGHT(Table132321432[[#This Row],[h1]],8))</f>
        <v>0</v>
      </c>
      <c r="Q110" s="50" t="s">
        <v>97</v>
      </c>
      <c r="R110" s="50">
        <f>HEX2DEC(RIGHT(Table132321432[[#This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124999</v>
      </c>
      <c r="J111" s="24">
        <v>50000</v>
      </c>
      <c r="M111" s="24">
        <v>50000</v>
      </c>
      <c r="O111" s="50" t="s">
        <v>97</v>
      </c>
      <c r="P111" s="50">
        <f>HEX2DEC(RIGHT(Table132321432[[#This Row],[h1]],8))</f>
        <v>0</v>
      </c>
      <c r="Q111" s="50" t="s">
        <v>97</v>
      </c>
      <c r="R111" s="50">
        <f>HEX2DEC(RIGHT(Table132321432[[#This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124999</v>
      </c>
      <c r="J112" s="24">
        <v>50000</v>
      </c>
      <c r="M112" s="24">
        <v>50000</v>
      </c>
      <c r="O112" s="50" t="s">
        <v>97</v>
      </c>
      <c r="P112" s="50">
        <f>HEX2DEC(RIGHT(Table132321432[[#This Row],[h1]],8))</f>
        <v>0</v>
      </c>
      <c r="Q112" s="50" t="s">
        <v>97</v>
      </c>
      <c r="R112" s="50">
        <f>HEX2DEC(RIGHT(Table132321432[[#This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124999</v>
      </c>
      <c r="J113" s="24">
        <v>50000</v>
      </c>
      <c r="M113" s="24">
        <v>50000</v>
      </c>
      <c r="O113" s="50" t="s">
        <v>97</v>
      </c>
      <c r="P113" s="50">
        <f>HEX2DEC(RIGHT(Table132321432[[#This Row],[h1]],8))</f>
        <v>0</v>
      </c>
      <c r="Q113" s="50" t="s">
        <v>97</v>
      </c>
      <c r="R113" s="50">
        <f>HEX2DEC(RIGHT(Table132321432[[#This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124999</v>
      </c>
      <c r="J114" s="24">
        <v>50000</v>
      </c>
      <c r="M114" s="24">
        <v>50000</v>
      </c>
      <c r="O114" s="50" t="s">
        <v>97</v>
      </c>
      <c r="P114" s="50">
        <f>HEX2DEC(RIGHT(Table132321432[[#This Row],[h1]],8))</f>
        <v>0</v>
      </c>
      <c r="Q114" s="50" t="s">
        <v>97</v>
      </c>
      <c r="R114" s="50">
        <f>HEX2DEC(RIGHT(Table132321432[[#This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124999</v>
      </c>
      <c r="J115" s="24">
        <v>50000</v>
      </c>
      <c r="M115" s="24">
        <v>50000</v>
      </c>
      <c r="O115" s="50" t="s">
        <v>97</v>
      </c>
      <c r="P115" s="50">
        <f>HEX2DEC(RIGHT(Table132321432[[#This Row],[h1]],8))</f>
        <v>0</v>
      </c>
      <c r="Q115" s="50" t="s">
        <v>97</v>
      </c>
      <c r="R115" s="50">
        <f>HEX2DEC(RIGHT(Table132321432[[#This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124999</v>
      </c>
      <c r="J116" s="24">
        <v>50000</v>
      </c>
      <c r="M116" s="24">
        <v>50000</v>
      </c>
      <c r="O116" s="50" t="s">
        <v>97</v>
      </c>
      <c r="P116" s="50">
        <f>HEX2DEC(RIGHT(Table132321432[[#This Row],[h1]],8))</f>
        <v>0</v>
      </c>
      <c r="Q116" s="50" t="s">
        <v>97</v>
      </c>
      <c r="R116" s="50">
        <f>HEX2DEC(RIGHT(Table132321432[[#This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124999</v>
      </c>
      <c r="J117" s="24">
        <v>50000</v>
      </c>
      <c r="M117" s="24">
        <v>50000</v>
      </c>
      <c r="O117" s="50" t="s">
        <v>97</v>
      </c>
      <c r="P117" s="50">
        <f>HEX2DEC(RIGHT(Table132321432[[#This Row],[h1]],8))</f>
        <v>0</v>
      </c>
      <c r="Q117" s="50" t="s">
        <v>97</v>
      </c>
      <c r="R117" s="50">
        <f>HEX2DEC(RIGHT(Table132321432[[#This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124999</v>
      </c>
      <c r="J118" s="24">
        <v>50000</v>
      </c>
      <c r="M118" s="24">
        <v>50000</v>
      </c>
      <c r="O118" s="50" t="s">
        <v>97</v>
      </c>
      <c r="P118" s="50">
        <f>HEX2DEC(RIGHT(Table132321432[[#This Row],[h1]],8))</f>
        <v>0</v>
      </c>
      <c r="Q118" s="50" t="s">
        <v>97</v>
      </c>
      <c r="R118" s="50">
        <f>HEX2DEC(RIGHT(Table132321432[[#This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124999</v>
      </c>
      <c r="J119" s="24">
        <v>50000</v>
      </c>
      <c r="M119" s="24">
        <v>50000</v>
      </c>
      <c r="O119" s="50" t="s">
        <v>97</v>
      </c>
      <c r="P119" s="50">
        <f>HEX2DEC(RIGHT(Table132321432[[#This Row],[h1]],8))</f>
        <v>0</v>
      </c>
      <c r="Q119" s="50" t="s">
        <v>97</v>
      </c>
      <c r="R119" s="50">
        <f>HEX2DEC(RIGHT(Table132321432[[#This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124999</v>
      </c>
      <c r="J120" s="24">
        <v>50000</v>
      </c>
      <c r="M120" s="24">
        <v>50000</v>
      </c>
      <c r="O120" s="50" t="s">
        <v>97</v>
      </c>
      <c r="P120" s="50">
        <f>HEX2DEC(RIGHT(Table132321432[[#This Row],[h1]],8))</f>
        <v>0</v>
      </c>
      <c r="Q120" s="50" t="s">
        <v>97</v>
      </c>
      <c r="R120" s="50">
        <f>HEX2DEC(RIGHT(Table132321432[[#This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124999</v>
      </c>
      <c r="J121" s="24">
        <v>50000</v>
      </c>
      <c r="M121" s="24">
        <v>50000</v>
      </c>
      <c r="O121" s="50" t="s">
        <v>97</v>
      </c>
      <c r="P121" s="50">
        <f>HEX2DEC(RIGHT(Table132321432[[#This Row],[h1]],8))</f>
        <v>0</v>
      </c>
      <c r="Q121" s="50" t="s">
        <v>97</v>
      </c>
      <c r="R121" s="50">
        <f>HEX2DEC(RIGHT(Table132321432[[#This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124999</v>
      </c>
      <c r="J122" s="24">
        <v>50000</v>
      </c>
      <c r="M122" s="24">
        <v>50000</v>
      </c>
      <c r="O122" s="50" t="s">
        <v>97</v>
      </c>
      <c r="P122" s="50">
        <f>HEX2DEC(RIGHT(Table132321432[[#This Row],[h1]],8))</f>
        <v>0</v>
      </c>
      <c r="Q122" s="50" t="s">
        <v>97</v>
      </c>
      <c r="R122" s="50">
        <f>HEX2DEC(RIGHT(Table132321432[[#This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124999</v>
      </c>
      <c r="J123" s="24">
        <v>50000</v>
      </c>
      <c r="M123" s="24">
        <v>50000</v>
      </c>
      <c r="O123" s="50" t="s">
        <v>97</v>
      </c>
      <c r="P123" s="50">
        <f>HEX2DEC(RIGHT(Table132321432[[#This Row],[h1]],8))</f>
        <v>0</v>
      </c>
      <c r="Q123" s="50" t="s">
        <v>97</v>
      </c>
      <c r="R123" s="50">
        <f>HEX2DEC(RIGHT(Table132321432[[#This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124999</v>
      </c>
      <c r="J124" s="24">
        <v>50000</v>
      </c>
      <c r="M124" s="24">
        <v>50000</v>
      </c>
      <c r="O124" s="50" t="s">
        <v>97</v>
      </c>
      <c r="P124" s="50">
        <f>HEX2DEC(RIGHT(Table132321432[[#This Row],[h1]],8))</f>
        <v>0</v>
      </c>
      <c r="Q124" s="50" t="s">
        <v>97</v>
      </c>
      <c r="R124" s="50">
        <f>HEX2DEC(RIGHT(Table132321432[[#This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124999</v>
      </c>
      <c r="J125" s="24">
        <v>50000</v>
      </c>
      <c r="M125" s="24">
        <v>50000</v>
      </c>
      <c r="O125" s="50" t="s">
        <v>97</v>
      </c>
      <c r="P125" s="50">
        <f>HEX2DEC(RIGHT(Table132321432[[#This Row],[h1]],8))</f>
        <v>0</v>
      </c>
      <c r="Q125" s="50" t="s">
        <v>97</v>
      </c>
      <c r="R125" s="50">
        <f>HEX2DEC(RIGHT(Table132321432[[#This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124999</v>
      </c>
      <c r="J126" s="24">
        <v>50000</v>
      </c>
      <c r="M126" s="24">
        <v>50000</v>
      </c>
      <c r="O126" s="50" t="s">
        <v>97</v>
      </c>
      <c r="P126" s="50">
        <f>HEX2DEC(RIGHT(Table132321432[[#This Row],[h1]],8))</f>
        <v>0</v>
      </c>
      <c r="Q126" s="50" t="s">
        <v>97</v>
      </c>
      <c r="R126" s="50">
        <f>HEX2DEC(RIGHT(Table132321432[[#This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124999</v>
      </c>
      <c r="J127" s="24">
        <v>50000</v>
      </c>
      <c r="M127" s="24">
        <v>50000</v>
      </c>
      <c r="O127" s="50" t="s">
        <v>97</v>
      </c>
      <c r="P127" s="50">
        <f>HEX2DEC(RIGHT(Table132321432[[#This Row],[h1]],8))</f>
        <v>0</v>
      </c>
      <c r="Q127" s="50" t="s">
        <v>97</v>
      </c>
      <c r="R127" s="50">
        <f>HEX2DEC(RIGHT(Table132321432[[#This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124999</v>
      </c>
      <c r="J128" s="24">
        <v>50000</v>
      </c>
      <c r="M128" s="24">
        <v>50000</v>
      </c>
      <c r="O128" s="50" t="s">
        <v>97</v>
      </c>
      <c r="P128" s="50">
        <f>HEX2DEC(RIGHT(Table132321432[[#This Row],[h1]],8))</f>
        <v>0</v>
      </c>
      <c r="Q128" s="50" t="s">
        <v>97</v>
      </c>
      <c r="R128" s="50">
        <f>HEX2DEC(RIGHT(Table132321432[[#This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124999</v>
      </c>
      <c r="J129" s="24">
        <v>50000</v>
      </c>
      <c r="M129" s="24">
        <v>50000</v>
      </c>
      <c r="O129" s="50" t="s">
        <v>97</v>
      </c>
      <c r="P129" s="50">
        <f>HEX2DEC(RIGHT(Table132321432[[#This Row],[h1]],8))</f>
        <v>0</v>
      </c>
      <c r="Q129" s="50" t="s">
        <v>97</v>
      </c>
      <c r="R129" s="50">
        <f>HEX2DEC(RIGHT(Table132321432[[#This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124999</v>
      </c>
      <c r="J130" s="24">
        <v>50000</v>
      </c>
      <c r="M130" s="24">
        <v>50000</v>
      </c>
      <c r="O130" s="50" t="s">
        <v>97</v>
      </c>
      <c r="P130" s="50">
        <f>HEX2DEC(RIGHT(Table132321432[[#This Row],[h1]],8))</f>
        <v>0</v>
      </c>
      <c r="Q130" s="50" t="s">
        <v>97</v>
      </c>
      <c r="R130" s="50">
        <f>HEX2DEC(RIGHT(Table132321432[[#This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124999</v>
      </c>
      <c r="J131" s="24">
        <v>50000</v>
      </c>
      <c r="M131" s="24">
        <v>50000</v>
      </c>
      <c r="O131" s="50" t="s">
        <v>97</v>
      </c>
      <c r="P131" s="50">
        <f>HEX2DEC(RIGHT(Table132321432[[#This Row],[h1]],8))</f>
        <v>0</v>
      </c>
      <c r="Q131" s="50" t="s">
        <v>97</v>
      </c>
      <c r="R131" s="50">
        <f>HEX2DEC(RIGHT(Table132321432[[#This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124999</v>
      </c>
      <c r="J132" s="24">
        <v>50000</v>
      </c>
      <c r="M132" s="24">
        <v>50000</v>
      </c>
      <c r="O132" s="50" t="s">
        <v>97</v>
      </c>
      <c r="P132" s="50">
        <f>HEX2DEC(RIGHT(Table132321432[[#This Row],[h1]],8))</f>
        <v>0</v>
      </c>
      <c r="Q132" s="50" t="s">
        <v>97</v>
      </c>
      <c r="R132" s="50">
        <f>HEX2DEC(RIGHT(Table132321432[[#This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124999</v>
      </c>
      <c r="J133" s="24">
        <v>50000</v>
      </c>
      <c r="M133" s="24">
        <v>50000</v>
      </c>
      <c r="O133" s="50" t="s">
        <v>97</v>
      </c>
      <c r="P133" s="50">
        <f>HEX2DEC(RIGHT(Table132321432[[#This Row],[h1]],8))</f>
        <v>0</v>
      </c>
      <c r="Q133" s="50" t="s">
        <v>97</v>
      </c>
      <c r="R133" s="50">
        <f>HEX2DEC(RIGHT(Table132321432[[#This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124999</v>
      </c>
      <c r="J134" s="24">
        <v>50000</v>
      </c>
      <c r="M134" s="24">
        <v>50000</v>
      </c>
      <c r="O134" s="50" t="s">
        <v>97</v>
      </c>
      <c r="P134" s="50">
        <f>HEX2DEC(RIGHT(Table132321432[[#This Row],[h1]],8))</f>
        <v>0</v>
      </c>
      <c r="Q134" s="50" t="s">
        <v>97</v>
      </c>
      <c r="R134" s="50">
        <f>HEX2DEC(RIGHT(Table132321432[[#This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124999</v>
      </c>
      <c r="J135" s="24">
        <v>50000</v>
      </c>
      <c r="M135" s="24">
        <v>50000</v>
      </c>
      <c r="O135" s="50" t="s">
        <v>97</v>
      </c>
      <c r="P135" s="50">
        <f>HEX2DEC(RIGHT(Table132321432[[#This Row],[h1]],8))</f>
        <v>0</v>
      </c>
      <c r="Q135" s="50" t="s">
        <v>97</v>
      </c>
      <c r="R135" s="50">
        <f>HEX2DEC(RIGHT(Table132321432[[#This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124999</v>
      </c>
      <c r="J136" s="24">
        <v>50000</v>
      </c>
      <c r="M136" s="24">
        <v>50000</v>
      </c>
      <c r="O136" s="50" t="s">
        <v>97</v>
      </c>
      <c r="P136" s="50">
        <f>HEX2DEC(RIGHT(Table132321432[[#This Row],[h1]],8))</f>
        <v>0</v>
      </c>
      <c r="Q136" s="50" t="s">
        <v>97</v>
      </c>
      <c r="R136" s="50">
        <f>HEX2DEC(RIGHT(Table132321432[[#This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124999</v>
      </c>
      <c r="J137" s="24">
        <v>50000</v>
      </c>
      <c r="M137" s="24">
        <v>50000</v>
      </c>
      <c r="O137" s="50" t="s">
        <v>97</v>
      </c>
      <c r="P137" s="50">
        <f>HEX2DEC(RIGHT(Table132321432[[#This Row],[h1]],8))</f>
        <v>0</v>
      </c>
      <c r="Q137" s="50" t="s">
        <v>97</v>
      </c>
      <c r="R137" s="50">
        <f>HEX2DEC(RIGHT(Table132321432[[#This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124999</v>
      </c>
      <c r="J138" s="24">
        <v>50000</v>
      </c>
      <c r="M138" s="24">
        <v>50000</v>
      </c>
      <c r="O138" s="50" t="s">
        <v>97</v>
      </c>
      <c r="P138" s="50">
        <f>HEX2DEC(RIGHT(Table132321432[[#This Row],[h1]],8))</f>
        <v>0</v>
      </c>
      <c r="Q138" s="50" t="s">
        <v>97</v>
      </c>
      <c r="R138" s="50">
        <f>HEX2DEC(RIGHT(Table132321432[[#This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50" t="s">
        <v>97</v>
      </c>
      <c r="P139" s="50">
        <f>HEX2DEC(RIGHT(Table132321432[[#This Row],[h1]],8))</f>
        <v>0</v>
      </c>
      <c r="Q139" s="50" t="s">
        <v>97</v>
      </c>
      <c r="R139" s="50">
        <f>HEX2DEC(RIGHT(Table132321432[[#This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50" t="s">
        <v>97</v>
      </c>
      <c r="P140" s="50">
        <f>HEX2DEC(RIGHT(Table132321432[[#This Row],[h1]],8))</f>
        <v>0</v>
      </c>
      <c r="Q140" s="50" t="s">
        <v>97</v>
      </c>
      <c r="R140" s="50">
        <f>HEX2DEC(RIGHT(Table132321432[[#This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50" t="s">
        <v>97</v>
      </c>
      <c r="P141" s="50">
        <f>HEX2DEC(RIGHT(Table132321432[[#This Row],[h1]],8))</f>
        <v>0</v>
      </c>
      <c r="Q141" s="50" t="s">
        <v>97</v>
      </c>
      <c r="R141" s="50">
        <f>HEX2DEC(RIGHT(Table132321432[[#This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50" t="s">
        <v>97</v>
      </c>
      <c r="P142" s="50">
        <f>HEX2DEC(RIGHT(Table132321432[[#This Row],[h1]],8))</f>
        <v>0</v>
      </c>
      <c r="Q142" s="50" t="s">
        <v>97</v>
      </c>
      <c r="R142" s="50">
        <f>HEX2DEC(RIGHT(Table132321432[[#This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50" t="s">
        <v>97</v>
      </c>
      <c r="P143" s="50">
        <f>HEX2DEC(RIGHT(Table132321432[[#This Row],[h1]],8))</f>
        <v>0</v>
      </c>
      <c r="Q143" s="50" t="s">
        <v>97</v>
      </c>
      <c r="R143" s="50">
        <f>HEX2DEC(RIGHT(Table132321432[[#This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50" t="s">
        <v>97</v>
      </c>
      <c r="P144" s="50">
        <f>HEX2DEC(RIGHT(Table132321432[[#This Row],[h1]],8))</f>
        <v>0</v>
      </c>
      <c r="Q144" s="50" t="s">
        <v>97</v>
      </c>
      <c r="R144" s="50">
        <f>HEX2DEC(RIGHT(Table132321432[[#This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50" t="s">
        <v>97</v>
      </c>
      <c r="P145" s="50">
        <f>HEX2DEC(RIGHT(Table132321432[[#This Row],[h1]],8))</f>
        <v>0</v>
      </c>
      <c r="Q145" s="50" t="s">
        <v>97</v>
      </c>
      <c r="R145" s="50">
        <f>HEX2DEC(RIGHT(Table132321432[[#This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50" t="s">
        <v>97</v>
      </c>
      <c r="P146" s="50">
        <f>HEX2DEC(RIGHT(Table132321432[[#This Row],[h1]],8))</f>
        <v>0</v>
      </c>
      <c r="Q146" s="50" t="s">
        <v>97</v>
      </c>
      <c r="R146" s="50">
        <f>HEX2DEC(RIGHT(Table132321432[[#This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50" t="s">
        <v>97</v>
      </c>
      <c r="P147" s="50">
        <f>HEX2DEC(RIGHT(Table132321432[[#This Row],[h1]],8))</f>
        <v>0</v>
      </c>
      <c r="Q147" s="50" t="s">
        <v>97</v>
      </c>
      <c r="R147" s="50">
        <f>HEX2DEC(RIGHT(Table132321432[[#This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50" t="s">
        <v>97</v>
      </c>
      <c r="P148" s="50">
        <f>HEX2DEC(RIGHT(Table132321432[[#This Row],[h1]],8))</f>
        <v>0</v>
      </c>
      <c r="Q148" s="50" t="s">
        <v>97</v>
      </c>
      <c r="R148" s="50">
        <f>HEX2DEC(RIGHT(Table132321432[[#This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50" t="s">
        <v>97</v>
      </c>
      <c r="P149" s="50">
        <f>HEX2DEC(RIGHT(Table132321432[[#This Row],[h1]],8))</f>
        <v>0</v>
      </c>
      <c r="Q149" s="50" t="s">
        <v>97</v>
      </c>
      <c r="R149" s="50">
        <f>HEX2DEC(RIGHT(Table132321432[[#This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648</v>
      </c>
      <c r="F150" s="22"/>
      <c r="G150" s="32">
        <v>1</v>
      </c>
      <c r="J150" s="24">
        <v>50000</v>
      </c>
      <c r="M150" s="24">
        <v>50000</v>
      </c>
      <c r="O150" s="50" t="s">
        <v>97</v>
      </c>
      <c r="P150" s="50">
        <f>HEX2DEC(RIGHT(Table132321432[[#This Row],[h1]],8))</f>
        <v>0</v>
      </c>
      <c r="Q150" s="50" t="s">
        <v>97</v>
      </c>
      <c r="R150" s="50">
        <f>HEX2DEC(RIGHT(Table132321432[[#This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50" t="s">
        <v>97</v>
      </c>
      <c r="P151" s="50">
        <f>HEX2DEC(RIGHT(Table132321432[[#This Row],[h1]],8))</f>
        <v>0</v>
      </c>
      <c r="Q151" s="50" t="s">
        <v>97</v>
      </c>
      <c r="R151" s="50">
        <f>HEX2DEC(RIGHT(Table132321432[[#This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62499999</v>
      </c>
      <c r="J152" s="24">
        <v>50000</v>
      </c>
      <c r="M152" s="24">
        <v>50000</v>
      </c>
      <c r="O152" s="50" t="s">
        <v>97</v>
      </c>
      <c r="P152" s="50">
        <f>HEX2DEC(RIGHT(Table132321432[[#This Row],[h1]],8))</f>
        <v>0</v>
      </c>
      <c r="Q152" s="50" t="s">
        <v>97</v>
      </c>
      <c r="R152" s="50">
        <f>HEX2DEC(RIGHT(Table132321432[[#This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6249999</v>
      </c>
      <c r="J153" s="24">
        <v>50000</v>
      </c>
      <c r="M153" s="24">
        <v>50000</v>
      </c>
      <c r="O153" s="50" t="s">
        <v>97</v>
      </c>
      <c r="P153" s="50">
        <f>HEX2DEC(RIGHT(Table132321432[[#This Row],[h1]],8))</f>
        <v>0</v>
      </c>
      <c r="Q153" s="50" t="s">
        <v>97</v>
      </c>
      <c r="R153" s="50">
        <f>HEX2DEC(RIGHT(Table132321432[[#This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624999</v>
      </c>
      <c r="J154" s="24">
        <v>50000</v>
      </c>
      <c r="M154" s="24">
        <v>50000</v>
      </c>
      <c r="O154" s="50" t="s">
        <v>97</v>
      </c>
      <c r="P154" s="50">
        <f>HEX2DEC(RIGHT(Table132321432[[#This Row],[h1]],8))</f>
        <v>0</v>
      </c>
      <c r="Q154" s="50" t="s">
        <v>97</v>
      </c>
      <c r="R154" s="50">
        <f>HEX2DEC(RIGHT(Table132321432[[#This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62499</v>
      </c>
      <c r="J155" s="24">
        <v>50000</v>
      </c>
      <c r="M155" s="24">
        <v>50000</v>
      </c>
      <c r="O155" s="50" t="s">
        <v>97</v>
      </c>
      <c r="P155" s="50">
        <f>HEX2DEC(RIGHT(Table132321432[[#This Row],[h1]],8))</f>
        <v>0</v>
      </c>
      <c r="Q155" s="50" t="s">
        <v>97</v>
      </c>
      <c r="R155" s="50">
        <f>HEX2DEC(RIGHT(Table132321432[[#This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6249</v>
      </c>
      <c r="J156" s="24">
        <v>50000</v>
      </c>
      <c r="M156" s="24">
        <v>50000</v>
      </c>
      <c r="O156" s="50" t="s">
        <v>97</v>
      </c>
      <c r="P156" s="50">
        <f>HEX2DEC(RIGHT(Table132321432[[#This Row],[h1]],8))</f>
        <v>0</v>
      </c>
      <c r="Q156" s="50" t="s">
        <v>97</v>
      </c>
      <c r="R156" s="50">
        <f>HEX2DEC(RIGHT(Table132321432[[#This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624</v>
      </c>
      <c r="J157" s="24">
        <v>50000</v>
      </c>
      <c r="M157" s="24">
        <v>50000</v>
      </c>
      <c r="O157" s="50" t="s">
        <v>97</v>
      </c>
      <c r="P157" s="50">
        <f>HEX2DEC(RIGHT(Table132321432[[#This Row],[h1]],8))</f>
        <v>0</v>
      </c>
      <c r="Q157" s="50" t="s">
        <v>97</v>
      </c>
      <c r="R157" s="50">
        <f>HEX2DEC(RIGHT(Table132321432[[#This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311.5</v>
      </c>
      <c r="J158" s="24">
        <v>50000</v>
      </c>
      <c r="M158" s="24">
        <v>50000</v>
      </c>
      <c r="O158" s="50" t="s">
        <v>97</v>
      </c>
      <c r="P158" s="50">
        <f>HEX2DEC(RIGHT(Table132321432[[#This Row],[h1]],8))</f>
        <v>0</v>
      </c>
      <c r="Q158" s="50" t="s">
        <v>97</v>
      </c>
      <c r="R158" s="50">
        <f>HEX2DEC(RIGHT(Table132321432[[#This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207.33333333333334</v>
      </c>
      <c r="J159" s="24">
        <v>50000</v>
      </c>
      <c r="M159" s="24">
        <v>50000</v>
      </c>
      <c r="O159" s="50" t="s">
        <v>97</v>
      </c>
      <c r="P159" s="50">
        <f>HEX2DEC(RIGHT(Table132321432[[#This Row],[h1]],8))</f>
        <v>0</v>
      </c>
      <c r="Q159" s="50" t="s">
        <v>97</v>
      </c>
      <c r="R159" s="50">
        <f>HEX2DEC(RIGHT(Table132321432[[#This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155.25</v>
      </c>
      <c r="J160" s="24">
        <v>50000</v>
      </c>
      <c r="M160" s="24">
        <v>50000</v>
      </c>
      <c r="O160" s="50" t="s">
        <v>97</v>
      </c>
      <c r="P160" s="50">
        <f>HEX2DEC(RIGHT(Table132321432[[#This Row],[h1]],8))</f>
        <v>0</v>
      </c>
      <c r="Q160" s="50" t="s">
        <v>97</v>
      </c>
      <c r="R160" s="50">
        <f>HEX2DEC(RIGHT(Table132321432[[#This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124</v>
      </c>
      <c r="J161" s="24">
        <v>50000</v>
      </c>
      <c r="M161" s="24">
        <v>50000</v>
      </c>
      <c r="O161" s="50" t="s">
        <v>97</v>
      </c>
      <c r="P161" s="50">
        <f>HEX2DEC(RIGHT(Table132321432[[#This Row],[h1]],8))</f>
        <v>0</v>
      </c>
      <c r="Q161" s="50" t="s">
        <v>97</v>
      </c>
      <c r="R161" s="50">
        <f>HEX2DEC(RIGHT(Table132321432[[#This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103.16666666666667</v>
      </c>
      <c r="J162" s="24">
        <v>50000</v>
      </c>
      <c r="M162" s="24">
        <v>50000</v>
      </c>
      <c r="O162" s="50" t="s">
        <v>97</v>
      </c>
      <c r="P162" s="50">
        <f>HEX2DEC(RIGHT(Table132321432[[#This Row],[h1]],8))</f>
        <v>0</v>
      </c>
      <c r="Q162" s="50" t="s">
        <v>97</v>
      </c>
      <c r="R162" s="50">
        <f>HEX2DEC(RIGHT(Table132321432[[#This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88.285714285714292</v>
      </c>
      <c r="J163" s="24">
        <v>50000</v>
      </c>
      <c r="M163" s="24">
        <v>50000</v>
      </c>
      <c r="O163" s="50" t="s">
        <v>97</v>
      </c>
      <c r="P163" s="50">
        <f>HEX2DEC(RIGHT(Table132321432[[#This Row],[h1]],8))</f>
        <v>0</v>
      </c>
      <c r="Q163" s="50" t="s">
        <v>97</v>
      </c>
      <c r="R163" s="50">
        <f>HEX2DEC(RIGHT(Table132321432[[#This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77.125</v>
      </c>
      <c r="J164" s="24">
        <v>50000</v>
      </c>
      <c r="M164" s="24">
        <v>50000</v>
      </c>
      <c r="O164" s="50" t="s">
        <v>97</v>
      </c>
      <c r="P164" s="50">
        <f>HEX2DEC(RIGHT(Table132321432[[#This Row],[h1]],8))</f>
        <v>0</v>
      </c>
      <c r="Q164" s="50" t="s">
        <v>97</v>
      </c>
      <c r="R164" s="50">
        <f>HEX2DEC(RIGHT(Table132321432[[#This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IF(IF(Table1319230[[#This Row],[value]]="",Table1319230[[#This Row],[dec val]],1/(2*Table1319230[[#This Row],[value]])*$E$151-1)&lt;0,0,IF(Table1319230[[#This Row],[value]]="",Table1319230[[#This Row],[dec val]],1/(2*Table1319230[[#This Row],[value]])*$E$151-1))</f>
        <v>68.444444444444443</v>
      </c>
      <c r="J165" s="24">
        <v>50000</v>
      </c>
      <c r="M165" s="24">
        <v>50000</v>
      </c>
      <c r="O165" s="50" t="s">
        <v>97</v>
      </c>
      <c r="P165" s="50">
        <f>HEX2DEC(RIGHT(Table132321432[[#This Row],[h1]],8))</f>
        <v>0</v>
      </c>
      <c r="Q165" s="50" t="s">
        <v>97</v>
      </c>
      <c r="R165" s="50">
        <f>HEX2DEC(RIGHT(Table132321432[[#This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50" t="s">
        <v>97</v>
      </c>
      <c r="P166" s="50">
        <f>HEX2DEC(RIGHT(Table132321432[[#This Row],[h1]],8))</f>
        <v>0</v>
      </c>
      <c r="Q166" s="50" t="s">
        <v>97</v>
      </c>
      <c r="R166" s="50">
        <f>HEX2DEC(RIGHT(Table132321432[[#This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50" t="s">
        <v>42</v>
      </c>
      <c r="J167" s="24">
        <v>50000</v>
      </c>
      <c r="M167" s="24">
        <v>50000</v>
      </c>
      <c r="O167" s="50" t="s">
        <v>97</v>
      </c>
      <c r="P167" s="50">
        <f>HEX2DEC(RIGHT(Table132321432[[#This Row],[h1]],8))</f>
        <v>0</v>
      </c>
      <c r="Q167" s="50" t="s">
        <v>97</v>
      </c>
      <c r="R167" s="50">
        <f>HEX2DEC(RIGHT(Table132321432[[#This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50" t="s">
        <v>42</v>
      </c>
      <c r="J168" s="24">
        <v>50000</v>
      </c>
      <c r="M168" s="24">
        <v>50000</v>
      </c>
      <c r="O168" s="50" t="s">
        <v>97</v>
      </c>
      <c r="P168" s="50">
        <f>HEX2DEC(RIGHT(Table132321432[[#This Row],[h1]],8))</f>
        <v>0</v>
      </c>
      <c r="Q168" s="50" t="s">
        <v>97</v>
      </c>
      <c r="R168" s="50">
        <f>HEX2DEC(RIGHT(Table132321432[[#This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50" t="s">
        <v>42</v>
      </c>
      <c r="J169" s="24">
        <v>50000</v>
      </c>
      <c r="M169" s="24">
        <v>50000</v>
      </c>
      <c r="O169" s="50" t="s">
        <v>97</v>
      </c>
      <c r="P169" s="50">
        <f>HEX2DEC(RIGHT(Table132321432[[#This Row],[h1]],8))</f>
        <v>0</v>
      </c>
      <c r="Q169" s="50" t="s">
        <v>97</v>
      </c>
      <c r="R169" s="50">
        <f>HEX2DEC(RIGHT(Table132321432[[#This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50" t="s">
        <v>42</v>
      </c>
      <c r="J170" s="24">
        <v>50000</v>
      </c>
      <c r="M170" s="24">
        <v>50000</v>
      </c>
      <c r="O170" s="50" t="s">
        <v>97</v>
      </c>
      <c r="P170" s="50">
        <f>HEX2DEC(RIGHT(Table132321432[[#This Row],[h1]],8))</f>
        <v>0</v>
      </c>
      <c r="Q170" s="50" t="s">
        <v>97</v>
      </c>
      <c r="R170" s="50">
        <f>HEX2DEC(RIGHT(Table132321432[[#This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50" t="s">
        <v>42</v>
      </c>
      <c r="J171" s="24">
        <v>50000</v>
      </c>
      <c r="M171" s="24">
        <v>50000</v>
      </c>
      <c r="O171" s="50" t="s">
        <v>97</v>
      </c>
      <c r="P171" s="50">
        <f>HEX2DEC(RIGHT(Table132321432[[#This Row],[h1]],8))</f>
        <v>0</v>
      </c>
      <c r="Q171" s="50" t="s">
        <v>97</v>
      </c>
      <c r="R171" s="50">
        <f>HEX2DEC(RIGHT(Table132321432[[#This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50" t="s">
        <v>42</v>
      </c>
      <c r="J172" s="24">
        <v>50000</v>
      </c>
      <c r="M172" s="24">
        <v>50000</v>
      </c>
      <c r="O172" s="50" t="s">
        <v>97</v>
      </c>
      <c r="P172" s="50">
        <f>HEX2DEC(RIGHT(Table132321432[[#This Row],[h1]],8))</f>
        <v>0</v>
      </c>
      <c r="Q172" s="50" t="s">
        <v>97</v>
      </c>
      <c r="R172" s="50">
        <f>HEX2DEC(RIGHT(Table132321432[[#This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50" t="s">
        <v>42</v>
      </c>
      <c r="J173" s="24">
        <v>50000</v>
      </c>
      <c r="M173" s="24">
        <v>50000</v>
      </c>
      <c r="O173" s="50" t="s">
        <v>97</v>
      </c>
      <c r="P173" s="50">
        <f>HEX2DEC(RIGHT(Table132321432[[#This Row],[h1]],8))</f>
        <v>0</v>
      </c>
      <c r="Q173" s="50" t="s">
        <v>97</v>
      </c>
      <c r="R173" s="50">
        <f>HEX2DEC(RIGHT(Table132321432[[#This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50" t="s">
        <v>42</v>
      </c>
      <c r="J174" s="24">
        <v>50000</v>
      </c>
      <c r="M174" s="24">
        <v>50000</v>
      </c>
      <c r="O174" s="50" t="s">
        <v>97</v>
      </c>
      <c r="P174" s="50">
        <f>HEX2DEC(RIGHT(Table132321432[[#This Row],[h1]],8))</f>
        <v>0</v>
      </c>
      <c r="Q174" s="50" t="s">
        <v>97</v>
      </c>
      <c r="R174" s="50">
        <f>HEX2DEC(RIGHT(Table132321432[[#This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50"/>
      <c r="J175" s="24">
        <v>50000</v>
      </c>
      <c r="M175" s="24">
        <v>50000</v>
      </c>
      <c r="O175" s="50" t="s">
        <v>97</v>
      </c>
      <c r="P175" s="50">
        <f>HEX2DEC(RIGHT(Table132321432[[#This Row],[h1]],8))</f>
        <v>0</v>
      </c>
      <c r="Q175" s="50" t="s">
        <v>97</v>
      </c>
      <c r="R175" s="50">
        <f>HEX2DEC(RIGHT(Table132321432[[#This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50" t="s">
        <v>42</v>
      </c>
      <c r="J176" s="24">
        <v>50000</v>
      </c>
      <c r="M176" s="24">
        <v>50000</v>
      </c>
      <c r="O176" s="50" t="s">
        <v>97</v>
      </c>
      <c r="P176" s="50">
        <f>HEX2DEC(RIGHT(Table132321432[[#This Row],[h1]],8))</f>
        <v>0</v>
      </c>
      <c r="Q176" s="50" t="s">
        <v>97</v>
      </c>
      <c r="R176" s="50">
        <f>HEX2DEC(RIGHT(Table132321432[[#This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50" t="s">
        <v>42</v>
      </c>
      <c r="J177" s="24">
        <v>50000</v>
      </c>
      <c r="M177" s="24">
        <v>50000</v>
      </c>
      <c r="O177" s="50" t="s">
        <v>97</v>
      </c>
      <c r="P177" s="50">
        <f>HEX2DEC(RIGHT(Table132321432[[#This Row],[h1]],8))</f>
        <v>0</v>
      </c>
      <c r="Q177" s="50" t="s">
        <v>97</v>
      </c>
      <c r="R177" s="50">
        <f>HEX2DEC(RIGHT(Table132321432[[#This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50" t="s">
        <v>42</v>
      </c>
      <c r="J178" s="24">
        <v>50000</v>
      </c>
      <c r="M178" s="24">
        <v>50000</v>
      </c>
      <c r="O178" s="50" t="s">
        <v>97</v>
      </c>
      <c r="P178" s="50">
        <f>HEX2DEC(RIGHT(Table132321432[[#This Row],[h1]],8))</f>
        <v>0</v>
      </c>
      <c r="Q178" s="50" t="s">
        <v>97</v>
      </c>
      <c r="R178" s="50">
        <f>HEX2DEC(RIGHT(Table132321432[[#This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50" t="s">
        <v>42</v>
      </c>
      <c r="J179" s="24">
        <v>50000</v>
      </c>
      <c r="M179" s="24">
        <v>50000</v>
      </c>
      <c r="O179" s="50" t="s">
        <v>97</v>
      </c>
      <c r="P179" s="50">
        <f>HEX2DEC(RIGHT(Table132321432[[#This Row],[h1]],8))</f>
        <v>0</v>
      </c>
      <c r="Q179" s="50" t="s">
        <v>97</v>
      </c>
      <c r="R179" s="50">
        <f>HEX2DEC(RIGHT(Table132321432[[#This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50" t="s">
        <v>42</v>
      </c>
      <c r="J180" s="24">
        <v>50000</v>
      </c>
      <c r="M180" s="24">
        <v>50000</v>
      </c>
      <c r="O180" s="50" t="s">
        <v>97</v>
      </c>
      <c r="P180" s="50">
        <f>HEX2DEC(RIGHT(Table132321432[[#This Row],[h1]],8))</f>
        <v>0</v>
      </c>
      <c r="Q180" s="50" t="s">
        <v>97</v>
      </c>
      <c r="R180" s="50">
        <f>HEX2DEC(RIGHT(Table132321432[[#This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50" t="s">
        <v>42</v>
      </c>
      <c r="J181" s="24">
        <v>50000</v>
      </c>
      <c r="M181" s="24">
        <v>50000</v>
      </c>
      <c r="O181" s="50" t="s">
        <v>97</v>
      </c>
      <c r="P181" s="50">
        <f>HEX2DEC(RIGHT(Table132321432[[#This Row],[h1]],8))</f>
        <v>0</v>
      </c>
      <c r="Q181" s="50" t="s">
        <v>97</v>
      </c>
      <c r="R181" s="50">
        <f>HEX2DEC(RIGHT(Table132321432[[#This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50" t="s">
        <v>42</v>
      </c>
      <c r="J182" s="24">
        <v>50000</v>
      </c>
      <c r="M182" s="24">
        <v>50000</v>
      </c>
      <c r="O182" s="50" t="s">
        <v>97</v>
      </c>
      <c r="P182" s="50">
        <f>HEX2DEC(RIGHT(Table132321432[[#This Row],[h1]],8))</f>
        <v>0</v>
      </c>
      <c r="Q182" s="50" t="s">
        <v>97</v>
      </c>
      <c r="R182" s="50">
        <f>HEX2DEC(RIGHT(Table132321432[[#This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50" t="s">
        <v>42</v>
      </c>
      <c r="J183" s="24">
        <v>50000</v>
      </c>
      <c r="M183" s="24">
        <v>50000</v>
      </c>
      <c r="O183" s="50" t="s">
        <v>97</v>
      </c>
      <c r="P183" s="50">
        <f>HEX2DEC(RIGHT(Table132321432[[#This Row],[h1]],8))</f>
        <v>0</v>
      </c>
      <c r="Q183" s="50" t="s">
        <v>97</v>
      </c>
      <c r="R183" s="50">
        <f>HEX2DEC(RIGHT(Table132321432[[#This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50" t="s">
        <v>42</v>
      </c>
      <c r="J184" s="24">
        <v>50000</v>
      </c>
      <c r="M184" s="24">
        <v>50000</v>
      </c>
      <c r="O184" s="50" t="s">
        <v>97</v>
      </c>
      <c r="P184" s="50">
        <f>HEX2DEC(RIGHT(Table132321432[[#This Row],[h1]],8))</f>
        <v>0</v>
      </c>
      <c r="Q184" s="50" t="s">
        <v>97</v>
      </c>
      <c r="R184" s="50">
        <f>HEX2DEC(RIGHT(Table132321432[[#This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50" t="s">
        <v>42</v>
      </c>
      <c r="J185" s="24">
        <v>50000</v>
      </c>
      <c r="M185" s="24">
        <v>50000</v>
      </c>
      <c r="O185" s="50" t="s">
        <v>97</v>
      </c>
      <c r="P185" s="50">
        <f>HEX2DEC(RIGHT(Table132321432[[#This Row],[h1]],8))</f>
        <v>0</v>
      </c>
      <c r="Q185" s="50" t="s">
        <v>97</v>
      </c>
      <c r="R185" s="50">
        <f>HEX2DEC(RIGHT(Table132321432[[#This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50" t="s">
        <v>42</v>
      </c>
      <c r="J186" s="24">
        <v>50000</v>
      </c>
      <c r="M186" s="24">
        <v>50000</v>
      </c>
      <c r="O186" s="50" t="s">
        <v>97</v>
      </c>
      <c r="P186" s="50">
        <f>HEX2DEC(RIGHT(Table132321432[[#This Row],[h1]],8))</f>
        <v>0</v>
      </c>
      <c r="Q186" s="50" t="s">
        <v>97</v>
      </c>
      <c r="R186" s="50">
        <f>HEX2DEC(RIGHT(Table132321432[[#This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50" t="s">
        <v>42</v>
      </c>
      <c r="J187" s="24">
        <v>50000</v>
      </c>
      <c r="M187" s="24">
        <v>50000</v>
      </c>
      <c r="O187" s="50" t="s">
        <v>97</v>
      </c>
      <c r="P187" s="50">
        <f>HEX2DEC(RIGHT(Table132321432[[#This Row],[h1]],8))</f>
        <v>0</v>
      </c>
      <c r="Q187" s="50" t="s">
        <v>97</v>
      </c>
      <c r="R187" s="50">
        <f>HEX2DEC(RIGHT(Table132321432[[#This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50" t="s">
        <v>42</v>
      </c>
      <c r="J188" s="24">
        <v>50000</v>
      </c>
      <c r="M188" s="24">
        <v>50000</v>
      </c>
      <c r="O188" s="50" t="s">
        <v>97</v>
      </c>
      <c r="P188" s="50">
        <f>HEX2DEC(RIGHT(Table132321432[[#This Row],[h1]],8))</f>
        <v>0</v>
      </c>
      <c r="Q188" s="50" t="s">
        <v>97</v>
      </c>
      <c r="R188" s="50">
        <f>HEX2DEC(RIGHT(Table132321432[[#This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50" t="s">
        <v>42</v>
      </c>
      <c r="J189" s="24">
        <v>50000</v>
      </c>
      <c r="M189" s="24">
        <v>50000</v>
      </c>
      <c r="O189" s="50" t="s">
        <v>97</v>
      </c>
      <c r="P189" s="50">
        <f>HEX2DEC(RIGHT(Table132321432[[#This Row],[h1]],8))</f>
        <v>0</v>
      </c>
      <c r="Q189" s="50" t="s">
        <v>97</v>
      </c>
      <c r="R189" s="50">
        <f>HEX2DEC(RIGHT(Table132321432[[#This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50" t="s">
        <v>42</v>
      </c>
      <c r="J190" s="24">
        <v>50000</v>
      </c>
      <c r="M190" s="24">
        <v>50000</v>
      </c>
      <c r="O190" s="50" t="s">
        <v>97</v>
      </c>
      <c r="P190" s="50">
        <f>HEX2DEC(RIGHT(Table132321432[[#This Row],[h1]],8))</f>
        <v>0</v>
      </c>
      <c r="Q190" s="50" t="s">
        <v>97</v>
      </c>
      <c r="R190" s="50">
        <f>HEX2DEC(RIGHT(Table132321432[[#This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50" t="s">
        <v>42</v>
      </c>
      <c r="J191" s="24">
        <v>50000</v>
      </c>
      <c r="M191" s="24">
        <v>50000</v>
      </c>
      <c r="O191" s="50" t="s">
        <v>97</v>
      </c>
      <c r="P191" s="50">
        <f>HEX2DEC(RIGHT(Table132321432[[#This Row],[h1]],8))</f>
        <v>0</v>
      </c>
      <c r="Q191" s="50" t="s">
        <v>97</v>
      </c>
      <c r="R191" s="50">
        <f>HEX2DEC(RIGHT(Table132321432[[#This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50" t="s">
        <v>42</v>
      </c>
      <c r="J192" s="24">
        <v>50000</v>
      </c>
      <c r="M192" s="24">
        <v>50000</v>
      </c>
      <c r="O192" s="50" t="s">
        <v>97</v>
      </c>
      <c r="P192" s="50">
        <f>HEX2DEC(RIGHT(Table132321432[[#This Row],[h1]],8))</f>
        <v>0</v>
      </c>
      <c r="Q192" s="50" t="s">
        <v>97</v>
      </c>
      <c r="R192" s="50">
        <f>HEX2DEC(RIGHT(Table132321432[[#This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50" t="s">
        <v>42</v>
      </c>
      <c r="J193" s="24">
        <v>50000</v>
      </c>
      <c r="M193" s="24">
        <v>50000</v>
      </c>
      <c r="O193" s="50" t="s">
        <v>97</v>
      </c>
      <c r="P193" s="50">
        <f>HEX2DEC(RIGHT(Table132321432[[#This Row],[h1]],8))</f>
        <v>0</v>
      </c>
      <c r="Q193" s="50" t="s">
        <v>97</v>
      </c>
      <c r="R193" s="50">
        <f>HEX2DEC(RIGHT(Table132321432[[#This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50" t="s">
        <v>42</v>
      </c>
      <c r="J194" s="24">
        <v>50000</v>
      </c>
      <c r="M194" s="24">
        <v>50000</v>
      </c>
      <c r="O194" s="50" t="s">
        <v>97</v>
      </c>
      <c r="P194" s="50">
        <f>HEX2DEC(RIGHT(Table132321432[[#This Row],[h1]],8))</f>
        <v>0</v>
      </c>
      <c r="Q194" s="50" t="s">
        <v>97</v>
      </c>
      <c r="R194" s="50">
        <f>HEX2DEC(RIGHT(Table132321432[[#This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50" t="s">
        <v>42</v>
      </c>
      <c r="J195" s="24">
        <v>50000</v>
      </c>
      <c r="M195" s="24">
        <v>50000</v>
      </c>
      <c r="O195" s="50" t="s">
        <v>97</v>
      </c>
      <c r="P195" s="50">
        <f>HEX2DEC(RIGHT(Table132321432[[#This Row],[h1]],8))</f>
        <v>0</v>
      </c>
      <c r="Q195" s="50" t="s">
        <v>97</v>
      </c>
      <c r="R195" s="50">
        <f>HEX2DEC(RIGHT(Table132321432[[#This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50" t="s">
        <v>42</v>
      </c>
      <c r="J196" s="24">
        <v>50000</v>
      </c>
      <c r="M196" s="24">
        <v>50000</v>
      </c>
      <c r="O196" s="50" t="s">
        <v>97</v>
      </c>
      <c r="P196" s="50">
        <f>HEX2DEC(RIGHT(Table132321432[[#This Row],[h1]],8))</f>
        <v>0</v>
      </c>
      <c r="Q196" s="50" t="s">
        <v>97</v>
      </c>
      <c r="R196" s="50">
        <f>HEX2DEC(RIGHT(Table132321432[[#This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50" t="s">
        <v>42</v>
      </c>
      <c r="J197" s="24">
        <v>50000</v>
      </c>
      <c r="M197" s="24">
        <v>50000</v>
      </c>
      <c r="O197" s="50" t="s">
        <v>97</v>
      </c>
      <c r="P197" s="50">
        <f>HEX2DEC(RIGHT(Table132321432[[#This Row],[h1]],8))</f>
        <v>0</v>
      </c>
      <c r="Q197" s="50" t="s">
        <v>97</v>
      </c>
      <c r="R197" s="50">
        <f>HEX2DEC(RIGHT(Table132321432[[#This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50" t="s">
        <v>42</v>
      </c>
      <c r="J198" s="24">
        <v>50000</v>
      </c>
      <c r="M198" s="24">
        <v>50000</v>
      </c>
      <c r="O198" s="50" t="s">
        <v>97</v>
      </c>
      <c r="P198" s="50">
        <f>HEX2DEC(RIGHT(Table132321432[[#This Row],[h1]],8))</f>
        <v>0</v>
      </c>
      <c r="Q198" s="50" t="s">
        <v>97</v>
      </c>
      <c r="R198" s="50">
        <f>HEX2DEC(RIGHT(Table132321432[[#This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50" t="s">
        <v>42</v>
      </c>
      <c r="J199" s="24">
        <v>50000</v>
      </c>
      <c r="M199" s="24">
        <v>50000</v>
      </c>
      <c r="O199" s="50" t="s">
        <v>97</v>
      </c>
      <c r="P199" s="50">
        <f>HEX2DEC(RIGHT(Table132321432[[#This Row],[h1]],8))</f>
        <v>0</v>
      </c>
      <c r="Q199" s="50" t="s">
        <v>97</v>
      </c>
      <c r="R199" s="50">
        <f>HEX2DEC(RIGHT(Table132321432[[#This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50" t="s">
        <v>42</v>
      </c>
      <c r="J200" s="24">
        <v>50000</v>
      </c>
      <c r="M200" s="24">
        <v>50000</v>
      </c>
      <c r="O200" s="50" t="s">
        <v>97</v>
      </c>
      <c r="P200" s="50">
        <f>HEX2DEC(RIGHT(Table132321432[[#This Row],[h1]],8))</f>
        <v>0</v>
      </c>
      <c r="Q200" s="50" t="s">
        <v>97</v>
      </c>
      <c r="R200" s="50">
        <f>HEX2DEC(RIGHT(Table132321432[[#This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50" t="s">
        <v>42</v>
      </c>
      <c r="J201" s="24">
        <v>50000</v>
      </c>
      <c r="M201" s="24">
        <v>50000</v>
      </c>
      <c r="O201" s="50" t="s">
        <v>97</v>
      </c>
      <c r="P201" s="50">
        <f>HEX2DEC(RIGHT(Table132321432[[#This Row],[h1]],8))</f>
        <v>0</v>
      </c>
      <c r="Q201" s="50" t="s">
        <v>97</v>
      </c>
      <c r="R201" s="50">
        <f>HEX2DEC(RIGHT(Table132321432[[#This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50" t="s">
        <v>42</v>
      </c>
      <c r="J202" s="24">
        <v>50000</v>
      </c>
      <c r="M202" s="24">
        <v>50000</v>
      </c>
      <c r="O202" s="50" t="s">
        <v>97</v>
      </c>
      <c r="P202" s="50">
        <f>HEX2DEC(RIGHT(Table132321432[[#This Row],[h1]],8))</f>
        <v>0</v>
      </c>
      <c r="Q202" s="50" t="s">
        <v>97</v>
      </c>
      <c r="R202" s="50">
        <f>HEX2DEC(RIGHT(Table132321432[[#This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50" t="s">
        <v>42</v>
      </c>
      <c r="J203" s="24">
        <v>50000</v>
      </c>
      <c r="M203" s="24">
        <v>50000</v>
      </c>
      <c r="O203" s="50" t="s">
        <v>97</v>
      </c>
      <c r="P203" s="50">
        <f>HEX2DEC(RIGHT(Table132321432[[#This Row],[h1]],8))</f>
        <v>0</v>
      </c>
      <c r="Q203" s="50" t="s">
        <v>97</v>
      </c>
      <c r="R203" s="50">
        <f>HEX2DEC(RIGHT(Table132321432[[#This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50" t="s">
        <v>42</v>
      </c>
      <c r="J204" s="24">
        <v>50000</v>
      </c>
      <c r="M204" s="24">
        <v>50000</v>
      </c>
      <c r="O204" s="50" t="s">
        <v>97</v>
      </c>
      <c r="P204" s="50">
        <f>HEX2DEC(RIGHT(Table132321432[[#This Row],[h1]],8))</f>
        <v>0</v>
      </c>
      <c r="Q204" s="50" t="s">
        <v>97</v>
      </c>
      <c r="R204" s="50">
        <f>HEX2DEC(RIGHT(Table132321432[[#This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50" t="s">
        <v>42</v>
      </c>
      <c r="J205" s="24">
        <v>50000</v>
      </c>
      <c r="M205" s="24">
        <v>50000</v>
      </c>
      <c r="O205" s="50" t="s">
        <v>97</v>
      </c>
      <c r="P205" s="50">
        <f>HEX2DEC(RIGHT(Table132321432[[#This Row],[h1]],8))</f>
        <v>0</v>
      </c>
      <c r="Q205" s="50" t="s">
        <v>97</v>
      </c>
      <c r="R205" s="50">
        <f>HEX2DEC(RIGHT(Table132321432[[#This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50" t="s">
        <v>42</v>
      </c>
      <c r="J206" s="24">
        <v>50000</v>
      </c>
      <c r="M206" s="24">
        <v>50000</v>
      </c>
      <c r="O206" s="50" t="s">
        <v>97</v>
      </c>
      <c r="P206" s="50">
        <f>HEX2DEC(RIGHT(Table132321432[[#This Row],[h1]],8))</f>
        <v>0</v>
      </c>
      <c r="Q206" s="50" t="s">
        <v>97</v>
      </c>
      <c r="R206" s="50">
        <f>HEX2DEC(RIGHT(Table132321432[[#This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50" t="s">
        <v>97</v>
      </c>
      <c r="P207" s="50">
        <f>HEX2DEC(RIGHT(Table132321432[[#This Row],[h1]],8))</f>
        <v>0</v>
      </c>
      <c r="Q207" s="50" t="s">
        <v>97</v>
      </c>
      <c r="R207" s="50">
        <f>HEX2DEC(RIGHT(Table132321432[[#This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50">
        <v>1</v>
      </c>
      <c r="J208" s="24">
        <v>50000</v>
      </c>
      <c r="M208" s="24">
        <v>50000</v>
      </c>
      <c r="O208" s="50" t="s">
        <v>97</v>
      </c>
      <c r="P208" s="50">
        <f>HEX2DEC(RIGHT(Table132321432[[#This Row],[h1]],8))</f>
        <v>0</v>
      </c>
      <c r="Q208" s="50" t="s">
        <v>97</v>
      </c>
      <c r="R208" s="50">
        <f>HEX2DEC(RIGHT(Table132321432[[#This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50">
        <v>0</v>
      </c>
      <c r="J209" s="24">
        <v>50000</v>
      </c>
      <c r="M209" s="24">
        <v>50000</v>
      </c>
      <c r="O209" s="50" t="s">
        <v>97</v>
      </c>
      <c r="P209" s="50">
        <f>HEX2DEC(RIGHT(Table132321432[[#This Row],[h1]],8))</f>
        <v>0</v>
      </c>
      <c r="Q209" s="50" t="s">
        <v>97</v>
      </c>
      <c r="R209" s="50">
        <f>HEX2DEC(RIGHT(Table132321432[[#This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50">
        <v>0</v>
      </c>
      <c r="J210" s="24">
        <v>50000</v>
      </c>
      <c r="M210" s="24">
        <v>50000</v>
      </c>
      <c r="O210" s="50" t="s">
        <v>97</v>
      </c>
      <c r="P210" s="50">
        <f>HEX2DEC(RIGHT(Table132321432[[#This Row],[h1]],8))</f>
        <v>0</v>
      </c>
      <c r="Q210" s="50" t="s">
        <v>97</v>
      </c>
      <c r="R210" s="50">
        <f>HEX2DEC(RIGHT(Table132321432[[#This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50">
        <v>0</v>
      </c>
      <c r="J211" s="24">
        <v>50000</v>
      </c>
      <c r="M211" s="24">
        <v>50000</v>
      </c>
      <c r="O211" s="50" t="s">
        <v>97</v>
      </c>
      <c r="P211" s="50">
        <f>HEX2DEC(RIGHT(Table132321432[[#This Row],[h1]],8))</f>
        <v>0</v>
      </c>
      <c r="Q211" s="50" t="s">
        <v>97</v>
      </c>
      <c r="R211" s="50">
        <f>HEX2DEC(RIGHT(Table132321432[[#This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50">
        <v>0</v>
      </c>
      <c r="J212" s="24">
        <v>50000</v>
      </c>
      <c r="M212" s="24">
        <v>50000</v>
      </c>
      <c r="O212" s="50" t="s">
        <v>97</v>
      </c>
      <c r="P212" s="50">
        <f>HEX2DEC(RIGHT(Table132321432[[#This Row],[h1]],8))</f>
        <v>0</v>
      </c>
      <c r="Q212" s="50" t="s">
        <v>97</v>
      </c>
      <c r="R212" s="50">
        <f>HEX2DEC(RIGHT(Table132321432[[#This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50">
        <v>0</v>
      </c>
      <c r="J213" s="24">
        <v>50000</v>
      </c>
      <c r="M213" s="24">
        <v>50000</v>
      </c>
      <c r="O213" s="50" t="s">
        <v>97</v>
      </c>
      <c r="P213" s="50">
        <f>HEX2DEC(RIGHT(Table132321432[[#This Row],[h1]],8))</f>
        <v>0</v>
      </c>
      <c r="Q213" s="50" t="s">
        <v>97</v>
      </c>
      <c r="R213" s="50">
        <f>HEX2DEC(RIGHT(Table132321432[[#This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50">
        <v>0</v>
      </c>
      <c r="J214" s="24">
        <v>50000</v>
      </c>
      <c r="M214" s="24">
        <v>50000</v>
      </c>
      <c r="O214" s="50" t="s">
        <v>97</v>
      </c>
      <c r="P214" s="50">
        <f>HEX2DEC(RIGHT(Table132321432[[#This Row],[h1]],8))</f>
        <v>0</v>
      </c>
      <c r="Q214" s="50" t="s">
        <v>97</v>
      </c>
      <c r="R214" s="50">
        <f>HEX2DEC(RIGHT(Table132321432[[#This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50">
        <v>0</v>
      </c>
      <c r="J215" s="24">
        <v>50000</v>
      </c>
      <c r="M215" s="24">
        <v>50000</v>
      </c>
      <c r="O215" s="50" t="s">
        <v>97</v>
      </c>
      <c r="P215" s="50">
        <f>HEX2DEC(RIGHT(Table132321432[[#This Row],[h1]],8))</f>
        <v>0</v>
      </c>
      <c r="Q215" s="50" t="s">
        <v>97</v>
      </c>
      <c r="R215" s="50">
        <f>HEX2DEC(RIGHT(Table132321432[[#This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50">
        <v>0</v>
      </c>
      <c r="J216" s="24">
        <v>50000</v>
      </c>
      <c r="M216" s="24">
        <v>50000</v>
      </c>
      <c r="O216" s="50" t="s">
        <v>97</v>
      </c>
      <c r="P216" s="50">
        <f>HEX2DEC(RIGHT(Table132321432[[#This Row],[h1]],8))</f>
        <v>0</v>
      </c>
      <c r="Q216" s="50" t="s">
        <v>97</v>
      </c>
      <c r="R216" s="50">
        <f>HEX2DEC(RIGHT(Table132321432[[#This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50">
        <v>0</v>
      </c>
      <c r="J217" s="24">
        <v>50000</v>
      </c>
      <c r="M217" s="24">
        <v>50000</v>
      </c>
      <c r="O217" s="50" t="s">
        <v>97</v>
      </c>
      <c r="P217" s="50">
        <f>HEX2DEC(RIGHT(Table132321432[[#This Row],[h1]],8))</f>
        <v>0</v>
      </c>
      <c r="Q217" s="50" t="s">
        <v>97</v>
      </c>
      <c r="R217" s="50">
        <f>HEX2DEC(RIGHT(Table132321432[[#This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50">
        <v>0</v>
      </c>
      <c r="J218" s="24">
        <v>50000</v>
      </c>
      <c r="M218" s="24">
        <v>50000</v>
      </c>
      <c r="O218" s="50" t="s">
        <v>97</v>
      </c>
      <c r="P218" s="50">
        <f>HEX2DEC(RIGHT(Table132321432[[#This Row],[h1]],8))</f>
        <v>0</v>
      </c>
      <c r="Q218" s="50" t="s">
        <v>97</v>
      </c>
      <c r="R218" s="50">
        <f>HEX2DEC(RIGHT(Table132321432[[#This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50">
        <v>0</v>
      </c>
      <c r="J219" s="24">
        <v>50000</v>
      </c>
      <c r="M219" s="24">
        <v>50000</v>
      </c>
      <c r="O219" s="50" t="s">
        <v>97</v>
      </c>
      <c r="P219" s="50">
        <f>HEX2DEC(RIGHT(Table132321432[[#This Row],[h1]],8))</f>
        <v>0</v>
      </c>
      <c r="Q219" s="50" t="s">
        <v>97</v>
      </c>
      <c r="R219" s="50">
        <f>HEX2DEC(RIGHT(Table132321432[[#This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50">
        <v>0</v>
      </c>
      <c r="J220" s="24">
        <v>50000</v>
      </c>
      <c r="M220" s="24">
        <v>50000</v>
      </c>
      <c r="O220" s="50" t="s">
        <v>97</v>
      </c>
      <c r="P220" s="50">
        <f>HEX2DEC(RIGHT(Table132321432[[#This Row],[h1]],8))</f>
        <v>0</v>
      </c>
      <c r="Q220" s="50" t="s">
        <v>97</v>
      </c>
      <c r="R220" s="50">
        <f>HEX2DEC(RIGHT(Table132321432[[#This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50">
        <v>0</v>
      </c>
      <c r="J221" s="24">
        <v>50000</v>
      </c>
      <c r="M221" s="24">
        <v>50000</v>
      </c>
      <c r="O221" s="50" t="s">
        <v>97</v>
      </c>
      <c r="P221" s="50">
        <f>HEX2DEC(RIGHT(Table132321432[[#This Row],[h1]],8))</f>
        <v>0</v>
      </c>
      <c r="Q221" s="50" t="s">
        <v>97</v>
      </c>
      <c r="R221" s="50">
        <f>HEX2DEC(RIGHT(Table132321432[[#This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50">
        <v>0</v>
      </c>
      <c r="J222" s="24">
        <v>50000</v>
      </c>
      <c r="M222" s="24">
        <v>50000</v>
      </c>
      <c r="O222" s="50" t="s">
        <v>97</v>
      </c>
      <c r="P222" s="50">
        <f>HEX2DEC(RIGHT(Table132321432[[#This Row],[h1]],8))</f>
        <v>0</v>
      </c>
      <c r="Q222" s="50" t="s">
        <v>97</v>
      </c>
      <c r="R222" s="50">
        <f>HEX2DEC(RIGHT(Table132321432[[#This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50">
        <v>0</v>
      </c>
      <c r="J223" s="24">
        <v>50000</v>
      </c>
      <c r="M223" s="24">
        <v>50000</v>
      </c>
      <c r="O223" s="50" t="s">
        <v>97</v>
      </c>
      <c r="P223" s="50">
        <f>HEX2DEC(RIGHT(Table132321432[[#This Row],[h1]],8))</f>
        <v>0</v>
      </c>
      <c r="Q223" s="50" t="s">
        <v>97</v>
      </c>
      <c r="R223" s="50">
        <f>HEX2DEC(RIGHT(Table132321432[[#This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50">
        <v>0</v>
      </c>
      <c r="J224" s="24">
        <v>50000</v>
      </c>
      <c r="M224" s="24">
        <v>50000</v>
      </c>
      <c r="O224" s="50" t="s">
        <v>97</v>
      </c>
      <c r="P224" s="50">
        <f>HEX2DEC(RIGHT(Table132321432[[#This Row],[h1]],8))</f>
        <v>0</v>
      </c>
      <c r="Q224" s="50" t="s">
        <v>97</v>
      </c>
      <c r="R224" s="50">
        <f>HEX2DEC(RIGHT(Table132321432[[#This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50">
        <v>0</v>
      </c>
      <c r="J225" s="24">
        <v>50000</v>
      </c>
      <c r="M225" s="24">
        <v>50000</v>
      </c>
      <c r="O225" s="50" t="s">
        <v>97</v>
      </c>
      <c r="P225" s="50">
        <f>HEX2DEC(RIGHT(Table132321432[[#This Row],[h1]],8))</f>
        <v>0</v>
      </c>
      <c r="Q225" s="50" t="s">
        <v>97</v>
      </c>
      <c r="R225" s="50">
        <f>HEX2DEC(RIGHT(Table132321432[[#This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50">
        <v>0</v>
      </c>
      <c r="J226" s="24">
        <v>50000</v>
      </c>
      <c r="M226" s="24">
        <v>50000</v>
      </c>
      <c r="O226" s="50" t="s">
        <v>97</v>
      </c>
      <c r="P226" s="50">
        <f>HEX2DEC(RIGHT(Table132321432[[#This Row],[h1]],8))</f>
        <v>0</v>
      </c>
      <c r="Q226" s="50" t="s">
        <v>97</v>
      </c>
      <c r="R226" s="50">
        <f>HEX2DEC(RIGHT(Table132321432[[#This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50">
        <v>0</v>
      </c>
      <c r="J227" s="24">
        <v>50000</v>
      </c>
      <c r="M227" s="24">
        <v>50000</v>
      </c>
      <c r="O227" s="50" t="s">
        <v>97</v>
      </c>
      <c r="P227" s="50">
        <f>HEX2DEC(RIGHT(Table132321432[[#This Row],[h1]],8))</f>
        <v>0</v>
      </c>
      <c r="Q227" s="50" t="s">
        <v>97</v>
      </c>
      <c r="R227" s="50">
        <f>HEX2DEC(RIGHT(Table132321432[[#This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50">
        <v>0</v>
      </c>
      <c r="J228" s="24">
        <v>50000</v>
      </c>
      <c r="M228" s="24">
        <v>50000</v>
      </c>
      <c r="O228" s="50" t="s">
        <v>97</v>
      </c>
      <c r="P228" s="50">
        <f>HEX2DEC(RIGHT(Table132321432[[#This Row],[h1]],8))</f>
        <v>0</v>
      </c>
      <c r="Q228" s="50" t="s">
        <v>97</v>
      </c>
      <c r="R228" s="50">
        <f>HEX2DEC(RIGHT(Table132321432[[#This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50">
        <v>0</v>
      </c>
      <c r="J229" s="24">
        <v>50000</v>
      </c>
      <c r="M229" s="24">
        <v>50000</v>
      </c>
      <c r="O229" s="50" t="s">
        <v>97</v>
      </c>
      <c r="P229" s="50">
        <f>HEX2DEC(RIGHT(Table132321432[[#This Row],[h1]],8))</f>
        <v>0</v>
      </c>
      <c r="Q229" s="50" t="s">
        <v>97</v>
      </c>
      <c r="R229" s="50">
        <f>HEX2DEC(RIGHT(Table132321432[[#This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50">
        <v>0</v>
      </c>
      <c r="J230" s="24">
        <v>50000</v>
      </c>
      <c r="M230" s="24">
        <v>50000</v>
      </c>
      <c r="O230" s="50" t="s">
        <v>97</v>
      </c>
      <c r="P230" s="50">
        <f>HEX2DEC(RIGHT(Table132321432[[#This Row],[h1]],8))</f>
        <v>0</v>
      </c>
      <c r="Q230" s="50" t="s">
        <v>97</v>
      </c>
      <c r="R230" s="50">
        <f>HEX2DEC(RIGHT(Table132321432[[#This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50">
        <v>0</v>
      </c>
      <c r="J231" s="24">
        <v>50000</v>
      </c>
      <c r="M231" s="24">
        <v>50000</v>
      </c>
      <c r="O231" s="50" t="s">
        <v>97</v>
      </c>
      <c r="P231" s="50">
        <f>HEX2DEC(RIGHT(Table132321432[[#This Row],[h1]],8))</f>
        <v>0</v>
      </c>
      <c r="Q231" s="50" t="s">
        <v>97</v>
      </c>
      <c r="R231" s="50">
        <f>HEX2DEC(RIGHT(Table132321432[[#This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50">
        <v>0</v>
      </c>
      <c r="J232" s="24">
        <v>50000</v>
      </c>
      <c r="M232" s="24">
        <v>50000</v>
      </c>
      <c r="O232" s="50" t="s">
        <v>97</v>
      </c>
      <c r="P232" s="50">
        <f>HEX2DEC(RIGHT(Table132321432[[#This Row],[h1]],8))</f>
        <v>0</v>
      </c>
      <c r="Q232" s="50" t="s">
        <v>97</v>
      </c>
      <c r="R232" s="50">
        <f>HEX2DEC(RIGHT(Table132321432[[#This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50">
        <v>0</v>
      </c>
      <c r="J233" s="24">
        <v>50000</v>
      </c>
      <c r="M233" s="24">
        <v>50000</v>
      </c>
      <c r="O233" s="50" t="s">
        <v>97</v>
      </c>
      <c r="P233" s="50">
        <f>HEX2DEC(RIGHT(Table132321432[[#This Row],[h1]],8))</f>
        <v>0</v>
      </c>
      <c r="Q233" s="50" t="s">
        <v>97</v>
      </c>
      <c r="R233" s="50">
        <f>HEX2DEC(RIGHT(Table132321432[[#This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50">
        <v>0</v>
      </c>
      <c r="J234" s="24">
        <v>50000</v>
      </c>
      <c r="M234" s="24">
        <v>50000</v>
      </c>
      <c r="O234" s="50" t="s">
        <v>97</v>
      </c>
      <c r="P234" s="50">
        <f>HEX2DEC(RIGHT(Table132321432[[#This Row],[h1]],8))</f>
        <v>0</v>
      </c>
      <c r="Q234" s="50" t="s">
        <v>97</v>
      </c>
      <c r="R234" s="50">
        <f>HEX2DEC(RIGHT(Table132321432[[#This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50">
        <v>0</v>
      </c>
      <c r="J235" s="24">
        <v>50000</v>
      </c>
      <c r="M235" s="24">
        <v>50000</v>
      </c>
      <c r="O235" s="50" t="s">
        <v>97</v>
      </c>
      <c r="P235" s="50">
        <f>HEX2DEC(RIGHT(Table132321432[[#This Row],[h1]],8))</f>
        <v>0</v>
      </c>
      <c r="Q235" s="50" t="s">
        <v>97</v>
      </c>
      <c r="R235" s="50">
        <f>HEX2DEC(RIGHT(Table132321432[[#This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50">
        <v>0</v>
      </c>
      <c r="J236" s="24">
        <v>50000</v>
      </c>
      <c r="M236" s="24">
        <v>50000</v>
      </c>
      <c r="O236" s="50" t="s">
        <v>97</v>
      </c>
      <c r="P236" s="50">
        <f>HEX2DEC(RIGHT(Table132321432[[#This Row],[h1]],8))</f>
        <v>0</v>
      </c>
      <c r="Q236" s="50" t="s">
        <v>97</v>
      </c>
      <c r="R236" s="50">
        <f>HEX2DEC(RIGHT(Table132321432[[#This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50">
        <v>0</v>
      </c>
      <c r="J237" s="24">
        <v>50000</v>
      </c>
      <c r="M237" s="24">
        <v>50000</v>
      </c>
      <c r="O237" s="50" t="s">
        <v>97</v>
      </c>
      <c r="P237" s="50">
        <f>HEX2DEC(RIGHT(Table132321432[[#This Row],[h1]],8))</f>
        <v>0</v>
      </c>
      <c r="Q237" s="50" t="s">
        <v>97</v>
      </c>
      <c r="R237" s="50">
        <f>HEX2DEC(RIGHT(Table132321432[[#This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50">
        <v>0</v>
      </c>
      <c r="J238" s="24">
        <v>50000</v>
      </c>
      <c r="M238" s="24">
        <v>50000</v>
      </c>
      <c r="O238" s="50" t="s">
        <v>97</v>
      </c>
      <c r="P238" s="50">
        <f>HEX2DEC(RIGHT(Table132321432[[#This Row],[h1]],8))</f>
        <v>0</v>
      </c>
      <c r="Q238" s="50" t="s">
        <v>97</v>
      </c>
      <c r="R238" s="50">
        <f>HEX2DEC(RIGHT(Table132321432[[#This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50" t="s">
        <v>97</v>
      </c>
      <c r="P239" s="50">
        <f>HEX2DEC(RIGHT(Table132321432[[#This Row],[h1]],8))</f>
        <v>0</v>
      </c>
      <c r="Q239" s="50" t="s">
        <v>97</v>
      </c>
      <c r="R239" s="50">
        <f>HEX2DEC(RIGHT(Table132321432[[#This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50" t="s">
        <v>97</v>
      </c>
      <c r="P240" s="50">
        <f>HEX2DEC(RIGHT(Table132321432[[#This Row],[h1]],8))</f>
        <v>0</v>
      </c>
      <c r="Q240" s="50" t="s">
        <v>97</v>
      </c>
      <c r="R240" s="50">
        <f>HEX2DEC(RIGHT(Table132321432[[#This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50" t="s">
        <v>97</v>
      </c>
      <c r="P241" s="50">
        <f>HEX2DEC(RIGHT(Table132321432[[#This Row],[h1]],8))</f>
        <v>0</v>
      </c>
      <c r="Q241" s="50" t="s">
        <v>97</v>
      </c>
      <c r="R241" s="50">
        <f>HEX2DEC(RIGHT(Table132321432[[#This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50" t="s">
        <v>97</v>
      </c>
      <c r="P242" s="50">
        <f>HEX2DEC(RIGHT(Table132321432[[#This Row],[h1]],8))</f>
        <v>0</v>
      </c>
      <c r="Q242" s="50" t="s">
        <v>97</v>
      </c>
      <c r="R242" s="50">
        <f>HEX2DEC(RIGHT(Table132321432[[#This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50" t="s">
        <v>97</v>
      </c>
      <c r="P243" s="50">
        <f>HEX2DEC(RIGHT(Table132321432[[#This Row],[h1]],8))</f>
        <v>0</v>
      </c>
      <c r="Q243" s="50" t="s">
        <v>97</v>
      </c>
      <c r="R243" s="50">
        <f>HEX2DEC(RIGHT(Table132321432[[#This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50" t="s">
        <v>97</v>
      </c>
      <c r="P244" s="50">
        <f>HEX2DEC(RIGHT(Table132321432[[#This Row],[h1]],8))</f>
        <v>0</v>
      </c>
      <c r="Q244" s="50" t="s">
        <v>97</v>
      </c>
      <c r="R244" s="50">
        <f>HEX2DEC(RIGHT(Table132321432[[#This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50" t="s">
        <v>97</v>
      </c>
      <c r="P245" s="50">
        <f>HEX2DEC(RIGHT(Table132321432[[#This Row],[h1]],8))</f>
        <v>0</v>
      </c>
      <c r="Q245" s="50" t="s">
        <v>97</v>
      </c>
      <c r="R245" s="50">
        <f>HEX2DEC(RIGHT(Table132321432[[#This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50" t="s">
        <v>97</v>
      </c>
      <c r="P246" s="50">
        <f>HEX2DEC(RIGHT(Table132321432[[#This Row],[h1]],8))</f>
        <v>0</v>
      </c>
      <c r="Q246" s="50" t="s">
        <v>97</v>
      </c>
      <c r="R246" s="50">
        <f>HEX2DEC(RIGHT(Table132321432[[#This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50" t="s">
        <v>97</v>
      </c>
      <c r="P247" s="50">
        <f>HEX2DEC(RIGHT(Table132321432[[#This Row],[h1]],8))</f>
        <v>0</v>
      </c>
      <c r="Q247" s="50" t="s">
        <v>97</v>
      </c>
      <c r="R247" s="50">
        <f>HEX2DEC(RIGHT(Table132321432[[#This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50" t="s">
        <v>97</v>
      </c>
      <c r="P248" s="50">
        <f>HEX2DEC(RIGHT(Table132321432[[#This Row],[h1]],8))</f>
        <v>0</v>
      </c>
      <c r="Q248" s="50" t="s">
        <v>97</v>
      </c>
      <c r="R248" s="50">
        <f>HEX2DEC(RIGHT(Table132321432[[#This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50" t="s">
        <v>97</v>
      </c>
      <c r="P249" s="50">
        <f>HEX2DEC(RIGHT(Table132321432[[#This Row],[h1]],8))</f>
        <v>0</v>
      </c>
      <c r="Q249" s="50" t="s">
        <v>97</v>
      </c>
      <c r="R249" s="50">
        <f>HEX2DEC(RIGHT(Table132321432[[#This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50" t="s">
        <v>97</v>
      </c>
      <c r="P250" s="50">
        <f>HEX2DEC(RIGHT(Table132321432[[#This Row],[h1]],8))</f>
        <v>0</v>
      </c>
      <c r="Q250" s="50" t="s">
        <v>97</v>
      </c>
      <c r="R250" s="50">
        <f>HEX2DEC(RIGHT(Table132321432[[#This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50" t="s">
        <v>97</v>
      </c>
      <c r="P251" s="50">
        <f>HEX2DEC(RIGHT(Table132321432[[#This Row],[h1]],8))</f>
        <v>0</v>
      </c>
      <c r="Q251" s="50" t="s">
        <v>97</v>
      </c>
      <c r="R251" s="50">
        <f>HEX2DEC(RIGHT(Table132321432[[#This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IF(Table1319230[[#This Row],[dec val]]="",0,1)</f>
        <v>0</v>
      </c>
      <c r="J252" s="24">
        <v>50000</v>
      </c>
      <c r="M252" s="24">
        <v>50000</v>
      </c>
      <c r="O252" s="50" t="s">
        <v>97</v>
      </c>
      <c r="P252" s="50">
        <f>HEX2DEC(RIGHT(Table132321432[[#This Row],[h1]],8))</f>
        <v>0</v>
      </c>
      <c r="Q252" s="50" t="s">
        <v>97</v>
      </c>
      <c r="R252" s="50">
        <f>HEX2DEC(RIGHT(Table132321432[[#This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IF(Table1319230[[#This Row],[dec val]]="",0,1)</f>
        <v>0</v>
      </c>
      <c r="J253" s="24">
        <v>50000</v>
      </c>
      <c r="M253" s="24">
        <v>50000</v>
      </c>
      <c r="O253" s="50" t="s">
        <v>97</v>
      </c>
      <c r="P253" s="50">
        <f>HEX2DEC(RIGHT(Table132321432[[#This Row],[h1]],8))</f>
        <v>0</v>
      </c>
      <c r="Q253" s="50" t="s">
        <v>97</v>
      </c>
      <c r="R253" s="50">
        <f>HEX2DEC(RIGHT(Table132321432[[#This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IF(Table1319230[[#This Row],[dec val]]="",0,1)</f>
        <v>0</v>
      </c>
      <c r="J254" s="24">
        <v>50000</v>
      </c>
      <c r="M254" s="24">
        <v>50000</v>
      </c>
      <c r="O254" s="50" t="s">
        <v>97</v>
      </c>
      <c r="P254" s="50">
        <f>HEX2DEC(RIGHT(Table132321432[[#This Row],[h1]],8))</f>
        <v>0</v>
      </c>
      <c r="Q254" s="50" t="s">
        <v>97</v>
      </c>
      <c r="R254" s="50">
        <f>HEX2DEC(RIGHT(Table132321432[[#This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IF(Table1319230[[#This Row],[dec val]]="",0,1)</f>
        <v>0</v>
      </c>
      <c r="J255" s="24">
        <v>50000</v>
      </c>
      <c r="M255" s="24">
        <v>50000</v>
      </c>
      <c r="O255" s="50" t="s">
        <v>97</v>
      </c>
      <c r="P255" s="50">
        <f>HEX2DEC(RIGHT(Table132321432[[#This Row],[h1]],8))</f>
        <v>0</v>
      </c>
      <c r="Q255" s="50" t="s">
        <v>97</v>
      </c>
      <c r="R255" s="50">
        <f>HEX2DEC(RIGHT(Table132321432[[#This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IF(Table1319230[[#This Row],[dec val]]="",0,1)</f>
        <v>0</v>
      </c>
      <c r="J256" s="24">
        <v>50000</v>
      </c>
      <c r="M256" s="24">
        <v>50000</v>
      </c>
      <c r="O256" s="50" t="s">
        <v>97</v>
      </c>
      <c r="P256" s="50">
        <f>HEX2DEC(RIGHT(Table132321432[[#This Row],[h1]],8))</f>
        <v>0</v>
      </c>
      <c r="Q256" s="50" t="s">
        <v>97</v>
      </c>
      <c r="R256" s="50">
        <f>HEX2DEC(RIGHT(Table132321432[[#This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IF(Table1319230[[#This Row],[dec val]]="",0,1)</f>
        <v>0</v>
      </c>
      <c r="J257" s="24">
        <v>50000</v>
      </c>
      <c r="M257" s="24">
        <v>50000</v>
      </c>
      <c r="O257" s="50" t="s">
        <v>97</v>
      </c>
      <c r="P257" s="50">
        <f>HEX2DEC(RIGHT(Table132321432[[#This Row],[h1]],8))</f>
        <v>0</v>
      </c>
      <c r="Q257" s="50" t="s">
        <v>97</v>
      </c>
      <c r="R257" s="50">
        <f>HEX2DEC(RIGHT(Table132321432[[#This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IF(Table1319230[[#This Row],[dec val]]="",0,1)</f>
        <v>0</v>
      </c>
      <c r="J258" s="24">
        <v>50000</v>
      </c>
      <c r="M258" s="24">
        <v>50000</v>
      </c>
      <c r="O258" s="50" t="s">
        <v>97</v>
      </c>
      <c r="P258" s="50">
        <f>HEX2DEC(RIGHT(Table132321432[[#This Row],[h1]],8))</f>
        <v>0</v>
      </c>
      <c r="Q258" s="50" t="s">
        <v>97</v>
      </c>
      <c r="R258" s="50">
        <f>HEX2DEC(RIGHT(Table132321432[[#This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IF(Table1319230[[#This Row],[dec val]]="",0,1)</f>
        <v>0</v>
      </c>
      <c r="J259" s="24">
        <v>50000</v>
      </c>
      <c r="M259" s="24">
        <v>50000</v>
      </c>
      <c r="O259" s="50" t="s">
        <v>97</v>
      </c>
      <c r="P259" s="50">
        <f>HEX2DEC(RIGHT(Table132321432[[#This Row],[h1]],8))</f>
        <v>0</v>
      </c>
      <c r="Q259" s="50" t="s">
        <v>97</v>
      </c>
      <c r="R259" s="50">
        <f>HEX2DEC(RIGHT(Table132321432[[#This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IF(Table1319230[[#This Row],[dec val]]="",0,1)</f>
        <v>0</v>
      </c>
      <c r="J260" s="24">
        <v>50000</v>
      </c>
      <c r="M260" s="24">
        <v>50000</v>
      </c>
      <c r="O260" s="50" t="s">
        <v>97</v>
      </c>
      <c r="P260" s="50">
        <f>HEX2DEC(RIGHT(Table132321432[[#This Row],[h1]],8))</f>
        <v>0</v>
      </c>
      <c r="Q260" s="50" t="s">
        <v>97</v>
      </c>
      <c r="R260" s="50">
        <f>HEX2DEC(RIGHT(Table132321432[[#This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IF(Table1319230[[#This Row],[dec val]]="",0,1)</f>
        <v>0</v>
      </c>
      <c r="J261" s="24">
        <v>50000</v>
      </c>
      <c r="M261" s="24">
        <v>50000</v>
      </c>
      <c r="O261" s="50" t="s">
        <v>97</v>
      </c>
      <c r="P261" s="50">
        <f>HEX2DEC(RIGHT(Table132321432[[#This Row],[h1]],8))</f>
        <v>0</v>
      </c>
      <c r="Q261" s="50" t="s">
        <v>97</v>
      </c>
      <c r="R261" s="50">
        <f>HEX2DEC(RIGHT(Table132321432[[#This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IF(Table1319230[[#This Row],[dec val]]="",0,1)</f>
        <v>0</v>
      </c>
      <c r="J262" s="24">
        <v>50000</v>
      </c>
      <c r="M262" s="24">
        <v>50000</v>
      </c>
      <c r="O262" s="50" t="s">
        <v>97</v>
      </c>
      <c r="P262" s="50">
        <f>HEX2DEC(RIGHT(Table132321432[[#This Row],[h1]],8))</f>
        <v>0</v>
      </c>
      <c r="Q262" s="50" t="s">
        <v>97</v>
      </c>
      <c r="R262" s="50">
        <f>HEX2DEC(RIGHT(Table132321432[[#This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IF(Table1319230[[#This Row],[dec val]]="",0,1)</f>
        <v>0</v>
      </c>
      <c r="J263" s="24">
        <v>50000</v>
      </c>
      <c r="M263" s="24">
        <v>50000</v>
      </c>
      <c r="O263" s="50" t="s">
        <v>97</v>
      </c>
      <c r="P263" s="50">
        <f>HEX2DEC(RIGHT(Table132321432[[#This Row],[h1]],8))</f>
        <v>0</v>
      </c>
      <c r="Q263" s="50" t="s">
        <v>97</v>
      </c>
      <c r="R263" s="50">
        <f>HEX2DEC(RIGHT(Table132321432[[#This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IF(Table1319230[[#This Row],[dec val]]="",0,1)</f>
        <v>0</v>
      </c>
      <c r="J264" s="24">
        <v>50000</v>
      </c>
      <c r="M264" s="24">
        <v>50000</v>
      </c>
      <c r="O264" s="50" t="s">
        <v>97</v>
      </c>
      <c r="P264" s="50">
        <f>HEX2DEC(RIGHT(Table132321432[[#This Row],[h1]],8))</f>
        <v>0</v>
      </c>
      <c r="Q264" s="50" t="s">
        <v>97</v>
      </c>
      <c r="R264" s="50">
        <f>HEX2DEC(RIGHT(Table132321432[[#This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IF(Table1319230[[#This Row],[dec val]]="",0,1)</f>
        <v>0</v>
      </c>
      <c r="J265" s="24">
        <v>50000</v>
      </c>
      <c r="M265" s="24">
        <v>50000</v>
      </c>
      <c r="O265" s="50" t="s">
        <v>97</v>
      </c>
      <c r="P265" s="50">
        <f>HEX2DEC(RIGHT(Table132321432[[#This Row],[h1]],8))</f>
        <v>0</v>
      </c>
      <c r="Q265" s="50" t="s">
        <v>97</v>
      </c>
      <c r="R265" s="50">
        <f>HEX2DEC(RIGHT(Table132321432[[#This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IF(Table1319230[[#This Row],[dec val]]="",0,1)</f>
        <v>0</v>
      </c>
      <c r="J266" s="24">
        <v>50000</v>
      </c>
      <c r="M266" s="24">
        <v>50000</v>
      </c>
      <c r="O266" s="50" t="s">
        <v>97</v>
      </c>
      <c r="P266" s="50">
        <f>HEX2DEC(RIGHT(Table132321432[[#This Row],[h1]],8))</f>
        <v>0</v>
      </c>
      <c r="Q266" s="50" t="s">
        <v>97</v>
      </c>
      <c r="R266" s="50">
        <f>HEX2DEC(RIGHT(Table132321432[[#This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IF(Table1319230[[#This Row],[dec val]]="",0,1)</f>
        <v>0</v>
      </c>
      <c r="J267" s="24">
        <v>50000</v>
      </c>
      <c r="M267" s="24">
        <v>50000</v>
      </c>
      <c r="O267" s="50" t="s">
        <v>97</v>
      </c>
      <c r="P267" s="50">
        <f>HEX2DEC(RIGHT(Table132321432[[#This Row],[h1]],8))</f>
        <v>0</v>
      </c>
      <c r="Q267" s="50" t="s">
        <v>97</v>
      </c>
      <c r="R267" s="50">
        <f>HEX2DEC(RIGHT(Table132321432[[#This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IF(Table1319230[[#This Row],[dec val]]="",0,1)</f>
        <v>0</v>
      </c>
      <c r="J268" s="24">
        <v>50000</v>
      </c>
      <c r="M268" s="24">
        <v>50000</v>
      </c>
      <c r="O268" s="50" t="s">
        <v>97</v>
      </c>
      <c r="P268" s="50">
        <f>HEX2DEC(RIGHT(Table132321432[[#This Row],[h1]],8))</f>
        <v>0</v>
      </c>
      <c r="Q268" s="50" t="s">
        <v>97</v>
      </c>
      <c r="R268" s="50">
        <f>HEX2DEC(RIGHT(Table132321432[[#This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IF(Table1319230[[#This Row],[dec val]]="",0,1)</f>
        <v>0</v>
      </c>
      <c r="J269" s="24">
        <v>50000</v>
      </c>
      <c r="M269" s="24">
        <v>50000</v>
      </c>
      <c r="O269" s="50" t="s">
        <v>97</v>
      </c>
      <c r="P269" s="50">
        <f>HEX2DEC(RIGHT(Table132321432[[#This Row],[h1]],8))</f>
        <v>0</v>
      </c>
      <c r="Q269" s="50" t="s">
        <v>97</v>
      </c>
      <c r="R269" s="50">
        <f>HEX2DEC(RIGHT(Table132321432[[#This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IF(Table1319230[[#This Row],[dec val]]="",0,1)</f>
        <v>0</v>
      </c>
      <c r="J270" s="24">
        <v>50000</v>
      </c>
      <c r="M270" s="24">
        <v>50000</v>
      </c>
      <c r="O270" s="50" t="s">
        <v>97</v>
      </c>
      <c r="P270" s="50">
        <f>HEX2DEC(RIGHT(Table132321432[[#This Row],[h1]],8))</f>
        <v>0</v>
      </c>
      <c r="Q270" s="50" t="s">
        <v>97</v>
      </c>
      <c r="R270" s="50">
        <f>HEX2DEC(RIGHT(Table132321432[[#This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IF(Table1319230[[#This Row],[dec val]]="",0,1)</f>
        <v>0</v>
      </c>
      <c r="J271" s="24">
        <v>50000</v>
      </c>
      <c r="M271" s="24">
        <v>50000</v>
      </c>
      <c r="O271" s="50" t="s">
        <v>97</v>
      </c>
      <c r="P271" s="50">
        <f>HEX2DEC(RIGHT(Table132321432[[#This Row],[h1]],8))</f>
        <v>0</v>
      </c>
      <c r="Q271" s="50" t="s">
        <v>97</v>
      </c>
      <c r="R271" s="50">
        <f>HEX2DEC(RIGHT(Table132321432[[#This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IF(Table1319230[[#This Row],[dec val]]="",0,1)</f>
        <v>0</v>
      </c>
      <c r="J272" s="24">
        <v>50000</v>
      </c>
      <c r="M272" s="24">
        <v>50000</v>
      </c>
      <c r="O272" s="50" t="s">
        <v>97</v>
      </c>
      <c r="P272" s="50">
        <f>HEX2DEC(RIGHT(Table132321432[[#This Row],[h1]],8))</f>
        <v>0</v>
      </c>
      <c r="Q272" s="50" t="s">
        <v>97</v>
      </c>
      <c r="R272" s="50">
        <f>HEX2DEC(RIGHT(Table132321432[[#This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IF(Table1319230[[#This Row],[dec val]]="",0,1)</f>
        <v>0</v>
      </c>
      <c r="J273" s="24">
        <v>50000</v>
      </c>
      <c r="M273" s="24">
        <v>50000</v>
      </c>
      <c r="O273" s="50" t="s">
        <v>97</v>
      </c>
      <c r="P273" s="50">
        <f>HEX2DEC(RIGHT(Table132321432[[#This Row],[h1]],8))</f>
        <v>0</v>
      </c>
      <c r="Q273" s="50" t="s">
        <v>97</v>
      </c>
      <c r="R273" s="50">
        <f>HEX2DEC(RIGHT(Table132321432[[#This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IF(Table1319230[[#This Row],[dec val]]="",0,1)</f>
        <v>0</v>
      </c>
      <c r="J274" s="24">
        <v>50000</v>
      </c>
      <c r="M274" s="24">
        <v>50000</v>
      </c>
      <c r="O274" s="50" t="s">
        <v>97</v>
      </c>
      <c r="P274" s="50">
        <f>HEX2DEC(RIGHT(Table132321432[[#This Row],[h1]],8))</f>
        <v>0</v>
      </c>
      <c r="Q274" s="50" t="s">
        <v>97</v>
      </c>
      <c r="R274" s="50">
        <f>HEX2DEC(RIGHT(Table132321432[[#This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IF(Table1319230[[#This Row],[dec val]]="",0,1)</f>
        <v>0</v>
      </c>
      <c r="J275" s="24">
        <v>50000</v>
      </c>
      <c r="M275" s="24">
        <v>50000</v>
      </c>
      <c r="O275" s="50" t="s">
        <v>97</v>
      </c>
      <c r="P275" s="50">
        <f>HEX2DEC(RIGHT(Table132321432[[#This Row],[h1]],8))</f>
        <v>0</v>
      </c>
      <c r="Q275" s="50" t="s">
        <v>97</v>
      </c>
      <c r="R275" s="50">
        <f>HEX2DEC(RIGHT(Table132321432[[#This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IF(Table1319230[[#This Row],[dec val]]="",0,1)</f>
        <v>0</v>
      </c>
      <c r="J276" s="24">
        <v>50000</v>
      </c>
      <c r="M276" s="24">
        <v>50000</v>
      </c>
      <c r="O276" s="50" t="s">
        <v>97</v>
      </c>
      <c r="P276" s="50">
        <f>HEX2DEC(RIGHT(Table132321432[[#This Row],[h1]],8))</f>
        <v>0</v>
      </c>
      <c r="Q276" s="50" t="s">
        <v>97</v>
      </c>
      <c r="R276" s="50">
        <f>HEX2DEC(RIGHT(Table132321432[[#This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IF(Table1319230[[#This Row],[dec val]]="",0,1)</f>
        <v>0</v>
      </c>
      <c r="J277" s="24">
        <v>50000</v>
      </c>
      <c r="M277" s="24">
        <v>50000</v>
      </c>
      <c r="O277" s="50" t="s">
        <v>97</v>
      </c>
      <c r="P277" s="50">
        <f>HEX2DEC(RIGHT(Table132321432[[#This Row],[h1]],8))</f>
        <v>0</v>
      </c>
      <c r="Q277" s="50" t="s">
        <v>97</v>
      </c>
      <c r="R277" s="50">
        <f>HEX2DEC(RIGHT(Table132321432[[#This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IF(Table1319230[[#This Row],[dec val]]="",0,1)</f>
        <v>0</v>
      </c>
      <c r="J278" s="24">
        <v>50000</v>
      </c>
      <c r="M278" s="24">
        <v>50000</v>
      </c>
      <c r="O278" s="50" t="s">
        <v>97</v>
      </c>
      <c r="P278" s="50">
        <f>HEX2DEC(RIGHT(Table132321432[[#This Row],[h1]],8))</f>
        <v>0</v>
      </c>
      <c r="Q278" s="50" t="s">
        <v>97</v>
      </c>
      <c r="R278" s="50">
        <f>HEX2DEC(RIGHT(Table132321432[[#This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IF(Table1319230[[#This Row],[dec val]]="",0,1)</f>
        <v>0</v>
      </c>
      <c r="J279" s="24">
        <v>50000</v>
      </c>
      <c r="M279" s="24">
        <v>50000</v>
      </c>
      <c r="O279" s="50" t="s">
        <v>97</v>
      </c>
      <c r="P279" s="50">
        <f>HEX2DEC(RIGHT(Table132321432[[#This Row],[h1]],8))</f>
        <v>0</v>
      </c>
      <c r="Q279" s="50" t="s">
        <v>97</v>
      </c>
      <c r="R279" s="50">
        <f>HEX2DEC(RIGHT(Table132321432[[#This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IF(Table1319230[[#This Row],[dec val]]="",0,1)</f>
        <v>0</v>
      </c>
      <c r="J280" s="24">
        <v>50000</v>
      </c>
      <c r="M280" s="24">
        <v>50000</v>
      </c>
      <c r="O280" s="50" t="s">
        <v>97</v>
      </c>
      <c r="P280" s="50">
        <f>HEX2DEC(RIGHT(Table132321432[[#This Row],[h1]],8))</f>
        <v>0</v>
      </c>
      <c r="Q280" s="50" t="s">
        <v>97</v>
      </c>
      <c r="R280" s="50">
        <f>HEX2DEC(RIGHT(Table132321432[[#This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IF(Table1319230[[#This Row],[dec val]]="",0,1)</f>
        <v>0</v>
      </c>
      <c r="J281" s="24">
        <v>50000</v>
      </c>
      <c r="M281" s="24">
        <v>50000</v>
      </c>
      <c r="O281" s="50" t="s">
        <v>97</v>
      </c>
      <c r="P281" s="50">
        <f>HEX2DEC(RIGHT(Table132321432[[#This Row],[h1]],8))</f>
        <v>0</v>
      </c>
      <c r="Q281" s="50" t="s">
        <v>97</v>
      </c>
      <c r="R281" s="50">
        <f>HEX2DEC(RIGHT(Table132321432[[#This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IF(Table1319230[[#This Row],[dec val]]="",0,1)</f>
        <v>0</v>
      </c>
      <c r="J282" s="24">
        <v>50000</v>
      </c>
      <c r="M282" s="24">
        <v>50000</v>
      </c>
      <c r="O282" s="50" t="s">
        <v>97</v>
      </c>
      <c r="P282" s="50">
        <f>HEX2DEC(RIGHT(Table132321432[[#This Row],[h1]],8))</f>
        <v>0</v>
      </c>
      <c r="Q282" s="50" t="s">
        <v>97</v>
      </c>
      <c r="R282" s="50">
        <f>HEX2DEC(RIGHT(Table132321432[[#This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50" t="s">
        <v>97</v>
      </c>
      <c r="P283" s="50">
        <f>HEX2DEC(RIGHT(Table132321432[[#This Row],[h1]],8))</f>
        <v>0</v>
      </c>
      <c r="Q283" s="50" t="s">
        <v>97</v>
      </c>
      <c r="R283" s="50">
        <f>HEX2DEC(RIGHT(Table132321432[[#This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IF(Table1319230[[#This Row],[dec val]]="",0,1)</f>
        <v>0</v>
      </c>
      <c r="J284" s="24">
        <v>50000</v>
      </c>
      <c r="M284" s="24">
        <v>50000</v>
      </c>
      <c r="O284" s="50" t="s">
        <v>97</v>
      </c>
      <c r="P284" s="50">
        <f>HEX2DEC(RIGHT(Table132321432[[#This Row],[h1]],8))</f>
        <v>0</v>
      </c>
      <c r="Q284" s="50" t="s">
        <v>97</v>
      </c>
      <c r="R284" s="50">
        <f>HEX2DEC(RIGHT(Table132321432[[#This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IF(Table1319230[[#This Row],[dec val]]="",0,1)</f>
        <v>0</v>
      </c>
      <c r="J285" s="24">
        <v>50000</v>
      </c>
      <c r="M285" s="24">
        <v>50000</v>
      </c>
      <c r="O285" s="50" t="s">
        <v>97</v>
      </c>
      <c r="P285" s="50">
        <f>HEX2DEC(RIGHT(Table132321432[[#This Row],[h1]],8))</f>
        <v>0</v>
      </c>
      <c r="Q285" s="50" t="s">
        <v>97</v>
      </c>
      <c r="R285" s="50">
        <f>HEX2DEC(RIGHT(Table132321432[[#This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IF(Table1319230[[#This Row],[dec val]]="",0,1)</f>
        <v>0</v>
      </c>
      <c r="J286" s="24">
        <v>50000</v>
      </c>
      <c r="M286" s="24">
        <v>50000</v>
      </c>
      <c r="O286" s="50" t="s">
        <v>97</v>
      </c>
      <c r="P286" s="50">
        <f>HEX2DEC(RIGHT(Table132321432[[#This Row],[h1]],8))</f>
        <v>0</v>
      </c>
      <c r="Q286" s="50" t="s">
        <v>97</v>
      </c>
      <c r="R286" s="50">
        <f>HEX2DEC(RIGHT(Table132321432[[#This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IF(Table1319230[[#This Row],[dec val]]="",0,1)</f>
        <v>0</v>
      </c>
      <c r="J287" s="24">
        <v>50000</v>
      </c>
      <c r="M287" s="24">
        <v>50000</v>
      </c>
      <c r="O287" s="50" t="s">
        <v>97</v>
      </c>
      <c r="P287" s="50">
        <f>HEX2DEC(RIGHT(Table132321432[[#This Row],[h1]],8))</f>
        <v>0</v>
      </c>
      <c r="Q287" s="50" t="s">
        <v>97</v>
      </c>
      <c r="R287" s="50">
        <f>HEX2DEC(RIGHT(Table132321432[[#This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IF(Table1319230[[#This Row],[dec val]]="",0,1)</f>
        <v>0</v>
      </c>
      <c r="J288" s="24">
        <v>50000</v>
      </c>
      <c r="M288" s="24">
        <v>50000</v>
      </c>
      <c r="O288" s="50" t="s">
        <v>97</v>
      </c>
      <c r="P288" s="50">
        <f>HEX2DEC(RIGHT(Table132321432[[#This Row],[h1]],8))</f>
        <v>0</v>
      </c>
      <c r="Q288" s="50" t="s">
        <v>97</v>
      </c>
      <c r="R288" s="50">
        <f>HEX2DEC(RIGHT(Table132321432[[#This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IF(Table1319230[[#This Row],[dec val]]="",0,1)</f>
        <v>0</v>
      </c>
      <c r="J289" s="24">
        <v>50000</v>
      </c>
      <c r="M289" s="24">
        <v>50000</v>
      </c>
      <c r="O289" s="50" t="s">
        <v>97</v>
      </c>
      <c r="P289" s="50">
        <f>HEX2DEC(RIGHT(Table132321432[[#This Row],[h1]],8))</f>
        <v>0</v>
      </c>
      <c r="Q289" s="50" t="s">
        <v>97</v>
      </c>
      <c r="R289" s="50">
        <f>HEX2DEC(RIGHT(Table132321432[[#This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IF(Table1319230[[#This Row],[dec val]]="",0,1)</f>
        <v>0</v>
      </c>
      <c r="J290" s="24">
        <v>50000</v>
      </c>
      <c r="M290" s="24">
        <v>50000</v>
      </c>
      <c r="O290" s="50" t="s">
        <v>97</v>
      </c>
      <c r="P290" s="50">
        <f>HEX2DEC(RIGHT(Table132321432[[#This Row],[h1]],8))</f>
        <v>0</v>
      </c>
      <c r="Q290" s="50" t="s">
        <v>97</v>
      </c>
      <c r="R290" s="50">
        <f>HEX2DEC(RIGHT(Table132321432[[#This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IF(Table1319230[[#This Row],[dec val]]="",0,1)</f>
        <v>0</v>
      </c>
      <c r="J291" s="24">
        <v>50000</v>
      </c>
      <c r="M291" s="24">
        <v>50000</v>
      </c>
      <c r="O291" s="50" t="s">
        <v>97</v>
      </c>
      <c r="P291" s="50">
        <f>HEX2DEC(RIGHT(Table132321432[[#This Row],[h1]],8))</f>
        <v>0</v>
      </c>
      <c r="Q291" s="50" t="s">
        <v>97</v>
      </c>
      <c r="R291" s="50">
        <f>HEX2DEC(RIGHT(Table132321432[[#This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IF(Table1319230[[#This Row],[dec val]]="",0,1)</f>
        <v>0</v>
      </c>
      <c r="J292" s="24">
        <v>50000</v>
      </c>
      <c r="M292" s="24">
        <v>50000</v>
      </c>
      <c r="O292" s="50" t="s">
        <v>97</v>
      </c>
      <c r="P292" s="50">
        <f>HEX2DEC(RIGHT(Table132321432[[#This Row],[h1]],8))</f>
        <v>0</v>
      </c>
      <c r="Q292" s="50" t="s">
        <v>97</v>
      </c>
      <c r="R292" s="50">
        <f>HEX2DEC(RIGHT(Table132321432[[#This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IF(Table1319230[[#This Row],[dec val]]="",0,1)</f>
        <v>0</v>
      </c>
      <c r="J293" s="24">
        <v>50000</v>
      </c>
      <c r="M293" s="24">
        <v>50000</v>
      </c>
      <c r="O293" s="50" t="s">
        <v>97</v>
      </c>
      <c r="P293" s="50">
        <f>HEX2DEC(RIGHT(Table132321432[[#This Row],[h1]],8))</f>
        <v>0</v>
      </c>
      <c r="Q293" s="50" t="s">
        <v>97</v>
      </c>
      <c r="R293" s="50">
        <f>HEX2DEC(RIGHT(Table132321432[[#This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IF(Table1319230[[#This Row],[dec val]]="",0,1)</f>
        <v>0</v>
      </c>
      <c r="J294" s="24">
        <v>50000</v>
      </c>
      <c r="M294" s="24">
        <v>50000</v>
      </c>
      <c r="O294" s="50" t="s">
        <v>97</v>
      </c>
      <c r="P294" s="50">
        <f>HEX2DEC(RIGHT(Table132321432[[#This Row],[h1]],8))</f>
        <v>0</v>
      </c>
      <c r="Q294" s="50" t="s">
        <v>97</v>
      </c>
      <c r="R294" s="50">
        <f>HEX2DEC(RIGHT(Table132321432[[#This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IF(Table1319230[[#This Row],[dec val]]="",0,1)</f>
        <v>0</v>
      </c>
      <c r="J295" s="24">
        <v>50000</v>
      </c>
      <c r="M295" s="24">
        <v>50000</v>
      </c>
      <c r="O295" s="50" t="s">
        <v>97</v>
      </c>
      <c r="P295" s="50">
        <f>HEX2DEC(RIGHT(Table132321432[[#This Row],[h1]],8))</f>
        <v>0</v>
      </c>
      <c r="Q295" s="50" t="s">
        <v>97</v>
      </c>
      <c r="R295" s="50">
        <f>HEX2DEC(RIGHT(Table132321432[[#This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IF(Table1319230[[#This Row],[dec val]]="",0,1)</f>
        <v>0</v>
      </c>
      <c r="J296" s="24">
        <v>50000</v>
      </c>
      <c r="M296" s="24">
        <v>50000</v>
      </c>
      <c r="O296" s="50" t="s">
        <v>97</v>
      </c>
      <c r="P296" s="50">
        <f>HEX2DEC(RIGHT(Table132321432[[#This Row],[h1]],8))</f>
        <v>0</v>
      </c>
      <c r="Q296" s="50" t="s">
        <v>97</v>
      </c>
      <c r="R296" s="50">
        <f>HEX2DEC(RIGHT(Table132321432[[#This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IF(Table1319230[[#This Row],[dec val]]="",0,1)</f>
        <v>0</v>
      </c>
      <c r="J297" s="24">
        <v>50000</v>
      </c>
      <c r="M297" s="24">
        <v>50000</v>
      </c>
      <c r="O297" s="50" t="s">
        <v>97</v>
      </c>
      <c r="P297" s="50">
        <f>HEX2DEC(RIGHT(Table132321432[[#This Row],[h1]],8))</f>
        <v>0</v>
      </c>
      <c r="Q297" s="50" t="s">
        <v>97</v>
      </c>
      <c r="R297" s="50">
        <f>HEX2DEC(RIGHT(Table132321432[[#This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IF(Table1319230[[#This Row],[dec val]]="",0,1)</f>
        <v>0</v>
      </c>
      <c r="J298" s="24">
        <v>50000</v>
      </c>
      <c r="M298" s="24">
        <v>50000</v>
      </c>
      <c r="O298" s="50" t="s">
        <v>97</v>
      </c>
      <c r="P298" s="50">
        <f>HEX2DEC(RIGHT(Table132321432[[#This Row],[h1]],8))</f>
        <v>0</v>
      </c>
      <c r="Q298" s="50" t="s">
        <v>97</v>
      </c>
      <c r="R298" s="50">
        <f>HEX2DEC(RIGHT(Table132321432[[#This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IF(Table1319230[[#This Row],[dec val]]="",0,1)</f>
        <v>0</v>
      </c>
      <c r="J299" s="24">
        <v>50000</v>
      </c>
      <c r="M299" s="24">
        <v>50000</v>
      </c>
      <c r="O299" s="50" t="s">
        <v>97</v>
      </c>
      <c r="P299" s="50">
        <f>HEX2DEC(RIGHT(Table132321432[[#This Row],[h1]],8))</f>
        <v>0</v>
      </c>
      <c r="Q299" s="50" t="s">
        <v>97</v>
      </c>
      <c r="R299" s="50">
        <f>HEX2DEC(RIGHT(Table132321432[[#This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IF(Table1319230[[#This Row],[dec val]]="",0,1)</f>
        <v>0</v>
      </c>
      <c r="J300" s="24">
        <v>50000</v>
      </c>
      <c r="M300" s="24">
        <v>50000</v>
      </c>
      <c r="O300" s="50" t="s">
        <v>97</v>
      </c>
      <c r="P300" s="50">
        <f>HEX2DEC(RIGHT(Table132321432[[#This Row],[h1]],8))</f>
        <v>0</v>
      </c>
      <c r="Q300" s="50" t="s">
        <v>97</v>
      </c>
      <c r="R300" s="50">
        <f>HEX2DEC(RIGHT(Table132321432[[#This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IF(Table1319230[[#This Row],[dec val]]="",0,1)</f>
        <v>0</v>
      </c>
      <c r="J301" s="24">
        <v>50000</v>
      </c>
      <c r="M301" s="24">
        <v>50000</v>
      </c>
      <c r="O301" s="50" t="s">
        <v>97</v>
      </c>
      <c r="P301" s="50">
        <f>HEX2DEC(RIGHT(Table132321432[[#This Row],[h1]],8))</f>
        <v>0</v>
      </c>
      <c r="Q301" s="50" t="s">
        <v>97</v>
      </c>
      <c r="R301" s="50">
        <f>HEX2DEC(RIGHT(Table132321432[[#This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IF(Table1319230[[#This Row],[dec val]]="",0,1)</f>
        <v>0</v>
      </c>
      <c r="J302" s="24">
        <v>50000</v>
      </c>
      <c r="M302" s="24">
        <v>50000</v>
      </c>
      <c r="O302" s="50" t="s">
        <v>97</v>
      </c>
      <c r="P302" s="50">
        <f>HEX2DEC(RIGHT(Table132321432[[#This Row],[h1]],8))</f>
        <v>0</v>
      </c>
      <c r="Q302" s="50" t="s">
        <v>97</v>
      </c>
      <c r="R302" s="50">
        <f>HEX2DEC(RIGHT(Table132321432[[#This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IF(Table1319230[[#This Row],[dec val]]="",0,1)</f>
        <v>0</v>
      </c>
      <c r="J303" s="24">
        <v>50000</v>
      </c>
      <c r="M303" s="24">
        <v>50000</v>
      </c>
      <c r="O303" s="50" t="s">
        <v>97</v>
      </c>
      <c r="P303" s="50">
        <f>HEX2DEC(RIGHT(Table132321432[[#This Row],[h1]],8))</f>
        <v>0</v>
      </c>
      <c r="Q303" s="50" t="s">
        <v>97</v>
      </c>
      <c r="R303" s="50">
        <f>HEX2DEC(RIGHT(Table132321432[[#This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IF(Table1319230[[#This Row],[dec val]]="",0,1)</f>
        <v>0</v>
      </c>
      <c r="J304" s="24">
        <v>50000</v>
      </c>
      <c r="M304" s="24">
        <v>50000</v>
      </c>
      <c r="O304" s="50" t="s">
        <v>97</v>
      </c>
      <c r="P304" s="50">
        <f>HEX2DEC(RIGHT(Table132321432[[#This Row],[h1]],8))</f>
        <v>0</v>
      </c>
      <c r="Q304" s="50" t="s">
        <v>97</v>
      </c>
      <c r="R304" s="50">
        <f>HEX2DEC(RIGHT(Table132321432[[#This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IF(Table1319230[[#This Row],[dec val]]="",0,1)</f>
        <v>0</v>
      </c>
      <c r="J305" s="24">
        <v>50000</v>
      </c>
      <c r="M305" s="24">
        <v>50000</v>
      </c>
      <c r="O305" s="50" t="s">
        <v>97</v>
      </c>
      <c r="P305" s="50">
        <f>HEX2DEC(RIGHT(Table132321432[[#This Row],[h1]],8))</f>
        <v>0</v>
      </c>
      <c r="Q305" s="50" t="s">
        <v>97</v>
      </c>
      <c r="R305" s="50">
        <f>HEX2DEC(RIGHT(Table132321432[[#This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IF(Table1319230[[#This Row],[dec val]]="",0,1)</f>
        <v>0</v>
      </c>
      <c r="J306" s="24">
        <v>50000</v>
      </c>
      <c r="M306" s="24">
        <v>50000</v>
      </c>
      <c r="O306" s="50" t="s">
        <v>97</v>
      </c>
      <c r="P306" s="50">
        <f>HEX2DEC(RIGHT(Table132321432[[#This Row],[h1]],8))</f>
        <v>0</v>
      </c>
      <c r="Q306" s="50" t="s">
        <v>97</v>
      </c>
      <c r="R306" s="50">
        <f>HEX2DEC(RIGHT(Table132321432[[#This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IF(Table1319230[[#This Row],[dec val]]="",0,1)</f>
        <v>0</v>
      </c>
      <c r="J307" s="24">
        <v>50000</v>
      </c>
      <c r="M307" s="24">
        <v>50000</v>
      </c>
      <c r="O307" s="50" t="s">
        <v>97</v>
      </c>
      <c r="P307" s="50">
        <f>HEX2DEC(RIGHT(Table132321432[[#This Row],[h1]],8))</f>
        <v>0</v>
      </c>
      <c r="Q307" s="50" t="s">
        <v>97</v>
      </c>
      <c r="R307" s="50">
        <f>HEX2DEC(RIGHT(Table132321432[[#This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IF(Table1319230[[#This Row],[dec val]]="",0,1)</f>
        <v>0</v>
      </c>
      <c r="J308" s="24">
        <v>50000</v>
      </c>
      <c r="M308" s="24">
        <v>50000</v>
      </c>
      <c r="O308" s="50" t="s">
        <v>97</v>
      </c>
      <c r="P308" s="50">
        <f>HEX2DEC(RIGHT(Table132321432[[#This Row],[h1]],8))</f>
        <v>0</v>
      </c>
      <c r="Q308" s="50" t="s">
        <v>97</v>
      </c>
      <c r="R308" s="50">
        <f>HEX2DEC(RIGHT(Table132321432[[#This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IF(Table1319230[[#This Row],[dec val]]="",0,1)</f>
        <v>0</v>
      </c>
      <c r="J309" s="24">
        <v>50000</v>
      </c>
      <c r="M309" s="24">
        <v>50000</v>
      </c>
      <c r="O309" s="50" t="s">
        <v>97</v>
      </c>
      <c r="P309" s="50">
        <f>HEX2DEC(RIGHT(Table132321432[[#This Row],[h1]],8))</f>
        <v>0</v>
      </c>
      <c r="Q309" s="50" t="s">
        <v>97</v>
      </c>
      <c r="R309" s="50">
        <f>HEX2DEC(RIGHT(Table132321432[[#This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IF(Table1319230[[#This Row],[dec val]]="",0,1)</f>
        <v>0</v>
      </c>
      <c r="J310" s="24">
        <v>50000</v>
      </c>
      <c r="M310" s="24">
        <v>50000</v>
      </c>
      <c r="O310" s="50" t="s">
        <v>97</v>
      </c>
      <c r="P310" s="50">
        <f>HEX2DEC(RIGHT(Table132321432[[#This Row],[h1]],8))</f>
        <v>0</v>
      </c>
      <c r="Q310" s="50" t="s">
        <v>97</v>
      </c>
      <c r="R310" s="50">
        <f>HEX2DEC(RIGHT(Table132321432[[#This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IF(Table1319230[[#This Row],[dec val]]="",0,1)</f>
        <v>0</v>
      </c>
      <c r="J311" s="24">
        <v>50000</v>
      </c>
      <c r="M311" s="24">
        <v>50000</v>
      </c>
      <c r="O311" s="50" t="s">
        <v>97</v>
      </c>
      <c r="P311" s="50">
        <f>HEX2DEC(RIGHT(Table132321432[[#This Row],[h1]],8))</f>
        <v>0</v>
      </c>
      <c r="Q311" s="50" t="s">
        <v>97</v>
      </c>
      <c r="R311" s="50">
        <f>HEX2DEC(RIGHT(Table132321432[[#This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IF(Table1319230[[#This Row],[dec val]]="",0,1)</f>
        <v>0</v>
      </c>
      <c r="J312" s="24">
        <v>50000</v>
      </c>
      <c r="M312" s="24">
        <v>50000</v>
      </c>
      <c r="O312" s="50" t="s">
        <v>97</v>
      </c>
      <c r="P312" s="50">
        <f>HEX2DEC(RIGHT(Table132321432[[#This Row],[h1]],8))</f>
        <v>0</v>
      </c>
      <c r="Q312" s="50" t="s">
        <v>97</v>
      </c>
      <c r="R312" s="50">
        <f>HEX2DEC(RIGHT(Table132321432[[#This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IF(Table1319230[[#This Row],[dec val]]="",0,1)</f>
        <v>0</v>
      </c>
      <c r="J313" s="24">
        <v>50000</v>
      </c>
      <c r="M313" s="24">
        <v>50000</v>
      </c>
      <c r="O313" s="50" t="s">
        <v>97</v>
      </c>
      <c r="P313" s="50">
        <f>HEX2DEC(RIGHT(Table132321432[[#This Row],[h1]],8))</f>
        <v>0</v>
      </c>
      <c r="Q313" s="50" t="s">
        <v>97</v>
      </c>
      <c r="R313" s="50">
        <f>HEX2DEC(RIGHT(Table132321432[[#This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IF(Table1319230[[#This Row],[dec val]]="",0,1)</f>
        <v>0</v>
      </c>
      <c r="J314" s="24">
        <v>50000</v>
      </c>
      <c r="M314" s="24">
        <v>50000</v>
      </c>
      <c r="O314" s="50" t="s">
        <v>97</v>
      </c>
      <c r="P314" s="50">
        <f>HEX2DEC(RIGHT(Table132321432[[#This Row],[h1]],8))</f>
        <v>0</v>
      </c>
      <c r="Q314" s="50" t="s">
        <v>97</v>
      </c>
      <c r="R314" s="50">
        <f>HEX2DEC(RIGHT(Table132321432[[#This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50" t="s">
        <v>97</v>
      </c>
      <c r="P315" s="50">
        <f>HEX2DEC(RIGHT(Table132321432[[#This Row],[h1]],8))</f>
        <v>0</v>
      </c>
      <c r="Q315" s="50" t="s">
        <v>97</v>
      </c>
      <c r="R315" s="50">
        <f>HEX2DEC(RIGHT(Table132321432[[#This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IF(Table1319230[[#This Row],[dec val]]="",0,1)</f>
        <v>0</v>
      </c>
      <c r="J316" s="24">
        <v>50000</v>
      </c>
      <c r="M316" s="24">
        <v>50000</v>
      </c>
      <c r="O316" s="50" t="s">
        <v>97</v>
      </c>
      <c r="P316" s="50">
        <f>HEX2DEC(RIGHT(Table132321432[[#This Row],[h1]],8))</f>
        <v>0</v>
      </c>
      <c r="Q316" s="50" t="s">
        <v>97</v>
      </c>
      <c r="R316" s="50">
        <f>HEX2DEC(RIGHT(Table132321432[[#This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IF(Table1319230[[#This Row],[dec val]]="",0,1)</f>
        <v>0</v>
      </c>
      <c r="J317" s="24">
        <v>50000</v>
      </c>
      <c r="M317" s="24">
        <v>50000</v>
      </c>
      <c r="O317" s="50" t="s">
        <v>97</v>
      </c>
      <c r="P317" s="50">
        <f>HEX2DEC(RIGHT(Table132321432[[#This Row],[h1]],8))</f>
        <v>0</v>
      </c>
      <c r="Q317" s="50" t="s">
        <v>97</v>
      </c>
      <c r="R317" s="50">
        <f>HEX2DEC(RIGHT(Table132321432[[#This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IF(Table1319230[[#This Row],[dec val]]="",0,1)</f>
        <v>0</v>
      </c>
      <c r="J318" s="24">
        <v>50000</v>
      </c>
      <c r="M318" s="24">
        <v>50000</v>
      </c>
      <c r="O318" s="50" t="s">
        <v>97</v>
      </c>
      <c r="P318" s="50">
        <f>HEX2DEC(RIGHT(Table132321432[[#This Row],[h1]],8))</f>
        <v>0</v>
      </c>
      <c r="Q318" s="50" t="s">
        <v>97</v>
      </c>
      <c r="R318" s="50">
        <f>HEX2DEC(RIGHT(Table132321432[[#This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IF(Table1319230[[#This Row],[dec val]]="",0,1)</f>
        <v>0</v>
      </c>
      <c r="J319" s="24">
        <v>50000</v>
      </c>
      <c r="M319" s="24">
        <v>50000</v>
      </c>
      <c r="O319" s="50" t="s">
        <v>97</v>
      </c>
      <c r="P319" s="50">
        <f>HEX2DEC(RIGHT(Table132321432[[#This Row],[h1]],8))</f>
        <v>0</v>
      </c>
      <c r="Q319" s="50" t="s">
        <v>97</v>
      </c>
      <c r="R319" s="50">
        <f>HEX2DEC(RIGHT(Table132321432[[#This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IF(Table1319230[[#This Row],[dec val]]="",0,1)</f>
        <v>0</v>
      </c>
      <c r="J320" s="24">
        <v>50000</v>
      </c>
      <c r="M320" s="24">
        <v>50000</v>
      </c>
      <c r="O320" s="50" t="s">
        <v>97</v>
      </c>
      <c r="P320" s="50">
        <f>HEX2DEC(RIGHT(Table132321432[[#This Row],[h1]],8))</f>
        <v>0</v>
      </c>
      <c r="Q320" s="50" t="s">
        <v>97</v>
      </c>
      <c r="R320" s="50">
        <f>HEX2DEC(RIGHT(Table132321432[[#This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IF(Table1319230[[#This Row],[dec val]]="",0,1)</f>
        <v>0</v>
      </c>
      <c r="J321" s="24">
        <v>50000</v>
      </c>
      <c r="M321" s="24">
        <v>50000</v>
      </c>
      <c r="O321" s="50" t="s">
        <v>97</v>
      </c>
      <c r="P321" s="50">
        <f>HEX2DEC(RIGHT(Table132321432[[#This Row],[h1]],8))</f>
        <v>0</v>
      </c>
      <c r="Q321" s="50" t="s">
        <v>97</v>
      </c>
      <c r="R321" s="50">
        <f>HEX2DEC(RIGHT(Table132321432[[#This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IF(Table1319230[[#This Row],[dec val]]="",0,1)</f>
        <v>0</v>
      </c>
      <c r="J322" s="24">
        <v>50000</v>
      </c>
      <c r="M322" s="24">
        <v>50000</v>
      </c>
      <c r="O322" s="50" t="s">
        <v>97</v>
      </c>
      <c r="P322" s="50">
        <f>HEX2DEC(RIGHT(Table132321432[[#This Row],[h1]],8))</f>
        <v>0</v>
      </c>
      <c r="Q322" s="50" t="s">
        <v>97</v>
      </c>
      <c r="R322" s="50">
        <f>HEX2DEC(RIGHT(Table132321432[[#This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IF(Table1319230[[#This Row],[dec val]]="",0,1)</f>
        <v>0</v>
      </c>
      <c r="J323" s="24">
        <v>50000</v>
      </c>
      <c r="M323" s="24">
        <v>50000</v>
      </c>
      <c r="O323" s="50" t="s">
        <v>97</v>
      </c>
      <c r="P323" s="50">
        <f>HEX2DEC(RIGHT(Table132321432[[#This Row],[h1]],8))</f>
        <v>0</v>
      </c>
      <c r="Q323" s="50" t="s">
        <v>97</v>
      </c>
      <c r="R323" s="50">
        <f>HEX2DEC(RIGHT(Table132321432[[#This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IF(Table1319230[[#This Row],[dec val]]="",0,1)</f>
        <v>0</v>
      </c>
      <c r="J324" s="24">
        <v>50000</v>
      </c>
      <c r="M324" s="24">
        <v>50000</v>
      </c>
      <c r="O324" s="50" t="s">
        <v>97</v>
      </c>
      <c r="P324" s="50">
        <f>HEX2DEC(RIGHT(Table132321432[[#This Row],[h1]],8))</f>
        <v>0</v>
      </c>
      <c r="Q324" s="50" t="s">
        <v>97</v>
      </c>
      <c r="R324" s="50">
        <f>HEX2DEC(RIGHT(Table132321432[[#This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IF(Table1319230[[#This Row],[dec val]]="",0,1)</f>
        <v>0</v>
      </c>
      <c r="J325" s="24">
        <v>50000</v>
      </c>
      <c r="M325" s="24">
        <v>50000</v>
      </c>
      <c r="O325" s="50" t="s">
        <v>97</v>
      </c>
      <c r="P325" s="50">
        <f>HEX2DEC(RIGHT(Table132321432[[#This Row],[h1]],8))</f>
        <v>0</v>
      </c>
      <c r="Q325" s="50" t="s">
        <v>97</v>
      </c>
      <c r="R325" s="50">
        <f>HEX2DEC(RIGHT(Table132321432[[#This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IF(Table1319230[[#This Row],[dec val]]="",0,1)</f>
        <v>0</v>
      </c>
      <c r="J326" s="24">
        <v>50000</v>
      </c>
      <c r="M326" s="24">
        <v>50000</v>
      </c>
      <c r="O326" s="50" t="s">
        <v>97</v>
      </c>
      <c r="P326" s="50">
        <f>HEX2DEC(RIGHT(Table132321432[[#This Row],[h1]],8))</f>
        <v>0</v>
      </c>
      <c r="Q326" s="50" t="s">
        <v>97</v>
      </c>
      <c r="R326" s="50">
        <f>HEX2DEC(RIGHT(Table132321432[[#This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IF(Table1319230[[#This Row],[dec val]]="",0,1)</f>
        <v>0</v>
      </c>
      <c r="J327" s="24">
        <v>50000</v>
      </c>
      <c r="M327" s="24">
        <v>50000</v>
      </c>
      <c r="O327" s="50" t="s">
        <v>97</v>
      </c>
      <c r="P327" s="50">
        <f>HEX2DEC(RIGHT(Table132321432[[#This Row],[h1]],8))</f>
        <v>0</v>
      </c>
      <c r="Q327" s="50" t="s">
        <v>97</v>
      </c>
      <c r="R327" s="50">
        <f>HEX2DEC(RIGHT(Table132321432[[#This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IF(Table1319230[[#This Row],[dec val]]="",0,1)</f>
        <v>0</v>
      </c>
      <c r="J328" s="24">
        <v>50000</v>
      </c>
      <c r="M328" s="24">
        <v>50000</v>
      </c>
      <c r="O328" s="50" t="s">
        <v>97</v>
      </c>
      <c r="P328" s="50">
        <f>HEX2DEC(RIGHT(Table132321432[[#This Row],[h1]],8))</f>
        <v>0</v>
      </c>
      <c r="Q328" s="50" t="s">
        <v>97</v>
      </c>
      <c r="R328" s="50">
        <f>HEX2DEC(RIGHT(Table132321432[[#This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IF(Table1319230[[#This Row],[dec val]]="",0,1)</f>
        <v>0</v>
      </c>
      <c r="J329" s="24">
        <v>50000</v>
      </c>
      <c r="M329" s="24">
        <v>50000</v>
      </c>
      <c r="O329" s="50" t="s">
        <v>97</v>
      </c>
      <c r="P329" s="50">
        <f>HEX2DEC(RIGHT(Table132321432[[#This Row],[h1]],8))</f>
        <v>0</v>
      </c>
      <c r="Q329" s="50" t="s">
        <v>97</v>
      </c>
      <c r="R329" s="50">
        <f>HEX2DEC(RIGHT(Table132321432[[#This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IF(Table1319230[[#This Row],[dec val]]="",0,1)</f>
        <v>0</v>
      </c>
      <c r="J330" s="24">
        <v>50000</v>
      </c>
      <c r="M330" s="24">
        <v>50000</v>
      </c>
      <c r="O330" s="50" t="s">
        <v>97</v>
      </c>
      <c r="P330" s="50">
        <f>HEX2DEC(RIGHT(Table132321432[[#This Row],[h1]],8))</f>
        <v>0</v>
      </c>
      <c r="Q330" s="50" t="s">
        <v>97</v>
      </c>
      <c r="R330" s="50">
        <f>HEX2DEC(RIGHT(Table132321432[[#This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IF(Table1319230[[#This Row],[dec val]]="",0,1)</f>
        <v>0</v>
      </c>
      <c r="J331" s="24">
        <v>50000</v>
      </c>
      <c r="M331" s="24">
        <v>50000</v>
      </c>
      <c r="O331" s="50" t="s">
        <v>97</v>
      </c>
      <c r="P331" s="50">
        <f>HEX2DEC(RIGHT(Table132321432[[#This Row],[h1]],8))</f>
        <v>0</v>
      </c>
      <c r="Q331" s="50" t="s">
        <v>97</v>
      </c>
      <c r="R331" s="50">
        <f>HEX2DEC(RIGHT(Table132321432[[#This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IF(Table1319230[[#This Row],[dec val]]="",0,1)</f>
        <v>0</v>
      </c>
      <c r="J332" s="24">
        <v>50000</v>
      </c>
      <c r="M332" s="24">
        <v>50000</v>
      </c>
      <c r="O332" s="50" t="s">
        <v>97</v>
      </c>
      <c r="P332" s="50">
        <f>HEX2DEC(RIGHT(Table132321432[[#This Row],[h1]],8))</f>
        <v>0</v>
      </c>
      <c r="Q332" s="50" t="s">
        <v>97</v>
      </c>
      <c r="R332" s="50">
        <f>HEX2DEC(RIGHT(Table132321432[[#This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IF(Table1319230[[#This Row],[dec val]]="",0,1)</f>
        <v>0</v>
      </c>
      <c r="J333" s="24">
        <v>50000</v>
      </c>
      <c r="M333" s="24">
        <v>50000</v>
      </c>
      <c r="O333" s="50" t="s">
        <v>97</v>
      </c>
      <c r="P333" s="50">
        <f>HEX2DEC(RIGHT(Table132321432[[#This Row],[h1]],8))</f>
        <v>0</v>
      </c>
      <c r="Q333" s="50" t="s">
        <v>97</v>
      </c>
      <c r="R333" s="50">
        <f>HEX2DEC(RIGHT(Table132321432[[#This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IF(Table1319230[[#This Row],[dec val]]="",0,1)</f>
        <v>0</v>
      </c>
      <c r="J334" s="24">
        <v>50000</v>
      </c>
      <c r="M334" s="24">
        <v>50000</v>
      </c>
      <c r="O334" s="50" t="s">
        <v>97</v>
      </c>
      <c r="P334" s="50">
        <f>HEX2DEC(RIGHT(Table132321432[[#This Row],[h1]],8))</f>
        <v>0</v>
      </c>
      <c r="Q334" s="50" t="s">
        <v>97</v>
      </c>
      <c r="R334" s="50">
        <f>HEX2DEC(RIGHT(Table132321432[[#This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IF(Table1319230[[#This Row],[dec val]]="",0,1)</f>
        <v>0</v>
      </c>
      <c r="J335" s="24">
        <v>50000</v>
      </c>
      <c r="M335" s="24">
        <v>50000</v>
      </c>
      <c r="O335" s="50" t="s">
        <v>97</v>
      </c>
      <c r="P335" s="50">
        <f>HEX2DEC(RIGHT(Table132321432[[#This Row],[h1]],8))</f>
        <v>0</v>
      </c>
      <c r="Q335" s="50" t="s">
        <v>97</v>
      </c>
      <c r="R335" s="50">
        <f>HEX2DEC(RIGHT(Table132321432[[#This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IF(Table1319230[[#This Row],[dec val]]="",0,1)</f>
        <v>0</v>
      </c>
      <c r="J336" s="24">
        <v>50000</v>
      </c>
      <c r="M336" s="24">
        <v>50000</v>
      </c>
      <c r="O336" s="50" t="s">
        <v>97</v>
      </c>
      <c r="P336" s="50">
        <f>HEX2DEC(RIGHT(Table132321432[[#This Row],[h1]],8))</f>
        <v>0</v>
      </c>
      <c r="Q336" s="50" t="s">
        <v>97</v>
      </c>
      <c r="R336" s="50">
        <f>HEX2DEC(RIGHT(Table132321432[[#This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IF(Table1319230[[#This Row],[dec val]]="",0,1)</f>
        <v>0</v>
      </c>
      <c r="J337" s="24">
        <v>50000</v>
      </c>
      <c r="M337" s="24">
        <v>50000</v>
      </c>
      <c r="O337" s="50" t="s">
        <v>97</v>
      </c>
      <c r="P337" s="50">
        <f>HEX2DEC(RIGHT(Table132321432[[#This Row],[h1]],8))</f>
        <v>0</v>
      </c>
      <c r="Q337" s="50" t="s">
        <v>97</v>
      </c>
      <c r="R337" s="50">
        <f>HEX2DEC(RIGHT(Table132321432[[#This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IF(Table1319230[[#This Row],[dec val]]="",0,1)</f>
        <v>0</v>
      </c>
      <c r="J338" s="24">
        <v>50000</v>
      </c>
      <c r="M338" s="24">
        <v>50000</v>
      </c>
      <c r="O338" s="50" t="s">
        <v>97</v>
      </c>
      <c r="P338" s="50">
        <f>HEX2DEC(RIGHT(Table132321432[[#This Row],[h1]],8))</f>
        <v>0</v>
      </c>
      <c r="Q338" s="50" t="s">
        <v>97</v>
      </c>
      <c r="R338" s="50">
        <f>HEX2DEC(RIGHT(Table132321432[[#This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IF(Table1319230[[#This Row],[dec val]]="",0,1)</f>
        <v>0</v>
      </c>
      <c r="J339" s="24">
        <v>50000</v>
      </c>
      <c r="M339" s="24">
        <v>50000</v>
      </c>
      <c r="O339" s="50" t="s">
        <v>97</v>
      </c>
      <c r="P339" s="50">
        <f>HEX2DEC(RIGHT(Table132321432[[#This Row],[h1]],8))</f>
        <v>0</v>
      </c>
      <c r="Q339" s="50" t="s">
        <v>97</v>
      </c>
      <c r="R339" s="50">
        <f>HEX2DEC(RIGHT(Table132321432[[#This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IF(Table1319230[[#This Row],[dec val]]="",0,1)</f>
        <v>0</v>
      </c>
      <c r="J340" s="24">
        <v>50000</v>
      </c>
      <c r="M340" s="24">
        <v>50000</v>
      </c>
      <c r="O340" s="50" t="s">
        <v>97</v>
      </c>
      <c r="P340" s="50">
        <f>HEX2DEC(RIGHT(Table132321432[[#This Row],[h1]],8))</f>
        <v>0</v>
      </c>
      <c r="Q340" s="50" t="s">
        <v>97</v>
      </c>
      <c r="R340" s="50">
        <f>HEX2DEC(RIGHT(Table132321432[[#This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IF(Table1319230[[#This Row],[dec val]]="",0,1)</f>
        <v>0</v>
      </c>
      <c r="J341" s="24">
        <v>50000</v>
      </c>
      <c r="M341" s="24">
        <v>50000</v>
      </c>
      <c r="O341" s="50" t="s">
        <v>97</v>
      </c>
      <c r="P341" s="50">
        <f>HEX2DEC(RIGHT(Table132321432[[#This Row],[h1]],8))</f>
        <v>0</v>
      </c>
      <c r="Q341" s="50" t="s">
        <v>97</v>
      </c>
      <c r="R341" s="50">
        <f>HEX2DEC(RIGHT(Table132321432[[#This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IF(Table1319230[[#This Row],[dec val]]="",0,1)</f>
        <v>0</v>
      </c>
      <c r="J342" s="24">
        <v>50000</v>
      </c>
      <c r="M342" s="24">
        <v>50000</v>
      </c>
      <c r="O342" s="50" t="s">
        <v>97</v>
      </c>
      <c r="P342" s="50">
        <f>HEX2DEC(RIGHT(Table132321432[[#This Row],[h1]],8))</f>
        <v>0</v>
      </c>
      <c r="Q342" s="50" t="s">
        <v>97</v>
      </c>
      <c r="R342" s="50">
        <f>HEX2DEC(RIGHT(Table132321432[[#This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IF(Table1319230[[#This Row],[dec val]]="",0,1)</f>
        <v>0</v>
      </c>
      <c r="J343" s="24">
        <v>50000</v>
      </c>
      <c r="M343" s="24">
        <v>50000</v>
      </c>
      <c r="O343" s="50" t="s">
        <v>97</v>
      </c>
      <c r="P343" s="50">
        <f>HEX2DEC(RIGHT(Table132321432[[#This Row],[h1]],8))</f>
        <v>0</v>
      </c>
      <c r="Q343" s="50" t="s">
        <v>97</v>
      </c>
      <c r="R343" s="50">
        <f>HEX2DEC(RIGHT(Table132321432[[#This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IF(Table1319230[[#This Row],[dec val]]="",0,1)</f>
        <v>0</v>
      </c>
      <c r="J344" s="24">
        <v>50000</v>
      </c>
      <c r="M344" s="24">
        <v>50000</v>
      </c>
      <c r="O344" s="50" t="s">
        <v>97</v>
      </c>
      <c r="P344" s="50">
        <f>HEX2DEC(RIGHT(Table132321432[[#This Row],[h1]],8))</f>
        <v>0</v>
      </c>
      <c r="Q344" s="50" t="s">
        <v>97</v>
      </c>
      <c r="R344" s="50">
        <f>HEX2DEC(RIGHT(Table132321432[[#This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IF(Table1319230[[#This Row],[dec val]]="",0,1)</f>
        <v>0</v>
      </c>
      <c r="J345" s="24">
        <v>50000</v>
      </c>
      <c r="M345" s="24">
        <v>50000</v>
      </c>
      <c r="O345" s="50" t="s">
        <v>97</v>
      </c>
      <c r="P345" s="50">
        <f>HEX2DEC(RIGHT(Table132321432[[#This Row],[h1]],8))</f>
        <v>0</v>
      </c>
      <c r="Q345" s="50" t="s">
        <v>97</v>
      </c>
      <c r="R345" s="50">
        <f>HEX2DEC(RIGHT(Table132321432[[#This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IF(Table1319230[[#This Row],[dec val]]="",0,1)</f>
        <v>0</v>
      </c>
      <c r="J346" s="24">
        <v>50000</v>
      </c>
      <c r="M346" s="24">
        <v>50000</v>
      </c>
      <c r="O346" s="50" t="s">
        <v>97</v>
      </c>
      <c r="P346" s="50">
        <f>HEX2DEC(RIGHT(Table132321432[[#This Row],[h1]],8))</f>
        <v>0</v>
      </c>
      <c r="Q346" s="50" t="s">
        <v>97</v>
      </c>
      <c r="R346" s="50">
        <f>HEX2DEC(RIGHT(Table132321432[[#This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50" t="s">
        <v>97</v>
      </c>
      <c r="P347" s="50">
        <f>HEX2DEC(RIGHT(Table132321432[[#This Row],[h1]],8))</f>
        <v>0</v>
      </c>
      <c r="Q347" s="50" t="s">
        <v>97</v>
      </c>
      <c r="R347" s="50">
        <f>HEX2DEC(RIGHT(Table132321432[[#This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IF(Table1319230[[#This Row],[dec val]]="",0,1)</f>
        <v>0</v>
      </c>
      <c r="J348" s="24">
        <v>50000</v>
      </c>
      <c r="M348" s="24">
        <v>50000</v>
      </c>
      <c r="O348" s="50" t="s">
        <v>97</v>
      </c>
      <c r="P348" s="50">
        <f>HEX2DEC(RIGHT(Table132321432[[#This Row],[h1]],8))</f>
        <v>0</v>
      </c>
      <c r="Q348" s="50" t="s">
        <v>97</v>
      </c>
      <c r="R348" s="50">
        <f>HEX2DEC(RIGHT(Table132321432[[#This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IF(Table1319230[[#This Row],[dec val]]="",0,1)</f>
        <v>0</v>
      </c>
      <c r="J349" s="24">
        <v>50000</v>
      </c>
      <c r="M349" s="24">
        <v>50000</v>
      </c>
      <c r="O349" s="50" t="s">
        <v>97</v>
      </c>
      <c r="P349" s="50">
        <f>HEX2DEC(RIGHT(Table132321432[[#This Row],[h1]],8))</f>
        <v>0</v>
      </c>
      <c r="Q349" s="50" t="s">
        <v>97</v>
      </c>
      <c r="R349" s="50">
        <f>HEX2DEC(RIGHT(Table132321432[[#This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IF(Table1319230[[#This Row],[dec val]]="",0,1)</f>
        <v>0</v>
      </c>
      <c r="J350" s="24">
        <v>50000</v>
      </c>
      <c r="M350" s="24">
        <v>50000</v>
      </c>
      <c r="O350" s="50" t="s">
        <v>97</v>
      </c>
      <c r="P350" s="50">
        <f>HEX2DEC(RIGHT(Table132321432[[#This Row],[h1]],8))</f>
        <v>0</v>
      </c>
      <c r="Q350" s="50" t="s">
        <v>97</v>
      </c>
      <c r="R350" s="50">
        <f>HEX2DEC(RIGHT(Table132321432[[#This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IF(Table1319230[[#This Row],[dec val]]="",0,1)</f>
        <v>0</v>
      </c>
      <c r="J351" s="24">
        <v>50000</v>
      </c>
      <c r="M351" s="24">
        <v>50000</v>
      </c>
      <c r="O351" s="50" t="s">
        <v>97</v>
      </c>
      <c r="P351" s="50">
        <f>HEX2DEC(RIGHT(Table132321432[[#This Row],[h1]],8))</f>
        <v>0</v>
      </c>
      <c r="Q351" s="50" t="s">
        <v>97</v>
      </c>
      <c r="R351" s="50">
        <f>HEX2DEC(RIGHT(Table132321432[[#This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IF(Table1319230[[#This Row],[dec val]]="",0,1)</f>
        <v>0</v>
      </c>
      <c r="J352" s="24">
        <v>50000</v>
      </c>
      <c r="M352" s="24">
        <v>50000</v>
      </c>
      <c r="O352" s="50" t="s">
        <v>97</v>
      </c>
      <c r="P352" s="50">
        <f>HEX2DEC(RIGHT(Table132321432[[#This Row],[h1]],8))</f>
        <v>0</v>
      </c>
      <c r="Q352" s="50" t="s">
        <v>97</v>
      </c>
      <c r="R352" s="50">
        <f>HEX2DEC(RIGHT(Table132321432[[#This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IF(Table1319230[[#This Row],[dec val]]="",0,1)</f>
        <v>0</v>
      </c>
      <c r="J353" s="24">
        <v>50000</v>
      </c>
      <c r="M353" s="24">
        <v>50000</v>
      </c>
      <c r="O353" s="50" t="s">
        <v>97</v>
      </c>
      <c r="P353" s="50">
        <f>HEX2DEC(RIGHT(Table132321432[[#This Row],[h1]],8))</f>
        <v>0</v>
      </c>
      <c r="Q353" s="50" t="s">
        <v>97</v>
      </c>
      <c r="R353" s="50">
        <f>HEX2DEC(RIGHT(Table132321432[[#This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IF(Table1319230[[#This Row],[dec val]]="",0,1)</f>
        <v>0</v>
      </c>
      <c r="J354" s="24">
        <v>50000</v>
      </c>
      <c r="M354" s="24">
        <v>50000</v>
      </c>
      <c r="O354" s="50" t="s">
        <v>97</v>
      </c>
      <c r="P354" s="50">
        <f>HEX2DEC(RIGHT(Table132321432[[#This Row],[h1]],8))</f>
        <v>0</v>
      </c>
      <c r="Q354" s="50" t="s">
        <v>97</v>
      </c>
      <c r="R354" s="50">
        <f>HEX2DEC(RIGHT(Table132321432[[#This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IF(Table1319230[[#This Row],[dec val]]="",0,1)</f>
        <v>0</v>
      </c>
      <c r="J355" s="24">
        <v>50000</v>
      </c>
      <c r="M355" s="24">
        <v>50000</v>
      </c>
      <c r="O355" s="50" t="s">
        <v>97</v>
      </c>
      <c r="P355" s="50">
        <f>HEX2DEC(RIGHT(Table132321432[[#This Row],[h1]],8))</f>
        <v>0</v>
      </c>
      <c r="Q355" s="50" t="s">
        <v>97</v>
      </c>
      <c r="R355" s="50">
        <f>HEX2DEC(RIGHT(Table132321432[[#This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IF(Table1319230[[#This Row],[dec val]]="",0,1)</f>
        <v>0</v>
      </c>
      <c r="J356" s="24">
        <v>50000</v>
      </c>
      <c r="M356" s="24">
        <v>50000</v>
      </c>
      <c r="O356" s="50" t="s">
        <v>97</v>
      </c>
      <c r="P356" s="50">
        <f>HEX2DEC(RIGHT(Table132321432[[#This Row],[h1]],8))</f>
        <v>0</v>
      </c>
      <c r="Q356" s="50" t="s">
        <v>97</v>
      </c>
      <c r="R356" s="50">
        <f>HEX2DEC(RIGHT(Table132321432[[#This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IF(Table1319230[[#This Row],[dec val]]="",0,1)</f>
        <v>0</v>
      </c>
      <c r="J357" s="24">
        <v>50000</v>
      </c>
      <c r="M357" s="24">
        <v>50000</v>
      </c>
      <c r="O357" s="50" t="s">
        <v>97</v>
      </c>
      <c r="P357" s="50">
        <f>HEX2DEC(RIGHT(Table132321432[[#This Row],[h1]],8))</f>
        <v>0</v>
      </c>
      <c r="Q357" s="50" t="s">
        <v>97</v>
      </c>
      <c r="R357" s="50">
        <f>HEX2DEC(RIGHT(Table132321432[[#This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IF(Table1319230[[#This Row],[dec val]]="",0,1)</f>
        <v>0</v>
      </c>
      <c r="J358" s="24">
        <v>50000</v>
      </c>
      <c r="M358" s="24">
        <v>50000</v>
      </c>
      <c r="O358" s="50" t="s">
        <v>97</v>
      </c>
      <c r="P358" s="50">
        <f>HEX2DEC(RIGHT(Table132321432[[#This Row],[h1]],8))</f>
        <v>0</v>
      </c>
      <c r="Q358" s="50" t="s">
        <v>97</v>
      </c>
      <c r="R358" s="50">
        <f>HEX2DEC(RIGHT(Table132321432[[#This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IF(Table1319230[[#This Row],[dec val]]="",0,1)</f>
        <v>0</v>
      </c>
      <c r="J359" s="24">
        <v>50000</v>
      </c>
      <c r="M359" s="24">
        <v>50000</v>
      </c>
      <c r="O359" s="50" t="s">
        <v>97</v>
      </c>
      <c r="P359" s="50">
        <f>HEX2DEC(RIGHT(Table132321432[[#This Row],[h1]],8))</f>
        <v>0</v>
      </c>
      <c r="Q359" s="50" t="s">
        <v>97</v>
      </c>
      <c r="R359" s="50">
        <f>HEX2DEC(RIGHT(Table132321432[[#This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IF(Table1319230[[#This Row],[dec val]]="",0,1)</f>
        <v>0</v>
      </c>
      <c r="J360" s="24">
        <v>50000</v>
      </c>
      <c r="M360" s="24">
        <v>50000</v>
      </c>
      <c r="O360" s="50" t="s">
        <v>97</v>
      </c>
      <c r="P360" s="50">
        <f>HEX2DEC(RIGHT(Table132321432[[#This Row],[h1]],8))</f>
        <v>0</v>
      </c>
      <c r="Q360" s="50" t="s">
        <v>97</v>
      </c>
      <c r="R360" s="50">
        <f>HEX2DEC(RIGHT(Table132321432[[#This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IF(Table1319230[[#This Row],[dec val]]="",0,1)</f>
        <v>0</v>
      </c>
      <c r="J361" s="24">
        <v>50000</v>
      </c>
      <c r="M361" s="24">
        <v>50000</v>
      </c>
      <c r="O361" s="50" t="s">
        <v>97</v>
      </c>
      <c r="P361" s="50">
        <f>HEX2DEC(RIGHT(Table132321432[[#This Row],[h1]],8))</f>
        <v>0</v>
      </c>
      <c r="Q361" s="50" t="s">
        <v>97</v>
      </c>
      <c r="R361" s="50">
        <f>HEX2DEC(RIGHT(Table132321432[[#This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IF(Table1319230[[#This Row],[dec val]]="",0,1)</f>
        <v>0</v>
      </c>
      <c r="J362" s="24">
        <v>50000</v>
      </c>
      <c r="M362" s="24">
        <v>50000</v>
      </c>
      <c r="O362" s="50" t="s">
        <v>97</v>
      </c>
      <c r="P362" s="50">
        <f>HEX2DEC(RIGHT(Table132321432[[#This Row],[h1]],8))</f>
        <v>0</v>
      </c>
      <c r="Q362" s="50" t="s">
        <v>97</v>
      </c>
      <c r="R362" s="50">
        <f>HEX2DEC(RIGHT(Table132321432[[#This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IF(Table1319230[[#This Row],[dec val]]="",0,1)</f>
        <v>0</v>
      </c>
      <c r="J363" s="24">
        <v>50000</v>
      </c>
      <c r="M363" s="24">
        <v>50000</v>
      </c>
      <c r="O363" s="50" t="s">
        <v>97</v>
      </c>
      <c r="P363" s="50">
        <f>HEX2DEC(RIGHT(Table132321432[[#This Row],[h1]],8))</f>
        <v>0</v>
      </c>
      <c r="Q363" s="50" t="s">
        <v>97</v>
      </c>
      <c r="R363" s="50">
        <f>HEX2DEC(RIGHT(Table132321432[[#This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IF(Table1319230[[#This Row],[dec val]]="",0,1)</f>
        <v>0</v>
      </c>
      <c r="J364" s="24">
        <v>50000</v>
      </c>
      <c r="M364" s="24">
        <v>50000</v>
      </c>
      <c r="O364" s="50" t="s">
        <v>97</v>
      </c>
      <c r="P364" s="50">
        <f>HEX2DEC(RIGHT(Table132321432[[#This Row],[h1]],8))</f>
        <v>0</v>
      </c>
      <c r="Q364" s="50" t="s">
        <v>97</v>
      </c>
      <c r="R364" s="50">
        <f>HEX2DEC(RIGHT(Table132321432[[#This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IF(Table1319230[[#This Row],[dec val]]="",0,1)</f>
        <v>0</v>
      </c>
      <c r="J365" s="24">
        <v>50000</v>
      </c>
      <c r="M365" s="24">
        <v>50000</v>
      </c>
      <c r="O365" s="50" t="s">
        <v>97</v>
      </c>
      <c r="P365" s="50">
        <f>HEX2DEC(RIGHT(Table132321432[[#This Row],[h1]],8))</f>
        <v>0</v>
      </c>
      <c r="Q365" s="50" t="s">
        <v>97</v>
      </c>
      <c r="R365" s="50">
        <f>HEX2DEC(RIGHT(Table132321432[[#This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IF(Table1319230[[#This Row],[dec val]]="",0,1)</f>
        <v>0</v>
      </c>
      <c r="J366" s="24">
        <v>50000</v>
      </c>
      <c r="M366" s="24">
        <v>50000</v>
      </c>
      <c r="O366" s="50" t="s">
        <v>97</v>
      </c>
      <c r="P366" s="50">
        <f>HEX2DEC(RIGHT(Table132321432[[#This Row],[h1]],8))</f>
        <v>0</v>
      </c>
      <c r="Q366" s="50" t="s">
        <v>97</v>
      </c>
      <c r="R366" s="50">
        <f>HEX2DEC(RIGHT(Table132321432[[#This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IF(Table1319230[[#This Row],[dec val]]="",0,1)</f>
        <v>0</v>
      </c>
      <c r="J367" s="24">
        <v>50000</v>
      </c>
      <c r="M367" s="24">
        <v>50000</v>
      </c>
      <c r="O367" s="50" t="s">
        <v>97</v>
      </c>
      <c r="P367" s="50">
        <f>HEX2DEC(RIGHT(Table132321432[[#This Row],[h1]],8))</f>
        <v>0</v>
      </c>
      <c r="Q367" s="50" t="s">
        <v>97</v>
      </c>
      <c r="R367" s="50">
        <f>HEX2DEC(RIGHT(Table132321432[[#This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IF(Table1319230[[#This Row],[dec val]]="",0,1)</f>
        <v>0</v>
      </c>
      <c r="J368" s="24">
        <v>50000</v>
      </c>
      <c r="M368" s="24">
        <v>50000</v>
      </c>
      <c r="O368" s="50" t="s">
        <v>97</v>
      </c>
      <c r="P368" s="50">
        <f>HEX2DEC(RIGHT(Table132321432[[#This Row],[h1]],8))</f>
        <v>0</v>
      </c>
      <c r="Q368" s="50" t="s">
        <v>97</v>
      </c>
      <c r="R368" s="50">
        <f>HEX2DEC(RIGHT(Table132321432[[#This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IF(Table1319230[[#This Row],[dec val]]="",0,1)</f>
        <v>0</v>
      </c>
      <c r="J369" s="24">
        <v>50000</v>
      </c>
      <c r="M369" s="24">
        <v>50000</v>
      </c>
      <c r="O369" s="50" t="s">
        <v>97</v>
      </c>
      <c r="P369" s="50">
        <f>HEX2DEC(RIGHT(Table132321432[[#This Row],[h1]],8))</f>
        <v>0</v>
      </c>
      <c r="Q369" s="50" t="s">
        <v>97</v>
      </c>
      <c r="R369" s="50">
        <f>HEX2DEC(RIGHT(Table132321432[[#This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IF(Table1319230[[#This Row],[dec val]]="",0,1)</f>
        <v>0</v>
      </c>
      <c r="J370" s="24">
        <v>50000</v>
      </c>
      <c r="M370" s="24">
        <v>50000</v>
      </c>
      <c r="O370" s="50" t="s">
        <v>97</v>
      </c>
      <c r="P370" s="50">
        <f>HEX2DEC(RIGHT(Table132321432[[#This Row],[h1]],8))</f>
        <v>0</v>
      </c>
      <c r="Q370" s="50" t="s">
        <v>97</v>
      </c>
      <c r="R370" s="50">
        <f>HEX2DEC(RIGHT(Table132321432[[#This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IF(Table1319230[[#This Row],[dec val]]="",0,1)</f>
        <v>0</v>
      </c>
      <c r="J371" s="24">
        <v>50000</v>
      </c>
      <c r="M371" s="24">
        <v>50000</v>
      </c>
      <c r="O371" s="50" t="s">
        <v>97</v>
      </c>
      <c r="P371" s="50">
        <f>HEX2DEC(RIGHT(Table132321432[[#This Row],[h1]],8))</f>
        <v>0</v>
      </c>
      <c r="Q371" s="50" t="s">
        <v>97</v>
      </c>
      <c r="R371" s="50">
        <f>HEX2DEC(RIGHT(Table132321432[[#This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IF(Table1319230[[#This Row],[dec val]]="",0,1)</f>
        <v>0</v>
      </c>
      <c r="J372" s="24">
        <v>50000</v>
      </c>
      <c r="M372" s="24">
        <v>50000</v>
      </c>
      <c r="O372" s="50" t="s">
        <v>97</v>
      </c>
      <c r="P372" s="50">
        <f>HEX2DEC(RIGHT(Table132321432[[#This Row],[h1]],8))</f>
        <v>0</v>
      </c>
      <c r="Q372" s="50" t="s">
        <v>97</v>
      </c>
      <c r="R372" s="50">
        <f>HEX2DEC(RIGHT(Table132321432[[#This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IF(Table1319230[[#This Row],[dec val]]="",0,1)</f>
        <v>0</v>
      </c>
      <c r="J373" s="24">
        <v>50000</v>
      </c>
      <c r="M373" s="24">
        <v>50000</v>
      </c>
      <c r="O373" s="50" t="s">
        <v>97</v>
      </c>
      <c r="P373" s="50">
        <f>HEX2DEC(RIGHT(Table132321432[[#This Row],[h1]],8))</f>
        <v>0</v>
      </c>
      <c r="Q373" s="50" t="s">
        <v>97</v>
      </c>
      <c r="R373" s="50">
        <f>HEX2DEC(RIGHT(Table132321432[[#This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IF(Table1319230[[#This Row],[dec val]]="",0,1)</f>
        <v>0</v>
      </c>
      <c r="J374" s="24">
        <v>50000</v>
      </c>
      <c r="M374" s="24">
        <v>50000</v>
      </c>
      <c r="O374" s="50" t="s">
        <v>97</v>
      </c>
      <c r="P374" s="50">
        <f>HEX2DEC(RIGHT(Table132321432[[#This Row],[h1]],8))</f>
        <v>0</v>
      </c>
      <c r="Q374" s="50" t="s">
        <v>97</v>
      </c>
      <c r="R374" s="50">
        <f>HEX2DEC(RIGHT(Table132321432[[#This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IF(Table1319230[[#This Row],[dec val]]="",0,1)</f>
        <v>0</v>
      </c>
      <c r="J375" s="24">
        <v>50000</v>
      </c>
      <c r="M375" s="24">
        <v>50000</v>
      </c>
      <c r="O375" s="50" t="s">
        <v>97</v>
      </c>
      <c r="P375" s="50">
        <f>HEX2DEC(RIGHT(Table132321432[[#This Row],[h1]],8))</f>
        <v>0</v>
      </c>
      <c r="Q375" s="50" t="s">
        <v>97</v>
      </c>
      <c r="R375" s="50">
        <f>HEX2DEC(RIGHT(Table132321432[[#This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IF(Table1319230[[#This Row],[dec val]]="",0,1)</f>
        <v>0</v>
      </c>
      <c r="J376" s="24">
        <v>50000</v>
      </c>
      <c r="M376" s="24">
        <v>50000</v>
      </c>
      <c r="O376" s="50" t="s">
        <v>97</v>
      </c>
      <c r="P376" s="50">
        <f>HEX2DEC(RIGHT(Table132321432[[#This Row],[h1]],8))</f>
        <v>0</v>
      </c>
      <c r="Q376" s="50" t="s">
        <v>97</v>
      </c>
      <c r="R376" s="50">
        <f>HEX2DEC(RIGHT(Table132321432[[#This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IF(Table1319230[[#This Row],[dec val]]="",0,1)</f>
        <v>0</v>
      </c>
      <c r="J377" s="24">
        <v>50000</v>
      </c>
      <c r="M377" s="24">
        <v>50000</v>
      </c>
      <c r="O377" s="50" t="s">
        <v>97</v>
      </c>
      <c r="P377" s="50">
        <f>HEX2DEC(RIGHT(Table132321432[[#This Row],[h1]],8))</f>
        <v>0</v>
      </c>
      <c r="Q377" s="50" t="s">
        <v>97</v>
      </c>
      <c r="R377" s="50">
        <f>HEX2DEC(RIGHT(Table132321432[[#This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IF(Table1319230[[#This Row],[dec val]]="",0,1)</f>
        <v>0</v>
      </c>
      <c r="J378" s="24">
        <v>50000</v>
      </c>
      <c r="M378" s="24">
        <v>50000</v>
      </c>
      <c r="O378" s="50" t="s">
        <v>97</v>
      </c>
      <c r="P378" s="50">
        <f>HEX2DEC(RIGHT(Table132321432[[#This Row],[h1]],8))</f>
        <v>0</v>
      </c>
      <c r="Q378" s="50" t="s">
        <v>97</v>
      </c>
      <c r="R378" s="50">
        <f>HEX2DEC(RIGHT(Table132321432[[#This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50" t="s">
        <v>97</v>
      </c>
      <c r="P379" s="50">
        <f>HEX2DEC(RIGHT(Table132321432[[#This Row],[h1]],8))</f>
        <v>0</v>
      </c>
      <c r="Q379" s="50" t="s">
        <v>97</v>
      </c>
      <c r="R379" s="50">
        <f>HEX2DEC(RIGHT(Table132321432[[#This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50" t="s">
        <v>97</v>
      </c>
      <c r="P380" s="50">
        <f>HEX2DEC(RIGHT(Table132321432[[#This Row],[h1]],8))</f>
        <v>0</v>
      </c>
      <c r="Q380" s="50" t="s">
        <v>97</v>
      </c>
      <c r="R380" s="50">
        <f>HEX2DEC(RIGHT(Table132321432[[#This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50" t="s">
        <v>97</v>
      </c>
      <c r="P381" s="50">
        <f>HEX2DEC(RIGHT(Table132321432[[#This Row],[h1]],8))</f>
        <v>0</v>
      </c>
      <c r="Q381" s="50" t="s">
        <v>97</v>
      </c>
      <c r="R381" s="50">
        <f>HEX2DEC(RIGHT(Table132321432[[#This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50" t="s">
        <v>97</v>
      </c>
      <c r="P382" s="50">
        <f>HEX2DEC(RIGHT(Table132321432[[#This Row],[h1]],8))</f>
        <v>0</v>
      </c>
      <c r="Q382" s="50" t="s">
        <v>97</v>
      </c>
      <c r="R382" s="50">
        <f>HEX2DEC(RIGHT(Table132321432[[#This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50" t="s">
        <v>97</v>
      </c>
      <c r="P383" s="50">
        <f>HEX2DEC(RIGHT(Table132321432[[#This Row],[h1]],8))</f>
        <v>0</v>
      </c>
      <c r="Q383" s="50" t="s">
        <v>97</v>
      </c>
      <c r="R383" s="50">
        <f>HEX2DEC(RIGHT(Table132321432[[#This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50" t="s">
        <v>97</v>
      </c>
      <c r="P384" s="50">
        <f>HEX2DEC(RIGHT(Table132321432[[#This Row],[h1]],8))</f>
        <v>0</v>
      </c>
      <c r="Q384" s="50" t="s">
        <v>97</v>
      </c>
      <c r="R384" s="50">
        <f>HEX2DEC(RIGHT(Table132321432[[#This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50" t="s">
        <v>97</v>
      </c>
      <c r="P385" s="50">
        <f>HEX2DEC(RIGHT(Table132321432[[#This Row],[h1]],8))</f>
        <v>0</v>
      </c>
      <c r="Q385" s="50" t="s">
        <v>97</v>
      </c>
      <c r="R385" s="50">
        <f>HEX2DEC(RIGHT(Table132321432[[#This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50" t="s">
        <v>97</v>
      </c>
      <c r="P386" s="50">
        <f>HEX2DEC(RIGHT(Table132321432[[#This Row],[h1]],8))</f>
        <v>0</v>
      </c>
      <c r="Q386" s="50" t="s">
        <v>97</v>
      </c>
      <c r="R386" s="50">
        <f>HEX2DEC(RIGHT(Table132321432[[#This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50" t="s">
        <v>97</v>
      </c>
      <c r="P387" s="50">
        <f>HEX2DEC(RIGHT(Table132321432[[#This Row],[h1]],8))</f>
        <v>0</v>
      </c>
      <c r="Q387" s="50" t="s">
        <v>97</v>
      </c>
      <c r="R387" s="50">
        <f>HEX2DEC(RIGHT(Table132321432[[#This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33" t="s">
        <v>156</v>
      </c>
      <c r="J388" s="24">
        <v>50000</v>
      </c>
      <c r="M388" s="24">
        <v>50000</v>
      </c>
      <c r="O388" s="50" t="s">
        <v>97</v>
      </c>
      <c r="P388" s="50">
        <f>HEX2DEC(RIGHT(Table132321432[[#This Row],[h1]],8))</f>
        <v>0</v>
      </c>
      <c r="Q388" s="50" t="s">
        <v>97</v>
      </c>
      <c r="R388" s="50">
        <f>HEX2DEC(RIGHT(Table132321432[[#This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33" t="s">
        <v>156</v>
      </c>
      <c r="J389" s="24">
        <v>50000</v>
      </c>
      <c r="M389" s="24">
        <v>50000</v>
      </c>
      <c r="O389" s="50" t="s">
        <v>97</v>
      </c>
      <c r="P389" s="50">
        <f>HEX2DEC(RIGHT(Table132321432[[#This Row],[h1]],8))</f>
        <v>0</v>
      </c>
      <c r="Q389" s="50" t="s">
        <v>97</v>
      </c>
      <c r="R389" s="50">
        <f>HEX2DEC(RIGHT(Table132321432[[#This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33" t="s">
        <v>156</v>
      </c>
      <c r="J390" s="24">
        <v>50000</v>
      </c>
      <c r="M390" s="24">
        <v>50000</v>
      </c>
      <c r="O390" s="50" t="s">
        <v>97</v>
      </c>
      <c r="P390" s="50">
        <f>HEX2DEC(RIGHT(Table132321432[[#This Row],[h1]],8))</f>
        <v>0</v>
      </c>
      <c r="Q390" s="50" t="s">
        <v>97</v>
      </c>
      <c r="R390" s="50">
        <f>HEX2DEC(RIGHT(Table132321432[[#This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33" t="s">
        <v>156</v>
      </c>
      <c r="J391" s="24">
        <v>50000</v>
      </c>
      <c r="M391" s="24">
        <v>50000</v>
      </c>
      <c r="O391" s="50" t="s">
        <v>97</v>
      </c>
      <c r="P391" s="50">
        <f>HEX2DEC(RIGHT(Table132321432[[#This Row],[h1]],8))</f>
        <v>0</v>
      </c>
      <c r="Q391" s="50" t="s">
        <v>97</v>
      </c>
      <c r="R391" s="50">
        <f>HEX2DEC(RIGHT(Table132321432[[#This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33" t="s">
        <v>156</v>
      </c>
      <c r="J392" s="24">
        <v>50000</v>
      </c>
      <c r="M392" s="24">
        <v>50000</v>
      </c>
      <c r="O392" s="50" t="s">
        <v>97</v>
      </c>
      <c r="P392" s="50">
        <f>HEX2DEC(RIGHT(Table132321432[[#This Row],[h1]],8))</f>
        <v>0</v>
      </c>
      <c r="Q392" s="50" t="s">
        <v>97</v>
      </c>
      <c r="R392" s="50">
        <f>HEX2DEC(RIGHT(Table132321432[[#This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33" t="s">
        <v>156</v>
      </c>
      <c r="J393" s="24">
        <v>50000</v>
      </c>
      <c r="M393" s="24">
        <v>50000</v>
      </c>
      <c r="O393" s="50" t="s">
        <v>97</v>
      </c>
      <c r="P393" s="50">
        <f>HEX2DEC(RIGHT(Table132321432[[#This Row],[h1]],8))</f>
        <v>0</v>
      </c>
      <c r="Q393" s="50" t="s">
        <v>97</v>
      </c>
      <c r="R393" s="50">
        <f>HEX2DEC(RIGHT(Table132321432[[#This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33" t="s">
        <v>156</v>
      </c>
      <c r="J394" s="24">
        <v>50000</v>
      </c>
      <c r="M394" s="24">
        <v>50000</v>
      </c>
      <c r="O394" s="50" t="s">
        <v>97</v>
      </c>
      <c r="P394" s="50">
        <f>HEX2DEC(RIGHT(Table132321432[[#This Row],[h1]],8))</f>
        <v>0</v>
      </c>
      <c r="Q394" s="50" t="s">
        <v>97</v>
      </c>
      <c r="R394" s="50">
        <f>HEX2DEC(RIGHT(Table132321432[[#This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33" t="s">
        <v>152</v>
      </c>
      <c r="J395" s="24">
        <v>50000</v>
      </c>
      <c r="M395" s="24">
        <v>50000</v>
      </c>
      <c r="O395" s="50" t="s">
        <v>97</v>
      </c>
      <c r="P395" s="50">
        <f>HEX2DEC(RIGHT(Table132321432[[#This Row],[h1]],8))</f>
        <v>0</v>
      </c>
      <c r="Q395" s="50" t="s">
        <v>97</v>
      </c>
      <c r="R395" s="50">
        <f>HEX2DEC(RIGHT(Table132321432[[#This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33" t="s">
        <v>152</v>
      </c>
      <c r="J396" s="24">
        <v>50000</v>
      </c>
      <c r="M396" s="24">
        <v>50000</v>
      </c>
      <c r="O396" s="50" t="s">
        <v>97</v>
      </c>
      <c r="P396" s="50">
        <f>HEX2DEC(RIGHT(Table132321432[[#This Row],[h1]],8))</f>
        <v>0</v>
      </c>
      <c r="Q396" s="50" t="s">
        <v>97</v>
      </c>
      <c r="R396" s="50">
        <f>HEX2DEC(RIGHT(Table132321432[[#This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33" t="s">
        <v>152</v>
      </c>
      <c r="J397" s="24">
        <v>50000</v>
      </c>
      <c r="M397" s="24">
        <v>50000</v>
      </c>
      <c r="O397" s="50" t="s">
        <v>97</v>
      </c>
      <c r="P397" s="50">
        <f>HEX2DEC(RIGHT(Table132321432[[#This Row],[h1]],8))</f>
        <v>0</v>
      </c>
      <c r="Q397" s="50" t="s">
        <v>97</v>
      </c>
      <c r="R397" s="50">
        <f>HEX2DEC(RIGHT(Table132321432[[#This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33" t="s">
        <v>152</v>
      </c>
      <c r="J398" s="24">
        <v>50000</v>
      </c>
      <c r="M398" s="24">
        <v>50000</v>
      </c>
      <c r="O398" s="50" t="s">
        <v>97</v>
      </c>
      <c r="P398" s="50">
        <f>HEX2DEC(RIGHT(Table132321432[[#This Row],[h1]],8))</f>
        <v>0</v>
      </c>
      <c r="Q398" s="50" t="s">
        <v>97</v>
      </c>
      <c r="R398" s="50">
        <f>HEX2DEC(RIGHT(Table132321432[[#This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33" t="s">
        <v>152</v>
      </c>
      <c r="J399" s="24">
        <v>50000</v>
      </c>
      <c r="M399" s="24">
        <v>50000</v>
      </c>
      <c r="O399" s="50" t="s">
        <v>97</v>
      </c>
      <c r="P399" s="50">
        <f>HEX2DEC(RIGHT(Table132321432[[#This Row],[h1]],8))</f>
        <v>0</v>
      </c>
      <c r="Q399" s="50" t="s">
        <v>97</v>
      </c>
      <c r="R399" s="50">
        <f>HEX2DEC(RIGHT(Table132321432[[#This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33" t="s">
        <v>152</v>
      </c>
      <c r="J400" s="24">
        <v>50000</v>
      </c>
      <c r="M400" s="24">
        <v>50000</v>
      </c>
      <c r="O400" s="50" t="s">
        <v>97</v>
      </c>
      <c r="P400" s="50">
        <f>HEX2DEC(RIGHT(Table132321432[[#This Row],[h1]],8))</f>
        <v>0</v>
      </c>
      <c r="Q400" s="50" t="s">
        <v>97</v>
      </c>
      <c r="R400" s="50">
        <f>HEX2DEC(RIGHT(Table132321432[[#This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33" t="s">
        <v>152</v>
      </c>
      <c r="J401" s="24">
        <v>50000</v>
      </c>
      <c r="M401" s="24">
        <v>50000</v>
      </c>
      <c r="O401" s="50" t="s">
        <v>97</v>
      </c>
      <c r="P401" s="50">
        <f>HEX2DEC(RIGHT(Table132321432[[#This Row],[h1]],8))</f>
        <v>0</v>
      </c>
      <c r="Q401" s="50" t="s">
        <v>97</v>
      </c>
      <c r="R401" s="50">
        <f>HEX2DEC(RIGHT(Table132321432[[#This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33" t="s">
        <v>152</v>
      </c>
      <c r="J402" s="24">
        <v>50000</v>
      </c>
      <c r="M402" s="24">
        <v>50000</v>
      </c>
      <c r="O402" s="50" t="s">
        <v>97</v>
      </c>
      <c r="P402" s="50">
        <f>HEX2DEC(RIGHT(Table132321432[[#This Row],[h1]],8))</f>
        <v>0</v>
      </c>
      <c r="Q402" s="50" t="s">
        <v>97</v>
      </c>
      <c r="R402" s="50">
        <f>HEX2DEC(RIGHT(Table132321432[[#This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33" t="s">
        <v>152</v>
      </c>
      <c r="J403" s="24">
        <v>50000</v>
      </c>
      <c r="M403" s="24">
        <v>50000</v>
      </c>
      <c r="O403" s="50" t="s">
        <v>97</v>
      </c>
      <c r="P403" s="50">
        <f>HEX2DEC(RIGHT(Table132321432[[#This Row],[h1]],8))</f>
        <v>0</v>
      </c>
      <c r="Q403" s="50" t="s">
        <v>97</v>
      </c>
      <c r="R403" s="50">
        <f>HEX2DEC(RIGHT(Table132321432[[#This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33" t="s">
        <v>152</v>
      </c>
      <c r="J404" s="24">
        <v>50000</v>
      </c>
      <c r="M404" s="24">
        <v>50000</v>
      </c>
      <c r="O404" s="50" t="s">
        <v>97</v>
      </c>
      <c r="P404" s="50">
        <f>HEX2DEC(RIGHT(Table132321432[[#This Row],[h1]],8))</f>
        <v>0</v>
      </c>
      <c r="Q404" s="50" t="s">
        <v>97</v>
      </c>
      <c r="R404" s="50">
        <f>HEX2DEC(RIGHT(Table132321432[[#This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33" t="s">
        <v>152</v>
      </c>
      <c r="J405" s="24">
        <v>50000</v>
      </c>
      <c r="M405" s="24">
        <v>50000</v>
      </c>
      <c r="O405" s="50" t="s">
        <v>97</v>
      </c>
      <c r="P405" s="50">
        <f>HEX2DEC(RIGHT(Table132321432[[#This Row],[h1]],8))</f>
        <v>0</v>
      </c>
      <c r="Q405" s="50" t="s">
        <v>97</v>
      </c>
      <c r="R405" s="50">
        <f>HEX2DEC(RIGHT(Table132321432[[#This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33" t="s">
        <v>152</v>
      </c>
      <c r="J406" s="24">
        <v>50000</v>
      </c>
      <c r="M406" s="24">
        <v>50000</v>
      </c>
      <c r="O406" s="50" t="s">
        <v>97</v>
      </c>
      <c r="P406" s="50">
        <f>HEX2DEC(RIGHT(Table132321432[[#This Row],[h1]],8))</f>
        <v>0</v>
      </c>
      <c r="Q406" s="50" t="s">
        <v>97</v>
      </c>
      <c r="R406" s="50">
        <f>HEX2DEC(RIGHT(Table132321432[[#This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33" t="s">
        <v>152</v>
      </c>
      <c r="J407" s="24">
        <v>50000</v>
      </c>
      <c r="M407" s="24">
        <v>50000</v>
      </c>
      <c r="O407" s="50" t="s">
        <v>97</v>
      </c>
      <c r="P407" s="50">
        <f>HEX2DEC(RIGHT(Table132321432[[#This Row],[h1]],8))</f>
        <v>0</v>
      </c>
      <c r="Q407" s="50" t="s">
        <v>97</v>
      </c>
      <c r="R407" s="50">
        <f>HEX2DEC(RIGHT(Table132321432[[#This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33" t="s">
        <v>152</v>
      </c>
      <c r="J408" s="24">
        <v>50000</v>
      </c>
      <c r="M408" s="24">
        <v>50000</v>
      </c>
      <c r="O408" s="50" t="s">
        <v>97</v>
      </c>
      <c r="P408" s="50">
        <f>HEX2DEC(RIGHT(Table132321432[[#This Row],[h1]],8))</f>
        <v>0</v>
      </c>
      <c r="Q408" s="50" t="s">
        <v>97</v>
      </c>
      <c r="R408" s="50">
        <f>HEX2DEC(RIGHT(Table132321432[[#This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33" t="s">
        <v>152</v>
      </c>
      <c r="J409" s="24">
        <v>50000</v>
      </c>
      <c r="M409" s="24">
        <v>50000</v>
      </c>
      <c r="O409" s="50" t="s">
        <v>97</v>
      </c>
      <c r="P409" s="50">
        <f>HEX2DEC(RIGHT(Table132321432[[#This Row],[h1]],8))</f>
        <v>0</v>
      </c>
      <c r="Q409" s="50" t="s">
        <v>97</v>
      </c>
      <c r="R409" s="50">
        <f>HEX2DEC(RIGHT(Table132321432[[#This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33" t="s">
        <v>152</v>
      </c>
      <c r="J410" s="24">
        <v>50000</v>
      </c>
      <c r="M410" s="24">
        <v>50000</v>
      </c>
      <c r="O410" s="50" t="s">
        <v>97</v>
      </c>
      <c r="P410" s="50">
        <f>HEX2DEC(RIGHT(Table132321432[[#This Row],[h1]],8))</f>
        <v>0</v>
      </c>
      <c r="Q410" s="50" t="s">
        <v>97</v>
      </c>
      <c r="R410" s="50">
        <f>HEX2DEC(RIGHT(Table132321432[[#This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33" t="s">
        <v>152</v>
      </c>
      <c r="J411" s="24">
        <v>50000</v>
      </c>
      <c r="M411" s="24">
        <v>50000</v>
      </c>
      <c r="O411" s="50" t="s">
        <v>97</v>
      </c>
      <c r="P411" s="50">
        <f>HEX2DEC(RIGHT(Table132321432[[#This Row],[h1]],8))</f>
        <v>0</v>
      </c>
      <c r="Q411" s="50" t="s">
        <v>97</v>
      </c>
      <c r="R411" s="50">
        <f>HEX2DEC(RIGHT(Table132321432[[#This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33" t="s">
        <v>152</v>
      </c>
      <c r="J412" s="24">
        <v>50000</v>
      </c>
      <c r="M412" s="24">
        <v>50000</v>
      </c>
      <c r="O412" s="50" t="s">
        <v>97</v>
      </c>
      <c r="P412" s="50">
        <f>HEX2DEC(RIGHT(Table132321432[[#This Row],[h1]],8))</f>
        <v>0</v>
      </c>
      <c r="Q412" s="50" t="s">
        <v>97</v>
      </c>
      <c r="R412" s="50">
        <f>HEX2DEC(RIGHT(Table132321432[[#This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33" t="s">
        <v>152</v>
      </c>
      <c r="J413" s="24">
        <v>50000</v>
      </c>
      <c r="M413" s="24">
        <v>50000</v>
      </c>
      <c r="O413" s="50" t="s">
        <v>97</v>
      </c>
      <c r="P413" s="50">
        <f>HEX2DEC(RIGHT(Table132321432[[#This Row],[h1]],8))</f>
        <v>0</v>
      </c>
      <c r="Q413" s="50" t="s">
        <v>97</v>
      </c>
      <c r="R413" s="50">
        <f>HEX2DEC(RIGHT(Table132321432[[#This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33" t="s">
        <v>152</v>
      </c>
      <c r="J414" s="24">
        <v>50000</v>
      </c>
      <c r="M414" s="24">
        <v>50000</v>
      </c>
      <c r="O414" s="50" t="s">
        <v>97</v>
      </c>
      <c r="P414" s="50">
        <f>HEX2DEC(RIGHT(Table132321432[[#This Row],[h1]],8))</f>
        <v>0</v>
      </c>
      <c r="Q414" s="50" t="s">
        <v>97</v>
      </c>
      <c r="R414" s="50">
        <f>HEX2DEC(RIGHT(Table132321432[[#This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33" t="s">
        <v>152</v>
      </c>
      <c r="J415" s="24">
        <v>50000</v>
      </c>
      <c r="M415" s="24">
        <v>50000</v>
      </c>
      <c r="O415" s="50" t="s">
        <v>97</v>
      </c>
      <c r="P415" s="50">
        <f>HEX2DEC(RIGHT(Table132321432[[#This Row],[h1]],8))</f>
        <v>0</v>
      </c>
      <c r="Q415" s="50" t="s">
        <v>97</v>
      </c>
      <c r="R415" s="50">
        <f>HEX2DEC(RIGHT(Table132321432[[#This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33" t="s">
        <v>152</v>
      </c>
      <c r="J416" s="24">
        <v>50000</v>
      </c>
      <c r="M416" s="24">
        <v>50000</v>
      </c>
      <c r="O416" s="50" t="s">
        <v>97</v>
      </c>
      <c r="P416" s="50">
        <f>HEX2DEC(RIGHT(Table132321432[[#This Row],[h1]],8))</f>
        <v>0</v>
      </c>
      <c r="Q416" s="50" t="s">
        <v>97</v>
      </c>
      <c r="R416" s="50">
        <f>HEX2DEC(RIGHT(Table132321432[[#This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33" t="s">
        <v>152</v>
      </c>
      <c r="J417" s="24">
        <v>50000</v>
      </c>
      <c r="M417" s="24">
        <v>50000</v>
      </c>
      <c r="O417" s="50" t="s">
        <v>97</v>
      </c>
      <c r="P417" s="50">
        <f>HEX2DEC(RIGHT(Table132321432[[#This Row],[h1]],8))</f>
        <v>0</v>
      </c>
      <c r="Q417" s="50" t="s">
        <v>97</v>
      </c>
      <c r="R417" s="50">
        <f>HEX2DEC(RIGHT(Table132321432[[#This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33" t="s">
        <v>152</v>
      </c>
      <c r="J418" s="24">
        <v>50000</v>
      </c>
      <c r="M418" s="24">
        <v>50000</v>
      </c>
      <c r="O418" s="50" t="s">
        <v>97</v>
      </c>
      <c r="P418" s="50">
        <f>HEX2DEC(RIGHT(Table132321432[[#This Row],[h1]],8))</f>
        <v>0</v>
      </c>
      <c r="Q418" s="50" t="s">
        <v>97</v>
      </c>
      <c r="R418" s="50">
        <f>HEX2DEC(RIGHT(Table132321432[[#This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33" t="s">
        <v>152</v>
      </c>
      <c r="J419" s="24">
        <v>50000</v>
      </c>
      <c r="M419" s="24">
        <v>50000</v>
      </c>
      <c r="O419" s="50" t="s">
        <v>97</v>
      </c>
      <c r="P419" s="50">
        <f>HEX2DEC(RIGHT(Table132321432[[#This Row],[h1]],8))</f>
        <v>0</v>
      </c>
      <c r="Q419" s="50" t="s">
        <v>97</v>
      </c>
      <c r="R419" s="50">
        <f>HEX2DEC(RIGHT(Table132321432[[#This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33" t="s">
        <v>152</v>
      </c>
      <c r="J420" s="24">
        <v>50000</v>
      </c>
      <c r="M420" s="24">
        <v>50000</v>
      </c>
      <c r="O420" s="50" t="s">
        <v>97</v>
      </c>
      <c r="P420" s="50">
        <f>HEX2DEC(RIGHT(Table132321432[[#This Row],[h1]],8))</f>
        <v>0</v>
      </c>
      <c r="Q420" s="50" t="s">
        <v>97</v>
      </c>
      <c r="R420" s="50">
        <f>HEX2DEC(RIGHT(Table132321432[[#This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33" t="s">
        <v>152</v>
      </c>
      <c r="J421" s="24">
        <v>50000</v>
      </c>
      <c r="M421" s="24">
        <v>50000</v>
      </c>
      <c r="O421" s="50" t="s">
        <v>97</v>
      </c>
      <c r="P421" s="50">
        <f>HEX2DEC(RIGHT(Table132321432[[#This Row],[h1]],8))</f>
        <v>0</v>
      </c>
      <c r="Q421" s="50" t="s">
        <v>97</v>
      </c>
      <c r="R421" s="50">
        <f>HEX2DEC(RIGHT(Table132321432[[#This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33" t="s">
        <v>152</v>
      </c>
      <c r="J422" s="24">
        <v>50000</v>
      </c>
      <c r="M422" s="24">
        <v>50000</v>
      </c>
      <c r="O422" s="50" t="s">
        <v>97</v>
      </c>
      <c r="P422" s="50">
        <f>HEX2DEC(RIGHT(Table132321432[[#This Row],[h1]],8))</f>
        <v>0</v>
      </c>
      <c r="Q422" s="50" t="s">
        <v>97</v>
      </c>
      <c r="R422" s="50">
        <f>HEX2DEC(RIGHT(Table132321432[[#This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33" t="s">
        <v>152</v>
      </c>
      <c r="J423" s="24">
        <v>50000</v>
      </c>
      <c r="M423" s="24">
        <v>50000</v>
      </c>
      <c r="O423" s="50" t="s">
        <v>97</v>
      </c>
      <c r="P423" s="50">
        <f>HEX2DEC(RIGHT(Table132321432[[#This Row],[h1]],8))</f>
        <v>0</v>
      </c>
      <c r="Q423" s="50" t="s">
        <v>97</v>
      </c>
      <c r="R423" s="50">
        <f>HEX2DEC(RIGHT(Table132321432[[#This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33" t="s">
        <v>152</v>
      </c>
      <c r="J424" s="24">
        <v>50000</v>
      </c>
      <c r="M424" s="24">
        <v>50000</v>
      </c>
      <c r="O424" s="50" t="s">
        <v>97</v>
      </c>
      <c r="P424" s="50">
        <f>HEX2DEC(RIGHT(Table132321432[[#This Row],[h1]],8))</f>
        <v>0</v>
      </c>
      <c r="Q424" s="50" t="s">
        <v>97</v>
      </c>
      <c r="R424" s="50">
        <f>HEX2DEC(RIGHT(Table132321432[[#This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33" t="s">
        <v>152</v>
      </c>
      <c r="J425" s="24">
        <v>50000</v>
      </c>
      <c r="M425" s="24">
        <v>50000</v>
      </c>
      <c r="O425" s="50" t="s">
        <v>97</v>
      </c>
      <c r="P425" s="50">
        <f>HEX2DEC(RIGHT(Table132321432[[#This Row],[h1]],8))</f>
        <v>0</v>
      </c>
      <c r="Q425" s="50" t="s">
        <v>97</v>
      </c>
      <c r="R425" s="50">
        <f>HEX2DEC(RIGHT(Table132321432[[#This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33" t="s">
        <v>152</v>
      </c>
      <c r="J426" s="24">
        <v>50000</v>
      </c>
      <c r="M426" s="24">
        <v>50000</v>
      </c>
      <c r="O426" s="50" t="s">
        <v>97</v>
      </c>
      <c r="P426" s="50">
        <f>HEX2DEC(RIGHT(Table132321432[[#This Row],[h1]],8))</f>
        <v>0</v>
      </c>
      <c r="Q426" s="50" t="s">
        <v>97</v>
      </c>
      <c r="R426" s="50">
        <f>HEX2DEC(RIGHT(Table132321432[[#This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50" t="s">
        <v>97</v>
      </c>
      <c r="P427" s="50">
        <f>HEX2DEC(RIGHT(Table132321432[[#This Row],[h1]],8))</f>
        <v>0</v>
      </c>
      <c r="Q427" s="50" t="s">
        <v>97</v>
      </c>
      <c r="R427" s="50">
        <f>HEX2DEC(RIGHT(Table132321432[[#This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50" t="s">
        <v>97</v>
      </c>
      <c r="P428" s="50">
        <f>HEX2DEC(RIGHT(Table132321432[[#This Row],[h1]],8))</f>
        <v>0</v>
      </c>
      <c r="Q428" s="50" t="s">
        <v>97</v>
      </c>
      <c r="R428" s="50">
        <f>HEX2DEC(RIGHT(Table132321432[[#This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50" t="s">
        <v>97</v>
      </c>
      <c r="P429" s="50">
        <f>HEX2DEC(RIGHT(Table132321432[[#This Row],[h1]],8))</f>
        <v>0</v>
      </c>
      <c r="Q429" s="50" t="s">
        <v>97</v>
      </c>
      <c r="R429" s="50">
        <f>HEX2DEC(RIGHT(Table132321432[[#This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50" t="s">
        <v>97</v>
      </c>
      <c r="P430" s="50">
        <f>HEX2DEC(RIGHT(Table132321432[[#This Row],[h1]],8))</f>
        <v>0</v>
      </c>
      <c r="Q430" s="50" t="s">
        <v>97</v>
      </c>
      <c r="R430" s="50">
        <f>HEX2DEC(RIGHT(Table132321432[[#This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50" t="s">
        <v>97</v>
      </c>
      <c r="P431" s="50">
        <f>HEX2DEC(RIGHT(Table132321432[[#This Row],[h1]],8))</f>
        <v>0</v>
      </c>
      <c r="Q431" s="50" t="s">
        <v>97</v>
      </c>
      <c r="R431" s="50">
        <f>HEX2DEC(RIGHT(Table132321432[[#This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50" t="s">
        <v>97</v>
      </c>
      <c r="P432" s="50">
        <f>HEX2DEC(RIGHT(Table132321432[[#This Row],[h1]],8))</f>
        <v>0</v>
      </c>
      <c r="Q432" s="50" t="s">
        <v>97</v>
      </c>
      <c r="R432" s="50">
        <f>HEX2DEC(RIGHT(Table132321432[[#This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50" t="s">
        <v>97</v>
      </c>
      <c r="P433" s="50">
        <f>HEX2DEC(RIGHT(Table132321432[[#This Row],[h1]],8))</f>
        <v>0</v>
      </c>
      <c r="Q433" s="50" t="s">
        <v>97</v>
      </c>
      <c r="R433" s="50">
        <f>HEX2DEC(RIGHT(Table132321432[[#This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50" t="s">
        <v>97</v>
      </c>
      <c r="P434" s="50">
        <f>HEX2DEC(RIGHT(Table132321432[[#This Row],[h1]],8))</f>
        <v>0</v>
      </c>
      <c r="Q434" s="50" t="s">
        <v>97</v>
      </c>
      <c r="R434" s="50">
        <f>HEX2DEC(RIGHT(Table132321432[[#This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50" t="s">
        <v>97</v>
      </c>
      <c r="P435" s="50">
        <f>HEX2DEC(RIGHT(Table132321432[[#This Row],[h1]],8))</f>
        <v>0</v>
      </c>
      <c r="Q435" s="50" t="s">
        <v>97</v>
      </c>
      <c r="R435" s="50">
        <f>HEX2DEC(RIGHT(Table132321432[[#This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50" t="s">
        <v>97</v>
      </c>
      <c r="P436" s="50">
        <f>HEX2DEC(RIGHT(Table132321432[[#This Row],[h1]],8))</f>
        <v>0</v>
      </c>
      <c r="Q436" s="50" t="s">
        <v>97</v>
      </c>
      <c r="R436" s="50">
        <f>HEX2DEC(RIGHT(Table132321432[[#This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50" t="s">
        <v>97</v>
      </c>
      <c r="P437" s="50">
        <f>HEX2DEC(RIGHT(Table132321432[[#This Row],[h1]],8))</f>
        <v>0</v>
      </c>
      <c r="Q437" s="50" t="s">
        <v>97</v>
      </c>
      <c r="R437" s="50">
        <f>HEX2DEC(RIGHT(Table132321432[[#This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50" t="s">
        <v>97</v>
      </c>
      <c r="P438" s="50">
        <f>HEX2DEC(RIGHT(Table132321432[[#This Row],[h1]],8))</f>
        <v>0</v>
      </c>
      <c r="Q438" s="50" t="s">
        <v>97</v>
      </c>
      <c r="R438" s="50">
        <f>HEX2DEC(RIGHT(Table132321432[[#This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50" t="s">
        <v>97</v>
      </c>
      <c r="P439" s="50">
        <f>HEX2DEC(RIGHT(Table132321432[[#This Row],[h1]],8))</f>
        <v>0</v>
      </c>
      <c r="Q439" s="50" t="s">
        <v>97</v>
      </c>
      <c r="R439" s="50">
        <f>HEX2DEC(RIGHT(Table132321432[[#This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50" t="s">
        <v>97</v>
      </c>
      <c r="P440" s="50">
        <f>HEX2DEC(RIGHT(Table132321432[[#This Row],[h1]],8))</f>
        <v>0</v>
      </c>
      <c r="Q440" s="50" t="s">
        <v>97</v>
      </c>
      <c r="R440" s="50">
        <f>HEX2DEC(RIGHT(Table132321432[[#This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50" t="s">
        <v>97</v>
      </c>
      <c r="P441" s="50">
        <f>HEX2DEC(RIGHT(Table132321432[[#This Row],[h1]],8))</f>
        <v>0</v>
      </c>
      <c r="Q441" s="50" t="s">
        <v>97</v>
      </c>
      <c r="R441" s="50">
        <f>HEX2DEC(RIGHT(Table132321432[[#This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50" t="s">
        <v>97</v>
      </c>
      <c r="P442" s="50">
        <f>HEX2DEC(RIGHT(Table132321432[[#This Row],[h1]],8))</f>
        <v>0</v>
      </c>
      <c r="Q442" s="50" t="s">
        <v>97</v>
      </c>
      <c r="R442" s="50">
        <f>HEX2DEC(RIGHT(Table132321432[[#This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50" t="s">
        <v>97</v>
      </c>
      <c r="P443" s="50">
        <f>HEX2DEC(RIGHT(Table132321432[[#This Row],[h1]],8))</f>
        <v>0</v>
      </c>
      <c r="Q443" s="50" t="s">
        <v>97</v>
      </c>
      <c r="R443" s="50">
        <f>HEX2DEC(RIGHT(Table132321432[[#This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50" t="s">
        <v>97</v>
      </c>
      <c r="P444" s="50">
        <f>HEX2DEC(RIGHT(Table132321432[[#This Row],[h1]],8))</f>
        <v>0</v>
      </c>
      <c r="Q444" s="50" t="s">
        <v>97</v>
      </c>
      <c r="R444" s="50">
        <f>HEX2DEC(RIGHT(Table132321432[[#This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50" t="s">
        <v>97</v>
      </c>
      <c r="P445" s="50">
        <f>HEX2DEC(RIGHT(Table132321432[[#This Row],[h1]],8))</f>
        <v>0</v>
      </c>
      <c r="Q445" s="50" t="s">
        <v>97</v>
      </c>
      <c r="R445" s="50">
        <f>HEX2DEC(RIGHT(Table132321432[[#This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50" t="s">
        <v>97</v>
      </c>
      <c r="P446" s="50">
        <f>HEX2DEC(RIGHT(Table132321432[[#This Row],[h1]],8))</f>
        <v>0</v>
      </c>
      <c r="Q446" s="50" t="s">
        <v>97</v>
      </c>
      <c r="R446" s="50">
        <f>HEX2DEC(RIGHT(Table132321432[[#This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50" t="s">
        <v>97</v>
      </c>
      <c r="P447" s="50">
        <f>HEX2DEC(RIGHT(Table132321432[[#This Row],[h1]],8))</f>
        <v>0</v>
      </c>
      <c r="Q447" s="50" t="s">
        <v>97</v>
      </c>
      <c r="R447" s="50">
        <f>HEX2DEC(RIGHT(Table132321432[[#This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50" t="s">
        <v>97</v>
      </c>
      <c r="P448" s="50">
        <f>HEX2DEC(RIGHT(Table132321432[[#This Row],[h1]],8))</f>
        <v>0</v>
      </c>
      <c r="Q448" s="50" t="s">
        <v>97</v>
      </c>
      <c r="R448" s="50">
        <f>HEX2DEC(RIGHT(Table132321432[[#This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50" t="s">
        <v>97</v>
      </c>
      <c r="P449" s="50">
        <f>HEX2DEC(RIGHT(Table132321432[[#This Row],[h1]],8))</f>
        <v>0</v>
      </c>
      <c r="Q449" s="50" t="s">
        <v>97</v>
      </c>
      <c r="R449" s="50">
        <f>HEX2DEC(RIGHT(Table132321432[[#This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50" t="s">
        <v>97</v>
      </c>
      <c r="P450" s="50">
        <f>HEX2DEC(RIGHT(Table132321432[[#This Row],[h1]],8))</f>
        <v>0</v>
      </c>
      <c r="Q450" s="50" t="s">
        <v>97</v>
      </c>
      <c r="R450" s="50">
        <f>HEX2DEC(RIGHT(Table132321432[[#This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50" t="s">
        <v>97</v>
      </c>
      <c r="P451" s="50">
        <f>HEX2DEC(RIGHT(Table132321432[[#This Row],[h1]],8))</f>
        <v>0</v>
      </c>
      <c r="Q451" s="50" t="s">
        <v>97</v>
      </c>
      <c r="R451" s="50">
        <f>HEX2DEC(RIGHT(Table132321432[[#This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50" t="s">
        <v>97</v>
      </c>
      <c r="P452" s="50">
        <f>HEX2DEC(RIGHT(Table132321432[[#This Row],[h1]],8))</f>
        <v>0</v>
      </c>
      <c r="Q452" s="50" t="s">
        <v>97</v>
      </c>
      <c r="R452" s="50">
        <f>HEX2DEC(RIGHT(Table132321432[[#This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50" t="s">
        <v>97</v>
      </c>
      <c r="P453" s="50">
        <f>HEX2DEC(RIGHT(Table132321432[[#This Row],[h1]],8))</f>
        <v>0</v>
      </c>
      <c r="Q453" s="50" t="s">
        <v>97</v>
      </c>
      <c r="R453" s="50">
        <f>HEX2DEC(RIGHT(Table132321432[[#This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50" t="s">
        <v>97</v>
      </c>
      <c r="P454" s="50">
        <f>HEX2DEC(RIGHT(Table132321432[[#This Row],[h1]],8))</f>
        <v>0</v>
      </c>
      <c r="Q454" s="50" t="s">
        <v>97</v>
      </c>
      <c r="R454" s="50">
        <f>HEX2DEC(RIGHT(Table132321432[[#This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50" t="s">
        <v>97</v>
      </c>
      <c r="P455" s="50">
        <f>HEX2DEC(RIGHT(Table132321432[[#This Row],[h1]],8))</f>
        <v>0</v>
      </c>
      <c r="Q455" s="50" t="s">
        <v>97</v>
      </c>
      <c r="R455" s="50">
        <f>HEX2DEC(RIGHT(Table132321432[[#This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50" t="s">
        <v>97</v>
      </c>
      <c r="P456" s="50">
        <f>HEX2DEC(RIGHT(Table132321432[[#This Row],[h1]],8))</f>
        <v>0</v>
      </c>
      <c r="Q456" s="50" t="s">
        <v>97</v>
      </c>
      <c r="R456" s="50">
        <f>HEX2DEC(RIGHT(Table132321432[[#This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50" t="s">
        <v>97</v>
      </c>
      <c r="P457" s="50">
        <f>HEX2DEC(RIGHT(Table132321432[[#This Row],[h1]],8))</f>
        <v>0</v>
      </c>
      <c r="Q457" s="50" t="s">
        <v>97</v>
      </c>
      <c r="R457" s="50">
        <f>HEX2DEC(RIGHT(Table132321432[[#This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50" t="s">
        <v>97</v>
      </c>
      <c r="P458" s="50">
        <f>HEX2DEC(RIGHT(Table132321432[[#This Row],[h1]],8))</f>
        <v>0</v>
      </c>
      <c r="Q458" s="50" t="s">
        <v>97</v>
      </c>
      <c r="R458" s="50">
        <f>HEX2DEC(RIGHT(Table132321432[[#This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50" t="s">
        <v>97</v>
      </c>
      <c r="P459" s="50">
        <f>HEX2DEC(RIGHT(Table132321432[[#This Row],[h1]],8))</f>
        <v>0</v>
      </c>
      <c r="Q459" s="50" t="s">
        <v>97</v>
      </c>
      <c r="R459" s="50">
        <f>HEX2DEC(RIGHT(Table132321432[[#This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50" t="s">
        <v>97</v>
      </c>
      <c r="P460" s="50">
        <f>HEX2DEC(RIGHT(Table132321432[[#This Row],[h1]],8))</f>
        <v>0</v>
      </c>
      <c r="Q460" s="50" t="s">
        <v>97</v>
      </c>
      <c r="R460" s="50">
        <f>HEX2DEC(RIGHT(Table132321432[[#This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50" t="s">
        <v>97</v>
      </c>
      <c r="P461" s="50">
        <f>HEX2DEC(RIGHT(Table132321432[[#This Row],[h1]],8))</f>
        <v>0</v>
      </c>
      <c r="Q461" s="50" t="s">
        <v>97</v>
      </c>
      <c r="R461" s="50">
        <f>HEX2DEC(RIGHT(Table132321432[[#This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50" t="s">
        <v>97</v>
      </c>
      <c r="P462" s="50">
        <f>HEX2DEC(RIGHT(Table132321432[[#This Row],[h1]],8))</f>
        <v>0</v>
      </c>
      <c r="Q462" s="50" t="s">
        <v>97</v>
      </c>
      <c r="R462" s="50">
        <f>HEX2DEC(RIGHT(Table132321432[[#This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50" t="s">
        <v>97</v>
      </c>
      <c r="P463" s="50">
        <f>HEX2DEC(RIGHT(Table132321432[[#This Row],[h1]],8))</f>
        <v>0</v>
      </c>
      <c r="Q463" s="50" t="s">
        <v>97</v>
      </c>
      <c r="R463" s="50">
        <f>HEX2DEC(RIGHT(Table132321432[[#This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50" t="s">
        <v>97</v>
      </c>
      <c r="P464" s="50">
        <f>HEX2DEC(RIGHT(Table132321432[[#This Row],[h1]],8))</f>
        <v>0</v>
      </c>
      <c r="Q464" s="50" t="s">
        <v>97</v>
      </c>
      <c r="R464" s="50">
        <f>HEX2DEC(RIGHT(Table132321432[[#This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50" t="s">
        <v>97</v>
      </c>
      <c r="P465" s="50">
        <f>HEX2DEC(RIGHT(Table132321432[[#This Row],[h1]],8))</f>
        <v>0</v>
      </c>
      <c r="Q465" s="50" t="s">
        <v>97</v>
      </c>
      <c r="R465" s="50">
        <f>HEX2DEC(RIGHT(Table132321432[[#This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50" t="s">
        <v>97</v>
      </c>
      <c r="P466" s="50">
        <f>HEX2DEC(RIGHT(Table132321432[[#This Row],[h1]],8))</f>
        <v>0</v>
      </c>
      <c r="Q466" s="50" t="s">
        <v>97</v>
      </c>
      <c r="R466" s="50">
        <f>HEX2DEC(RIGHT(Table132321432[[#This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50" t="s">
        <v>97</v>
      </c>
      <c r="P467" s="50">
        <f>HEX2DEC(RIGHT(Table132321432[[#This Row],[h1]],8))</f>
        <v>0</v>
      </c>
      <c r="Q467" s="50" t="s">
        <v>97</v>
      </c>
      <c r="R467" s="50">
        <f>HEX2DEC(RIGHT(Table132321432[[#This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50" t="s">
        <v>97</v>
      </c>
      <c r="P468" s="50">
        <f>HEX2DEC(RIGHT(Table132321432[[#This Row],[h1]],8))</f>
        <v>0</v>
      </c>
      <c r="Q468" s="50" t="s">
        <v>97</v>
      </c>
      <c r="R468" s="50">
        <f>HEX2DEC(RIGHT(Table132321432[[#This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50" t="s">
        <v>97</v>
      </c>
      <c r="P469" s="50">
        <f>HEX2DEC(RIGHT(Table132321432[[#This Row],[h1]],8))</f>
        <v>0</v>
      </c>
      <c r="Q469" s="50" t="s">
        <v>97</v>
      </c>
      <c r="R469" s="50">
        <f>HEX2DEC(RIGHT(Table132321432[[#This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50" t="s">
        <v>97</v>
      </c>
      <c r="P470" s="50">
        <f>HEX2DEC(RIGHT(Table132321432[[#This Row],[h1]],8))</f>
        <v>0</v>
      </c>
      <c r="Q470" s="50" t="s">
        <v>97</v>
      </c>
      <c r="R470" s="50">
        <f>HEX2DEC(RIGHT(Table132321432[[#This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50" t="s">
        <v>97</v>
      </c>
      <c r="P471" s="50">
        <f>HEX2DEC(RIGHT(Table132321432[[#This Row],[h1]],8))</f>
        <v>0</v>
      </c>
      <c r="Q471" s="50" t="s">
        <v>97</v>
      </c>
      <c r="R471" s="50">
        <f>HEX2DEC(RIGHT(Table132321432[[#This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50" t="s">
        <v>97</v>
      </c>
      <c r="P472" s="50">
        <f>HEX2DEC(RIGHT(Table132321432[[#This Row],[h1]],8))</f>
        <v>0</v>
      </c>
      <c r="Q472" s="50" t="s">
        <v>97</v>
      </c>
      <c r="R472" s="50">
        <f>HEX2DEC(RIGHT(Table132321432[[#This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50" t="s">
        <v>97</v>
      </c>
      <c r="P473" s="50">
        <f>HEX2DEC(RIGHT(Table132321432[[#This Row],[h1]],8))</f>
        <v>0</v>
      </c>
      <c r="Q473" s="50" t="s">
        <v>97</v>
      </c>
      <c r="R473" s="50">
        <f>HEX2DEC(RIGHT(Table132321432[[#This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50" t="s">
        <v>97</v>
      </c>
      <c r="P474" s="50">
        <f>HEX2DEC(RIGHT(Table132321432[[#This Row],[h1]],8))</f>
        <v>0</v>
      </c>
      <c r="Q474" s="50" t="s">
        <v>97</v>
      </c>
      <c r="R474" s="50">
        <f>HEX2DEC(RIGHT(Table132321432[[#This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50" t="s">
        <v>97</v>
      </c>
      <c r="P475" s="50">
        <f>HEX2DEC(RIGHT(Table132321432[[#This Row],[h1]],8))</f>
        <v>0</v>
      </c>
      <c r="Q475" s="50" t="s">
        <v>97</v>
      </c>
      <c r="R475" s="50">
        <f>HEX2DEC(RIGHT(Table132321432[[#This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50" t="s">
        <v>97</v>
      </c>
      <c r="P476" s="50">
        <f>HEX2DEC(RIGHT(Table132321432[[#This Row],[h1]],8))</f>
        <v>0</v>
      </c>
      <c r="Q476" s="50" t="s">
        <v>97</v>
      </c>
      <c r="R476" s="50">
        <f>HEX2DEC(RIGHT(Table132321432[[#This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50" t="s">
        <v>97</v>
      </c>
      <c r="P477" s="50">
        <f>HEX2DEC(RIGHT(Table132321432[[#This Row],[h1]],8))</f>
        <v>0</v>
      </c>
      <c r="Q477" s="50" t="s">
        <v>97</v>
      </c>
      <c r="R477" s="50">
        <f>HEX2DEC(RIGHT(Table132321432[[#This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50" t="s">
        <v>97</v>
      </c>
      <c r="P478" s="50">
        <f>HEX2DEC(RIGHT(Table132321432[[#This Row],[h1]],8))</f>
        <v>0</v>
      </c>
      <c r="Q478" s="50" t="s">
        <v>97</v>
      </c>
      <c r="R478" s="50">
        <f>HEX2DEC(RIGHT(Table132321432[[#This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50" t="s">
        <v>97</v>
      </c>
      <c r="P479" s="50">
        <f>HEX2DEC(RIGHT(Table132321432[[#This Row],[h1]],8))</f>
        <v>0</v>
      </c>
      <c r="Q479" s="50" t="s">
        <v>97</v>
      </c>
      <c r="R479" s="50">
        <f>HEX2DEC(RIGHT(Table132321432[[#This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50" t="s">
        <v>97</v>
      </c>
      <c r="P480" s="50">
        <f>HEX2DEC(RIGHT(Table132321432[[#This Row],[h1]],8))</f>
        <v>0</v>
      </c>
      <c r="Q480" s="50" t="s">
        <v>97</v>
      </c>
      <c r="R480" s="50">
        <f>HEX2DEC(RIGHT(Table132321432[[#This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50" t="s">
        <v>97</v>
      </c>
      <c r="P481" s="50">
        <f>HEX2DEC(RIGHT(Table132321432[[#This Row],[h1]],8))</f>
        <v>0</v>
      </c>
      <c r="Q481" s="50" t="s">
        <v>97</v>
      </c>
      <c r="R481" s="50">
        <f>HEX2DEC(RIGHT(Table132321432[[#This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50" t="s">
        <v>97</v>
      </c>
      <c r="P482" s="50">
        <f>HEX2DEC(RIGHT(Table132321432[[#This Row],[h1]],8))</f>
        <v>0</v>
      </c>
      <c r="Q482" s="50" t="s">
        <v>97</v>
      </c>
      <c r="R482" s="50">
        <f>HEX2DEC(RIGHT(Table132321432[[#This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50" t="s">
        <v>97</v>
      </c>
      <c r="P483" s="50">
        <f>HEX2DEC(RIGHT(Table132321432[[#This Row],[h1]],8))</f>
        <v>0</v>
      </c>
      <c r="Q483" s="50" t="s">
        <v>97</v>
      </c>
      <c r="R483" s="50">
        <f>HEX2DEC(RIGHT(Table132321432[[#This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50" t="s">
        <v>97</v>
      </c>
      <c r="P484" s="50">
        <f>HEX2DEC(RIGHT(Table132321432[[#This Row],[h1]],8))</f>
        <v>0</v>
      </c>
      <c r="Q484" s="50" t="s">
        <v>97</v>
      </c>
      <c r="R484" s="50">
        <f>HEX2DEC(RIGHT(Table132321432[[#This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50" t="s">
        <v>97</v>
      </c>
      <c r="P485" s="50">
        <f>HEX2DEC(RIGHT(Table132321432[[#This Row],[h1]],8))</f>
        <v>0</v>
      </c>
      <c r="Q485" s="50" t="s">
        <v>97</v>
      </c>
      <c r="R485" s="50">
        <f>HEX2DEC(RIGHT(Table132321432[[#This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50" t="s">
        <v>97</v>
      </c>
      <c r="P486" s="50">
        <f>HEX2DEC(RIGHT(Table132321432[[#This Row],[h1]],8))</f>
        <v>0</v>
      </c>
      <c r="Q486" s="50" t="s">
        <v>97</v>
      </c>
      <c r="R486" s="50">
        <f>HEX2DEC(RIGHT(Table132321432[[#This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50" t="s">
        <v>97</v>
      </c>
      <c r="P487" s="50">
        <f>HEX2DEC(RIGHT(Table132321432[[#This Row],[h1]],8))</f>
        <v>0</v>
      </c>
      <c r="Q487" s="50" t="s">
        <v>97</v>
      </c>
      <c r="R487" s="50">
        <f>HEX2DEC(RIGHT(Table132321432[[#This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50" t="s">
        <v>97</v>
      </c>
      <c r="P488" s="50">
        <f>HEX2DEC(RIGHT(Table132321432[[#This Row],[h1]],8))</f>
        <v>0</v>
      </c>
      <c r="Q488" s="50" t="s">
        <v>97</v>
      </c>
      <c r="R488" s="50">
        <f>HEX2DEC(RIGHT(Table132321432[[#This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50" t="s">
        <v>97</v>
      </c>
      <c r="P489" s="50">
        <f>HEX2DEC(RIGHT(Table132321432[[#This Row],[h1]],8))</f>
        <v>0</v>
      </c>
      <c r="Q489" s="50" t="s">
        <v>97</v>
      </c>
      <c r="R489" s="50">
        <f>HEX2DEC(RIGHT(Table132321432[[#This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50" t="s">
        <v>97</v>
      </c>
      <c r="P490" s="50">
        <f>HEX2DEC(RIGHT(Table132321432[[#This Row],[h1]],8))</f>
        <v>0</v>
      </c>
      <c r="Q490" s="50" t="s">
        <v>97</v>
      </c>
      <c r="R490" s="50">
        <f>HEX2DEC(RIGHT(Table132321432[[#This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50" t="s">
        <v>97</v>
      </c>
      <c r="P491" s="50">
        <f>HEX2DEC(RIGHT(Table132321432[[#This Row],[h1]],8))</f>
        <v>0</v>
      </c>
      <c r="Q491" s="50" t="s">
        <v>97</v>
      </c>
      <c r="R491" s="50">
        <f>HEX2DEC(RIGHT(Table132321432[[#This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50" t="s">
        <v>97</v>
      </c>
      <c r="P492" s="50">
        <f>HEX2DEC(RIGHT(Table132321432[[#This Row],[h1]],8))</f>
        <v>0</v>
      </c>
      <c r="Q492" s="50" t="s">
        <v>97</v>
      </c>
      <c r="R492" s="50">
        <f>HEX2DEC(RIGHT(Table132321432[[#This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50" t="s">
        <v>97</v>
      </c>
      <c r="P493" s="50">
        <f>HEX2DEC(RIGHT(Table132321432[[#This Row],[h1]],8))</f>
        <v>0</v>
      </c>
      <c r="Q493" s="50" t="s">
        <v>97</v>
      </c>
      <c r="R493" s="50">
        <f>HEX2DEC(RIGHT(Table132321432[[#This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50" t="s">
        <v>97</v>
      </c>
      <c r="P494" s="50">
        <f>HEX2DEC(RIGHT(Table132321432[[#This Row],[h1]],8))</f>
        <v>0</v>
      </c>
      <c r="Q494" s="50" t="s">
        <v>97</v>
      </c>
      <c r="R494" s="50">
        <f>HEX2DEC(RIGHT(Table132321432[[#This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50" t="s">
        <v>97</v>
      </c>
      <c r="P495" s="50">
        <f>HEX2DEC(RIGHT(Table132321432[[#This Row],[h1]],8))</f>
        <v>0</v>
      </c>
      <c r="Q495" s="50" t="s">
        <v>97</v>
      </c>
      <c r="R495" s="50">
        <f>HEX2DEC(RIGHT(Table132321432[[#This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50" t="s">
        <v>97</v>
      </c>
      <c r="P496" s="50">
        <f>HEX2DEC(RIGHT(Table132321432[[#This Row],[h1]],8))</f>
        <v>0</v>
      </c>
      <c r="Q496" s="50" t="s">
        <v>97</v>
      </c>
      <c r="R496" s="50">
        <f>HEX2DEC(RIGHT(Table132321432[[#This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50" t="s">
        <v>97</v>
      </c>
      <c r="P497" s="50">
        <f>HEX2DEC(RIGHT(Table132321432[[#This Row],[h1]],8))</f>
        <v>0</v>
      </c>
      <c r="Q497" s="50" t="s">
        <v>97</v>
      </c>
      <c r="R497" s="50">
        <f>HEX2DEC(RIGHT(Table132321432[[#This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50" t="s">
        <v>97</v>
      </c>
      <c r="P498" s="50">
        <f>HEX2DEC(RIGHT(Table132321432[[#This Row],[h1]],8))</f>
        <v>0</v>
      </c>
      <c r="Q498" s="50" t="s">
        <v>97</v>
      </c>
      <c r="R498" s="50">
        <f>HEX2DEC(RIGHT(Table132321432[[#This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50" t="s">
        <v>97</v>
      </c>
      <c r="P499" s="50">
        <f>HEX2DEC(RIGHT(Table132321432[[#This Row],[h1]],8))</f>
        <v>0</v>
      </c>
      <c r="Q499" s="50" t="s">
        <v>97</v>
      </c>
      <c r="R499" s="50">
        <f>HEX2DEC(RIGHT(Table132321432[[#This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50" t="s">
        <v>97</v>
      </c>
      <c r="P500" s="50">
        <f>HEX2DEC(RIGHT(Table132321432[[#This Row],[h1]],8))</f>
        <v>0</v>
      </c>
      <c r="Q500" s="50" t="s">
        <v>97</v>
      </c>
      <c r="R500" s="50">
        <f>HEX2DEC(RIGHT(Table132321432[[#This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50" t="s">
        <v>97</v>
      </c>
      <c r="P501" s="50">
        <f>HEX2DEC(RIGHT(Table132321432[[#This Row],[h1]],8))</f>
        <v>0</v>
      </c>
      <c r="Q501" s="50" t="s">
        <v>97</v>
      </c>
      <c r="R501" s="50">
        <f>HEX2DEC(RIGHT(Table132321432[[#This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50" t="s">
        <v>97</v>
      </c>
      <c r="P502" s="50">
        <f>HEX2DEC(RIGHT(Table132321432[[#This Row],[h1]],8))</f>
        <v>0</v>
      </c>
      <c r="Q502" s="50" t="s">
        <v>97</v>
      </c>
      <c r="R502" s="50">
        <f>HEX2DEC(RIGHT(Table132321432[[#This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50" t="s">
        <v>97</v>
      </c>
      <c r="P503" s="50">
        <f>HEX2DEC(RIGHT(Table132321432[[#This Row],[h1]],8))</f>
        <v>0</v>
      </c>
      <c r="Q503" s="50" t="s">
        <v>97</v>
      </c>
      <c r="R503" s="50">
        <f>HEX2DEC(RIGHT(Table132321432[[#This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50" t="s">
        <v>97</v>
      </c>
      <c r="P504" s="50">
        <f>HEX2DEC(RIGHT(Table132321432[[#This Row],[h1]],8))</f>
        <v>0</v>
      </c>
      <c r="Q504" s="50" t="s">
        <v>97</v>
      </c>
      <c r="R504" s="50">
        <f>HEX2DEC(RIGHT(Table132321432[[#This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50" t="s">
        <v>97</v>
      </c>
      <c r="P505" s="50">
        <f>HEX2DEC(RIGHT(Table132321432[[#This Row],[h1]],8))</f>
        <v>0</v>
      </c>
      <c r="Q505" s="50" t="s">
        <v>97</v>
      </c>
      <c r="R505" s="50">
        <f>HEX2DEC(RIGHT(Table132321432[[#This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50" t="s">
        <v>97</v>
      </c>
      <c r="P506" s="50">
        <f>HEX2DEC(RIGHT(Table132321432[[#This Row],[h1]],8))</f>
        <v>0</v>
      </c>
      <c r="Q506" s="50" t="s">
        <v>97</v>
      </c>
      <c r="R506" s="50">
        <f>HEX2DEC(RIGHT(Table132321432[[#This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50" t="s">
        <v>97</v>
      </c>
      <c r="P507" s="50">
        <f>HEX2DEC(RIGHT(Table132321432[[#This Row],[h1]],8))</f>
        <v>0</v>
      </c>
      <c r="Q507" s="50" t="s">
        <v>97</v>
      </c>
      <c r="R507" s="50">
        <f>HEX2DEC(RIGHT(Table132321432[[#This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50" t="s">
        <v>97</v>
      </c>
      <c r="P508" s="50">
        <f>HEX2DEC(RIGHT(Table132321432[[#This Row],[h1]],8))</f>
        <v>0</v>
      </c>
      <c r="Q508" s="50" t="s">
        <v>97</v>
      </c>
      <c r="R508" s="50">
        <f>HEX2DEC(RIGHT(Table132321432[[#This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50" t="s">
        <v>97</v>
      </c>
      <c r="P509" s="50">
        <f>HEX2DEC(RIGHT(Table132321432[[#This Row],[h1]],8))</f>
        <v>0</v>
      </c>
      <c r="Q509" s="50" t="s">
        <v>97</v>
      </c>
      <c r="R509" s="50">
        <f>HEX2DEC(RIGHT(Table132321432[[#This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50" t="s">
        <v>97</v>
      </c>
      <c r="P510" s="50">
        <f>HEX2DEC(RIGHT(Table132321432[[#This Row],[h1]],8))</f>
        <v>0</v>
      </c>
      <c r="Q510" s="50" t="s">
        <v>97</v>
      </c>
      <c r="R510" s="50">
        <f>HEX2DEC(RIGHT(Table132321432[[#This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50" t="s">
        <v>97</v>
      </c>
      <c r="P511" s="50">
        <f>HEX2DEC(RIGHT(Table132321432[[#This Row],[h1]],8))</f>
        <v>0</v>
      </c>
      <c r="Q511" s="50" t="s">
        <v>97</v>
      </c>
      <c r="R511" s="50">
        <f>HEX2DEC(RIGHT(Table132321432[[#This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50" t="s">
        <v>97</v>
      </c>
      <c r="P512" s="50">
        <f>HEX2DEC(RIGHT(Table132321432[[#This Row],[h1]],8))</f>
        <v>0</v>
      </c>
      <c r="Q512" s="50" t="s">
        <v>97</v>
      </c>
      <c r="R512" s="50">
        <f>HEX2DEC(RIGHT(Table132321432[[#This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50" t="s">
        <v>97</v>
      </c>
      <c r="P513" s="50">
        <f>HEX2DEC(RIGHT(Table132321432[[#This Row],[h1]],8))</f>
        <v>0</v>
      </c>
      <c r="Q513" s="50" t="s">
        <v>97</v>
      </c>
      <c r="R513" s="50">
        <f>HEX2DEC(RIGHT(Table132321432[[#This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50" t="s">
        <v>97</v>
      </c>
      <c r="P514" s="50">
        <f>HEX2DEC(RIGHT(Table132321432[[#This Row],[h1]],8))</f>
        <v>0</v>
      </c>
      <c r="Q514" s="50" t="s">
        <v>97</v>
      </c>
      <c r="R514" s="50">
        <f>HEX2DEC(RIGHT(Table132321432[[#This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50" t="s">
        <v>97</v>
      </c>
      <c r="P515" s="50">
        <f>HEX2DEC(RIGHT(Table132321432[[#This Row],[h1]],8))</f>
        <v>0</v>
      </c>
      <c r="Q515" s="50" t="s">
        <v>97</v>
      </c>
      <c r="R515" s="50">
        <f>HEX2DEC(RIGHT(Table132321432[[#This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50" t="s">
        <v>97</v>
      </c>
      <c r="P516" s="50">
        <f>HEX2DEC(RIGHT(Table132321432[[#This Row],[h1]],8))</f>
        <v>0</v>
      </c>
      <c r="Q516" s="50" t="s">
        <v>97</v>
      </c>
      <c r="R516" s="50">
        <f>HEX2DEC(RIGHT(Table132321432[[#This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50" t="s">
        <v>97</v>
      </c>
      <c r="P517" s="50">
        <f>HEX2DEC(RIGHT(Table132321432[[#This Row],[h1]],8))</f>
        <v>0</v>
      </c>
      <c r="Q517" s="50" t="s">
        <v>97</v>
      </c>
      <c r="R517" s="50">
        <f>HEX2DEC(RIGHT(Table132321432[[#This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50" t="s">
        <v>97</v>
      </c>
      <c r="P518" s="50">
        <f>HEX2DEC(RIGHT(Table132321432[[#This Row],[h1]],8))</f>
        <v>0</v>
      </c>
      <c r="Q518" s="50" t="s">
        <v>97</v>
      </c>
      <c r="R518" s="50">
        <f>HEX2DEC(RIGHT(Table132321432[[#This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50" t="s">
        <v>97</v>
      </c>
      <c r="P519" s="50">
        <f>HEX2DEC(RIGHT(Table132321432[[#This Row],[h1]],8))</f>
        <v>0</v>
      </c>
      <c r="Q519" s="50" t="s">
        <v>97</v>
      </c>
      <c r="R519" s="50">
        <f>HEX2DEC(RIGHT(Table132321432[[#This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50" t="s">
        <v>97</v>
      </c>
      <c r="P520" s="50">
        <f>HEX2DEC(RIGHT(Table132321432[[#This Row],[h1]],8))</f>
        <v>0</v>
      </c>
      <c r="Q520" s="50" t="s">
        <v>97</v>
      </c>
      <c r="R520" s="50">
        <f>HEX2DEC(RIGHT(Table132321432[[#This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50" t="s">
        <v>97</v>
      </c>
      <c r="P521" s="50">
        <f>HEX2DEC(RIGHT(Table132321432[[#This Row],[h1]],8))</f>
        <v>0</v>
      </c>
      <c r="Q521" s="50" t="s">
        <v>97</v>
      </c>
      <c r="R521" s="50">
        <f>HEX2DEC(RIGHT(Table132321432[[#This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50" t="s">
        <v>97</v>
      </c>
      <c r="P522" s="50">
        <f>HEX2DEC(RIGHT(Table132321432[[#This Row],[h1]],8))</f>
        <v>0</v>
      </c>
      <c r="Q522" s="50" t="s">
        <v>97</v>
      </c>
      <c r="R522" s="50">
        <f>HEX2DEC(RIGHT(Table132321432[[#This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50" t="s">
        <v>97</v>
      </c>
      <c r="P523" s="50">
        <f>HEX2DEC(RIGHT(Table132321432[[#This Row],[h1]],8))</f>
        <v>0</v>
      </c>
      <c r="Q523" s="50" t="s">
        <v>97</v>
      </c>
      <c r="R523" s="50">
        <f>HEX2DEC(RIGHT(Table132321432[[#This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50" t="s">
        <v>97</v>
      </c>
      <c r="P524" s="50">
        <f>HEX2DEC(RIGHT(Table132321432[[#This Row],[h1]],8))</f>
        <v>0</v>
      </c>
      <c r="Q524" s="50" t="s">
        <v>97</v>
      </c>
      <c r="R524" s="50">
        <f>HEX2DEC(RIGHT(Table132321432[[#This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50" t="s">
        <v>97</v>
      </c>
      <c r="P525" s="50">
        <f>HEX2DEC(RIGHT(Table132321432[[#This Row],[h1]],8))</f>
        <v>0</v>
      </c>
      <c r="Q525" s="50" t="s">
        <v>97</v>
      </c>
      <c r="R525" s="50">
        <f>HEX2DEC(RIGHT(Table132321432[[#This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50" t="s">
        <v>97</v>
      </c>
      <c r="P526" s="50">
        <f>HEX2DEC(RIGHT(Table132321432[[#This Row],[h1]],8))</f>
        <v>0</v>
      </c>
      <c r="Q526" s="50" t="s">
        <v>97</v>
      </c>
      <c r="R526" s="50">
        <f>HEX2DEC(RIGHT(Table132321432[[#This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50" t="s">
        <v>97</v>
      </c>
      <c r="P527" s="50">
        <f>HEX2DEC(RIGHT(Table132321432[[#This Row],[h1]],8))</f>
        <v>0</v>
      </c>
      <c r="Q527" s="50" t="s">
        <v>97</v>
      </c>
      <c r="R527" s="50">
        <f>HEX2DEC(RIGHT(Table132321432[[#This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50" t="s">
        <v>97</v>
      </c>
      <c r="P528" s="50">
        <f>HEX2DEC(RIGHT(Table132321432[[#This Row],[h1]],8))</f>
        <v>0</v>
      </c>
      <c r="Q528" s="50" t="s">
        <v>97</v>
      </c>
      <c r="R528" s="50">
        <f>HEX2DEC(RIGHT(Table132321432[[#This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50" t="s">
        <v>97</v>
      </c>
      <c r="P529" s="50">
        <f>HEX2DEC(RIGHT(Table132321432[[#This Row],[h1]],8))</f>
        <v>0</v>
      </c>
      <c r="Q529" s="50" t="s">
        <v>97</v>
      </c>
      <c r="R529" s="50">
        <f>HEX2DEC(RIGHT(Table132321432[[#This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50" t="s">
        <v>97</v>
      </c>
      <c r="P530" s="50">
        <f>HEX2DEC(RIGHT(Table132321432[[#This Row],[h1]],8))</f>
        <v>0</v>
      </c>
      <c r="Q530" s="50" t="s">
        <v>97</v>
      </c>
      <c r="R530" s="50">
        <f>HEX2DEC(RIGHT(Table132321432[[#This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50" t="s">
        <v>97</v>
      </c>
      <c r="P531" s="50">
        <f>HEX2DEC(RIGHT(Table132321432[[#This Row],[h1]],8))</f>
        <v>0</v>
      </c>
      <c r="Q531" s="50" t="s">
        <v>97</v>
      </c>
      <c r="R531" s="50">
        <f>HEX2DEC(RIGHT(Table132321432[[#This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50" t="s">
        <v>97</v>
      </c>
      <c r="P532" s="50">
        <f>HEX2DEC(RIGHT(Table132321432[[#This Row],[h1]],8))</f>
        <v>0</v>
      </c>
      <c r="Q532" s="50" t="s">
        <v>97</v>
      </c>
      <c r="R532" s="50">
        <f>HEX2DEC(RIGHT(Table132321432[[#This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50" t="s">
        <v>97</v>
      </c>
      <c r="P533" s="50">
        <f>HEX2DEC(RIGHT(Table132321432[[#This Row],[h1]],8))</f>
        <v>0</v>
      </c>
      <c r="Q533" s="50" t="s">
        <v>97</v>
      </c>
      <c r="R533" s="50">
        <f>HEX2DEC(RIGHT(Table132321432[[#This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50" t="s">
        <v>97</v>
      </c>
      <c r="P534" s="50">
        <f>HEX2DEC(RIGHT(Table132321432[[#This Row],[h1]],8))</f>
        <v>0</v>
      </c>
      <c r="Q534" s="50" t="s">
        <v>97</v>
      </c>
      <c r="R534" s="50">
        <f>HEX2DEC(RIGHT(Table132321432[[#This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50" t="s">
        <v>97</v>
      </c>
      <c r="P535" s="50">
        <f>HEX2DEC(RIGHT(Table132321432[[#This Row],[h1]],8))</f>
        <v>0</v>
      </c>
      <c r="Q535" s="50" t="s">
        <v>97</v>
      </c>
      <c r="R535" s="50">
        <f>HEX2DEC(RIGHT(Table132321432[[#This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50" t="s">
        <v>97</v>
      </c>
      <c r="P536" s="50">
        <f>HEX2DEC(RIGHT(Table132321432[[#This Row],[h1]],8))</f>
        <v>0</v>
      </c>
      <c r="Q536" s="50" t="s">
        <v>97</v>
      </c>
      <c r="R536" s="50">
        <f>HEX2DEC(RIGHT(Table132321432[[#This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50" t="s">
        <v>97</v>
      </c>
      <c r="P537" s="50">
        <f>HEX2DEC(RIGHT(Table132321432[[#This Row],[h1]],8))</f>
        <v>0</v>
      </c>
      <c r="Q537" s="50" t="s">
        <v>97</v>
      </c>
      <c r="R537" s="50">
        <f>HEX2DEC(RIGHT(Table132321432[[#This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50" t="s">
        <v>97</v>
      </c>
      <c r="P538" s="50">
        <f>HEX2DEC(RIGHT(Table132321432[[#This Row],[h1]],8))</f>
        <v>0</v>
      </c>
      <c r="Q538" s="50" t="s">
        <v>97</v>
      </c>
      <c r="R538" s="50">
        <f>HEX2DEC(RIGHT(Table132321432[[#This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50" t="s">
        <v>97</v>
      </c>
      <c r="P539" s="50">
        <f>HEX2DEC(RIGHT(Table132321432[[#This Row],[h1]],8))</f>
        <v>0</v>
      </c>
      <c r="Q539" s="50" t="s">
        <v>97</v>
      </c>
      <c r="R539" s="50">
        <f>HEX2DEC(RIGHT(Table132321432[[#This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50" t="s">
        <v>97</v>
      </c>
      <c r="P540" s="50">
        <f>HEX2DEC(RIGHT(Table132321432[[#This Row],[h1]],8))</f>
        <v>0</v>
      </c>
      <c r="Q540" s="50" t="s">
        <v>97</v>
      </c>
      <c r="R540" s="50">
        <f>HEX2DEC(RIGHT(Table132321432[[#This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50" t="s">
        <v>97</v>
      </c>
      <c r="P541" s="50">
        <f>HEX2DEC(RIGHT(Table132321432[[#This Row],[h1]],8))</f>
        <v>0</v>
      </c>
      <c r="Q541" s="50" t="s">
        <v>97</v>
      </c>
      <c r="R541" s="50">
        <f>HEX2DEC(RIGHT(Table132321432[[#This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50" t="s">
        <v>97</v>
      </c>
      <c r="P542" s="50">
        <f>HEX2DEC(RIGHT(Table132321432[[#This Row],[h1]],8))</f>
        <v>0</v>
      </c>
      <c r="Q542" s="50" t="s">
        <v>97</v>
      </c>
      <c r="R542" s="50">
        <f>HEX2DEC(RIGHT(Table132321432[[#This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50" t="s">
        <v>97</v>
      </c>
      <c r="P543" s="50">
        <f>HEX2DEC(RIGHT(Table132321432[[#This Row],[h1]],8))</f>
        <v>0</v>
      </c>
      <c r="Q543" s="50" t="s">
        <v>97</v>
      </c>
      <c r="R543" s="50">
        <f>HEX2DEC(RIGHT(Table132321432[[#This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50" t="s">
        <v>97</v>
      </c>
      <c r="P544" s="50">
        <f>HEX2DEC(RIGHT(Table132321432[[#This Row],[h1]],8))</f>
        <v>0</v>
      </c>
      <c r="Q544" s="50" t="s">
        <v>97</v>
      </c>
      <c r="R544" s="50">
        <f>HEX2DEC(RIGHT(Table132321432[[#This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50" t="s">
        <v>97</v>
      </c>
      <c r="P545" s="50">
        <f>HEX2DEC(RIGHT(Table132321432[[#This Row],[h1]],8))</f>
        <v>0</v>
      </c>
      <c r="Q545" s="50" t="s">
        <v>97</v>
      </c>
      <c r="R545" s="50">
        <f>HEX2DEC(RIGHT(Table132321432[[#This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50" t="s">
        <v>97</v>
      </c>
      <c r="P546" s="50">
        <f>HEX2DEC(RIGHT(Table132321432[[#This Row],[h1]],8))</f>
        <v>0</v>
      </c>
      <c r="Q546" s="50" t="s">
        <v>97</v>
      </c>
      <c r="R546" s="50">
        <f>HEX2DEC(RIGHT(Table132321432[[#This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50" t="s">
        <v>97</v>
      </c>
      <c r="P547" s="50">
        <f>HEX2DEC(RIGHT(Table132321432[[#This Row],[h1]],8))</f>
        <v>0</v>
      </c>
      <c r="Q547" s="50" t="s">
        <v>97</v>
      </c>
      <c r="R547" s="50">
        <f>HEX2DEC(RIGHT(Table132321432[[#This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50" t="s">
        <v>97</v>
      </c>
      <c r="P548" s="50">
        <f>HEX2DEC(RIGHT(Table132321432[[#This Row],[h1]],8))</f>
        <v>0</v>
      </c>
      <c r="Q548" s="50" t="s">
        <v>97</v>
      </c>
      <c r="R548" s="50">
        <f>HEX2DEC(RIGHT(Table132321432[[#This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50" t="s">
        <v>97</v>
      </c>
      <c r="P549" s="50">
        <f>HEX2DEC(RIGHT(Table132321432[[#This Row],[h1]],8))</f>
        <v>0</v>
      </c>
      <c r="Q549" s="50" t="s">
        <v>97</v>
      </c>
      <c r="R549" s="50">
        <f>HEX2DEC(RIGHT(Table132321432[[#This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50" t="s">
        <v>97</v>
      </c>
      <c r="P550" s="50">
        <f>HEX2DEC(RIGHT(Table132321432[[#This Row],[h1]],8))</f>
        <v>0</v>
      </c>
      <c r="Q550" s="50" t="s">
        <v>97</v>
      </c>
      <c r="R550" s="50">
        <f>HEX2DEC(RIGHT(Table132321432[[#This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50" t="s">
        <v>97</v>
      </c>
      <c r="P551" s="50">
        <f>HEX2DEC(RIGHT(Table132321432[[#This Row],[h1]],8))</f>
        <v>0</v>
      </c>
      <c r="Q551" s="50" t="s">
        <v>97</v>
      </c>
      <c r="R551" s="50">
        <f>HEX2DEC(RIGHT(Table132321432[[#This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50" t="s">
        <v>97</v>
      </c>
      <c r="P552" s="50">
        <f>HEX2DEC(RIGHT(Table132321432[[#This Row],[h1]],8))</f>
        <v>0</v>
      </c>
      <c r="Q552" s="50" t="s">
        <v>97</v>
      </c>
      <c r="R552" s="50">
        <f>HEX2DEC(RIGHT(Table132321432[[#This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50" t="s">
        <v>97</v>
      </c>
      <c r="P553" s="50">
        <f>HEX2DEC(RIGHT(Table132321432[[#This Row],[h1]],8))</f>
        <v>0</v>
      </c>
      <c r="Q553" s="50" t="s">
        <v>97</v>
      </c>
      <c r="R553" s="50">
        <f>HEX2DEC(RIGHT(Table132321432[[#This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50" t="s">
        <v>97</v>
      </c>
      <c r="P554" s="50">
        <f>HEX2DEC(RIGHT(Table132321432[[#This Row],[h1]],8))</f>
        <v>0</v>
      </c>
      <c r="Q554" s="50" t="s">
        <v>97</v>
      </c>
      <c r="R554" s="50">
        <f>HEX2DEC(RIGHT(Table132321432[[#This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50" t="s">
        <v>97</v>
      </c>
      <c r="P555" s="50">
        <f>HEX2DEC(RIGHT(Table132321432[[#This Row],[h1]],8))</f>
        <v>0</v>
      </c>
      <c r="Q555" s="50" t="s">
        <v>97</v>
      </c>
      <c r="R555" s="50">
        <f>HEX2DEC(RIGHT(Table132321432[[#This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50" t="s">
        <v>97</v>
      </c>
      <c r="P556" s="50">
        <f>HEX2DEC(RIGHT(Table132321432[[#This Row],[h1]],8))</f>
        <v>0</v>
      </c>
      <c r="Q556" s="50" t="s">
        <v>97</v>
      </c>
      <c r="R556" s="50">
        <f>HEX2DEC(RIGHT(Table132321432[[#This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50" t="s">
        <v>97</v>
      </c>
      <c r="P557" s="50">
        <f>HEX2DEC(RIGHT(Table132321432[[#This Row],[h1]],8))</f>
        <v>0</v>
      </c>
      <c r="Q557" s="50" t="s">
        <v>97</v>
      </c>
      <c r="R557" s="50">
        <f>HEX2DEC(RIGHT(Table132321432[[#This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50" t="s">
        <v>97</v>
      </c>
      <c r="P558" s="50">
        <f>HEX2DEC(RIGHT(Table132321432[[#This Row],[h1]],8))</f>
        <v>0</v>
      </c>
      <c r="Q558" s="50" t="s">
        <v>97</v>
      </c>
      <c r="R558" s="50">
        <f>HEX2DEC(RIGHT(Table132321432[[#This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50" t="s">
        <v>97</v>
      </c>
      <c r="P559" s="50">
        <f>HEX2DEC(RIGHT(Table132321432[[#This Row],[h1]],8))</f>
        <v>0</v>
      </c>
      <c r="Q559" s="50" t="s">
        <v>97</v>
      </c>
      <c r="R559" s="50">
        <f>HEX2DEC(RIGHT(Table132321432[[#This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50" t="s">
        <v>97</v>
      </c>
      <c r="P560" s="50">
        <f>HEX2DEC(RIGHT(Table132321432[[#This Row],[h1]],8))</f>
        <v>0</v>
      </c>
      <c r="Q560" s="50" t="s">
        <v>97</v>
      </c>
      <c r="R560" s="50">
        <f>HEX2DEC(RIGHT(Table132321432[[#This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50" t="s">
        <v>97</v>
      </c>
      <c r="P561" s="50">
        <f>HEX2DEC(RIGHT(Table132321432[[#This Row],[h1]],8))</f>
        <v>0</v>
      </c>
      <c r="Q561" s="50" t="s">
        <v>97</v>
      </c>
      <c r="R561" s="50">
        <f>HEX2DEC(RIGHT(Table132321432[[#This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50" t="s">
        <v>97</v>
      </c>
      <c r="P562" s="50">
        <f>HEX2DEC(RIGHT(Table132321432[[#This Row],[h1]],8))</f>
        <v>0</v>
      </c>
      <c r="Q562" s="50" t="s">
        <v>97</v>
      </c>
      <c r="R562" s="50">
        <f>HEX2DEC(RIGHT(Table132321432[[#This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50" t="s">
        <v>97</v>
      </c>
      <c r="P563" s="50">
        <f>HEX2DEC(RIGHT(Table132321432[[#This Row],[h1]],8))</f>
        <v>0</v>
      </c>
      <c r="Q563" s="50" t="s">
        <v>97</v>
      </c>
      <c r="R563" s="50">
        <f>HEX2DEC(RIGHT(Table132321432[[#This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50" t="s">
        <v>97</v>
      </c>
      <c r="P564" s="50">
        <f>HEX2DEC(RIGHT(Table132321432[[#This Row],[h1]],8))</f>
        <v>0</v>
      </c>
      <c r="Q564" s="50" t="s">
        <v>97</v>
      </c>
      <c r="R564" s="50">
        <f>HEX2DEC(RIGHT(Table132321432[[#This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50" t="s">
        <v>97</v>
      </c>
      <c r="P565" s="50">
        <f>HEX2DEC(RIGHT(Table132321432[[#This Row],[h1]],8))</f>
        <v>0</v>
      </c>
      <c r="Q565" s="50" t="s">
        <v>97</v>
      </c>
      <c r="R565" s="50">
        <f>HEX2DEC(RIGHT(Table132321432[[#This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50" t="s">
        <v>97</v>
      </c>
      <c r="P566" s="50">
        <f>HEX2DEC(RIGHT(Table132321432[[#This Row],[h1]],8))</f>
        <v>0</v>
      </c>
      <c r="Q566" s="50" t="s">
        <v>97</v>
      </c>
      <c r="R566" s="50">
        <f>HEX2DEC(RIGHT(Table132321432[[#This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50" t="s">
        <v>97</v>
      </c>
      <c r="P567" s="50">
        <f>HEX2DEC(RIGHT(Table132321432[[#This Row],[h1]],8))</f>
        <v>0</v>
      </c>
      <c r="Q567" s="50" t="s">
        <v>97</v>
      </c>
      <c r="R567" s="50">
        <f>HEX2DEC(RIGHT(Table132321432[[#This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50" t="s">
        <v>97</v>
      </c>
      <c r="P568" s="50">
        <f>HEX2DEC(RIGHT(Table132321432[[#This Row],[h1]],8))</f>
        <v>0</v>
      </c>
      <c r="Q568" s="50" t="s">
        <v>97</v>
      </c>
      <c r="R568" s="50">
        <f>HEX2DEC(RIGHT(Table132321432[[#This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50" t="s">
        <v>97</v>
      </c>
      <c r="P569" s="50">
        <f>HEX2DEC(RIGHT(Table132321432[[#This Row],[h1]],8))</f>
        <v>0</v>
      </c>
      <c r="Q569" s="50" t="s">
        <v>97</v>
      </c>
      <c r="R569" s="50">
        <f>HEX2DEC(RIGHT(Table132321432[[#This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50" t="s">
        <v>97</v>
      </c>
      <c r="P570" s="50">
        <f>HEX2DEC(RIGHT(Table132321432[[#This Row],[h1]],8))</f>
        <v>0</v>
      </c>
      <c r="Q570" s="50" t="s">
        <v>97</v>
      </c>
      <c r="R570" s="50">
        <f>HEX2DEC(RIGHT(Table132321432[[#This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50" t="s">
        <v>97</v>
      </c>
      <c r="P571" s="50">
        <f>HEX2DEC(RIGHT(Table132321432[[#This Row],[h1]],8))</f>
        <v>0</v>
      </c>
      <c r="Q571" s="50" t="s">
        <v>97</v>
      </c>
      <c r="R571" s="50">
        <f>HEX2DEC(RIGHT(Table132321432[[#This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50" t="s">
        <v>97</v>
      </c>
      <c r="P572" s="50">
        <f>HEX2DEC(RIGHT(Table132321432[[#This Row],[h1]],8))</f>
        <v>0</v>
      </c>
      <c r="Q572" s="50" t="s">
        <v>97</v>
      </c>
      <c r="R572" s="50">
        <f>HEX2DEC(RIGHT(Table132321432[[#This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50" t="s">
        <v>97</v>
      </c>
      <c r="P573" s="50">
        <f>HEX2DEC(RIGHT(Table132321432[[#This Row],[h1]],8))</f>
        <v>0</v>
      </c>
      <c r="Q573" s="50" t="s">
        <v>97</v>
      </c>
      <c r="R573" s="50">
        <f>HEX2DEC(RIGHT(Table132321432[[#This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50" t="s">
        <v>97</v>
      </c>
      <c r="P574" s="50">
        <f>HEX2DEC(RIGHT(Table132321432[[#This Row],[h1]],8))</f>
        <v>0</v>
      </c>
      <c r="Q574" s="50" t="s">
        <v>97</v>
      </c>
      <c r="R574" s="50">
        <f>HEX2DEC(RIGHT(Table132321432[[#This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50" t="s">
        <v>97</v>
      </c>
      <c r="P575" s="50">
        <f>HEX2DEC(RIGHT(Table132321432[[#This Row],[h1]],8))</f>
        <v>0</v>
      </c>
      <c r="Q575" s="50" t="s">
        <v>97</v>
      </c>
      <c r="R575" s="50">
        <f>HEX2DEC(RIGHT(Table132321432[[#This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50" t="s">
        <v>97</v>
      </c>
      <c r="P576" s="50">
        <f>HEX2DEC(RIGHT(Table132321432[[#This Row],[h1]],8))</f>
        <v>0</v>
      </c>
      <c r="Q576" s="50" t="s">
        <v>97</v>
      </c>
      <c r="R576" s="50">
        <f>HEX2DEC(RIGHT(Table132321432[[#This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50" t="s">
        <v>97</v>
      </c>
      <c r="P577" s="50">
        <f>HEX2DEC(RIGHT(Table132321432[[#This Row],[h1]],8))</f>
        <v>0</v>
      </c>
      <c r="Q577" s="50" t="s">
        <v>97</v>
      </c>
      <c r="R577" s="50">
        <f>HEX2DEC(RIGHT(Table132321432[[#This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50" t="s">
        <v>97</v>
      </c>
      <c r="P578" s="50">
        <f>HEX2DEC(RIGHT(Table132321432[[#This Row],[h1]],8))</f>
        <v>0</v>
      </c>
      <c r="Q578" s="50" t="s">
        <v>97</v>
      </c>
      <c r="R578" s="50">
        <f>HEX2DEC(RIGHT(Table132321432[[#This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50" t="s">
        <v>97</v>
      </c>
      <c r="P579" s="50">
        <f>HEX2DEC(RIGHT(Table132321432[[#This Row],[h1]],8))</f>
        <v>0</v>
      </c>
      <c r="Q579" s="50" t="s">
        <v>97</v>
      </c>
      <c r="R579" s="50">
        <f>HEX2DEC(RIGHT(Table132321432[[#This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50" t="s">
        <v>97</v>
      </c>
      <c r="P580" s="50">
        <f>HEX2DEC(RIGHT(Table132321432[[#This Row],[h1]],8))</f>
        <v>0</v>
      </c>
      <c r="Q580" s="50" t="s">
        <v>97</v>
      </c>
      <c r="R580" s="50">
        <f>HEX2DEC(RIGHT(Table132321432[[#This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50" t="s">
        <v>97</v>
      </c>
      <c r="P581" s="50">
        <f>HEX2DEC(RIGHT(Table132321432[[#This Row],[h1]],8))</f>
        <v>0</v>
      </c>
      <c r="Q581" s="50" t="s">
        <v>97</v>
      </c>
      <c r="R581" s="50">
        <f>HEX2DEC(RIGHT(Table132321432[[#This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50" t="s">
        <v>97</v>
      </c>
      <c r="P582" s="50">
        <f>HEX2DEC(RIGHT(Table132321432[[#This Row],[h1]],8))</f>
        <v>0</v>
      </c>
      <c r="Q582" s="50" t="s">
        <v>97</v>
      </c>
      <c r="R582" s="50">
        <f>HEX2DEC(RIGHT(Table132321432[[#This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50" t="s">
        <v>97</v>
      </c>
      <c r="P583" s="50">
        <f>HEX2DEC(RIGHT(Table132321432[[#This Row],[h1]],8))</f>
        <v>0</v>
      </c>
      <c r="Q583" s="50" t="s">
        <v>97</v>
      </c>
      <c r="R583" s="50">
        <f>HEX2DEC(RIGHT(Table132321432[[#This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50" t="s">
        <v>97</v>
      </c>
      <c r="P584" s="50">
        <f>HEX2DEC(RIGHT(Table132321432[[#This Row],[h1]],8))</f>
        <v>0</v>
      </c>
      <c r="Q584" s="50" t="s">
        <v>97</v>
      </c>
      <c r="R584" s="50">
        <f>HEX2DEC(RIGHT(Table132321432[[#This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50" t="s">
        <v>97</v>
      </c>
      <c r="P585" s="50">
        <f>HEX2DEC(RIGHT(Table132321432[[#This Row],[h1]],8))</f>
        <v>0</v>
      </c>
      <c r="Q585" s="50" t="s">
        <v>97</v>
      </c>
      <c r="R585" s="50">
        <f>HEX2DEC(RIGHT(Table132321432[[#This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50" t="s">
        <v>97</v>
      </c>
      <c r="P586" s="50">
        <f>HEX2DEC(RIGHT(Table132321432[[#This Row],[h1]],8))</f>
        <v>0</v>
      </c>
      <c r="Q586" s="50" t="s">
        <v>97</v>
      </c>
      <c r="R586" s="50">
        <f>HEX2DEC(RIGHT(Table132321432[[#This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50" t="s">
        <v>97</v>
      </c>
      <c r="P587" s="50">
        <f>HEX2DEC(RIGHT(Table132321432[[#This Row],[h1]],8))</f>
        <v>0</v>
      </c>
      <c r="Q587" s="50" t="s">
        <v>97</v>
      </c>
      <c r="R587" s="50">
        <f>HEX2DEC(RIGHT(Table132321432[[#This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50" t="s">
        <v>97</v>
      </c>
      <c r="P588" s="50">
        <f>HEX2DEC(RIGHT(Table132321432[[#This Row],[h1]],8))</f>
        <v>0</v>
      </c>
      <c r="Q588" s="50" t="s">
        <v>97</v>
      </c>
      <c r="R588" s="50">
        <f>HEX2DEC(RIGHT(Table132321432[[#This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50" t="s">
        <v>97</v>
      </c>
      <c r="P589" s="50">
        <f>HEX2DEC(RIGHT(Table132321432[[#This Row],[h1]],8))</f>
        <v>0</v>
      </c>
      <c r="Q589" s="50" t="s">
        <v>97</v>
      </c>
      <c r="R589" s="50">
        <f>HEX2DEC(RIGHT(Table132321432[[#This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50" t="s">
        <v>97</v>
      </c>
      <c r="P590" s="50">
        <f>HEX2DEC(RIGHT(Table132321432[[#This Row],[h1]],8))</f>
        <v>0</v>
      </c>
      <c r="Q590" s="50" t="s">
        <v>97</v>
      </c>
      <c r="R590" s="50">
        <f>HEX2DEC(RIGHT(Table132321432[[#This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50" t="s">
        <v>97</v>
      </c>
      <c r="P591" s="50">
        <f>HEX2DEC(RIGHT(Table132321432[[#This Row],[h1]],8))</f>
        <v>0</v>
      </c>
      <c r="Q591" s="50" t="s">
        <v>97</v>
      </c>
      <c r="R591" s="50">
        <f>HEX2DEC(RIGHT(Table132321432[[#This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50" t="s">
        <v>97</v>
      </c>
      <c r="P592" s="50">
        <f>HEX2DEC(RIGHT(Table132321432[[#This Row],[h1]],8))</f>
        <v>0</v>
      </c>
      <c r="Q592" s="50" t="s">
        <v>97</v>
      </c>
      <c r="R592" s="50">
        <f>HEX2DEC(RIGHT(Table132321432[[#This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50" t="s">
        <v>97</v>
      </c>
      <c r="P593" s="50">
        <f>HEX2DEC(RIGHT(Table132321432[[#This Row],[h1]],8))</f>
        <v>0</v>
      </c>
      <c r="Q593" s="50" t="s">
        <v>97</v>
      </c>
      <c r="R593" s="50">
        <f>HEX2DEC(RIGHT(Table132321432[[#This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50" t="s">
        <v>97</v>
      </c>
      <c r="P594" s="50">
        <f>HEX2DEC(RIGHT(Table132321432[[#This Row],[h1]],8))</f>
        <v>0</v>
      </c>
      <c r="Q594" s="50" t="s">
        <v>97</v>
      </c>
      <c r="R594" s="50">
        <f>HEX2DEC(RIGHT(Table132321432[[#This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50" t="s">
        <v>97</v>
      </c>
      <c r="P595" s="50">
        <f>HEX2DEC(RIGHT(Table132321432[[#This Row],[h1]],8))</f>
        <v>0</v>
      </c>
      <c r="Q595" s="50" t="s">
        <v>97</v>
      </c>
      <c r="R595" s="50">
        <f>HEX2DEC(RIGHT(Table132321432[[#This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50" t="s">
        <v>97</v>
      </c>
      <c r="P596" s="50">
        <f>HEX2DEC(RIGHT(Table132321432[[#This Row],[h1]],8))</f>
        <v>0</v>
      </c>
      <c r="Q596" s="50" t="s">
        <v>97</v>
      </c>
      <c r="R596" s="50">
        <f>HEX2DEC(RIGHT(Table132321432[[#This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50" t="s">
        <v>97</v>
      </c>
      <c r="P597" s="50">
        <f>HEX2DEC(RIGHT(Table132321432[[#This Row],[h1]],8))</f>
        <v>0</v>
      </c>
      <c r="Q597" s="50" t="s">
        <v>97</v>
      </c>
      <c r="R597" s="50">
        <f>HEX2DEC(RIGHT(Table132321432[[#This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50" t="s">
        <v>97</v>
      </c>
      <c r="P598" s="50">
        <f>HEX2DEC(RIGHT(Table132321432[[#This Row],[h1]],8))</f>
        <v>0</v>
      </c>
      <c r="Q598" s="50" t="s">
        <v>97</v>
      </c>
      <c r="R598" s="50">
        <f>HEX2DEC(RIGHT(Table132321432[[#This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50" t="s">
        <v>97</v>
      </c>
      <c r="P599" s="50">
        <f>HEX2DEC(RIGHT(Table132321432[[#This Row],[h1]],8))</f>
        <v>0</v>
      </c>
      <c r="Q599" s="50" t="s">
        <v>97</v>
      </c>
      <c r="R599" s="50">
        <f>HEX2DEC(RIGHT(Table132321432[[#This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50" t="s">
        <v>97</v>
      </c>
      <c r="P600" s="50">
        <f>HEX2DEC(RIGHT(Table132321432[[#This Row],[h1]],8))</f>
        <v>0</v>
      </c>
      <c r="Q600" s="50" t="s">
        <v>97</v>
      </c>
      <c r="R600" s="50">
        <f>HEX2DEC(RIGHT(Table132321432[[#This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50" t="s">
        <v>97</v>
      </c>
      <c r="P601" s="50">
        <f>HEX2DEC(RIGHT(Table132321432[[#This Row],[h1]],8))</f>
        <v>0</v>
      </c>
      <c r="Q601" s="50" t="s">
        <v>97</v>
      </c>
      <c r="R601" s="50">
        <f>HEX2DEC(RIGHT(Table132321432[[#This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50" t="s">
        <v>97</v>
      </c>
      <c r="P602" s="50">
        <f>HEX2DEC(RIGHT(Table132321432[[#This Row],[h1]],8))</f>
        <v>0</v>
      </c>
      <c r="Q602" s="50" t="s">
        <v>97</v>
      </c>
      <c r="R602" s="50">
        <f>HEX2DEC(RIGHT(Table132321432[[#This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50" t="s">
        <v>97</v>
      </c>
      <c r="P603" s="50">
        <f>HEX2DEC(RIGHT(Table132321432[[#This Row],[h1]],8))</f>
        <v>0</v>
      </c>
      <c r="Q603" s="50" t="s">
        <v>97</v>
      </c>
      <c r="R603" s="50">
        <f>HEX2DEC(RIGHT(Table132321432[[#This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50" t="s">
        <v>97</v>
      </c>
      <c r="P604" s="50">
        <f>HEX2DEC(RIGHT(Table132321432[[#This Row],[h1]],8))</f>
        <v>0</v>
      </c>
      <c r="Q604" s="50" t="s">
        <v>97</v>
      </c>
      <c r="R604" s="50">
        <f>HEX2DEC(RIGHT(Table132321432[[#This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50" t="s">
        <v>97</v>
      </c>
      <c r="P605" s="50">
        <f>HEX2DEC(RIGHT(Table132321432[[#This Row],[h1]],8))</f>
        <v>0</v>
      </c>
      <c r="Q605" s="50" t="s">
        <v>97</v>
      </c>
      <c r="R605" s="50">
        <f>HEX2DEC(RIGHT(Table132321432[[#This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50" t="s">
        <v>97</v>
      </c>
      <c r="P606" s="50">
        <f>HEX2DEC(RIGHT(Table132321432[[#This Row],[h1]],8))</f>
        <v>0</v>
      </c>
      <c r="Q606" s="50" t="s">
        <v>97</v>
      </c>
      <c r="R606" s="50">
        <f>HEX2DEC(RIGHT(Table132321432[[#This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50" t="s">
        <v>97</v>
      </c>
      <c r="P607" s="50">
        <f>HEX2DEC(RIGHT(Table132321432[[#This Row],[h1]],8))</f>
        <v>0</v>
      </c>
      <c r="Q607" s="50" t="s">
        <v>97</v>
      </c>
      <c r="R607" s="50">
        <f>HEX2DEC(RIGHT(Table132321432[[#This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50" t="s">
        <v>97</v>
      </c>
      <c r="P608" s="50">
        <f>HEX2DEC(RIGHT(Table132321432[[#This Row],[h1]],8))</f>
        <v>0</v>
      </c>
      <c r="Q608" s="50" t="s">
        <v>97</v>
      </c>
      <c r="R608" s="50">
        <f>HEX2DEC(RIGHT(Table132321432[[#This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50" t="s">
        <v>97</v>
      </c>
      <c r="P609" s="50">
        <f>HEX2DEC(RIGHT(Table132321432[[#This Row],[h1]],8))</f>
        <v>0</v>
      </c>
      <c r="Q609" s="50" t="s">
        <v>97</v>
      </c>
      <c r="R609" s="50">
        <f>HEX2DEC(RIGHT(Table132321432[[#This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50" t="s">
        <v>97</v>
      </c>
      <c r="P610" s="50">
        <f>HEX2DEC(RIGHT(Table132321432[[#This Row],[h1]],8))</f>
        <v>0</v>
      </c>
      <c r="Q610" s="50" t="s">
        <v>97</v>
      </c>
      <c r="R610" s="50">
        <f>HEX2DEC(RIGHT(Table132321432[[#This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50" t="s">
        <v>97</v>
      </c>
      <c r="P611" s="50">
        <f>HEX2DEC(RIGHT(Table132321432[[#This Row],[h1]],8))</f>
        <v>0</v>
      </c>
      <c r="Q611" s="50" t="s">
        <v>97</v>
      </c>
      <c r="R611" s="50">
        <f>HEX2DEC(RIGHT(Table132321432[[#This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50" t="s">
        <v>97</v>
      </c>
      <c r="P612" s="50">
        <f>HEX2DEC(RIGHT(Table132321432[[#This Row],[h1]],8))</f>
        <v>0</v>
      </c>
      <c r="Q612" s="50" t="s">
        <v>97</v>
      </c>
      <c r="R612" s="50">
        <f>HEX2DEC(RIGHT(Table132321432[[#This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50" t="s">
        <v>97</v>
      </c>
      <c r="P613" s="50">
        <f>HEX2DEC(RIGHT(Table132321432[[#This Row],[h1]],8))</f>
        <v>0</v>
      </c>
      <c r="Q613" s="50" t="s">
        <v>97</v>
      </c>
      <c r="R613" s="50">
        <f>HEX2DEC(RIGHT(Table132321432[[#This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50" t="s">
        <v>97</v>
      </c>
      <c r="P614" s="50">
        <f>HEX2DEC(RIGHT(Table132321432[[#This Row],[h1]],8))</f>
        <v>0</v>
      </c>
      <c r="Q614" s="50" t="s">
        <v>97</v>
      </c>
      <c r="R614" s="50">
        <f>HEX2DEC(RIGHT(Table132321432[[#This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50" t="s">
        <v>97</v>
      </c>
      <c r="P615" s="50">
        <f>HEX2DEC(RIGHT(Table132321432[[#This Row],[h1]],8))</f>
        <v>0</v>
      </c>
      <c r="Q615" s="50" t="s">
        <v>97</v>
      </c>
      <c r="R615" s="50">
        <f>HEX2DEC(RIGHT(Table132321432[[#This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50" t="s">
        <v>97</v>
      </c>
      <c r="P616" s="50">
        <f>HEX2DEC(RIGHT(Table132321432[[#This Row],[h1]],8))</f>
        <v>0</v>
      </c>
      <c r="Q616" s="50" t="s">
        <v>97</v>
      </c>
      <c r="R616" s="50">
        <f>HEX2DEC(RIGHT(Table132321432[[#This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50" t="s">
        <v>97</v>
      </c>
      <c r="P617" s="50">
        <f>HEX2DEC(RIGHT(Table132321432[[#This Row],[h1]],8))</f>
        <v>0</v>
      </c>
      <c r="Q617" s="50" t="s">
        <v>97</v>
      </c>
      <c r="R617" s="50">
        <f>HEX2DEC(RIGHT(Table132321432[[#This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50" t="s">
        <v>97</v>
      </c>
      <c r="P618" s="50">
        <f>HEX2DEC(RIGHT(Table132321432[[#This Row],[h1]],8))</f>
        <v>0</v>
      </c>
      <c r="Q618" s="50" t="s">
        <v>97</v>
      </c>
      <c r="R618" s="50">
        <f>HEX2DEC(RIGHT(Table132321432[[#This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50" t="s">
        <v>97</v>
      </c>
      <c r="P619" s="50">
        <f>HEX2DEC(RIGHT(Table132321432[[#This Row],[h1]],8))</f>
        <v>0</v>
      </c>
      <c r="Q619" s="50" t="s">
        <v>97</v>
      </c>
      <c r="R619" s="50">
        <f>HEX2DEC(RIGHT(Table132321432[[#This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50" t="s">
        <v>97</v>
      </c>
      <c r="P620" s="50">
        <f>HEX2DEC(RIGHT(Table132321432[[#This Row],[h1]],8))</f>
        <v>0</v>
      </c>
      <c r="Q620" s="50" t="s">
        <v>97</v>
      </c>
      <c r="R620" s="50">
        <f>HEX2DEC(RIGHT(Table132321432[[#This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50" t="s">
        <v>97</v>
      </c>
      <c r="P621" s="50">
        <f>HEX2DEC(RIGHT(Table132321432[[#This Row],[h1]],8))</f>
        <v>0</v>
      </c>
      <c r="Q621" s="50" t="s">
        <v>97</v>
      </c>
      <c r="R621" s="50">
        <f>HEX2DEC(RIGHT(Table132321432[[#This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50" t="s">
        <v>97</v>
      </c>
      <c r="P622" s="50">
        <f>HEX2DEC(RIGHT(Table132321432[[#This Row],[h1]],8))</f>
        <v>0</v>
      </c>
      <c r="Q622" s="50" t="s">
        <v>97</v>
      </c>
      <c r="R622" s="50">
        <f>HEX2DEC(RIGHT(Table132321432[[#This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50" t="s">
        <v>97</v>
      </c>
      <c r="P623" s="50">
        <f>HEX2DEC(RIGHT(Table132321432[[#This Row],[h1]],8))</f>
        <v>0</v>
      </c>
      <c r="Q623" s="50" t="s">
        <v>97</v>
      </c>
      <c r="R623" s="50">
        <f>HEX2DEC(RIGHT(Table132321432[[#This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50" t="s">
        <v>97</v>
      </c>
      <c r="P624" s="50">
        <f>HEX2DEC(RIGHT(Table132321432[[#This Row],[h1]],8))</f>
        <v>0</v>
      </c>
      <c r="Q624" s="50" t="s">
        <v>97</v>
      </c>
      <c r="R624" s="50">
        <f>HEX2DEC(RIGHT(Table132321432[[#This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50" t="s">
        <v>97</v>
      </c>
      <c r="P625" s="50">
        <f>HEX2DEC(RIGHT(Table132321432[[#This Row],[h1]],8))</f>
        <v>0</v>
      </c>
      <c r="Q625" s="50" t="s">
        <v>97</v>
      </c>
      <c r="R625" s="50">
        <f>HEX2DEC(RIGHT(Table132321432[[#This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50" t="s">
        <v>97</v>
      </c>
      <c r="P626" s="50">
        <f>HEX2DEC(RIGHT(Table132321432[[#This Row],[h1]],8))</f>
        <v>0</v>
      </c>
      <c r="Q626" s="50" t="s">
        <v>97</v>
      </c>
      <c r="R626" s="50">
        <f>HEX2DEC(RIGHT(Table132321432[[#This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50" t="s">
        <v>97</v>
      </c>
      <c r="P627" s="50">
        <f>HEX2DEC(RIGHT(Table132321432[[#This Row],[h1]],8))</f>
        <v>0</v>
      </c>
      <c r="Q627" s="50" t="s">
        <v>97</v>
      </c>
      <c r="R627" s="50">
        <f>HEX2DEC(RIGHT(Table132321432[[#This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50" t="s">
        <v>97</v>
      </c>
      <c r="P628" s="50">
        <f>HEX2DEC(RIGHT(Table132321432[[#This Row],[h1]],8))</f>
        <v>0</v>
      </c>
      <c r="Q628" s="50" t="s">
        <v>97</v>
      </c>
      <c r="R628" s="50">
        <f>HEX2DEC(RIGHT(Table132321432[[#This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50" t="s">
        <v>97</v>
      </c>
      <c r="P629" s="50">
        <f>HEX2DEC(RIGHT(Table132321432[[#This Row],[h1]],8))</f>
        <v>0</v>
      </c>
      <c r="Q629" s="50" t="s">
        <v>97</v>
      </c>
      <c r="R629" s="50">
        <f>HEX2DEC(RIGHT(Table132321432[[#This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50" t="s">
        <v>97</v>
      </c>
      <c r="P630" s="50">
        <f>HEX2DEC(RIGHT(Table132321432[[#This Row],[h1]],8))</f>
        <v>0</v>
      </c>
      <c r="Q630" s="50" t="s">
        <v>97</v>
      </c>
      <c r="R630" s="50">
        <f>HEX2DEC(RIGHT(Table132321432[[#This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50" t="s">
        <v>97</v>
      </c>
      <c r="P631" s="50">
        <f>HEX2DEC(RIGHT(Table132321432[[#This Row],[h1]],8))</f>
        <v>0</v>
      </c>
      <c r="Q631" s="50" t="s">
        <v>97</v>
      </c>
      <c r="R631" s="50">
        <f>HEX2DEC(RIGHT(Table132321432[[#This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50" t="s">
        <v>97</v>
      </c>
      <c r="P632" s="50">
        <f>HEX2DEC(RIGHT(Table132321432[[#This Row],[h1]],8))</f>
        <v>0</v>
      </c>
      <c r="Q632" s="50" t="s">
        <v>97</v>
      </c>
      <c r="R632" s="50">
        <f>HEX2DEC(RIGHT(Table132321432[[#This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50" t="s">
        <v>97</v>
      </c>
      <c r="P633" s="50">
        <f>HEX2DEC(RIGHT(Table132321432[[#This Row],[h1]],8))</f>
        <v>0</v>
      </c>
      <c r="Q633" s="50" t="s">
        <v>97</v>
      </c>
      <c r="R633" s="50">
        <f>HEX2DEC(RIGHT(Table132321432[[#This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50" t="s">
        <v>97</v>
      </c>
      <c r="P634" s="50">
        <f>HEX2DEC(RIGHT(Table132321432[[#This Row],[h1]],8))</f>
        <v>0</v>
      </c>
      <c r="Q634" s="50" t="s">
        <v>97</v>
      </c>
      <c r="R634" s="50">
        <f>HEX2DEC(RIGHT(Table132321432[[#This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50" t="s">
        <v>97</v>
      </c>
      <c r="P635" s="50">
        <f>HEX2DEC(RIGHT(Table132321432[[#This Row],[h1]],8))</f>
        <v>0</v>
      </c>
      <c r="Q635" s="50" t="s">
        <v>97</v>
      </c>
      <c r="R635" s="50">
        <f>HEX2DEC(RIGHT(Table132321432[[#This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50" t="s">
        <v>97</v>
      </c>
      <c r="P636" s="50">
        <f>HEX2DEC(RIGHT(Table132321432[[#This Row],[h1]],8))</f>
        <v>0</v>
      </c>
      <c r="Q636" s="50" t="s">
        <v>97</v>
      </c>
      <c r="R636" s="50">
        <f>HEX2DEC(RIGHT(Table132321432[[#This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50" t="s">
        <v>97</v>
      </c>
      <c r="P637" s="50">
        <f>HEX2DEC(RIGHT(Table132321432[[#This Row],[h1]],8))</f>
        <v>0</v>
      </c>
      <c r="Q637" s="50" t="s">
        <v>97</v>
      </c>
      <c r="R637" s="50">
        <f>HEX2DEC(RIGHT(Table132321432[[#This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50" t="s">
        <v>97</v>
      </c>
      <c r="P638" s="50">
        <f>HEX2DEC(RIGHT(Table132321432[[#This Row],[h1]],8))</f>
        <v>0</v>
      </c>
      <c r="Q638" s="50" t="s">
        <v>97</v>
      </c>
      <c r="R638" s="50">
        <f>HEX2DEC(RIGHT(Table132321432[[#This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50" t="s">
        <v>97</v>
      </c>
      <c r="P639" s="50">
        <f>HEX2DEC(RIGHT(Table132321432[[#This Row],[h1]],8))</f>
        <v>0</v>
      </c>
      <c r="Q639" s="50" t="s">
        <v>97</v>
      </c>
      <c r="R639" s="50">
        <f>HEX2DEC(RIGHT(Table132321432[[#This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50" t="s">
        <v>97</v>
      </c>
      <c r="P640" s="50">
        <f>HEX2DEC(RIGHT(Table132321432[[#This Row],[h1]],8))</f>
        <v>0</v>
      </c>
      <c r="Q640" s="50" t="s">
        <v>97</v>
      </c>
      <c r="R640" s="50">
        <f>HEX2DEC(RIGHT(Table132321432[[#This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50" t="s">
        <v>97</v>
      </c>
      <c r="P641" s="50">
        <f>HEX2DEC(RIGHT(Table132321432[[#This Row],[h1]],8))</f>
        <v>0</v>
      </c>
      <c r="Q641" s="50" t="s">
        <v>97</v>
      </c>
      <c r="R641" s="50">
        <f>HEX2DEC(RIGHT(Table132321432[[#This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50" t="s">
        <v>97</v>
      </c>
      <c r="P642" s="50">
        <f>HEX2DEC(RIGHT(Table132321432[[#This Row],[h1]],8))</f>
        <v>0</v>
      </c>
      <c r="Q642" s="50" t="s">
        <v>97</v>
      </c>
      <c r="R642" s="50">
        <f>HEX2DEC(RIGHT(Table132321432[[#This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50" t="s">
        <v>97</v>
      </c>
      <c r="P643" s="50">
        <f>HEX2DEC(RIGHT(Table132321432[[#This Row],[h1]],8))</f>
        <v>0</v>
      </c>
      <c r="Q643" s="50" t="s">
        <v>97</v>
      </c>
      <c r="R643" s="50">
        <f>HEX2DEC(RIGHT(Table132321432[[#This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50" t="s">
        <v>97</v>
      </c>
      <c r="P644" s="50">
        <f>HEX2DEC(RIGHT(Table132321432[[#This Row],[h1]],8))</f>
        <v>0</v>
      </c>
      <c r="Q644" s="50" t="s">
        <v>97</v>
      </c>
      <c r="R644" s="50">
        <f>HEX2DEC(RIGHT(Table132321432[[#This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50" t="s">
        <v>97</v>
      </c>
      <c r="P645" s="50">
        <f>HEX2DEC(RIGHT(Table132321432[[#This Row],[h1]],8))</f>
        <v>0</v>
      </c>
      <c r="Q645" s="50" t="s">
        <v>97</v>
      </c>
      <c r="R645" s="50">
        <f>HEX2DEC(RIGHT(Table132321432[[#This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50" t="s">
        <v>97</v>
      </c>
      <c r="P646" s="50">
        <f>HEX2DEC(RIGHT(Table132321432[[#This Row],[h1]],8))</f>
        <v>0</v>
      </c>
      <c r="Q646" s="50" t="s">
        <v>97</v>
      </c>
      <c r="R646" s="50">
        <f>HEX2DEC(RIGHT(Table132321432[[#This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50" t="s">
        <v>97</v>
      </c>
      <c r="P647" s="50">
        <f>HEX2DEC(RIGHT(Table132321432[[#This Row],[h1]],8))</f>
        <v>0</v>
      </c>
      <c r="Q647" s="50" t="s">
        <v>97</v>
      </c>
      <c r="R647" s="50">
        <f>HEX2DEC(RIGHT(Table132321432[[#This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50" t="s">
        <v>97</v>
      </c>
      <c r="P648" s="50">
        <f>HEX2DEC(RIGHT(Table132321432[[#This Row],[h1]],8))</f>
        <v>0</v>
      </c>
      <c r="Q648" s="50" t="s">
        <v>97</v>
      </c>
      <c r="R648" s="50">
        <f>HEX2DEC(RIGHT(Table132321432[[#This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50" t="s">
        <v>97</v>
      </c>
      <c r="P649" s="50">
        <f>HEX2DEC(RIGHT(Table132321432[[#This Row],[h1]],8))</f>
        <v>0</v>
      </c>
      <c r="Q649" s="50" t="s">
        <v>97</v>
      </c>
      <c r="R649" s="50">
        <f>HEX2DEC(RIGHT(Table132321432[[#This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50" t="s">
        <v>97</v>
      </c>
      <c r="P650" s="50">
        <f>HEX2DEC(RIGHT(Table132321432[[#This Row],[h1]],8))</f>
        <v>0</v>
      </c>
      <c r="Q650" s="50" t="s">
        <v>97</v>
      </c>
      <c r="R650" s="50">
        <f>HEX2DEC(RIGHT(Table132321432[[#This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50" t="s">
        <v>97</v>
      </c>
      <c r="P651" s="50">
        <f>HEX2DEC(RIGHT(Table132321432[[#This Row],[h1]],8))</f>
        <v>0</v>
      </c>
      <c r="Q651" s="50" t="s">
        <v>97</v>
      </c>
      <c r="R651" s="50">
        <f>HEX2DEC(RIGHT(Table132321432[[#This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50" t="s">
        <v>97</v>
      </c>
      <c r="P652" s="50">
        <f>HEX2DEC(RIGHT(Table132321432[[#This Row],[h1]],8))</f>
        <v>0</v>
      </c>
      <c r="Q652" s="50" t="s">
        <v>97</v>
      </c>
      <c r="R652" s="50">
        <f>HEX2DEC(RIGHT(Table132321432[[#This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50" t="s">
        <v>97</v>
      </c>
      <c r="P653" s="50">
        <f>HEX2DEC(RIGHT(Table132321432[[#This Row],[h1]],8))</f>
        <v>0</v>
      </c>
      <c r="Q653" s="50" t="s">
        <v>97</v>
      </c>
      <c r="R653" s="50">
        <f>HEX2DEC(RIGHT(Table132321432[[#This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50" t="s">
        <v>97</v>
      </c>
      <c r="P654" s="50">
        <f>HEX2DEC(RIGHT(Table132321432[[#This Row],[h1]],8))</f>
        <v>0</v>
      </c>
      <c r="Q654" s="50" t="s">
        <v>97</v>
      </c>
      <c r="R654" s="50">
        <f>HEX2DEC(RIGHT(Table132321432[[#This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50" t="s">
        <v>97</v>
      </c>
      <c r="P655" s="50">
        <f>HEX2DEC(RIGHT(Table132321432[[#This Row],[h1]],8))</f>
        <v>0</v>
      </c>
      <c r="Q655" s="50" t="s">
        <v>97</v>
      </c>
      <c r="R655" s="50">
        <f>HEX2DEC(RIGHT(Table132321432[[#This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50" t="s">
        <v>97</v>
      </c>
      <c r="P656" s="50">
        <f>HEX2DEC(RIGHT(Table132321432[[#This Row],[h1]],8))</f>
        <v>0</v>
      </c>
      <c r="Q656" s="50" t="s">
        <v>97</v>
      </c>
      <c r="R656" s="50">
        <f>HEX2DEC(RIGHT(Table132321432[[#This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50" t="s">
        <v>97</v>
      </c>
      <c r="P657" s="50">
        <f>HEX2DEC(RIGHT(Table132321432[[#This Row],[h1]],8))</f>
        <v>0</v>
      </c>
      <c r="Q657" s="50" t="s">
        <v>97</v>
      </c>
      <c r="R657" s="50">
        <f>HEX2DEC(RIGHT(Table132321432[[#This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50" t="s">
        <v>97</v>
      </c>
      <c r="P658" s="50">
        <f>HEX2DEC(RIGHT(Table132321432[[#This Row],[h1]],8))</f>
        <v>0</v>
      </c>
      <c r="Q658" s="50" t="s">
        <v>97</v>
      </c>
      <c r="R658" s="50">
        <f>HEX2DEC(RIGHT(Table132321432[[#This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50" t="s">
        <v>97</v>
      </c>
      <c r="P659" s="50">
        <f>HEX2DEC(RIGHT(Table132321432[[#This Row],[h1]],8))</f>
        <v>0</v>
      </c>
      <c r="Q659" s="50" t="s">
        <v>97</v>
      </c>
      <c r="R659" s="50">
        <f>HEX2DEC(RIGHT(Table132321432[[#This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50" t="s">
        <v>97</v>
      </c>
      <c r="P660" s="50">
        <f>HEX2DEC(RIGHT(Table132321432[[#This Row],[h1]],8))</f>
        <v>0</v>
      </c>
      <c r="Q660" s="50" t="s">
        <v>97</v>
      </c>
      <c r="R660" s="50">
        <f>HEX2DEC(RIGHT(Table132321432[[#This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50" t="s">
        <v>97</v>
      </c>
      <c r="P661" s="50">
        <f>HEX2DEC(RIGHT(Table132321432[[#This Row],[h1]],8))</f>
        <v>0</v>
      </c>
      <c r="Q661" s="50" t="s">
        <v>97</v>
      </c>
      <c r="R661" s="50">
        <f>HEX2DEC(RIGHT(Table132321432[[#This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50" t="s">
        <v>97</v>
      </c>
      <c r="P662" s="50">
        <f>HEX2DEC(RIGHT(Table132321432[[#This Row],[h1]],8))</f>
        <v>0</v>
      </c>
      <c r="Q662" s="50" t="s">
        <v>97</v>
      </c>
      <c r="R662" s="50">
        <f>HEX2DEC(RIGHT(Table132321432[[#This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50" t="s">
        <v>97</v>
      </c>
      <c r="P663" s="50">
        <f>HEX2DEC(RIGHT(Table132321432[[#This Row],[h1]],8))</f>
        <v>0</v>
      </c>
      <c r="Q663" s="50" t="s">
        <v>97</v>
      </c>
      <c r="R663" s="50">
        <f>HEX2DEC(RIGHT(Table132321432[[#This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50" t="s">
        <v>97</v>
      </c>
      <c r="P664" s="50">
        <f>HEX2DEC(RIGHT(Table132321432[[#This Row],[h1]],8))</f>
        <v>0</v>
      </c>
      <c r="Q664" s="50" t="s">
        <v>97</v>
      </c>
      <c r="R664" s="50">
        <f>HEX2DEC(RIGHT(Table132321432[[#This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50" t="s">
        <v>97</v>
      </c>
      <c r="P665" s="50">
        <f>HEX2DEC(RIGHT(Table132321432[[#This Row],[h1]],8))</f>
        <v>0</v>
      </c>
      <c r="Q665" s="50" t="s">
        <v>97</v>
      </c>
      <c r="R665" s="50">
        <f>HEX2DEC(RIGHT(Table132321432[[#This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50" t="s">
        <v>97</v>
      </c>
      <c r="P666" s="50">
        <f>HEX2DEC(RIGHT(Table132321432[[#This Row],[h1]],8))</f>
        <v>0</v>
      </c>
      <c r="Q666" s="50" t="s">
        <v>97</v>
      </c>
      <c r="R666" s="50">
        <f>HEX2DEC(RIGHT(Table132321432[[#This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50" t="s">
        <v>97</v>
      </c>
      <c r="P667" s="50">
        <f>HEX2DEC(RIGHT(Table132321432[[#This Row],[h1]],8))</f>
        <v>0</v>
      </c>
      <c r="Q667" s="50" t="s">
        <v>97</v>
      </c>
      <c r="R667" s="50">
        <f>HEX2DEC(RIGHT(Table132321432[[#This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50" t="s">
        <v>97</v>
      </c>
      <c r="P668" s="50">
        <f>HEX2DEC(RIGHT(Table132321432[[#This Row],[h1]],8))</f>
        <v>0</v>
      </c>
      <c r="Q668" s="50" t="s">
        <v>97</v>
      </c>
      <c r="R668" s="50">
        <f>HEX2DEC(RIGHT(Table132321432[[#This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50" t="s">
        <v>97</v>
      </c>
      <c r="P669" s="50">
        <f>HEX2DEC(RIGHT(Table132321432[[#This Row],[h1]],8))</f>
        <v>0</v>
      </c>
      <c r="Q669" s="50" t="s">
        <v>97</v>
      </c>
      <c r="R669" s="50">
        <f>HEX2DEC(RIGHT(Table132321432[[#This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50" t="s">
        <v>97</v>
      </c>
      <c r="P670" s="50">
        <f>HEX2DEC(RIGHT(Table132321432[[#This Row],[h1]],8))</f>
        <v>0</v>
      </c>
      <c r="Q670" s="50" t="s">
        <v>97</v>
      </c>
      <c r="R670" s="50">
        <f>HEX2DEC(RIGHT(Table132321432[[#This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50" t="s">
        <v>97</v>
      </c>
      <c r="P671" s="50">
        <f>HEX2DEC(RIGHT(Table132321432[[#This Row],[h1]],8))</f>
        <v>0</v>
      </c>
      <c r="Q671" s="50" t="s">
        <v>97</v>
      </c>
      <c r="R671" s="50">
        <f>HEX2DEC(RIGHT(Table132321432[[#This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50" t="s">
        <v>97</v>
      </c>
      <c r="P672" s="50">
        <f>HEX2DEC(RIGHT(Table132321432[[#This Row],[h1]],8))</f>
        <v>0</v>
      </c>
      <c r="Q672" s="50" t="s">
        <v>97</v>
      </c>
      <c r="R672" s="50">
        <f>HEX2DEC(RIGHT(Table132321432[[#This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50" t="s">
        <v>97</v>
      </c>
      <c r="P673" s="50">
        <f>HEX2DEC(RIGHT(Table132321432[[#This Row],[h1]],8))</f>
        <v>0</v>
      </c>
      <c r="Q673" s="50" t="s">
        <v>97</v>
      </c>
      <c r="R673" s="50">
        <f>HEX2DEC(RIGHT(Table132321432[[#This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50" t="s">
        <v>97</v>
      </c>
      <c r="P674" s="50">
        <f>HEX2DEC(RIGHT(Table132321432[[#This Row],[h1]],8))</f>
        <v>0</v>
      </c>
      <c r="Q674" s="50" t="s">
        <v>97</v>
      </c>
      <c r="R674" s="50">
        <f>HEX2DEC(RIGHT(Table132321432[[#This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50" t="s">
        <v>97</v>
      </c>
      <c r="P675" s="50">
        <f>HEX2DEC(RIGHT(Table132321432[[#This Row],[h1]],8))</f>
        <v>0</v>
      </c>
      <c r="Q675" s="50" t="s">
        <v>97</v>
      </c>
      <c r="R675" s="50">
        <f>HEX2DEC(RIGHT(Table132321432[[#This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50" t="s">
        <v>97</v>
      </c>
      <c r="P676" s="50">
        <f>HEX2DEC(RIGHT(Table132321432[[#This Row],[h1]],8))</f>
        <v>0</v>
      </c>
      <c r="Q676" s="50" t="s">
        <v>97</v>
      </c>
      <c r="R676" s="50">
        <f>HEX2DEC(RIGHT(Table132321432[[#This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50" t="s">
        <v>97</v>
      </c>
      <c r="P677" s="50">
        <f>HEX2DEC(RIGHT(Table132321432[[#This Row],[h1]],8))</f>
        <v>0</v>
      </c>
      <c r="Q677" s="50" t="s">
        <v>97</v>
      </c>
      <c r="R677" s="50">
        <f>HEX2DEC(RIGHT(Table132321432[[#This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50" t="s">
        <v>97</v>
      </c>
      <c r="P678" s="50">
        <f>HEX2DEC(RIGHT(Table132321432[[#This Row],[h1]],8))</f>
        <v>0</v>
      </c>
      <c r="Q678" s="50" t="s">
        <v>97</v>
      </c>
      <c r="R678" s="50">
        <f>HEX2DEC(RIGHT(Table132321432[[#This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50" t="s">
        <v>97</v>
      </c>
      <c r="P679" s="50">
        <f>HEX2DEC(RIGHT(Table132321432[[#This Row],[h1]],8))</f>
        <v>0</v>
      </c>
      <c r="Q679" s="50" t="s">
        <v>97</v>
      </c>
      <c r="R679" s="50">
        <f>HEX2DEC(RIGHT(Table132321432[[#This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50" t="s">
        <v>97</v>
      </c>
      <c r="P680" s="50">
        <f>HEX2DEC(RIGHT(Table132321432[[#This Row],[h1]],8))</f>
        <v>0</v>
      </c>
      <c r="Q680" s="50" t="s">
        <v>97</v>
      </c>
      <c r="R680" s="50">
        <f>HEX2DEC(RIGHT(Table132321432[[#This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50" t="s">
        <v>97</v>
      </c>
      <c r="P681" s="50">
        <f>HEX2DEC(RIGHT(Table132321432[[#This Row],[h1]],8))</f>
        <v>0</v>
      </c>
      <c r="Q681" s="50" t="s">
        <v>97</v>
      </c>
      <c r="R681" s="50">
        <f>HEX2DEC(RIGHT(Table132321432[[#This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50" t="s">
        <v>97</v>
      </c>
      <c r="P682" s="50">
        <f>HEX2DEC(RIGHT(Table132321432[[#This Row],[h1]],8))</f>
        <v>0</v>
      </c>
      <c r="Q682" s="50" t="s">
        <v>97</v>
      </c>
      <c r="R682" s="50">
        <f>HEX2DEC(RIGHT(Table132321432[[#This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50" t="s">
        <v>97</v>
      </c>
      <c r="P683" s="50">
        <f>HEX2DEC(RIGHT(Table132321432[[#This Row],[h1]],8))</f>
        <v>0</v>
      </c>
      <c r="Q683" s="50" t="s">
        <v>97</v>
      </c>
      <c r="R683" s="50">
        <f>HEX2DEC(RIGHT(Table132321432[[#This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50" t="s">
        <v>97</v>
      </c>
      <c r="P684" s="50">
        <f>HEX2DEC(RIGHT(Table132321432[[#This Row],[h1]],8))</f>
        <v>0</v>
      </c>
      <c r="Q684" s="50" t="s">
        <v>97</v>
      </c>
      <c r="R684" s="50">
        <f>HEX2DEC(RIGHT(Table132321432[[#This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50" t="s">
        <v>97</v>
      </c>
      <c r="P685" s="50">
        <f>HEX2DEC(RIGHT(Table132321432[[#This Row],[h1]],8))</f>
        <v>0</v>
      </c>
      <c r="Q685" s="50" t="s">
        <v>97</v>
      </c>
      <c r="R685" s="50">
        <f>HEX2DEC(RIGHT(Table132321432[[#This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50" t="s">
        <v>97</v>
      </c>
      <c r="P686" s="50">
        <f>HEX2DEC(RIGHT(Table132321432[[#This Row],[h1]],8))</f>
        <v>0</v>
      </c>
      <c r="Q686" s="50" t="s">
        <v>97</v>
      </c>
      <c r="R686" s="50">
        <f>HEX2DEC(RIGHT(Table132321432[[#This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50" t="s">
        <v>97</v>
      </c>
      <c r="P687" s="50">
        <f>HEX2DEC(RIGHT(Table132321432[[#This Row],[h1]],8))</f>
        <v>0</v>
      </c>
      <c r="Q687" s="50" t="s">
        <v>97</v>
      </c>
      <c r="R687" s="50">
        <f>HEX2DEC(RIGHT(Table132321432[[#This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50" t="s">
        <v>97</v>
      </c>
      <c r="P688" s="50">
        <f>HEX2DEC(RIGHT(Table132321432[[#This Row],[h1]],8))</f>
        <v>0</v>
      </c>
      <c r="Q688" s="50" t="s">
        <v>97</v>
      </c>
      <c r="R688" s="50">
        <f>HEX2DEC(RIGHT(Table132321432[[#This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50" t="s">
        <v>97</v>
      </c>
      <c r="P689" s="50">
        <f>HEX2DEC(RIGHT(Table132321432[[#This Row],[h1]],8))</f>
        <v>0</v>
      </c>
      <c r="Q689" s="50" t="s">
        <v>97</v>
      </c>
      <c r="R689" s="50">
        <f>HEX2DEC(RIGHT(Table132321432[[#This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50" t="s">
        <v>97</v>
      </c>
      <c r="P690" s="50">
        <f>HEX2DEC(RIGHT(Table132321432[[#This Row],[h1]],8))</f>
        <v>0</v>
      </c>
      <c r="Q690" s="50" t="s">
        <v>97</v>
      </c>
      <c r="R690" s="50">
        <f>HEX2DEC(RIGHT(Table132321432[[#This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50" t="s">
        <v>97</v>
      </c>
      <c r="P691" s="50">
        <f>HEX2DEC(RIGHT(Table132321432[[#This Row],[h1]],8))</f>
        <v>0</v>
      </c>
      <c r="Q691" s="50" t="s">
        <v>97</v>
      </c>
      <c r="R691" s="50">
        <f>HEX2DEC(RIGHT(Table132321432[[#This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50" t="s">
        <v>97</v>
      </c>
      <c r="P692" s="50">
        <f>HEX2DEC(RIGHT(Table132321432[[#This Row],[h1]],8))</f>
        <v>0</v>
      </c>
      <c r="Q692" s="50" t="s">
        <v>97</v>
      </c>
      <c r="R692" s="50">
        <f>HEX2DEC(RIGHT(Table132321432[[#This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50" t="s">
        <v>97</v>
      </c>
      <c r="P693" s="50">
        <f>HEX2DEC(RIGHT(Table132321432[[#This Row],[h1]],8))</f>
        <v>0</v>
      </c>
      <c r="Q693" s="50" t="s">
        <v>97</v>
      </c>
      <c r="R693" s="50">
        <f>HEX2DEC(RIGHT(Table132321432[[#This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50" t="s">
        <v>97</v>
      </c>
      <c r="P694" s="50">
        <f>HEX2DEC(RIGHT(Table132321432[[#This Row],[h1]],8))</f>
        <v>0</v>
      </c>
      <c r="Q694" s="50" t="s">
        <v>97</v>
      </c>
      <c r="R694" s="50">
        <f>HEX2DEC(RIGHT(Table132321432[[#This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50" t="s">
        <v>97</v>
      </c>
      <c r="P695" s="50">
        <f>HEX2DEC(RIGHT(Table132321432[[#This Row],[h1]],8))</f>
        <v>0</v>
      </c>
      <c r="Q695" s="50" t="s">
        <v>97</v>
      </c>
      <c r="R695" s="50">
        <f>HEX2DEC(RIGHT(Table132321432[[#This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50" t="s">
        <v>97</v>
      </c>
      <c r="P696" s="50">
        <f>HEX2DEC(RIGHT(Table132321432[[#This Row],[h1]],8))</f>
        <v>0</v>
      </c>
      <c r="Q696" s="50" t="s">
        <v>97</v>
      </c>
      <c r="R696" s="50">
        <f>HEX2DEC(RIGHT(Table132321432[[#This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50" t="s">
        <v>97</v>
      </c>
      <c r="P697" s="50">
        <f>HEX2DEC(RIGHT(Table132321432[[#This Row],[h1]],8))</f>
        <v>0</v>
      </c>
      <c r="Q697" s="50" t="s">
        <v>97</v>
      </c>
      <c r="R697" s="50">
        <f>HEX2DEC(RIGHT(Table132321432[[#This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50" t="s">
        <v>97</v>
      </c>
      <c r="P698" s="50">
        <f>HEX2DEC(RIGHT(Table132321432[[#This Row],[h1]],8))</f>
        <v>0</v>
      </c>
      <c r="Q698" s="50" t="s">
        <v>97</v>
      </c>
      <c r="R698" s="50">
        <f>HEX2DEC(RIGHT(Table132321432[[#This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50" t="s">
        <v>97</v>
      </c>
      <c r="P699" s="50">
        <f>HEX2DEC(RIGHT(Table132321432[[#This Row],[h1]],8))</f>
        <v>0</v>
      </c>
      <c r="Q699" s="50" t="s">
        <v>97</v>
      </c>
      <c r="R699" s="50">
        <f>HEX2DEC(RIGHT(Table132321432[[#This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50" t="s">
        <v>97</v>
      </c>
      <c r="P700" s="50">
        <f>HEX2DEC(RIGHT(Table132321432[[#This Row],[h1]],8))</f>
        <v>0</v>
      </c>
      <c r="Q700" s="50" t="s">
        <v>97</v>
      </c>
      <c r="R700" s="50">
        <f>HEX2DEC(RIGHT(Table132321432[[#This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50" t="s">
        <v>97</v>
      </c>
      <c r="P701" s="50">
        <f>HEX2DEC(RIGHT(Table132321432[[#This Row],[h1]],8))</f>
        <v>0</v>
      </c>
      <c r="Q701" s="50" t="s">
        <v>97</v>
      </c>
      <c r="R701" s="50">
        <f>HEX2DEC(RIGHT(Table132321432[[#This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50" t="s">
        <v>97</v>
      </c>
      <c r="P702" s="50">
        <f>HEX2DEC(RIGHT(Table132321432[[#This Row],[h1]],8))</f>
        <v>0</v>
      </c>
      <c r="Q702" s="50" t="s">
        <v>97</v>
      </c>
      <c r="R702" s="50">
        <f>HEX2DEC(RIGHT(Table132321432[[#This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50" t="s">
        <v>97</v>
      </c>
      <c r="P703" s="50">
        <f>HEX2DEC(RIGHT(Table132321432[[#This Row],[h1]],8))</f>
        <v>0</v>
      </c>
      <c r="Q703" s="50" t="s">
        <v>97</v>
      </c>
      <c r="R703" s="50">
        <f>HEX2DEC(RIGHT(Table132321432[[#This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50" t="s">
        <v>97</v>
      </c>
      <c r="P704" s="50">
        <f>HEX2DEC(RIGHT(Table132321432[[#This Row],[h1]],8))</f>
        <v>0</v>
      </c>
      <c r="Q704" s="50" t="s">
        <v>97</v>
      </c>
      <c r="R704" s="50">
        <f>HEX2DEC(RIGHT(Table132321432[[#This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50" t="s">
        <v>97</v>
      </c>
      <c r="P705" s="50">
        <f>HEX2DEC(RIGHT(Table132321432[[#This Row],[h1]],8))</f>
        <v>0</v>
      </c>
      <c r="Q705" s="50" t="s">
        <v>97</v>
      </c>
      <c r="R705" s="50">
        <f>HEX2DEC(RIGHT(Table132321432[[#This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50" t="s">
        <v>97</v>
      </c>
      <c r="P706" s="50">
        <f>HEX2DEC(RIGHT(Table132321432[[#This Row],[h1]],8))</f>
        <v>0</v>
      </c>
      <c r="Q706" s="50" t="s">
        <v>97</v>
      </c>
      <c r="R706" s="50">
        <f>HEX2DEC(RIGHT(Table132321432[[#This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50" t="s">
        <v>97</v>
      </c>
      <c r="P707" s="50">
        <f>HEX2DEC(RIGHT(Table132321432[[#This Row],[h1]],8))</f>
        <v>0</v>
      </c>
      <c r="Q707" s="50" t="s">
        <v>97</v>
      </c>
      <c r="R707" s="50">
        <f>HEX2DEC(RIGHT(Table132321432[[#This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50" t="s">
        <v>97</v>
      </c>
      <c r="P708" s="50">
        <f>HEX2DEC(RIGHT(Table132321432[[#This Row],[h1]],8))</f>
        <v>0</v>
      </c>
      <c r="Q708" s="50" t="s">
        <v>97</v>
      </c>
      <c r="R708" s="50">
        <f>HEX2DEC(RIGHT(Table132321432[[#This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50" t="s">
        <v>97</v>
      </c>
      <c r="P709" s="50">
        <f>HEX2DEC(RIGHT(Table132321432[[#This Row],[h1]],8))</f>
        <v>0</v>
      </c>
      <c r="Q709" s="50" t="s">
        <v>97</v>
      </c>
      <c r="R709" s="50">
        <f>HEX2DEC(RIGHT(Table132321432[[#This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50" t="s">
        <v>97</v>
      </c>
      <c r="P710" s="50">
        <f>HEX2DEC(RIGHT(Table132321432[[#This Row],[h1]],8))</f>
        <v>0</v>
      </c>
      <c r="Q710" s="50" t="s">
        <v>97</v>
      </c>
      <c r="R710" s="50">
        <f>HEX2DEC(RIGHT(Table132321432[[#This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50" t="s">
        <v>97</v>
      </c>
      <c r="P711" s="50">
        <f>HEX2DEC(RIGHT(Table132321432[[#This Row],[h1]],8))</f>
        <v>0</v>
      </c>
      <c r="Q711" s="50" t="s">
        <v>97</v>
      </c>
      <c r="R711" s="50">
        <f>HEX2DEC(RIGHT(Table132321432[[#This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50" t="s">
        <v>97</v>
      </c>
      <c r="P712" s="50">
        <f>HEX2DEC(RIGHT(Table132321432[[#This Row],[h1]],8))</f>
        <v>0</v>
      </c>
      <c r="Q712" s="50" t="s">
        <v>97</v>
      </c>
      <c r="R712" s="50">
        <f>HEX2DEC(RIGHT(Table132321432[[#This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50" t="s">
        <v>97</v>
      </c>
      <c r="P713" s="50">
        <f>HEX2DEC(RIGHT(Table132321432[[#This Row],[h1]],8))</f>
        <v>0</v>
      </c>
      <c r="Q713" s="50" t="s">
        <v>97</v>
      </c>
      <c r="R713" s="50">
        <f>HEX2DEC(RIGHT(Table132321432[[#This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50" t="s">
        <v>97</v>
      </c>
      <c r="P714" s="50">
        <f>HEX2DEC(RIGHT(Table132321432[[#This Row],[h1]],8))</f>
        <v>0</v>
      </c>
      <c r="Q714" s="50" t="s">
        <v>97</v>
      </c>
      <c r="R714" s="50">
        <f>HEX2DEC(RIGHT(Table132321432[[#This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50" t="s">
        <v>97</v>
      </c>
      <c r="P715" s="50">
        <f>HEX2DEC(RIGHT(Table132321432[[#This Row],[h1]],8))</f>
        <v>0</v>
      </c>
      <c r="Q715" s="50" t="s">
        <v>97</v>
      </c>
      <c r="R715" s="50">
        <f>HEX2DEC(RIGHT(Table132321432[[#This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50" t="s">
        <v>97</v>
      </c>
      <c r="P716" s="50">
        <f>HEX2DEC(RIGHT(Table132321432[[#This Row],[h1]],8))</f>
        <v>0</v>
      </c>
      <c r="Q716" s="50" t="s">
        <v>97</v>
      </c>
      <c r="R716" s="50">
        <f>HEX2DEC(RIGHT(Table132321432[[#This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50" t="s">
        <v>97</v>
      </c>
      <c r="P717" s="50">
        <f>HEX2DEC(RIGHT(Table132321432[[#This Row],[h1]],8))</f>
        <v>0</v>
      </c>
      <c r="Q717" s="50" t="s">
        <v>97</v>
      </c>
      <c r="R717" s="50">
        <f>HEX2DEC(RIGHT(Table132321432[[#This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50" t="s">
        <v>97</v>
      </c>
      <c r="P718" s="50">
        <f>HEX2DEC(RIGHT(Table132321432[[#This Row],[h1]],8))</f>
        <v>0</v>
      </c>
      <c r="Q718" s="50" t="s">
        <v>97</v>
      </c>
      <c r="R718" s="50">
        <f>HEX2DEC(RIGHT(Table132321432[[#This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50" t="s">
        <v>97</v>
      </c>
      <c r="P719" s="50">
        <f>HEX2DEC(RIGHT(Table132321432[[#This Row],[h1]],8))</f>
        <v>0</v>
      </c>
      <c r="Q719" s="50" t="s">
        <v>97</v>
      </c>
      <c r="R719" s="50">
        <f>HEX2DEC(RIGHT(Table132321432[[#This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50" t="s">
        <v>97</v>
      </c>
      <c r="P720" s="50">
        <f>HEX2DEC(RIGHT(Table132321432[[#This Row],[h1]],8))</f>
        <v>0</v>
      </c>
      <c r="Q720" s="50" t="s">
        <v>97</v>
      </c>
      <c r="R720" s="50">
        <f>HEX2DEC(RIGHT(Table132321432[[#This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50" t="s">
        <v>97</v>
      </c>
      <c r="P721" s="50">
        <f>HEX2DEC(RIGHT(Table132321432[[#This Row],[h1]],8))</f>
        <v>0</v>
      </c>
      <c r="Q721" s="50" t="s">
        <v>97</v>
      </c>
      <c r="R721" s="50">
        <f>HEX2DEC(RIGHT(Table132321432[[#This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50" t="s">
        <v>97</v>
      </c>
      <c r="P722" s="50">
        <f>HEX2DEC(RIGHT(Table132321432[[#This Row],[h1]],8))</f>
        <v>0</v>
      </c>
      <c r="Q722" s="50" t="s">
        <v>97</v>
      </c>
      <c r="R722" s="50">
        <f>HEX2DEC(RIGHT(Table132321432[[#This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50" t="s">
        <v>97</v>
      </c>
      <c r="P723" s="50">
        <f>HEX2DEC(RIGHT(Table132321432[[#This Row],[h1]],8))</f>
        <v>0</v>
      </c>
      <c r="Q723" s="50" t="s">
        <v>97</v>
      </c>
      <c r="R723" s="50">
        <f>HEX2DEC(RIGHT(Table132321432[[#This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50" t="s">
        <v>97</v>
      </c>
      <c r="P724" s="50">
        <f>HEX2DEC(RIGHT(Table132321432[[#This Row],[h1]],8))</f>
        <v>0</v>
      </c>
      <c r="Q724" s="50" t="s">
        <v>97</v>
      </c>
      <c r="R724" s="50">
        <f>HEX2DEC(RIGHT(Table132321432[[#This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50" t="s">
        <v>97</v>
      </c>
      <c r="P725" s="50">
        <f>HEX2DEC(RIGHT(Table132321432[[#This Row],[h1]],8))</f>
        <v>0</v>
      </c>
      <c r="Q725" s="50" t="s">
        <v>97</v>
      </c>
      <c r="R725" s="50">
        <f>HEX2DEC(RIGHT(Table132321432[[#This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50" t="s">
        <v>97</v>
      </c>
      <c r="P726" s="50">
        <f>HEX2DEC(RIGHT(Table132321432[[#This Row],[h1]],8))</f>
        <v>0</v>
      </c>
      <c r="Q726" s="50" t="s">
        <v>97</v>
      </c>
      <c r="R726" s="50">
        <f>HEX2DEC(RIGHT(Table132321432[[#This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50" t="s">
        <v>97</v>
      </c>
      <c r="P727" s="50">
        <f>HEX2DEC(RIGHT(Table132321432[[#This Row],[h1]],8))</f>
        <v>0</v>
      </c>
      <c r="Q727" s="50" t="s">
        <v>97</v>
      </c>
      <c r="R727" s="50">
        <f>HEX2DEC(RIGHT(Table132321432[[#This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50" t="s">
        <v>97</v>
      </c>
      <c r="P728" s="50">
        <f>HEX2DEC(RIGHT(Table132321432[[#This Row],[h1]],8))</f>
        <v>0</v>
      </c>
      <c r="Q728" s="50" t="s">
        <v>97</v>
      </c>
      <c r="R728" s="50">
        <f>HEX2DEC(RIGHT(Table132321432[[#This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50" t="s">
        <v>97</v>
      </c>
      <c r="P729" s="50">
        <f>HEX2DEC(RIGHT(Table132321432[[#This Row],[h1]],8))</f>
        <v>0</v>
      </c>
      <c r="Q729" s="50" t="s">
        <v>97</v>
      </c>
      <c r="R729" s="50">
        <f>HEX2DEC(RIGHT(Table132321432[[#This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50" t="s">
        <v>97</v>
      </c>
      <c r="P730" s="50">
        <f>HEX2DEC(RIGHT(Table132321432[[#This Row],[h1]],8))</f>
        <v>0</v>
      </c>
      <c r="Q730" s="50" t="s">
        <v>97</v>
      </c>
      <c r="R730" s="50">
        <f>HEX2DEC(RIGHT(Table132321432[[#This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50" t="s">
        <v>97</v>
      </c>
      <c r="P731" s="50">
        <f>HEX2DEC(RIGHT(Table132321432[[#This Row],[h1]],8))</f>
        <v>0</v>
      </c>
      <c r="Q731" s="50" t="s">
        <v>97</v>
      </c>
      <c r="R731" s="50">
        <f>HEX2DEC(RIGHT(Table132321432[[#This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50" t="s">
        <v>97</v>
      </c>
      <c r="P732" s="50">
        <f>HEX2DEC(RIGHT(Table132321432[[#This Row],[h1]],8))</f>
        <v>0</v>
      </c>
      <c r="Q732" s="50" t="s">
        <v>97</v>
      </c>
      <c r="R732" s="50">
        <f>HEX2DEC(RIGHT(Table132321432[[#This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50" t="s">
        <v>97</v>
      </c>
      <c r="P733" s="50">
        <f>HEX2DEC(RIGHT(Table132321432[[#This Row],[h1]],8))</f>
        <v>0</v>
      </c>
      <c r="Q733" s="50" t="s">
        <v>97</v>
      </c>
      <c r="R733" s="50">
        <f>HEX2DEC(RIGHT(Table132321432[[#This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50" t="s">
        <v>97</v>
      </c>
      <c r="P734" s="50">
        <f>HEX2DEC(RIGHT(Table132321432[[#This Row],[h1]],8))</f>
        <v>0</v>
      </c>
      <c r="Q734" s="50" t="s">
        <v>97</v>
      </c>
      <c r="R734" s="50">
        <f>HEX2DEC(RIGHT(Table132321432[[#This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50" t="s">
        <v>97</v>
      </c>
      <c r="P735" s="50">
        <f>HEX2DEC(RIGHT(Table132321432[[#This Row],[h1]],8))</f>
        <v>0</v>
      </c>
      <c r="Q735" s="50" t="s">
        <v>97</v>
      </c>
      <c r="R735" s="50">
        <f>HEX2DEC(RIGHT(Table132321432[[#This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50" t="s">
        <v>97</v>
      </c>
      <c r="P736" s="50">
        <f>HEX2DEC(RIGHT(Table132321432[[#This Row],[h1]],8))</f>
        <v>0</v>
      </c>
      <c r="Q736" s="50" t="s">
        <v>97</v>
      </c>
      <c r="R736" s="50">
        <f>HEX2DEC(RIGHT(Table132321432[[#This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50" t="s">
        <v>97</v>
      </c>
      <c r="P737" s="50">
        <f>HEX2DEC(RIGHT(Table132321432[[#This Row],[h1]],8))</f>
        <v>0</v>
      </c>
      <c r="Q737" s="50" t="s">
        <v>97</v>
      </c>
      <c r="R737" s="50">
        <f>HEX2DEC(RIGHT(Table132321432[[#This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50" t="s">
        <v>97</v>
      </c>
      <c r="P738" s="50">
        <f>HEX2DEC(RIGHT(Table132321432[[#This Row],[h1]],8))</f>
        <v>0</v>
      </c>
      <c r="Q738" s="50" t="s">
        <v>97</v>
      </c>
      <c r="R738" s="50">
        <f>HEX2DEC(RIGHT(Table132321432[[#This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50" t="s">
        <v>97</v>
      </c>
      <c r="P739" s="50">
        <f>HEX2DEC(RIGHT(Table132321432[[#This Row],[h1]],8))</f>
        <v>0</v>
      </c>
      <c r="Q739" s="50" t="s">
        <v>97</v>
      </c>
      <c r="R739" s="50">
        <f>HEX2DEC(RIGHT(Table132321432[[#This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50" t="s">
        <v>97</v>
      </c>
      <c r="P740" s="50">
        <f>HEX2DEC(RIGHT(Table132321432[[#This Row],[h1]],8))</f>
        <v>0</v>
      </c>
      <c r="Q740" s="50" t="s">
        <v>97</v>
      </c>
      <c r="R740" s="50">
        <f>HEX2DEC(RIGHT(Table132321432[[#This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50" t="s">
        <v>97</v>
      </c>
      <c r="P741" s="50">
        <f>HEX2DEC(RIGHT(Table132321432[[#This Row],[h1]],8))</f>
        <v>0</v>
      </c>
      <c r="Q741" s="50" t="s">
        <v>97</v>
      </c>
      <c r="R741" s="50">
        <f>HEX2DEC(RIGHT(Table132321432[[#This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50" t="s">
        <v>97</v>
      </c>
      <c r="P742" s="50">
        <f>HEX2DEC(RIGHT(Table132321432[[#This Row],[h1]],8))</f>
        <v>0</v>
      </c>
      <c r="Q742" s="50" t="s">
        <v>97</v>
      </c>
      <c r="R742" s="50">
        <f>HEX2DEC(RIGHT(Table132321432[[#This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50" t="s">
        <v>97</v>
      </c>
      <c r="P743" s="50">
        <f>HEX2DEC(RIGHT(Table132321432[[#This Row],[h1]],8))</f>
        <v>0</v>
      </c>
      <c r="Q743" s="50" t="s">
        <v>97</v>
      </c>
      <c r="R743" s="50">
        <f>HEX2DEC(RIGHT(Table132321432[[#This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50" t="s">
        <v>97</v>
      </c>
      <c r="P744" s="50">
        <f>HEX2DEC(RIGHT(Table132321432[[#This Row],[h1]],8))</f>
        <v>0</v>
      </c>
      <c r="Q744" s="50" t="s">
        <v>97</v>
      </c>
      <c r="R744" s="50">
        <f>HEX2DEC(RIGHT(Table132321432[[#This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50" t="s">
        <v>97</v>
      </c>
      <c r="P745" s="50">
        <f>HEX2DEC(RIGHT(Table132321432[[#This Row],[h1]],8))</f>
        <v>0</v>
      </c>
      <c r="Q745" s="50" t="s">
        <v>97</v>
      </c>
      <c r="R745" s="50">
        <f>HEX2DEC(RIGHT(Table132321432[[#This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50" t="s">
        <v>97</v>
      </c>
      <c r="P746" s="50">
        <f>HEX2DEC(RIGHT(Table132321432[[#This Row],[h1]],8))</f>
        <v>0</v>
      </c>
      <c r="Q746" s="50" t="s">
        <v>97</v>
      </c>
      <c r="R746" s="50">
        <f>HEX2DEC(RIGHT(Table132321432[[#This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50" t="s">
        <v>97</v>
      </c>
      <c r="P747" s="50">
        <f>HEX2DEC(RIGHT(Table132321432[[#This Row],[h1]],8))</f>
        <v>0</v>
      </c>
      <c r="Q747" s="50" t="s">
        <v>97</v>
      </c>
      <c r="R747" s="50">
        <f>HEX2DEC(RIGHT(Table132321432[[#This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50" t="s">
        <v>97</v>
      </c>
      <c r="P748" s="50">
        <f>HEX2DEC(RIGHT(Table132321432[[#This Row],[h1]],8))</f>
        <v>0</v>
      </c>
      <c r="Q748" s="50" t="s">
        <v>97</v>
      </c>
      <c r="R748" s="50">
        <f>HEX2DEC(RIGHT(Table132321432[[#This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50" t="s">
        <v>97</v>
      </c>
      <c r="P749" s="50">
        <f>HEX2DEC(RIGHT(Table132321432[[#This Row],[h1]],8))</f>
        <v>0</v>
      </c>
      <c r="Q749" s="50" t="s">
        <v>97</v>
      </c>
      <c r="R749" s="50">
        <f>HEX2DEC(RIGHT(Table132321432[[#This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50" t="s">
        <v>97</v>
      </c>
      <c r="P750" s="50">
        <f>HEX2DEC(RIGHT(Table132321432[[#This Row],[h1]],8))</f>
        <v>0</v>
      </c>
      <c r="Q750" s="50" t="s">
        <v>97</v>
      </c>
      <c r="R750" s="50">
        <f>HEX2DEC(RIGHT(Table132321432[[#This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50" t="s">
        <v>97</v>
      </c>
      <c r="P751" s="50">
        <f>HEX2DEC(RIGHT(Table132321432[[#This Row],[h1]],8))</f>
        <v>0</v>
      </c>
      <c r="Q751" s="50" t="s">
        <v>97</v>
      </c>
      <c r="R751" s="50">
        <f>HEX2DEC(RIGHT(Table132321432[[#This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50" t="s">
        <v>97</v>
      </c>
      <c r="P752" s="50">
        <f>HEX2DEC(RIGHT(Table132321432[[#This Row],[h1]],8))</f>
        <v>0</v>
      </c>
      <c r="Q752" s="50" t="s">
        <v>97</v>
      </c>
      <c r="R752" s="50">
        <f>HEX2DEC(RIGHT(Table132321432[[#This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50" t="s">
        <v>97</v>
      </c>
      <c r="P753" s="50">
        <f>HEX2DEC(RIGHT(Table132321432[[#This Row],[h1]],8))</f>
        <v>0</v>
      </c>
      <c r="Q753" s="50" t="s">
        <v>97</v>
      </c>
      <c r="R753" s="50">
        <f>HEX2DEC(RIGHT(Table132321432[[#This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50" t="s">
        <v>97</v>
      </c>
      <c r="P754" s="50">
        <f>HEX2DEC(RIGHT(Table132321432[[#This Row],[h1]],8))</f>
        <v>0</v>
      </c>
      <c r="Q754" s="50" t="s">
        <v>97</v>
      </c>
      <c r="R754" s="50">
        <f>HEX2DEC(RIGHT(Table132321432[[#This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50" t="s">
        <v>97</v>
      </c>
      <c r="P755" s="50">
        <f>HEX2DEC(RIGHT(Table132321432[[#This Row],[h1]],8))</f>
        <v>0</v>
      </c>
      <c r="Q755" s="50" t="s">
        <v>97</v>
      </c>
      <c r="R755" s="50">
        <f>HEX2DEC(RIGHT(Table132321432[[#This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50" t="s">
        <v>97</v>
      </c>
      <c r="P756" s="50">
        <f>HEX2DEC(RIGHT(Table132321432[[#This Row],[h1]],8))</f>
        <v>0</v>
      </c>
      <c r="Q756" s="50" t="s">
        <v>97</v>
      </c>
      <c r="R756" s="50">
        <f>HEX2DEC(RIGHT(Table132321432[[#This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50" t="s">
        <v>97</v>
      </c>
      <c r="P757" s="50">
        <f>HEX2DEC(RIGHT(Table132321432[[#This Row],[h1]],8))</f>
        <v>0</v>
      </c>
      <c r="Q757" s="50" t="s">
        <v>97</v>
      </c>
      <c r="R757" s="50">
        <f>HEX2DEC(RIGHT(Table132321432[[#This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50" t="s">
        <v>97</v>
      </c>
      <c r="P758" s="50">
        <f>HEX2DEC(RIGHT(Table132321432[[#This Row],[h1]],8))</f>
        <v>0</v>
      </c>
      <c r="Q758" s="50" t="s">
        <v>97</v>
      </c>
      <c r="R758" s="50">
        <f>HEX2DEC(RIGHT(Table132321432[[#This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50" t="s">
        <v>97</v>
      </c>
      <c r="P759" s="50">
        <f>HEX2DEC(RIGHT(Table132321432[[#This Row],[h1]],8))</f>
        <v>0</v>
      </c>
      <c r="Q759" s="50" t="s">
        <v>97</v>
      </c>
      <c r="R759" s="50">
        <f>HEX2DEC(RIGHT(Table132321432[[#This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50" t="s">
        <v>97</v>
      </c>
      <c r="P760" s="50">
        <f>HEX2DEC(RIGHT(Table132321432[[#This Row],[h1]],8))</f>
        <v>0</v>
      </c>
      <c r="Q760" s="50" t="s">
        <v>97</v>
      </c>
      <c r="R760" s="50">
        <f>HEX2DEC(RIGHT(Table132321432[[#This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50" t="s">
        <v>97</v>
      </c>
      <c r="P761" s="50">
        <f>HEX2DEC(RIGHT(Table132321432[[#This Row],[h1]],8))</f>
        <v>0</v>
      </c>
      <c r="Q761" s="50" t="s">
        <v>97</v>
      </c>
      <c r="R761" s="50">
        <f>HEX2DEC(RIGHT(Table132321432[[#This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50" t="s">
        <v>97</v>
      </c>
      <c r="P762" s="50">
        <f>HEX2DEC(RIGHT(Table132321432[[#This Row],[h1]],8))</f>
        <v>0</v>
      </c>
      <c r="Q762" s="50" t="s">
        <v>97</v>
      </c>
      <c r="R762" s="50">
        <f>HEX2DEC(RIGHT(Table132321432[[#This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50" t="s">
        <v>97</v>
      </c>
      <c r="P763" s="50">
        <f>HEX2DEC(RIGHT(Table132321432[[#This Row],[h1]],8))</f>
        <v>0</v>
      </c>
      <c r="Q763" s="50" t="s">
        <v>97</v>
      </c>
      <c r="R763" s="50">
        <f>HEX2DEC(RIGHT(Table132321432[[#This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50" t="s">
        <v>97</v>
      </c>
      <c r="P764" s="50">
        <f>HEX2DEC(RIGHT(Table132321432[[#This Row],[h1]],8))</f>
        <v>0</v>
      </c>
      <c r="Q764" s="50" t="s">
        <v>97</v>
      </c>
      <c r="R764" s="50">
        <f>HEX2DEC(RIGHT(Table132321432[[#This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50" t="s">
        <v>97</v>
      </c>
      <c r="P765" s="50">
        <f>HEX2DEC(RIGHT(Table132321432[[#This Row],[h1]],8))</f>
        <v>0</v>
      </c>
      <c r="Q765" s="50" t="s">
        <v>97</v>
      </c>
      <c r="R765" s="50">
        <f>HEX2DEC(RIGHT(Table132321432[[#This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50" t="s">
        <v>97</v>
      </c>
      <c r="P766" s="50">
        <f>HEX2DEC(RIGHT(Table132321432[[#This Row],[h1]],8))</f>
        <v>0</v>
      </c>
      <c r="Q766" s="50" t="s">
        <v>97</v>
      </c>
      <c r="R766" s="50">
        <f>HEX2DEC(RIGHT(Table132321432[[#This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50" t="s">
        <v>97</v>
      </c>
      <c r="P767" s="50">
        <f>HEX2DEC(RIGHT(Table132321432[[#This Row],[h1]],8))</f>
        <v>0</v>
      </c>
      <c r="Q767" s="50" t="s">
        <v>97</v>
      </c>
      <c r="R767" s="50">
        <f>HEX2DEC(RIGHT(Table132321432[[#This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50" t="s">
        <v>97</v>
      </c>
      <c r="P768" s="50">
        <f>HEX2DEC(RIGHT(Table132321432[[#This Row],[h1]],8))</f>
        <v>0</v>
      </c>
      <c r="Q768" s="50" t="s">
        <v>97</v>
      </c>
      <c r="R768" s="50">
        <f>HEX2DEC(RIGHT(Table132321432[[#This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50" t="s">
        <v>97</v>
      </c>
      <c r="P769" s="50">
        <f>HEX2DEC(RIGHT(Table132321432[[#This Row],[h1]],8))</f>
        <v>0</v>
      </c>
      <c r="Q769" s="50" t="s">
        <v>97</v>
      </c>
      <c r="R769" s="50">
        <f>HEX2DEC(RIGHT(Table132321432[[#This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50" t="s">
        <v>97</v>
      </c>
      <c r="P770" s="50">
        <f>HEX2DEC(RIGHT(Table132321432[[#This Row],[h1]],8))</f>
        <v>0</v>
      </c>
      <c r="Q770" s="50" t="s">
        <v>97</v>
      </c>
      <c r="R770" s="50">
        <f>HEX2DEC(RIGHT(Table132321432[[#This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50" t="s">
        <v>97</v>
      </c>
      <c r="P771" s="50">
        <f>HEX2DEC(RIGHT(Table132321432[[#This Row],[h1]],8))</f>
        <v>0</v>
      </c>
      <c r="Q771" s="50" t="s">
        <v>97</v>
      </c>
      <c r="R771" s="50">
        <f>HEX2DEC(RIGHT(Table132321432[[#This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50" t="s">
        <v>97</v>
      </c>
      <c r="P772" s="50">
        <f>HEX2DEC(RIGHT(Table132321432[[#This Row],[h1]],8))</f>
        <v>0</v>
      </c>
      <c r="Q772" s="50" t="s">
        <v>97</v>
      </c>
      <c r="R772" s="50">
        <f>HEX2DEC(RIGHT(Table132321432[[#This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50" t="s">
        <v>97</v>
      </c>
      <c r="P773" s="50">
        <f>HEX2DEC(RIGHT(Table132321432[[#This Row],[h1]],8))</f>
        <v>0</v>
      </c>
      <c r="Q773" s="50" t="s">
        <v>97</v>
      </c>
      <c r="R773" s="50">
        <f>HEX2DEC(RIGHT(Table132321432[[#This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50" t="s">
        <v>97</v>
      </c>
      <c r="P774" s="50">
        <f>HEX2DEC(RIGHT(Table132321432[[#This Row],[h1]],8))</f>
        <v>0</v>
      </c>
      <c r="Q774" s="50" t="s">
        <v>97</v>
      </c>
      <c r="R774" s="50">
        <f>HEX2DEC(RIGHT(Table132321432[[#This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50" t="s">
        <v>97</v>
      </c>
      <c r="P775" s="50">
        <f>HEX2DEC(RIGHT(Table132321432[[#This Row],[h1]],8))</f>
        <v>0</v>
      </c>
      <c r="Q775" s="50" t="s">
        <v>97</v>
      </c>
      <c r="R775" s="50">
        <f>HEX2DEC(RIGHT(Table132321432[[#This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50" t="s">
        <v>97</v>
      </c>
      <c r="P776" s="50">
        <f>HEX2DEC(RIGHT(Table132321432[[#This Row],[h1]],8))</f>
        <v>0</v>
      </c>
      <c r="Q776" s="50" t="s">
        <v>97</v>
      </c>
      <c r="R776" s="50">
        <f>HEX2DEC(RIGHT(Table132321432[[#This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50" t="s">
        <v>97</v>
      </c>
      <c r="P777" s="50">
        <f>HEX2DEC(RIGHT(Table132321432[[#This Row],[h1]],8))</f>
        <v>0</v>
      </c>
      <c r="Q777" s="50" t="s">
        <v>97</v>
      </c>
      <c r="R777" s="50">
        <f>HEX2DEC(RIGHT(Table132321432[[#This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50" t="s">
        <v>97</v>
      </c>
      <c r="P778" s="50">
        <f>HEX2DEC(RIGHT(Table132321432[[#This Row],[h1]],8))</f>
        <v>0</v>
      </c>
      <c r="Q778" s="50" t="s">
        <v>97</v>
      </c>
      <c r="R778" s="50">
        <f>HEX2DEC(RIGHT(Table132321432[[#This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50" t="s">
        <v>97</v>
      </c>
      <c r="P779" s="50">
        <f>HEX2DEC(RIGHT(Table132321432[[#This Row],[h1]],8))</f>
        <v>0</v>
      </c>
      <c r="Q779" s="50" t="s">
        <v>97</v>
      </c>
      <c r="R779" s="50">
        <f>HEX2DEC(RIGHT(Table132321432[[#This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50" t="s">
        <v>97</v>
      </c>
      <c r="P780" s="50">
        <f>HEX2DEC(RIGHT(Table132321432[[#This Row],[h1]],8))</f>
        <v>0</v>
      </c>
      <c r="Q780" s="50" t="s">
        <v>97</v>
      </c>
      <c r="R780" s="50">
        <f>HEX2DEC(RIGHT(Table132321432[[#This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50" t="s">
        <v>97</v>
      </c>
      <c r="P781" s="50">
        <f>HEX2DEC(RIGHT(Table132321432[[#This Row],[h1]],8))</f>
        <v>0</v>
      </c>
      <c r="Q781" s="50" t="s">
        <v>97</v>
      </c>
      <c r="R781" s="50">
        <f>HEX2DEC(RIGHT(Table132321432[[#This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50" t="s">
        <v>97</v>
      </c>
      <c r="P782" s="50">
        <f>HEX2DEC(RIGHT(Table132321432[[#This Row],[h1]],8))</f>
        <v>0</v>
      </c>
      <c r="Q782" s="50" t="s">
        <v>97</v>
      </c>
      <c r="R782" s="50">
        <f>HEX2DEC(RIGHT(Table132321432[[#This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50" t="s">
        <v>97</v>
      </c>
      <c r="P783" s="50">
        <f>HEX2DEC(RIGHT(Table132321432[[#This Row],[h1]],8))</f>
        <v>0</v>
      </c>
      <c r="Q783" s="50" t="s">
        <v>97</v>
      </c>
      <c r="R783" s="50">
        <f>HEX2DEC(RIGHT(Table132321432[[#This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50" t="s">
        <v>97</v>
      </c>
      <c r="P784" s="50">
        <f>HEX2DEC(RIGHT(Table132321432[[#This Row],[h1]],8))</f>
        <v>0</v>
      </c>
      <c r="Q784" s="50" t="s">
        <v>97</v>
      </c>
      <c r="R784" s="50">
        <f>HEX2DEC(RIGHT(Table132321432[[#This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50" t="s">
        <v>97</v>
      </c>
      <c r="P785" s="50">
        <f>HEX2DEC(RIGHT(Table132321432[[#This Row],[h1]],8))</f>
        <v>0</v>
      </c>
      <c r="Q785" s="50" t="s">
        <v>97</v>
      </c>
      <c r="R785" s="50">
        <f>HEX2DEC(RIGHT(Table132321432[[#This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50" t="s">
        <v>97</v>
      </c>
      <c r="P786" s="50">
        <f>HEX2DEC(RIGHT(Table132321432[[#This Row],[h1]],8))</f>
        <v>0</v>
      </c>
      <c r="Q786" s="50" t="s">
        <v>97</v>
      </c>
      <c r="R786" s="50">
        <f>HEX2DEC(RIGHT(Table132321432[[#This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50" t="s">
        <v>97</v>
      </c>
      <c r="P787" s="50">
        <f>HEX2DEC(RIGHT(Table132321432[[#This Row],[h1]],8))</f>
        <v>0</v>
      </c>
      <c r="Q787" s="50" t="s">
        <v>97</v>
      </c>
      <c r="R787" s="50">
        <f>HEX2DEC(RIGHT(Table132321432[[#This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50" t="s">
        <v>97</v>
      </c>
      <c r="P788" s="50">
        <f>HEX2DEC(RIGHT(Table132321432[[#This Row],[h1]],8))</f>
        <v>0</v>
      </c>
      <c r="Q788" s="50" t="s">
        <v>97</v>
      </c>
      <c r="R788" s="50">
        <f>HEX2DEC(RIGHT(Table132321432[[#This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50" t="s">
        <v>97</v>
      </c>
      <c r="P789" s="50">
        <f>HEX2DEC(RIGHT(Table132321432[[#This Row],[h1]],8))</f>
        <v>0</v>
      </c>
      <c r="Q789" s="50" t="s">
        <v>97</v>
      </c>
      <c r="R789" s="50">
        <f>HEX2DEC(RIGHT(Table132321432[[#This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50" t="s">
        <v>97</v>
      </c>
      <c r="P790" s="50">
        <f>HEX2DEC(RIGHT(Table132321432[[#This Row],[h1]],8))</f>
        <v>0</v>
      </c>
      <c r="Q790" s="50" t="s">
        <v>97</v>
      </c>
      <c r="R790" s="50">
        <f>HEX2DEC(RIGHT(Table132321432[[#This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50" t="s">
        <v>97</v>
      </c>
      <c r="P791" s="50">
        <f>HEX2DEC(RIGHT(Table132321432[[#This Row],[h1]],8))</f>
        <v>0</v>
      </c>
      <c r="Q791" s="50" t="s">
        <v>97</v>
      </c>
      <c r="R791" s="50">
        <f>HEX2DEC(RIGHT(Table132321432[[#This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50" t="s">
        <v>97</v>
      </c>
      <c r="P792" s="50">
        <f>HEX2DEC(RIGHT(Table132321432[[#This Row],[h1]],8))</f>
        <v>0</v>
      </c>
      <c r="Q792" s="50" t="s">
        <v>97</v>
      </c>
      <c r="R792" s="50">
        <f>HEX2DEC(RIGHT(Table132321432[[#This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50" t="s">
        <v>97</v>
      </c>
      <c r="P793" s="50">
        <f>HEX2DEC(RIGHT(Table132321432[[#This Row],[h1]],8))</f>
        <v>0</v>
      </c>
      <c r="Q793" s="50" t="s">
        <v>97</v>
      </c>
      <c r="R793" s="50">
        <f>HEX2DEC(RIGHT(Table132321432[[#This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50" t="s">
        <v>97</v>
      </c>
      <c r="P794" s="50">
        <f>HEX2DEC(RIGHT(Table132321432[[#This Row],[h1]],8))</f>
        <v>0</v>
      </c>
      <c r="Q794" s="50" t="s">
        <v>97</v>
      </c>
      <c r="R794" s="50">
        <f>HEX2DEC(RIGHT(Table132321432[[#This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50" t="s">
        <v>97</v>
      </c>
      <c r="P795" s="50">
        <f>HEX2DEC(RIGHT(Table132321432[[#This Row],[h1]],8))</f>
        <v>0</v>
      </c>
      <c r="Q795" s="50" t="s">
        <v>97</v>
      </c>
      <c r="R795" s="50">
        <f>HEX2DEC(RIGHT(Table132321432[[#This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50" t="s">
        <v>97</v>
      </c>
      <c r="P796" s="50">
        <f>HEX2DEC(RIGHT(Table132321432[[#This Row],[h1]],8))</f>
        <v>0</v>
      </c>
      <c r="Q796" s="50" t="s">
        <v>97</v>
      </c>
      <c r="R796" s="50">
        <f>HEX2DEC(RIGHT(Table132321432[[#This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50" t="s">
        <v>97</v>
      </c>
      <c r="P797" s="50">
        <f>HEX2DEC(RIGHT(Table132321432[[#This Row],[h1]],8))</f>
        <v>0</v>
      </c>
      <c r="Q797" s="50" t="s">
        <v>97</v>
      </c>
      <c r="R797" s="50">
        <f>HEX2DEC(RIGHT(Table132321432[[#This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50" t="s">
        <v>97</v>
      </c>
      <c r="P798" s="50">
        <f>HEX2DEC(RIGHT(Table132321432[[#This Row],[h1]],8))</f>
        <v>0</v>
      </c>
      <c r="Q798" s="50" t="s">
        <v>97</v>
      </c>
      <c r="R798" s="50">
        <f>HEX2DEC(RIGHT(Table132321432[[#This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50" t="s">
        <v>97</v>
      </c>
      <c r="P799" s="50">
        <f>HEX2DEC(RIGHT(Table132321432[[#This Row],[h1]],8))</f>
        <v>0</v>
      </c>
      <c r="Q799" s="50" t="s">
        <v>97</v>
      </c>
      <c r="R799" s="50">
        <f>HEX2DEC(RIGHT(Table132321432[[#This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50" t="s">
        <v>97</v>
      </c>
      <c r="P800" s="50">
        <f>HEX2DEC(RIGHT(Table132321432[[#This Row],[h1]],8))</f>
        <v>0</v>
      </c>
      <c r="Q800" s="50" t="s">
        <v>97</v>
      </c>
      <c r="R800" s="50">
        <f>HEX2DEC(RIGHT(Table132321432[[#This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50" t="s">
        <v>97</v>
      </c>
      <c r="P801" s="50">
        <f>HEX2DEC(RIGHT(Table132321432[[#This Row],[h1]],8))</f>
        <v>0</v>
      </c>
      <c r="Q801" s="50" t="s">
        <v>97</v>
      </c>
      <c r="R801" s="50">
        <f>HEX2DEC(RIGHT(Table132321432[[#This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50" t="s">
        <v>97</v>
      </c>
      <c r="P802" s="50">
        <f>HEX2DEC(RIGHT(Table132321432[[#This Row],[h1]],8))</f>
        <v>0</v>
      </c>
      <c r="Q802" s="50" t="s">
        <v>97</v>
      </c>
      <c r="R802" s="50">
        <f>HEX2DEC(RIGHT(Table132321432[[#This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50" t="s">
        <v>97</v>
      </c>
      <c r="P803" s="50">
        <f>HEX2DEC(RIGHT(Table132321432[[#This Row],[h1]],8))</f>
        <v>0</v>
      </c>
      <c r="Q803" s="50" t="s">
        <v>97</v>
      </c>
      <c r="R803" s="50">
        <f>HEX2DEC(RIGHT(Table132321432[[#This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50" t="s">
        <v>97</v>
      </c>
      <c r="P804" s="50">
        <f>HEX2DEC(RIGHT(Table132321432[[#This Row],[h1]],8))</f>
        <v>0</v>
      </c>
      <c r="Q804" s="50" t="s">
        <v>97</v>
      </c>
      <c r="R804" s="50">
        <f>HEX2DEC(RIGHT(Table132321432[[#This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50" t="s">
        <v>97</v>
      </c>
      <c r="P805" s="50">
        <f>HEX2DEC(RIGHT(Table132321432[[#This Row],[h1]],8))</f>
        <v>0</v>
      </c>
      <c r="Q805" s="50" t="s">
        <v>97</v>
      </c>
      <c r="R805" s="50">
        <f>HEX2DEC(RIGHT(Table132321432[[#This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50" t="s">
        <v>97</v>
      </c>
      <c r="P806" s="50">
        <f>HEX2DEC(RIGHT(Table132321432[[#This Row],[h1]],8))</f>
        <v>0</v>
      </c>
      <c r="Q806" s="50" t="s">
        <v>97</v>
      </c>
      <c r="R806" s="50">
        <f>HEX2DEC(RIGHT(Table132321432[[#This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50" t="s">
        <v>97</v>
      </c>
      <c r="P807" s="50">
        <f>HEX2DEC(RIGHT(Table132321432[[#This Row],[h1]],8))</f>
        <v>0</v>
      </c>
      <c r="Q807" s="50" t="s">
        <v>97</v>
      </c>
      <c r="R807" s="50">
        <f>HEX2DEC(RIGHT(Table132321432[[#This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50" t="s">
        <v>97</v>
      </c>
      <c r="P808" s="50">
        <f>HEX2DEC(RIGHT(Table132321432[[#This Row],[h1]],8))</f>
        <v>0</v>
      </c>
      <c r="Q808" s="50" t="s">
        <v>97</v>
      </c>
      <c r="R808" s="50">
        <f>HEX2DEC(RIGHT(Table132321432[[#This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50" t="s">
        <v>97</v>
      </c>
      <c r="P809" s="50">
        <f>HEX2DEC(RIGHT(Table132321432[[#This Row],[h1]],8))</f>
        <v>0</v>
      </c>
      <c r="Q809" s="50" t="s">
        <v>97</v>
      </c>
      <c r="R809" s="50">
        <f>HEX2DEC(RIGHT(Table132321432[[#This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50" t="s">
        <v>97</v>
      </c>
      <c r="P810" s="50">
        <f>HEX2DEC(RIGHT(Table132321432[[#This Row],[h1]],8))</f>
        <v>0</v>
      </c>
      <c r="Q810" s="50" t="s">
        <v>97</v>
      </c>
      <c r="R810" s="50">
        <f>HEX2DEC(RIGHT(Table132321432[[#This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50" t="s">
        <v>97</v>
      </c>
      <c r="P811" s="50">
        <f>HEX2DEC(RIGHT(Table132321432[[#This Row],[h1]],8))</f>
        <v>0</v>
      </c>
      <c r="Q811" s="50" t="s">
        <v>97</v>
      </c>
      <c r="R811" s="50">
        <f>HEX2DEC(RIGHT(Table132321432[[#This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50" t="s">
        <v>97</v>
      </c>
      <c r="P812" s="50">
        <f>HEX2DEC(RIGHT(Table132321432[[#This Row],[h1]],8))</f>
        <v>0</v>
      </c>
      <c r="Q812" s="50" t="s">
        <v>97</v>
      </c>
      <c r="R812" s="50">
        <f>HEX2DEC(RIGHT(Table132321432[[#This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50" t="s">
        <v>97</v>
      </c>
      <c r="P813" s="50">
        <f>HEX2DEC(RIGHT(Table132321432[[#This Row],[h1]],8))</f>
        <v>0</v>
      </c>
      <c r="Q813" s="50" t="s">
        <v>97</v>
      </c>
      <c r="R813" s="50">
        <f>HEX2DEC(RIGHT(Table132321432[[#This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50" t="s">
        <v>97</v>
      </c>
      <c r="P814" s="50">
        <f>HEX2DEC(RIGHT(Table132321432[[#This Row],[h1]],8))</f>
        <v>0</v>
      </c>
      <c r="Q814" s="50" t="s">
        <v>97</v>
      </c>
      <c r="R814" s="50">
        <f>HEX2DEC(RIGHT(Table132321432[[#This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50" t="s">
        <v>97</v>
      </c>
      <c r="P815" s="50">
        <f>HEX2DEC(RIGHT(Table132321432[[#This Row],[h1]],8))</f>
        <v>0</v>
      </c>
      <c r="Q815" s="50" t="s">
        <v>97</v>
      </c>
      <c r="R815" s="50">
        <f>HEX2DEC(RIGHT(Table132321432[[#This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50" t="s">
        <v>97</v>
      </c>
      <c r="P816" s="50">
        <f>HEX2DEC(RIGHT(Table132321432[[#This Row],[h1]],8))</f>
        <v>0</v>
      </c>
      <c r="Q816" s="50" t="s">
        <v>97</v>
      </c>
      <c r="R816" s="50">
        <f>HEX2DEC(RIGHT(Table132321432[[#This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50" t="s">
        <v>97</v>
      </c>
      <c r="P817" s="50">
        <f>HEX2DEC(RIGHT(Table132321432[[#This Row],[h1]],8))</f>
        <v>0</v>
      </c>
      <c r="Q817" s="50" t="s">
        <v>97</v>
      </c>
      <c r="R817" s="50">
        <f>HEX2DEC(RIGHT(Table132321432[[#This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50" t="s">
        <v>97</v>
      </c>
      <c r="P818" s="50">
        <f>HEX2DEC(RIGHT(Table132321432[[#This Row],[h1]],8))</f>
        <v>0</v>
      </c>
      <c r="Q818" s="50" t="s">
        <v>97</v>
      </c>
      <c r="R818" s="50">
        <f>HEX2DEC(RIGHT(Table132321432[[#This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50" t="s">
        <v>97</v>
      </c>
      <c r="P819" s="50">
        <f>HEX2DEC(RIGHT(Table132321432[[#This Row],[h1]],8))</f>
        <v>0</v>
      </c>
      <c r="Q819" s="50" t="s">
        <v>97</v>
      </c>
      <c r="R819" s="50">
        <f>HEX2DEC(RIGHT(Table132321432[[#This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50" t="s">
        <v>97</v>
      </c>
      <c r="P820" s="50">
        <f>HEX2DEC(RIGHT(Table132321432[[#This Row],[h1]],8))</f>
        <v>0</v>
      </c>
      <c r="Q820" s="50" t="s">
        <v>97</v>
      </c>
      <c r="R820" s="50">
        <f>HEX2DEC(RIGHT(Table132321432[[#This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50" t="s">
        <v>97</v>
      </c>
      <c r="P821" s="50">
        <f>HEX2DEC(RIGHT(Table132321432[[#This Row],[h1]],8))</f>
        <v>0</v>
      </c>
      <c r="Q821" s="50" t="s">
        <v>97</v>
      </c>
      <c r="R821" s="50">
        <f>HEX2DEC(RIGHT(Table132321432[[#This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50" t="s">
        <v>97</v>
      </c>
      <c r="P822" s="50">
        <f>HEX2DEC(RIGHT(Table132321432[[#This Row],[h1]],8))</f>
        <v>0</v>
      </c>
      <c r="Q822" s="50" t="s">
        <v>97</v>
      </c>
      <c r="R822" s="50">
        <f>HEX2DEC(RIGHT(Table132321432[[#This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50" t="s">
        <v>97</v>
      </c>
      <c r="P823" s="50">
        <f>HEX2DEC(RIGHT(Table132321432[[#This Row],[h1]],8))</f>
        <v>0</v>
      </c>
      <c r="Q823" s="50" t="s">
        <v>97</v>
      </c>
      <c r="R823" s="50">
        <f>HEX2DEC(RIGHT(Table132321432[[#This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50" t="s">
        <v>97</v>
      </c>
      <c r="P824" s="50">
        <f>HEX2DEC(RIGHT(Table132321432[[#This Row],[h1]],8))</f>
        <v>0</v>
      </c>
      <c r="Q824" s="50" t="s">
        <v>97</v>
      </c>
      <c r="R824" s="50">
        <f>HEX2DEC(RIGHT(Table132321432[[#This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50" t="s">
        <v>97</v>
      </c>
      <c r="P825" s="50">
        <f>HEX2DEC(RIGHT(Table132321432[[#This Row],[h1]],8))</f>
        <v>0</v>
      </c>
      <c r="Q825" s="50" t="s">
        <v>97</v>
      </c>
      <c r="R825" s="50">
        <f>HEX2DEC(RIGHT(Table132321432[[#This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50" t="s">
        <v>97</v>
      </c>
      <c r="P826" s="50">
        <f>HEX2DEC(RIGHT(Table132321432[[#This Row],[h1]],8))</f>
        <v>0</v>
      </c>
      <c r="Q826" s="50" t="s">
        <v>97</v>
      </c>
      <c r="R826" s="50">
        <f>HEX2DEC(RIGHT(Table132321432[[#This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50" t="s">
        <v>97</v>
      </c>
      <c r="P827" s="50">
        <f>HEX2DEC(RIGHT(Table132321432[[#This Row],[h1]],8))</f>
        <v>0</v>
      </c>
      <c r="Q827" s="50" t="s">
        <v>97</v>
      </c>
      <c r="R827" s="50">
        <f>HEX2DEC(RIGHT(Table132321432[[#This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50" t="s">
        <v>97</v>
      </c>
      <c r="P828" s="50">
        <f>HEX2DEC(RIGHT(Table132321432[[#This Row],[h1]],8))</f>
        <v>0</v>
      </c>
      <c r="Q828" s="50" t="s">
        <v>97</v>
      </c>
      <c r="R828" s="50">
        <f>HEX2DEC(RIGHT(Table132321432[[#This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50" t="s">
        <v>97</v>
      </c>
      <c r="P829" s="50">
        <f>HEX2DEC(RIGHT(Table132321432[[#This Row],[h1]],8))</f>
        <v>0</v>
      </c>
      <c r="Q829" s="50" t="s">
        <v>97</v>
      </c>
      <c r="R829" s="50">
        <f>HEX2DEC(RIGHT(Table132321432[[#This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50" t="s">
        <v>97</v>
      </c>
      <c r="P830" s="50">
        <f>HEX2DEC(RIGHT(Table132321432[[#This Row],[h1]],8))</f>
        <v>0</v>
      </c>
      <c r="Q830" s="50" t="s">
        <v>97</v>
      </c>
      <c r="R830" s="50">
        <f>HEX2DEC(RIGHT(Table132321432[[#This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50" t="s">
        <v>97</v>
      </c>
      <c r="P831" s="50">
        <f>HEX2DEC(RIGHT(Table132321432[[#This Row],[h1]],8))</f>
        <v>0</v>
      </c>
      <c r="Q831" s="50" t="s">
        <v>97</v>
      </c>
      <c r="R831" s="50">
        <f>HEX2DEC(RIGHT(Table132321432[[#This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50" t="s">
        <v>97</v>
      </c>
      <c r="P832" s="50">
        <f>HEX2DEC(RIGHT(Table132321432[[#This Row],[h1]],8))</f>
        <v>0</v>
      </c>
      <c r="Q832" s="50" t="s">
        <v>97</v>
      </c>
      <c r="R832" s="50">
        <f>HEX2DEC(RIGHT(Table132321432[[#This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50" t="s">
        <v>97</v>
      </c>
      <c r="P833" s="50">
        <f>HEX2DEC(RIGHT(Table132321432[[#This Row],[h1]],8))</f>
        <v>0</v>
      </c>
      <c r="Q833" s="50" t="s">
        <v>97</v>
      </c>
      <c r="R833" s="50">
        <f>HEX2DEC(RIGHT(Table132321432[[#This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50" t="s">
        <v>97</v>
      </c>
      <c r="P834" s="50">
        <f>HEX2DEC(RIGHT(Table132321432[[#This Row],[h1]],8))</f>
        <v>0</v>
      </c>
      <c r="Q834" s="50" t="s">
        <v>97</v>
      </c>
      <c r="R834" s="50">
        <f>HEX2DEC(RIGHT(Table132321432[[#This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50" t="s">
        <v>97</v>
      </c>
      <c r="P835" s="50">
        <f>HEX2DEC(RIGHT(Table132321432[[#This Row],[h1]],8))</f>
        <v>0</v>
      </c>
      <c r="Q835" s="50" t="s">
        <v>97</v>
      </c>
      <c r="R835" s="50">
        <f>HEX2DEC(RIGHT(Table132321432[[#This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50" t="s">
        <v>97</v>
      </c>
      <c r="P836" s="50">
        <f>HEX2DEC(RIGHT(Table132321432[[#This Row],[h1]],8))</f>
        <v>0</v>
      </c>
      <c r="Q836" s="50" t="s">
        <v>97</v>
      </c>
      <c r="R836" s="50">
        <f>HEX2DEC(RIGHT(Table132321432[[#This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50" t="s">
        <v>97</v>
      </c>
      <c r="P837" s="50">
        <f>HEX2DEC(RIGHT(Table132321432[[#This Row],[h1]],8))</f>
        <v>0</v>
      </c>
      <c r="Q837" s="50" t="s">
        <v>97</v>
      </c>
      <c r="R837" s="50">
        <f>HEX2DEC(RIGHT(Table132321432[[#This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50" t="s">
        <v>97</v>
      </c>
      <c r="P838" s="50">
        <f>HEX2DEC(RIGHT(Table132321432[[#This Row],[h1]],8))</f>
        <v>0</v>
      </c>
      <c r="Q838" s="50" t="s">
        <v>97</v>
      </c>
      <c r="R838" s="50">
        <f>HEX2DEC(RIGHT(Table132321432[[#This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50" t="s">
        <v>97</v>
      </c>
      <c r="P839" s="50">
        <f>HEX2DEC(RIGHT(Table132321432[[#This Row],[h1]],8))</f>
        <v>0</v>
      </c>
      <c r="Q839" s="50" t="s">
        <v>97</v>
      </c>
      <c r="R839" s="50">
        <f>HEX2DEC(RIGHT(Table132321432[[#This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50" t="s">
        <v>97</v>
      </c>
      <c r="P840" s="50">
        <f>HEX2DEC(RIGHT(Table132321432[[#This Row],[h1]],8))</f>
        <v>0</v>
      </c>
      <c r="Q840" s="50" t="s">
        <v>97</v>
      </c>
      <c r="R840" s="50">
        <f>HEX2DEC(RIGHT(Table132321432[[#This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50" t="s">
        <v>97</v>
      </c>
      <c r="P841" s="50">
        <f>HEX2DEC(RIGHT(Table132321432[[#This Row],[h1]],8))</f>
        <v>0</v>
      </c>
      <c r="Q841" s="50" t="s">
        <v>97</v>
      </c>
      <c r="R841" s="50">
        <f>HEX2DEC(RIGHT(Table132321432[[#This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50" t="s">
        <v>97</v>
      </c>
      <c r="P842" s="50">
        <f>HEX2DEC(RIGHT(Table132321432[[#This Row],[h1]],8))</f>
        <v>0</v>
      </c>
      <c r="Q842" s="50" t="s">
        <v>97</v>
      </c>
      <c r="R842" s="50">
        <f>HEX2DEC(RIGHT(Table132321432[[#This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50" t="s">
        <v>97</v>
      </c>
      <c r="P843" s="50">
        <f>HEX2DEC(RIGHT(Table132321432[[#This Row],[h1]],8))</f>
        <v>0</v>
      </c>
      <c r="Q843" s="50" t="s">
        <v>97</v>
      </c>
      <c r="R843" s="50">
        <f>HEX2DEC(RIGHT(Table132321432[[#This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50" t="s">
        <v>97</v>
      </c>
      <c r="P844" s="50">
        <f>HEX2DEC(RIGHT(Table132321432[[#This Row],[h1]],8))</f>
        <v>0</v>
      </c>
      <c r="Q844" s="50" t="s">
        <v>97</v>
      </c>
      <c r="R844" s="50">
        <f>HEX2DEC(RIGHT(Table132321432[[#This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50" t="s">
        <v>97</v>
      </c>
      <c r="P845" s="50">
        <f>HEX2DEC(RIGHT(Table132321432[[#This Row],[h1]],8))</f>
        <v>0</v>
      </c>
      <c r="Q845" s="50" t="s">
        <v>97</v>
      </c>
      <c r="R845" s="50">
        <f>HEX2DEC(RIGHT(Table132321432[[#This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50" t="s">
        <v>97</v>
      </c>
      <c r="P846" s="50">
        <f>HEX2DEC(RIGHT(Table132321432[[#This Row],[h1]],8))</f>
        <v>0</v>
      </c>
      <c r="Q846" s="50" t="s">
        <v>97</v>
      </c>
      <c r="R846" s="50">
        <f>HEX2DEC(RIGHT(Table132321432[[#This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50" t="s">
        <v>97</v>
      </c>
      <c r="P847" s="50">
        <f>HEX2DEC(RIGHT(Table132321432[[#This Row],[h1]],8))</f>
        <v>0</v>
      </c>
      <c r="Q847" s="50" t="s">
        <v>97</v>
      </c>
      <c r="R847" s="50">
        <f>HEX2DEC(RIGHT(Table132321432[[#This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50" t="s">
        <v>97</v>
      </c>
      <c r="P848" s="50">
        <f>HEX2DEC(RIGHT(Table132321432[[#This Row],[h1]],8))</f>
        <v>0</v>
      </c>
      <c r="Q848" s="50" t="s">
        <v>97</v>
      </c>
      <c r="R848" s="50">
        <f>HEX2DEC(RIGHT(Table132321432[[#This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50" t="s">
        <v>97</v>
      </c>
      <c r="P849" s="50">
        <f>HEX2DEC(RIGHT(Table132321432[[#This Row],[h1]],8))</f>
        <v>0</v>
      </c>
      <c r="Q849" s="50" t="s">
        <v>97</v>
      </c>
      <c r="R849" s="50">
        <f>HEX2DEC(RIGHT(Table132321432[[#This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50" t="s">
        <v>97</v>
      </c>
      <c r="P850" s="50">
        <f>HEX2DEC(RIGHT(Table132321432[[#This Row],[h1]],8))</f>
        <v>0</v>
      </c>
      <c r="Q850" s="50" t="s">
        <v>97</v>
      </c>
      <c r="R850" s="50">
        <f>HEX2DEC(RIGHT(Table132321432[[#This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50" t="s">
        <v>97</v>
      </c>
      <c r="P851" s="50">
        <f>HEX2DEC(RIGHT(Table132321432[[#This Row],[h1]],8))</f>
        <v>0</v>
      </c>
      <c r="Q851" s="50" t="s">
        <v>97</v>
      </c>
      <c r="R851" s="50">
        <f>HEX2DEC(RIGHT(Table132321432[[#This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50" t="s">
        <v>97</v>
      </c>
      <c r="P852" s="50">
        <f>HEX2DEC(RIGHT(Table132321432[[#This Row],[h1]],8))</f>
        <v>0</v>
      </c>
      <c r="Q852" s="50" t="s">
        <v>97</v>
      </c>
      <c r="R852" s="50">
        <f>HEX2DEC(RIGHT(Table132321432[[#This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50" t="s">
        <v>97</v>
      </c>
      <c r="P853" s="50">
        <f>HEX2DEC(RIGHT(Table132321432[[#This Row],[h1]],8))</f>
        <v>0</v>
      </c>
      <c r="Q853" s="50" t="s">
        <v>97</v>
      </c>
      <c r="R853" s="50">
        <f>HEX2DEC(RIGHT(Table132321432[[#This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50" t="s">
        <v>97</v>
      </c>
      <c r="P854" s="50">
        <f>HEX2DEC(RIGHT(Table132321432[[#This Row],[h1]],8))</f>
        <v>0</v>
      </c>
      <c r="Q854" s="50" t="s">
        <v>97</v>
      </c>
      <c r="R854" s="50">
        <f>HEX2DEC(RIGHT(Table132321432[[#This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50" t="s">
        <v>97</v>
      </c>
      <c r="P855" s="50">
        <f>HEX2DEC(RIGHT(Table132321432[[#This Row],[h1]],8))</f>
        <v>0</v>
      </c>
      <c r="Q855" s="50" t="s">
        <v>97</v>
      </c>
      <c r="R855" s="50">
        <f>HEX2DEC(RIGHT(Table132321432[[#This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50" t="s">
        <v>97</v>
      </c>
      <c r="P856" s="50">
        <f>HEX2DEC(RIGHT(Table132321432[[#This Row],[h1]],8))</f>
        <v>0</v>
      </c>
      <c r="Q856" s="50" t="s">
        <v>97</v>
      </c>
      <c r="R856" s="50">
        <f>HEX2DEC(RIGHT(Table132321432[[#This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50" t="s">
        <v>97</v>
      </c>
      <c r="P857" s="50">
        <f>HEX2DEC(RIGHT(Table132321432[[#This Row],[h1]],8))</f>
        <v>0</v>
      </c>
      <c r="Q857" s="50" t="s">
        <v>97</v>
      </c>
      <c r="R857" s="50">
        <f>HEX2DEC(RIGHT(Table132321432[[#This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50" t="s">
        <v>97</v>
      </c>
      <c r="P858" s="50">
        <f>HEX2DEC(RIGHT(Table132321432[[#This Row],[h1]],8))</f>
        <v>0</v>
      </c>
      <c r="Q858" s="50" t="s">
        <v>97</v>
      </c>
      <c r="R858" s="50">
        <f>HEX2DEC(RIGHT(Table132321432[[#This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50" t="s">
        <v>97</v>
      </c>
      <c r="P859" s="50">
        <f>HEX2DEC(RIGHT(Table132321432[[#This Row],[h1]],8))</f>
        <v>0</v>
      </c>
      <c r="Q859" s="50" t="s">
        <v>97</v>
      </c>
      <c r="R859" s="50">
        <f>HEX2DEC(RIGHT(Table132321432[[#This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50" t="s">
        <v>97</v>
      </c>
      <c r="P860" s="50">
        <f>HEX2DEC(RIGHT(Table132321432[[#This Row],[h1]],8))</f>
        <v>0</v>
      </c>
      <c r="Q860" s="50" t="s">
        <v>97</v>
      </c>
      <c r="R860" s="50">
        <f>HEX2DEC(RIGHT(Table132321432[[#This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50" t="s">
        <v>97</v>
      </c>
      <c r="P861" s="50">
        <f>HEX2DEC(RIGHT(Table132321432[[#This Row],[h1]],8))</f>
        <v>0</v>
      </c>
      <c r="Q861" s="50" t="s">
        <v>97</v>
      </c>
      <c r="R861" s="50">
        <f>HEX2DEC(RIGHT(Table132321432[[#This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50" t="s">
        <v>97</v>
      </c>
      <c r="P862" s="50">
        <f>HEX2DEC(RIGHT(Table132321432[[#This Row],[h1]],8))</f>
        <v>0</v>
      </c>
      <c r="Q862" s="50" t="s">
        <v>97</v>
      </c>
      <c r="R862" s="50">
        <f>HEX2DEC(RIGHT(Table132321432[[#This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50" t="s">
        <v>97</v>
      </c>
      <c r="P863" s="50">
        <f>HEX2DEC(RIGHT(Table132321432[[#This Row],[h1]],8))</f>
        <v>0</v>
      </c>
      <c r="Q863" s="50" t="s">
        <v>97</v>
      </c>
      <c r="R863" s="50">
        <f>HEX2DEC(RIGHT(Table132321432[[#This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50" t="s">
        <v>97</v>
      </c>
      <c r="P864" s="50">
        <f>HEX2DEC(RIGHT(Table132321432[[#This Row],[h1]],8))</f>
        <v>0</v>
      </c>
      <c r="Q864" s="50" t="s">
        <v>97</v>
      </c>
      <c r="R864" s="50">
        <f>HEX2DEC(RIGHT(Table132321432[[#This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50" t="s">
        <v>97</v>
      </c>
      <c r="P865" s="50">
        <f>HEX2DEC(RIGHT(Table132321432[[#This Row],[h1]],8))</f>
        <v>0</v>
      </c>
      <c r="Q865" s="50" t="s">
        <v>97</v>
      </c>
      <c r="R865" s="50">
        <f>HEX2DEC(RIGHT(Table132321432[[#This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50" t="s">
        <v>97</v>
      </c>
      <c r="P866" s="50">
        <f>HEX2DEC(RIGHT(Table132321432[[#This Row],[h1]],8))</f>
        <v>0</v>
      </c>
      <c r="Q866" s="50" t="s">
        <v>97</v>
      </c>
      <c r="R866" s="50">
        <f>HEX2DEC(RIGHT(Table132321432[[#This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50" t="s">
        <v>97</v>
      </c>
      <c r="P867" s="50">
        <f>HEX2DEC(RIGHT(Table132321432[[#This Row],[h1]],8))</f>
        <v>0</v>
      </c>
      <c r="Q867" s="50" t="s">
        <v>97</v>
      </c>
      <c r="R867" s="50">
        <f>HEX2DEC(RIGHT(Table132321432[[#This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50" t="s">
        <v>97</v>
      </c>
      <c r="P868" s="50">
        <f>HEX2DEC(RIGHT(Table132321432[[#This Row],[h1]],8))</f>
        <v>0</v>
      </c>
      <c r="Q868" s="50" t="s">
        <v>97</v>
      </c>
      <c r="R868" s="50">
        <f>HEX2DEC(RIGHT(Table132321432[[#This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50" t="s">
        <v>97</v>
      </c>
      <c r="P869" s="50">
        <f>HEX2DEC(RIGHT(Table132321432[[#This Row],[h1]],8))</f>
        <v>0</v>
      </c>
      <c r="Q869" s="50" t="s">
        <v>97</v>
      </c>
      <c r="R869" s="50">
        <f>HEX2DEC(RIGHT(Table132321432[[#This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50" t="s">
        <v>97</v>
      </c>
      <c r="P870" s="50">
        <f>HEX2DEC(RIGHT(Table132321432[[#This Row],[h1]],8))</f>
        <v>0</v>
      </c>
      <c r="Q870" s="50" t="s">
        <v>97</v>
      </c>
      <c r="R870" s="50">
        <f>HEX2DEC(RIGHT(Table132321432[[#This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50" t="s">
        <v>97</v>
      </c>
      <c r="P871" s="50">
        <f>HEX2DEC(RIGHT(Table132321432[[#This Row],[h1]],8))</f>
        <v>0</v>
      </c>
      <c r="Q871" s="50" t="s">
        <v>97</v>
      </c>
      <c r="R871" s="50">
        <f>HEX2DEC(RIGHT(Table132321432[[#This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50" t="s">
        <v>97</v>
      </c>
      <c r="P872" s="50">
        <f>HEX2DEC(RIGHT(Table132321432[[#This Row],[h1]],8))</f>
        <v>0</v>
      </c>
      <c r="Q872" s="50" t="s">
        <v>97</v>
      </c>
      <c r="R872" s="50">
        <f>HEX2DEC(RIGHT(Table132321432[[#This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50" t="s">
        <v>97</v>
      </c>
      <c r="P873" s="50">
        <f>HEX2DEC(RIGHT(Table132321432[[#This Row],[h1]],8))</f>
        <v>0</v>
      </c>
      <c r="Q873" s="50" t="s">
        <v>97</v>
      </c>
      <c r="R873" s="50">
        <f>HEX2DEC(RIGHT(Table132321432[[#This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50" t="s">
        <v>97</v>
      </c>
      <c r="P874" s="50">
        <f>HEX2DEC(RIGHT(Table132321432[[#This Row],[h1]],8))</f>
        <v>0</v>
      </c>
      <c r="Q874" s="50" t="s">
        <v>97</v>
      </c>
      <c r="R874" s="50">
        <f>HEX2DEC(RIGHT(Table132321432[[#This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50" t="s">
        <v>97</v>
      </c>
      <c r="P875" s="50">
        <f>HEX2DEC(RIGHT(Table132321432[[#This Row],[h1]],8))</f>
        <v>0</v>
      </c>
      <c r="Q875" s="50" t="s">
        <v>97</v>
      </c>
      <c r="R875" s="50">
        <f>HEX2DEC(RIGHT(Table132321432[[#This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50" t="s">
        <v>97</v>
      </c>
      <c r="P876" s="50">
        <f>HEX2DEC(RIGHT(Table132321432[[#This Row],[h1]],8))</f>
        <v>0</v>
      </c>
      <c r="Q876" s="50" t="s">
        <v>97</v>
      </c>
      <c r="R876" s="50">
        <f>HEX2DEC(RIGHT(Table132321432[[#This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50" t="s">
        <v>97</v>
      </c>
      <c r="P877" s="50">
        <f>HEX2DEC(RIGHT(Table132321432[[#This Row],[h1]],8))</f>
        <v>0</v>
      </c>
      <c r="Q877" s="50" t="s">
        <v>97</v>
      </c>
      <c r="R877" s="50">
        <f>HEX2DEC(RIGHT(Table132321432[[#This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50" t="s">
        <v>97</v>
      </c>
      <c r="P878" s="50">
        <f>HEX2DEC(RIGHT(Table132321432[[#This Row],[h1]],8))</f>
        <v>0</v>
      </c>
      <c r="Q878" s="50" t="s">
        <v>97</v>
      </c>
      <c r="R878" s="50">
        <f>HEX2DEC(RIGHT(Table132321432[[#This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50" t="s">
        <v>97</v>
      </c>
      <c r="P879" s="50">
        <f>HEX2DEC(RIGHT(Table132321432[[#This Row],[h1]],8))</f>
        <v>0</v>
      </c>
      <c r="Q879" s="50" t="s">
        <v>97</v>
      </c>
      <c r="R879" s="50">
        <f>HEX2DEC(RIGHT(Table132321432[[#This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50" t="s">
        <v>97</v>
      </c>
      <c r="P880" s="50">
        <f>HEX2DEC(RIGHT(Table132321432[[#This Row],[h1]],8))</f>
        <v>0</v>
      </c>
      <c r="Q880" s="50" t="s">
        <v>97</v>
      </c>
      <c r="R880" s="50">
        <f>HEX2DEC(RIGHT(Table132321432[[#This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50" t="s">
        <v>97</v>
      </c>
      <c r="P881" s="50">
        <f>HEX2DEC(RIGHT(Table132321432[[#This Row],[h1]],8))</f>
        <v>0</v>
      </c>
      <c r="Q881" s="50" t="s">
        <v>97</v>
      </c>
      <c r="R881" s="50">
        <f>HEX2DEC(RIGHT(Table132321432[[#This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50" t="s">
        <v>97</v>
      </c>
      <c r="P882" s="50">
        <f>HEX2DEC(RIGHT(Table132321432[[#This Row],[h1]],8))</f>
        <v>0</v>
      </c>
      <c r="Q882" s="50" t="s">
        <v>97</v>
      </c>
      <c r="R882" s="50">
        <f>HEX2DEC(RIGHT(Table132321432[[#This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50" t="s">
        <v>97</v>
      </c>
      <c r="P883" s="50">
        <f>HEX2DEC(RIGHT(Table132321432[[#This Row],[h1]],8))</f>
        <v>0</v>
      </c>
      <c r="Q883" s="50" t="s">
        <v>97</v>
      </c>
      <c r="R883" s="50">
        <f>HEX2DEC(RIGHT(Table132321432[[#This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50" t="s">
        <v>97</v>
      </c>
      <c r="P884" s="50">
        <f>HEX2DEC(RIGHT(Table132321432[[#This Row],[h1]],8))</f>
        <v>0</v>
      </c>
      <c r="Q884" s="50" t="s">
        <v>97</v>
      </c>
      <c r="R884" s="50">
        <f>HEX2DEC(RIGHT(Table132321432[[#This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50" t="s">
        <v>97</v>
      </c>
      <c r="P885" s="50">
        <f>HEX2DEC(RIGHT(Table132321432[[#This Row],[h1]],8))</f>
        <v>0</v>
      </c>
      <c r="Q885" s="50" t="s">
        <v>97</v>
      </c>
      <c r="R885" s="50">
        <f>HEX2DEC(RIGHT(Table132321432[[#This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50" t="s">
        <v>97</v>
      </c>
      <c r="P886" s="50">
        <f>HEX2DEC(RIGHT(Table132321432[[#This Row],[h1]],8))</f>
        <v>0</v>
      </c>
      <c r="Q886" s="50" t="s">
        <v>97</v>
      </c>
      <c r="R886" s="50">
        <f>HEX2DEC(RIGHT(Table132321432[[#This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50" t="s">
        <v>97</v>
      </c>
      <c r="P887" s="50">
        <f>HEX2DEC(RIGHT(Table132321432[[#This Row],[h1]],8))</f>
        <v>0</v>
      </c>
      <c r="Q887" s="50" t="s">
        <v>97</v>
      </c>
      <c r="R887" s="50">
        <f>HEX2DEC(RIGHT(Table132321432[[#This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50" t="s">
        <v>97</v>
      </c>
      <c r="P888" s="50">
        <f>HEX2DEC(RIGHT(Table132321432[[#This Row],[h1]],8))</f>
        <v>0</v>
      </c>
      <c r="Q888" s="50" t="s">
        <v>97</v>
      </c>
      <c r="R888" s="50">
        <f>HEX2DEC(RIGHT(Table132321432[[#This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50" t="s">
        <v>97</v>
      </c>
      <c r="P889" s="50">
        <f>HEX2DEC(RIGHT(Table132321432[[#This Row],[h1]],8))</f>
        <v>0</v>
      </c>
      <c r="Q889" s="50" t="s">
        <v>97</v>
      </c>
      <c r="R889" s="50">
        <f>HEX2DEC(RIGHT(Table132321432[[#This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50" t="s">
        <v>97</v>
      </c>
      <c r="P890" s="50">
        <f>HEX2DEC(RIGHT(Table132321432[[#This Row],[h1]],8))</f>
        <v>0</v>
      </c>
      <c r="Q890" s="50" t="s">
        <v>97</v>
      </c>
      <c r="R890" s="50">
        <f>HEX2DEC(RIGHT(Table132321432[[#This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50" t="s">
        <v>97</v>
      </c>
      <c r="P891" s="50">
        <f>HEX2DEC(RIGHT(Table132321432[[#This Row],[h1]],8))</f>
        <v>0</v>
      </c>
      <c r="Q891" s="50" t="s">
        <v>97</v>
      </c>
      <c r="R891" s="50">
        <f>HEX2DEC(RIGHT(Table132321432[[#This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50" t="s">
        <v>97</v>
      </c>
      <c r="P892" s="50">
        <f>HEX2DEC(RIGHT(Table132321432[[#This Row],[h1]],8))</f>
        <v>0</v>
      </c>
      <c r="Q892" s="50" t="s">
        <v>97</v>
      </c>
      <c r="R892" s="50">
        <f>HEX2DEC(RIGHT(Table132321432[[#This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50" t="s">
        <v>97</v>
      </c>
      <c r="P893" s="50">
        <f>HEX2DEC(RIGHT(Table132321432[[#This Row],[h1]],8))</f>
        <v>0</v>
      </c>
      <c r="Q893" s="50" t="s">
        <v>97</v>
      </c>
      <c r="R893" s="50">
        <f>HEX2DEC(RIGHT(Table132321432[[#This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50" t="s">
        <v>97</v>
      </c>
      <c r="P894" s="50">
        <f>HEX2DEC(RIGHT(Table132321432[[#This Row],[h1]],8))</f>
        <v>0</v>
      </c>
      <c r="Q894" s="50" t="s">
        <v>97</v>
      </c>
      <c r="R894" s="50">
        <f>HEX2DEC(RIGHT(Table132321432[[#This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50" t="s">
        <v>97</v>
      </c>
      <c r="P895" s="50">
        <f>HEX2DEC(RIGHT(Table132321432[[#This Row],[h1]],8))</f>
        <v>0</v>
      </c>
      <c r="Q895" s="50" t="s">
        <v>97</v>
      </c>
      <c r="R895" s="50">
        <f>HEX2DEC(RIGHT(Table132321432[[#This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50" t="s">
        <v>97</v>
      </c>
      <c r="P896" s="50">
        <f>HEX2DEC(RIGHT(Table132321432[[#This Row],[h1]],8))</f>
        <v>0</v>
      </c>
      <c r="Q896" s="50" t="s">
        <v>97</v>
      </c>
      <c r="R896" s="50">
        <f>HEX2DEC(RIGHT(Table132321432[[#This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50" t="s">
        <v>97</v>
      </c>
      <c r="P897" s="50">
        <f>HEX2DEC(RIGHT(Table132321432[[#This Row],[h1]],8))</f>
        <v>0</v>
      </c>
      <c r="Q897" s="50" t="s">
        <v>97</v>
      </c>
      <c r="R897" s="50">
        <f>HEX2DEC(RIGHT(Table132321432[[#This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50" t="s">
        <v>97</v>
      </c>
      <c r="P898" s="50">
        <f>HEX2DEC(RIGHT(Table132321432[[#This Row],[h1]],8))</f>
        <v>0</v>
      </c>
      <c r="Q898" s="50" t="s">
        <v>97</v>
      </c>
      <c r="R898" s="50">
        <f>HEX2DEC(RIGHT(Table132321432[[#This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50" t="s">
        <v>97</v>
      </c>
      <c r="P899" s="50">
        <f>HEX2DEC(RIGHT(Table132321432[[#This Row],[h1]],8))</f>
        <v>0</v>
      </c>
      <c r="Q899" s="50" t="s">
        <v>97</v>
      </c>
      <c r="R899" s="50">
        <f>HEX2DEC(RIGHT(Table132321432[[#This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50" t="s">
        <v>97</v>
      </c>
      <c r="P900" s="50">
        <f>HEX2DEC(RIGHT(Table132321432[[#This Row],[h1]],8))</f>
        <v>0</v>
      </c>
      <c r="Q900" s="50" t="s">
        <v>97</v>
      </c>
      <c r="R900" s="50">
        <f>HEX2DEC(RIGHT(Table132321432[[#This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50" t="s">
        <v>97</v>
      </c>
      <c r="P901" s="50">
        <f>HEX2DEC(RIGHT(Table132321432[[#This Row],[h1]],8))</f>
        <v>0</v>
      </c>
      <c r="Q901" s="50" t="s">
        <v>97</v>
      </c>
      <c r="R901" s="50">
        <f>HEX2DEC(RIGHT(Table132321432[[#This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50" t="s">
        <v>97</v>
      </c>
      <c r="P902" s="50">
        <f>HEX2DEC(RIGHT(Table132321432[[#This Row],[h1]],8))</f>
        <v>0</v>
      </c>
      <c r="Q902" s="50" t="s">
        <v>97</v>
      </c>
      <c r="R902" s="50">
        <f>HEX2DEC(RIGHT(Table132321432[[#This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50" t="s">
        <v>97</v>
      </c>
      <c r="P903" s="50">
        <f>HEX2DEC(RIGHT(Table132321432[[#This Row],[h1]],8))</f>
        <v>0</v>
      </c>
      <c r="Q903" s="50" t="s">
        <v>97</v>
      </c>
      <c r="R903" s="50">
        <f>HEX2DEC(RIGHT(Table132321432[[#This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50" t="s">
        <v>97</v>
      </c>
      <c r="P904" s="50">
        <f>HEX2DEC(RIGHT(Table132321432[[#This Row],[h1]],8))</f>
        <v>0</v>
      </c>
      <c r="Q904" s="50" t="s">
        <v>97</v>
      </c>
      <c r="R904" s="50">
        <f>HEX2DEC(RIGHT(Table132321432[[#This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50" t="s">
        <v>97</v>
      </c>
      <c r="P905" s="50">
        <f>HEX2DEC(RIGHT(Table132321432[[#This Row],[h1]],8))</f>
        <v>0</v>
      </c>
      <c r="Q905" s="50" t="s">
        <v>97</v>
      </c>
      <c r="R905" s="50">
        <f>HEX2DEC(RIGHT(Table132321432[[#This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50" t="s">
        <v>97</v>
      </c>
      <c r="P906" s="50">
        <f>HEX2DEC(RIGHT(Table132321432[[#This Row],[h1]],8))</f>
        <v>0</v>
      </c>
      <c r="Q906" s="50" t="s">
        <v>97</v>
      </c>
      <c r="R906" s="50">
        <f>HEX2DEC(RIGHT(Table132321432[[#This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50" t="s">
        <v>97</v>
      </c>
      <c r="P907" s="50">
        <f>HEX2DEC(RIGHT(Table132321432[[#This Row],[h1]],8))</f>
        <v>0</v>
      </c>
      <c r="Q907" s="50" t="s">
        <v>97</v>
      </c>
      <c r="R907" s="50">
        <f>HEX2DEC(RIGHT(Table132321432[[#This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50" t="s">
        <v>97</v>
      </c>
      <c r="P908" s="50">
        <f>HEX2DEC(RIGHT(Table132321432[[#This Row],[h1]],8))</f>
        <v>0</v>
      </c>
      <c r="Q908" s="50" t="s">
        <v>97</v>
      </c>
      <c r="R908" s="50">
        <f>HEX2DEC(RIGHT(Table132321432[[#This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50" t="s">
        <v>97</v>
      </c>
      <c r="P909" s="50">
        <f>HEX2DEC(RIGHT(Table132321432[[#This Row],[h1]],8))</f>
        <v>0</v>
      </c>
      <c r="Q909" s="50" t="s">
        <v>97</v>
      </c>
      <c r="R909" s="50">
        <f>HEX2DEC(RIGHT(Table132321432[[#This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50" t="s">
        <v>97</v>
      </c>
      <c r="P910" s="50">
        <f>HEX2DEC(RIGHT(Table132321432[[#This Row],[h1]],8))</f>
        <v>0</v>
      </c>
      <c r="Q910" s="50" t="s">
        <v>97</v>
      </c>
      <c r="R910" s="50">
        <f>HEX2DEC(RIGHT(Table132321432[[#This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50" t="s">
        <v>97</v>
      </c>
      <c r="P911" s="50">
        <f>HEX2DEC(RIGHT(Table132321432[[#This Row],[h1]],8))</f>
        <v>0</v>
      </c>
      <c r="Q911" s="50" t="s">
        <v>97</v>
      </c>
      <c r="R911" s="50">
        <f>HEX2DEC(RIGHT(Table132321432[[#This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50" t="s">
        <v>97</v>
      </c>
      <c r="P912" s="50">
        <f>HEX2DEC(RIGHT(Table132321432[[#This Row],[h1]],8))</f>
        <v>0</v>
      </c>
      <c r="Q912" s="50" t="s">
        <v>97</v>
      </c>
      <c r="R912" s="50">
        <f>HEX2DEC(RIGHT(Table132321432[[#This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50" t="s">
        <v>97</v>
      </c>
      <c r="P913" s="50">
        <f>HEX2DEC(RIGHT(Table132321432[[#This Row],[h1]],8))</f>
        <v>0</v>
      </c>
      <c r="Q913" s="50" t="s">
        <v>97</v>
      </c>
      <c r="R913" s="50">
        <f>HEX2DEC(RIGHT(Table132321432[[#This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50" t="s">
        <v>97</v>
      </c>
      <c r="P914" s="50">
        <f>HEX2DEC(RIGHT(Table132321432[[#This Row],[h1]],8))</f>
        <v>0</v>
      </c>
      <c r="Q914" s="50" t="s">
        <v>97</v>
      </c>
      <c r="R914" s="50">
        <f>HEX2DEC(RIGHT(Table132321432[[#This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50" t="s">
        <v>97</v>
      </c>
      <c r="P915" s="50">
        <f>HEX2DEC(RIGHT(Table132321432[[#This Row],[h1]],8))</f>
        <v>0</v>
      </c>
      <c r="Q915" s="50" t="s">
        <v>97</v>
      </c>
      <c r="R915" s="50">
        <f>HEX2DEC(RIGHT(Table132321432[[#This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50" t="s">
        <v>97</v>
      </c>
      <c r="P916" s="50">
        <f>HEX2DEC(RIGHT(Table132321432[[#This Row],[h1]],8))</f>
        <v>0</v>
      </c>
      <c r="Q916" s="50" t="s">
        <v>97</v>
      </c>
      <c r="R916" s="50">
        <f>HEX2DEC(RIGHT(Table132321432[[#This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50" t="s">
        <v>97</v>
      </c>
      <c r="P917" s="50">
        <f>HEX2DEC(RIGHT(Table132321432[[#This Row],[h1]],8))</f>
        <v>0</v>
      </c>
      <c r="Q917" s="50" t="s">
        <v>97</v>
      </c>
      <c r="R917" s="50">
        <f>HEX2DEC(RIGHT(Table132321432[[#This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50" t="s">
        <v>97</v>
      </c>
      <c r="P918" s="50">
        <f>HEX2DEC(RIGHT(Table132321432[[#This Row],[h1]],8))</f>
        <v>0</v>
      </c>
      <c r="Q918" s="50" t="s">
        <v>97</v>
      </c>
      <c r="R918" s="50">
        <f>HEX2DEC(RIGHT(Table132321432[[#This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50" t="s">
        <v>97</v>
      </c>
      <c r="P919" s="50">
        <f>HEX2DEC(RIGHT(Table132321432[[#This Row],[h1]],8))</f>
        <v>0</v>
      </c>
      <c r="Q919" s="50" t="s">
        <v>97</v>
      </c>
      <c r="R919" s="50">
        <f>HEX2DEC(RIGHT(Table132321432[[#This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50" t="s">
        <v>97</v>
      </c>
      <c r="P920" s="50">
        <f>HEX2DEC(RIGHT(Table132321432[[#This Row],[h1]],8))</f>
        <v>0</v>
      </c>
      <c r="Q920" s="50" t="s">
        <v>97</v>
      </c>
      <c r="R920" s="50">
        <f>HEX2DEC(RIGHT(Table132321432[[#This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50" t="s">
        <v>97</v>
      </c>
      <c r="P921" s="50">
        <f>HEX2DEC(RIGHT(Table132321432[[#This Row],[h1]],8))</f>
        <v>0</v>
      </c>
      <c r="Q921" s="50" t="s">
        <v>97</v>
      </c>
      <c r="R921" s="50">
        <f>HEX2DEC(RIGHT(Table132321432[[#This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50" t="s">
        <v>97</v>
      </c>
      <c r="P922" s="50">
        <f>HEX2DEC(RIGHT(Table132321432[[#This Row],[h1]],8))</f>
        <v>0</v>
      </c>
      <c r="Q922" s="50" t="s">
        <v>97</v>
      </c>
      <c r="R922" s="50">
        <f>HEX2DEC(RIGHT(Table132321432[[#This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50" t="s">
        <v>97</v>
      </c>
      <c r="P923" s="50">
        <f>HEX2DEC(RIGHT(Table132321432[[#This Row],[h1]],8))</f>
        <v>0</v>
      </c>
      <c r="Q923" s="50" t="s">
        <v>97</v>
      </c>
      <c r="R923" s="50">
        <f>HEX2DEC(RIGHT(Table132321432[[#This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50" t="s">
        <v>97</v>
      </c>
      <c r="P924" s="50">
        <f>HEX2DEC(RIGHT(Table132321432[[#This Row],[h1]],8))</f>
        <v>0</v>
      </c>
      <c r="Q924" s="50" t="s">
        <v>97</v>
      </c>
      <c r="R924" s="50">
        <f>HEX2DEC(RIGHT(Table132321432[[#This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50" t="s">
        <v>97</v>
      </c>
      <c r="P925" s="50">
        <f>HEX2DEC(RIGHT(Table132321432[[#This Row],[h1]],8))</f>
        <v>0</v>
      </c>
      <c r="Q925" s="50" t="s">
        <v>97</v>
      </c>
      <c r="R925" s="50">
        <f>HEX2DEC(RIGHT(Table132321432[[#This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50" t="s">
        <v>97</v>
      </c>
      <c r="P926" s="50">
        <f>HEX2DEC(RIGHT(Table132321432[[#This Row],[h1]],8))</f>
        <v>0</v>
      </c>
      <c r="Q926" s="50" t="s">
        <v>97</v>
      </c>
      <c r="R926" s="50">
        <f>HEX2DEC(RIGHT(Table132321432[[#This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50" t="s">
        <v>97</v>
      </c>
      <c r="P927" s="50">
        <f>HEX2DEC(RIGHT(Table132321432[[#This Row],[h1]],8))</f>
        <v>0</v>
      </c>
      <c r="Q927" s="50" t="s">
        <v>97</v>
      </c>
      <c r="R927" s="50">
        <f>HEX2DEC(RIGHT(Table132321432[[#This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50" t="s">
        <v>97</v>
      </c>
      <c r="P928" s="50">
        <f>HEX2DEC(RIGHT(Table132321432[[#This Row],[h1]],8))</f>
        <v>0</v>
      </c>
      <c r="Q928" s="50" t="s">
        <v>97</v>
      </c>
      <c r="R928" s="50">
        <f>HEX2DEC(RIGHT(Table132321432[[#This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50" t="s">
        <v>97</v>
      </c>
      <c r="P929" s="50">
        <f>HEX2DEC(RIGHT(Table132321432[[#This Row],[h1]],8))</f>
        <v>0</v>
      </c>
      <c r="Q929" s="50" t="s">
        <v>97</v>
      </c>
      <c r="R929" s="50">
        <f>HEX2DEC(RIGHT(Table132321432[[#This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50" t="s">
        <v>97</v>
      </c>
      <c r="P930" s="50">
        <f>HEX2DEC(RIGHT(Table132321432[[#This Row],[h1]],8))</f>
        <v>0</v>
      </c>
      <c r="Q930" s="50" t="s">
        <v>97</v>
      </c>
      <c r="R930" s="50">
        <f>HEX2DEC(RIGHT(Table132321432[[#This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50" t="s">
        <v>97</v>
      </c>
      <c r="P931" s="50">
        <f>HEX2DEC(RIGHT(Table132321432[[#This Row],[h1]],8))</f>
        <v>0</v>
      </c>
      <c r="Q931" s="50" t="s">
        <v>97</v>
      </c>
      <c r="R931" s="50">
        <f>HEX2DEC(RIGHT(Table132321432[[#This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50" t="s">
        <v>97</v>
      </c>
      <c r="P932" s="50">
        <f>HEX2DEC(RIGHT(Table132321432[[#This Row],[h1]],8))</f>
        <v>0</v>
      </c>
      <c r="Q932" s="50" t="s">
        <v>97</v>
      </c>
      <c r="R932" s="50">
        <f>HEX2DEC(RIGHT(Table132321432[[#This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50" t="s">
        <v>97</v>
      </c>
      <c r="P933" s="50">
        <f>HEX2DEC(RIGHT(Table132321432[[#This Row],[h1]],8))</f>
        <v>0</v>
      </c>
      <c r="Q933" s="50" t="s">
        <v>97</v>
      </c>
      <c r="R933" s="50">
        <f>HEX2DEC(RIGHT(Table132321432[[#This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50" t="s">
        <v>97</v>
      </c>
      <c r="P934" s="50">
        <f>HEX2DEC(RIGHT(Table132321432[[#This Row],[h1]],8))</f>
        <v>0</v>
      </c>
      <c r="Q934" s="50" t="s">
        <v>97</v>
      </c>
      <c r="R934" s="50">
        <f>HEX2DEC(RIGHT(Table132321432[[#This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50" t="s">
        <v>97</v>
      </c>
      <c r="P935" s="50">
        <f>HEX2DEC(RIGHT(Table132321432[[#This Row],[h1]],8))</f>
        <v>0</v>
      </c>
      <c r="Q935" s="50" t="s">
        <v>97</v>
      </c>
      <c r="R935" s="50">
        <f>HEX2DEC(RIGHT(Table132321432[[#This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50" t="s">
        <v>97</v>
      </c>
      <c r="P936" s="50">
        <f>HEX2DEC(RIGHT(Table132321432[[#This Row],[h1]],8))</f>
        <v>0</v>
      </c>
      <c r="Q936" s="50" t="s">
        <v>97</v>
      </c>
      <c r="R936" s="50">
        <f>HEX2DEC(RIGHT(Table132321432[[#This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50" t="s">
        <v>97</v>
      </c>
      <c r="P937" s="50">
        <f>HEX2DEC(RIGHT(Table132321432[[#This Row],[h1]],8))</f>
        <v>0</v>
      </c>
      <c r="Q937" s="50" t="s">
        <v>97</v>
      </c>
      <c r="R937" s="50">
        <f>HEX2DEC(RIGHT(Table132321432[[#This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50" t="s">
        <v>97</v>
      </c>
      <c r="P938" s="50">
        <f>HEX2DEC(RIGHT(Table132321432[[#This Row],[h1]],8))</f>
        <v>0</v>
      </c>
      <c r="Q938" s="50" t="s">
        <v>97</v>
      </c>
      <c r="R938" s="50">
        <f>HEX2DEC(RIGHT(Table132321432[[#This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50" t="s">
        <v>97</v>
      </c>
      <c r="P939" s="50">
        <f>HEX2DEC(RIGHT(Table132321432[[#This Row],[h1]],8))</f>
        <v>0</v>
      </c>
      <c r="Q939" s="50" t="s">
        <v>97</v>
      </c>
      <c r="R939" s="50">
        <f>HEX2DEC(RIGHT(Table132321432[[#This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50" t="s">
        <v>97</v>
      </c>
      <c r="P940" s="50">
        <f>HEX2DEC(RIGHT(Table132321432[[#This Row],[h1]],8))</f>
        <v>0</v>
      </c>
      <c r="Q940" s="50" t="s">
        <v>97</v>
      </c>
      <c r="R940" s="50">
        <f>HEX2DEC(RIGHT(Table132321432[[#This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50" t="s">
        <v>97</v>
      </c>
      <c r="P941" s="50">
        <f>HEX2DEC(RIGHT(Table132321432[[#This Row],[h1]],8))</f>
        <v>0</v>
      </c>
      <c r="Q941" s="50" t="s">
        <v>97</v>
      </c>
      <c r="R941" s="50">
        <f>HEX2DEC(RIGHT(Table132321432[[#This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50" t="s">
        <v>97</v>
      </c>
      <c r="P942" s="50">
        <f>HEX2DEC(RIGHT(Table132321432[[#This Row],[h1]],8))</f>
        <v>0</v>
      </c>
      <c r="Q942" s="50" t="s">
        <v>97</v>
      </c>
      <c r="R942" s="50">
        <f>HEX2DEC(RIGHT(Table132321432[[#This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50" t="s">
        <v>97</v>
      </c>
      <c r="P943" s="50">
        <f>HEX2DEC(RIGHT(Table132321432[[#This Row],[h1]],8))</f>
        <v>0</v>
      </c>
      <c r="Q943" s="50" t="s">
        <v>97</v>
      </c>
      <c r="R943" s="50">
        <f>HEX2DEC(RIGHT(Table132321432[[#This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50" t="s">
        <v>97</v>
      </c>
      <c r="P944" s="50">
        <f>HEX2DEC(RIGHT(Table132321432[[#This Row],[h1]],8))</f>
        <v>0</v>
      </c>
      <c r="Q944" s="50" t="s">
        <v>97</v>
      </c>
      <c r="R944" s="50">
        <f>HEX2DEC(RIGHT(Table132321432[[#This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50" t="s">
        <v>97</v>
      </c>
      <c r="P945" s="50">
        <f>HEX2DEC(RIGHT(Table132321432[[#This Row],[h1]],8))</f>
        <v>0</v>
      </c>
      <c r="Q945" s="50" t="s">
        <v>97</v>
      </c>
      <c r="R945" s="50">
        <f>HEX2DEC(RIGHT(Table132321432[[#This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50" t="s">
        <v>97</v>
      </c>
      <c r="P946" s="50">
        <f>HEX2DEC(RIGHT(Table132321432[[#This Row],[h1]],8))</f>
        <v>0</v>
      </c>
      <c r="Q946" s="50" t="s">
        <v>97</v>
      </c>
      <c r="R946" s="50">
        <f>HEX2DEC(RIGHT(Table132321432[[#This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50" t="s">
        <v>97</v>
      </c>
      <c r="P947" s="50">
        <f>HEX2DEC(RIGHT(Table132321432[[#This Row],[h1]],8))</f>
        <v>0</v>
      </c>
      <c r="Q947" s="50" t="s">
        <v>97</v>
      </c>
      <c r="R947" s="50">
        <f>HEX2DEC(RIGHT(Table132321432[[#This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50" t="s">
        <v>97</v>
      </c>
      <c r="P948" s="50">
        <f>HEX2DEC(RIGHT(Table132321432[[#This Row],[h1]],8))</f>
        <v>0</v>
      </c>
      <c r="Q948" s="50" t="s">
        <v>97</v>
      </c>
      <c r="R948" s="50">
        <f>HEX2DEC(RIGHT(Table132321432[[#This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50" t="s">
        <v>97</v>
      </c>
      <c r="P949" s="50">
        <f>HEX2DEC(RIGHT(Table132321432[[#This Row],[h1]],8))</f>
        <v>0</v>
      </c>
      <c r="Q949" s="50" t="s">
        <v>97</v>
      </c>
      <c r="R949" s="50">
        <f>HEX2DEC(RIGHT(Table132321432[[#This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50" t="s">
        <v>97</v>
      </c>
      <c r="P950" s="50">
        <f>HEX2DEC(RIGHT(Table132321432[[#This Row],[h1]],8))</f>
        <v>0</v>
      </c>
      <c r="Q950" s="50" t="s">
        <v>97</v>
      </c>
      <c r="R950" s="50">
        <f>HEX2DEC(RIGHT(Table132321432[[#This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50" t="s">
        <v>97</v>
      </c>
      <c r="P951" s="50">
        <f>HEX2DEC(RIGHT(Table132321432[[#This Row],[h1]],8))</f>
        <v>0</v>
      </c>
      <c r="Q951" s="50" t="s">
        <v>97</v>
      </c>
      <c r="R951" s="50">
        <f>HEX2DEC(RIGHT(Table132321432[[#This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50" t="s">
        <v>97</v>
      </c>
      <c r="P952" s="50">
        <f>HEX2DEC(RIGHT(Table132321432[[#This Row],[h1]],8))</f>
        <v>0</v>
      </c>
      <c r="Q952" s="50" t="s">
        <v>97</v>
      </c>
      <c r="R952" s="50">
        <f>HEX2DEC(RIGHT(Table132321432[[#This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50" t="s">
        <v>97</v>
      </c>
      <c r="P953" s="50">
        <f>HEX2DEC(RIGHT(Table132321432[[#This Row],[h1]],8))</f>
        <v>0</v>
      </c>
      <c r="Q953" s="50" t="s">
        <v>97</v>
      </c>
      <c r="R953" s="50">
        <f>HEX2DEC(RIGHT(Table132321432[[#This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50" t="s">
        <v>97</v>
      </c>
      <c r="P954" s="50">
        <f>HEX2DEC(RIGHT(Table132321432[[#This Row],[h1]],8))</f>
        <v>0</v>
      </c>
      <c r="Q954" s="50" t="s">
        <v>97</v>
      </c>
      <c r="R954" s="50">
        <f>HEX2DEC(RIGHT(Table132321432[[#This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50" t="s">
        <v>97</v>
      </c>
      <c r="P955" s="50">
        <f>HEX2DEC(RIGHT(Table132321432[[#This Row],[h1]],8))</f>
        <v>0</v>
      </c>
      <c r="Q955" s="50" t="s">
        <v>97</v>
      </c>
      <c r="R955" s="50">
        <f>HEX2DEC(RIGHT(Table132321432[[#This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50" t="s">
        <v>97</v>
      </c>
      <c r="P956" s="50">
        <f>HEX2DEC(RIGHT(Table132321432[[#This Row],[h1]],8))</f>
        <v>0</v>
      </c>
      <c r="Q956" s="50" t="s">
        <v>97</v>
      </c>
      <c r="R956" s="50">
        <f>HEX2DEC(RIGHT(Table132321432[[#This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50" t="s">
        <v>97</v>
      </c>
      <c r="P957" s="50">
        <f>HEX2DEC(RIGHT(Table132321432[[#This Row],[h1]],8))</f>
        <v>0</v>
      </c>
      <c r="Q957" s="50" t="s">
        <v>97</v>
      </c>
      <c r="R957" s="50">
        <f>HEX2DEC(RIGHT(Table132321432[[#This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50" t="s">
        <v>97</v>
      </c>
      <c r="P958" s="50">
        <f>HEX2DEC(RIGHT(Table132321432[[#This Row],[h1]],8))</f>
        <v>0</v>
      </c>
      <c r="Q958" s="50" t="s">
        <v>97</v>
      </c>
      <c r="R958" s="50">
        <f>HEX2DEC(RIGHT(Table132321432[[#This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50" t="s">
        <v>97</v>
      </c>
      <c r="P959" s="50">
        <f>HEX2DEC(RIGHT(Table132321432[[#This Row],[h1]],8))</f>
        <v>0</v>
      </c>
      <c r="Q959" s="50" t="s">
        <v>97</v>
      </c>
      <c r="R959" s="50">
        <f>HEX2DEC(RIGHT(Table132321432[[#This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50" t="s">
        <v>97</v>
      </c>
      <c r="P960" s="50">
        <f>HEX2DEC(RIGHT(Table132321432[[#This Row],[h1]],8))</f>
        <v>0</v>
      </c>
      <c r="Q960" s="50" t="s">
        <v>97</v>
      </c>
      <c r="R960" s="50">
        <f>HEX2DEC(RIGHT(Table132321432[[#This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50" t="s">
        <v>97</v>
      </c>
      <c r="P961" s="50">
        <f>HEX2DEC(RIGHT(Table132321432[[#This Row],[h1]],8))</f>
        <v>0</v>
      </c>
      <c r="Q961" s="50" t="s">
        <v>97</v>
      </c>
      <c r="R961" s="50">
        <f>HEX2DEC(RIGHT(Table132321432[[#This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50" t="s">
        <v>97</v>
      </c>
      <c r="P962" s="50">
        <f>HEX2DEC(RIGHT(Table132321432[[#This Row],[h1]],8))</f>
        <v>0</v>
      </c>
      <c r="Q962" s="50" t="s">
        <v>97</v>
      </c>
      <c r="R962" s="50">
        <f>HEX2DEC(RIGHT(Table132321432[[#This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50" t="s">
        <v>97</v>
      </c>
      <c r="P963" s="50">
        <f>HEX2DEC(RIGHT(Table132321432[[#This Row],[h1]],8))</f>
        <v>0</v>
      </c>
      <c r="Q963" s="50" t="s">
        <v>97</v>
      </c>
      <c r="R963" s="50">
        <f>HEX2DEC(RIGHT(Table132321432[[#This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50" t="s">
        <v>97</v>
      </c>
      <c r="P964" s="50">
        <f>HEX2DEC(RIGHT(Table132321432[[#This Row],[h1]],8))</f>
        <v>0</v>
      </c>
      <c r="Q964" s="50" t="s">
        <v>97</v>
      </c>
      <c r="R964" s="50">
        <f>HEX2DEC(RIGHT(Table132321432[[#This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50" t="s">
        <v>97</v>
      </c>
      <c r="P965" s="50">
        <f>HEX2DEC(RIGHT(Table132321432[[#This Row],[h1]],8))</f>
        <v>0</v>
      </c>
      <c r="Q965" s="50" t="s">
        <v>97</v>
      </c>
      <c r="R965" s="50">
        <f>HEX2DEC(RIGHT(Table132321432[[#This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50" t="s">
        <v>97</v>
      </c>
      <c r="P966" s="50">
        <f>HEX2DEC(RIGHT(Table132321432[[#This Row],[h1]],8))</f>
        <v>0</v>
      </c>
      <c r="Q966" s="50" t="s">
        <v>97</v>
      </c>
      <c r="R966" s="50">
        <f>HEX2DEC(RIGHT(Table132321432[[#This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50" t="s">
        <v>97</v>
      </c>
      <c r="P967" s="50">
        <f>HEX2DEC(RIGHT(Table132321432[[#This Row],[h1]],8))</f>
        <v>0</v>
      </c>
      <c r="Q967" s="50" t="s">
        <v>97</v>
      </c>
      <c r="R967" s="50">
        <f>HEX2DEC(RIGHT(Table132321432[[#This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50" t="s">
        <v>97</v>
      </c>
      <c r="P968" s="50">
        <f>HEX2DEC(RIGHT(Table132321432[[#This Row],[h1]],8))</f>
        <v>0</v>
      </c>
      <c r="Q968" s="50" t="s">
        <v>97</v>
      </c>
      <c r="R968" s="50">
        <f>HEX2DEC(RIGHT(Table132321432[[#This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50" t="s">
        <v>97</v>
      </c>
      <c r="P969" s="50">
        <f>HEX2DEC(RIGHT(Table132321432[[#This Row],[h1]],8))</f>
        <v>0</v>
      </c>
      <c r="Q969" s="50" t="s">
        <v>97</v>
      </c>
      <c r="R969" s="50">
        <f>HEX2DEC(RIGHT(Table132321432[[#This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50" t="s">
        <v>97</v>
      </c>
      <c r="P970" s="50">
        <f>HEX2DEC(RIGHT(Table132321432[[#This Row],[h1]],8))</f>
        <v>0</v>
      </c>
      <c r="Q970" s="50" t="s">
        <v>97</v>
      </c>
      <c r="R970" s="50">
        <f>HEX2DEC(RIGHT(Table132321432[[#This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50" t="s">
        <v>97</v>
      </c>
      <c r="P971" s="50">
        <f>HEX2DEC(RIGHT(Table132321432[[#This Row],[h1]],8))</f>
        <v>0</v>
      </c>
      <c r="Q971" s="50" t="s">
        <v>97</v>
      </c>
      <c r="R971" s="50">
        <f>HEX2DEC(RIGHT(Table132321432[[#This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50" t="s">
        <v>97</v>
      </c>
      <c r="P972" s="50">
        <f>HEX2DEC(RIGHT(Table132321432[[#This Row],[h1]],8))</f>
        <v>0</v>
      </c>
      <c r="Q972" s="50" t="s">
        <v>97</v>
      </c>
      <c r="R972" s="50">
        <f>HEX2DEC(RIGHT(Table132321432[[#This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50" t="s">
        <v>97</v>
      </c>
      <c r="P973" s="50">
        <f>HEX2DEC(RIGHT(Table132321432[[#This Row],[h1]],8))</f>
        <v>0</v>
      </c>
      <c r="Q973" s="50" t="s">
        <v>97</v>
      </c>
      <c r="R973" s="50">
        <f>HEX2DEC(RIGHT(Table132321432[[#This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50" t="s">
        <v>97</v>
      </c>
      <c r="P974" s="50">
        <f>HEX2DEC(RIGHT(Table132321432[[#This Row],[h1]],8))</f>
        <v>0</v>
      </c>
      <c r="Q974" s="50" t="s">
        <v>97</v>
      </c>
      <c r="R974" s="50">
        <f>HEX2DEC(RIGHT(Table132321432[[#This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50" t="s">
        <v>97</v>
      </c>
      <c r="P975" s="50">
        <f>HEX2DEC(RIGHT(Table132321432[[#This Row],[h1]],8))</f>
        <v>0</v>
      </c>
      <c r="Q975" s="50" t="s">
        <v>97</v>
      </c>
      <c r="R975" s="50">
        <f>HEX2DEC(RIGHT(Table132321432[[#This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50" t="s">
        <v>97</v>
      </c>
      <c r="P976" s="50">
        <f>HEX2DEC(RIGHT(Table132321432[[#This Row],[h1]],8))</f>
        <v>0</v>
      </c>
      <c r="Q976" s="50" t="s">
        <v>97</v>
      </c>
      <c r="R976" s="50">
        <f>HEX2DEC(RIGHT(Table132321432[[#This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50" t="s">
        <v>97</v>
      </c>
      <c r="P977" s="50">
        <f>HEX2DEC(RIGHT(Table132321432[[#This Row],[h1]],8))</f>
        <v>0</v>
      </c>
      <c r="Q977" s="50" t="s">
        <v>97</v>
      </c>
      <c r="R977" s="50">
        <f>HEX2DEC(RIGHT(Table132321432[[#This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50" t="s">
        <v>97</v>
      </c>
      <c r="P978" s="50">
        <f>HEX2DEC(RIGHT(Table132321432[[#This Row],[h1]],8))</f>
        <v>0</v>
      </c>
      <c r="Q978" s="50" t="s">
        <v>97</v>
      </c>
      <c r="R978" s="50">
        <f>HEX2DEC(RIGHT(Table132321432[[#This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50" t="s">
        <v>97</v>
      </c>
      <c r="P979" s="50">
        <f>HEX2DEC(RIGHT(Table132321432[[#This Row],[h1]],8))</f>
        <v>0</v>
      </c>
      <c r="Q979" s="50" t="s">
        <v>97</v>
      </c>
      <c r="R979" s="50">
        <f>HEX2DEC(RIGHT(Table132321432[[#This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50" t="s">
        <v>97</v>
      </c>
      <c r="P980" s="50">
        <f>HEX2DEC(RIGHT(Table132321432[[#This Row],[h1]],8))</f>
        <v>0</v>
      </c>
      <c r="Q980" s="50" t="s">
        <v>97</v>
      </c>
      <c r="R980" s="50">
        <f>HEX2DEC(RIGHT(Table132321432[[#This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50" t="s">
        <v>97</v>
      </c>
      <c r="P981" s="50">
        <f>HEX2DEC(RIGHT(Table132321432[[#This Row],[h1]],8))</f>
        <v>0</v>
      </c>
      <c r="Q981" s="50" t="s">
        <v>97</v>
      </c>
      <c r="R981" s="50">
        <f>HEX2DEC(RIGHT(Table132321432[[#This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50" t="s">
        <v>97</v>
      </c>
      <c r="P982" s="50">
        <f>HEX2DEC(RIGHT(Table132321432[[#This Row],[h1]],8))</f>
        <v>0</v>
      </c>
      <c r="Q982" s="50" t="s">
        <v>97</v>
      </c>
      <c r="R982" s="50">
        <f>HEX2DEC(RIGHT(Table132321432[[#This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50" t="s">
        <v>97</v>
      </c>
      <c r="P983" s="50">
        <f>HEX2DEC(RIGHT(Table132321432[[#This Row],[h1]],8))</f>
        <v>0</v>
      </c>
      <c r="Q983" s="50" t="s">
        <v>97</v>
      </c>
      <c r="R983" s="50">
        <f>HEX2DEC(RIGHT(Table132321432[[#This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50" t="s">
        <v>97</v>
      </c>
      <c r="P984" s="50">
        <f>HEX2DEC(RIGHT(Table132321432[[#This Row],[h1]],8))</f>
        <v>0</v>
      </c>
      <c r="Q984" s="50" t="s">
        <v>97</v>
      </c>
      <c r="R984" s="50">
        <f>HEX2DEC(RIGHT(Table132321432[[#This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50" t="s">
        <v>97</v>
      </c>
      <c r="P985" s="50">
        <f>HEX2DEC(RIGHT(Table132321432[[#This Row],[h1]],8))</f>
        <v>0</v>
      </c>
      <c r="Q985" s="50" t="s">
        <v>97</v>
      </c>
      <c r="R985" s="50">
        <f>HEX2DEC(RIGHT(Table132321432[[#This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50" t="s">
        <v>97</v>
      </c>
      <c r="P986" s="50">
        <f>HEX2DEC(RIGHT(Table132321432[[#This Row],[h1]],8))</f>
        <v>0</v>
      </c>
      <c r="Q986" s="50" t="s">
        <v>97</v>
      </c>
      <c r="R986" s="50">
        <f>HEX2DEC(RIGHT(Table132321432[[#This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50" t="s">
        <v>97</v>
      </c>
      <c r="P987" s="50">
        <f>HEX2DEC(RIGHT(Table132321432[[#This Row],[h1]],8))</f>
        <v>0</v>
      </c>
      <c r="Q987" s="50" t="s">
        <v>97</v>
      </c>
      <c r="R987" s="50">
        <f>HEX2DEC(RIGHT(Table132321432[[#This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50" t="s">
        <v>97</v>
      </c>
      <c r="P988" s="50">
        <f>HEX2DEC(RIGHT(Table132321432[[#This Row],[h1]],8))</f>
        <v>0</v>
      </c>
      <c r="Q988" s="50" t="s">
        <v>97</v>
      </c>
      <c r="R988" s="50">
        <f>HEX2DEC(RIGHT(Table132321432[[#This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50" t="s">
        <v>97</v>
      </c>
      <c r="P989" s="50">
        <f>HEX2DEC(RIGHT(Table132321432[[#This Row],[h1]],8))</f>
        <v>0</v>
      </c>
      <c r="Q989" s="50" t="s">
        <v>97</v>
      </c>
      <c r="R989" s="50">
        <f>HEX2DEC(RIGHT(Table132321432[[#This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50" t="s">
        <v>97</v>
      </c>
      <c r="P990" s="50">
        <f>HEX2DEC(RIGHT(Table132321432[[#This Row],[h1]],8))</f>
        <v>0</v>
      </c>
      <c r="Q990" s="50" t="s">
        <v>97</v>
      </c>
      <c r="R990" s="50">
        <f>HEX2DEC(RIGHT(Table132321432[[#This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50" t="s">
        <v>97</v>
      </c>
      <c r="P991" s="50">
        <f>HEX2DEC(RIGHT(Table132321432[[#This Row],[h1]],8))</f>
        <v>0</v>
      </c>
      <c r="Q991" s="50" t="s">
        <v>97</v>
      </c>
      <c r="R991" s="50">
        <f>HEX2DEC(RIGHT(Table132321432[[#This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50" t="s">
        <v>97</v>
      </c>
      <c r="P992" s="50">
        <f>HEX2DEC(RIGHT(Table132321432[[#This Row],[h1]],8))</f>
        <v>0</v>
      </c>
      <c r="Q992" s="50" t="s">
        <v>97</v>
      </c>
      <c r="R992" s="50">
        <f>HEX2DEC(RIGHT(Table132321432[[#This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50" t="s">
        <v>97</v>
      </c>
      <c r="P993" s="50">
        <f>HEX2DEC(RIGHT(Table132321432[[#This Row],[h1]],8))</f>
        <v>0</v>
      </c>
      <c r="Q993" s="50" t="s">
        <v>97</v>
      </c>
      <c r="R993" s="50">
        <f>HEX2DEC(RIGHT(Table132321432[[#This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50" t="s">
        <v>97</v>
      </c>
      <c r="P994" s="50">
        <f>HEX2DEC(RIGHT(Table132321432[[#This Row],[h1]],8))</f>
        <v>0</v>
      </c>
      <c r="Q994" s="50" t="s">
        <v>97</v>
      </c>
      <c r="R994" s="50">
        <f>HEX2DEC(RIGHT(Table132321432[[#This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50" t="s">
        <v>97</v>
      </c>
      <c r="P995" s="50">
        <f>HEX2DEC(RIGHT(Table132321432[[#This Row],[h1]],8))</f>
        <v>0</v>
      </c>
      <c r="Q995" s="50" t="s">
        <v>97</v>
      </c>
      <c r="R995" s="50">
        <f>HEX2DEC(RIGHT(Table132321432[[#This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50" t="s">
        <v>97</v>
      </c>
      <c r="P996" s="50">
        <f>HEX2DEC(RIGHT(Table132321432[[#This Row],[h1]],8))</f>
        <v>0</v>
      </c>
      <c r="Q996" s="50" t="s">
        <v>97</v>
      </c>
      <c r="R996" s="50">
        <f>HEX2DEC(RIGHT(Table132321432[[#This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50" t="s">
        <v>97</v>
      </c>
      <c r="P997" s="50">
        <f>HEX2DEC(RIGHT(Table132321432[[#This Row],[h1]],8))</f>
        <v>0</v>
      </c>
      <c r="Q997" s="50" t="s">
        <v>97</v>
      </c>
      <c r="R997" s="50">
        <f>HEX2DEC(RIGHT(Table132321432[[#This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50" t="s">
        <v>97</v>
      </c>
      <c r="P998" s="50">
        <f>HEX2DEC(RIGHT(Table132321432[[#This Row],[h1]],8))</f>
        <v>0</v>
      </c>
      <c r="Q998" s="50" t="s">
        <v>97</v>
      </c>
      <c r="R998" s="50">
        <f>HEX2DEC(RIGHT(Table132321432[[#This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50" t="s">
        <v>97</v>
      </c>
      <c r="P999" s="50">
        <f>HEX2DEC(RIGHT(Table132321432[[#This Row],[h1]],8))</f>
        <v>0</v>
      </c>
      <c r="Q999" s="50" t="s">
        <v>97</v>
      </c>
      <c r="R999" s="50">
        <f>HEX2DEC(RIGHT(Table132321432[[#This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50" t="s">
        <v>97</v>
      </c>
      <c r="P1000" s="50">
        <f>HEX2DEC(RIGHT(Table132321432[[#This Row],[h1]],8))</f>
        <v>0</v>
      </c>
      <c r="Q1000" s="50" t="s">
        <v>97</v>
      </c>
      <c r="R1000" s="50">
        <f>HEX2DEC(RIGHT(Table132321432[[#This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50" t="s">
        <v>97</v>
      </c>
      <c r="P1001" s="50">
        <f>HEX2DEC(RIGHT(Table132321432[[#This Row],[h1]],8))</f>
        <v>0</v>
      </c>
      <c r="Q1001" s="50" t="s">
        <v>97</v>
      </c>
      <c r="R1001" s="50">
        <f>HEX2DEC(RIGHT(Table132321432[[#This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50" t="s">
        <v>97</v>
      </c>
      <c r="P1002" s="50">
        <f>HEX2DEC(RIGHT(Table132321432[[#This Row],[h1]],8))</f>
        <v>0</v>
      </c>
      <c r="Q1002" s="50" t="s">
        <v>97</v>
      </c>
      <c r="R1002" s="50">
        <f>HEX2DEC(RIGHT(Table132321432[[#This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50" t="s">
        <v>97</v>
      </c>
      <c r="P1003" s="50">
        <f>HEX2DEC(RIGHT(Table132321432[[#This Row],[h1]],8))</f>
        <v>0</v>
      </c>
      <c r="Q1003" s="50" t="s">
        <v>97</v>
      </c>
      <c r="R1003" s="50">
        <f>HEX2DEC(RIGHT(Table132321432[[#This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50" t="s">
        <v>97</v>
      </c>
      <c r="P1004" s="50">
        <f>HEX2DEC(RIGHT(Table132321432[[#This Row],[h1]],8))</f>
        <v>0</v>
      </c>
      <c r="Q1004" s="50" t="s">
        <v>97</v>
      </c>
      <c r="R1004" s="50">
        <f>HEX2DEC(RIGHT(Table132321432[[#This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50" t="s">
        <v>97</v>
      </c>
      <c r="P1005" s="50">
        <f>HEX2DEC(RIGHT(Table132321432[[#This Row],[h1]],8))</f>
        <v>0</v>
      </c>
      <c r="Q1005" s="50" t="s">
        <v>97</v>
      </c>
      <c r="R1005" s="50">
        <f>HEX2DEC(RIGHT(Table132321432[[#This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50" t="s">
        <v>97</v>
      </c>
      <c r="P1006" s="50">
        <f>HEX2DEC(RIGHT(Table132321432[[#This Row],[h1]],8))</f>
        <v>0</v>
      </c>
      <c r="Q1006" s="50" t="s">
        <v>97</v>
      </c>
      <c r="R1006" s="50">
        <f>HEX2DEC(RIGHT(Table132321432[[#This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50" t="s">
        <v>97</v>
      </c>
      <c r="P1007" s="50">
        <f>HEX2DEC(RIGHT(Table132321432[[#This Row],[h1]],8))</f>
        <v>0</v>
      </c>
      <c r="Q1007" s="50" t="s">
        <v>97</v>
      </c>
      <c r="R1007" s="50">
        <f>HEX2DEC(RIGHT(Table132321432[[#This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50" t="s">
        <v>97</v>
      </c>
      <c r="P1008" s="50">
        <f>HEX2DEC(RIGHT(Table132321432[[#This Row],[h1]],8))</f>
        <v>0</v>
      </c>
      <c r="Q1008" s="50" t="s">
        <v>97</v>
      </c>
      <c r="R1008" s="50">
        <f>HEX2DEC(RIGHT(Table132321432[[#This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50" t="s">
        <v>97</v>
      </c>
      <c r="P1009" s="50">
        <f>HEX2DEC(RIGHT(Table132321432[[#This Row],[h1]],8))</f>
        <v>0</v>
      </c>
      <c r="Q1009" s="50" t="s">
        <v>97</v>
      </c>
      <c r="R1009" s="50">
        <f>HEX2DEC(RIGHT(Table132321432[[#This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50" t="s">
        <v>97</v>
      </c>
      <c r="P1010" s="50">
        <f>HEX2DEC(RIGHT(Table132321432[[#This Row],[h1]],8))</f>
        <v>0</v>
      </c>
      <c r="Q1010" s="50" t="s">
        <v>97</v>
      </c>
      <c r="R1010" s="50">
        <f>HEX2DEC(RIGHT(Table132321432[[#This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50" t="s">
        <v>97</v>
      </c>
      <c r="P1011" s="50">
        <f>HEX2DEC(RIGHT(Table132321432[[#This Row],[h1]],8))</f>
        <v>0</v>
      </c>
      <c r="Q1011" s="50" t="s">
        <v>97</v>
      </c>
      <c r="R1011" s="50">
        <f>HEX2DEC(RIGHT(Table132321432[[#This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50" t="s">
        <v>97</v>
      </c>
      <c r="P1012" s="50">
        <f>HEX2DEC(RIGHT(Table132321432[[#This Row],[h1]],8))</f>
        <v>0</v>
      </c>
      <c r="Q1012" s="50" t="s">
        <v>97</v>
      </c>
      <c r="R1012" s="50">
        <f>HEX2DEC(RIGHT(Table132321432[[#This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50" t="s">
        <v>97</v>
      </c>
      <c r="P1013" s="50">
        <f>HEX2DEC(RIGHT(Table132321432[[#This Row],[h1]],8))</f>
        <v>0</v>
      </c>
      <c r="Q1013" s="50" t="s">
        <v>97</v>
      </c>
      <c r="R1013" s="50">
        <f>HEX2DEC(RIGHT(Table132321432[[#This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50" t="s">
        <v>97</v>
      </c>
      <c r="P1014" s="50">
        <f>HEX2DEC(RIGHT(Table132321432[[#This Row],[h1]],8))</f>
        <v>0</v>
      </c>
      <c r="Q1014" s="50" t="s">
        <v>97</v>
      </c>
      <c r="R1014" s="50">
        <f>HEX2DEC(RIGHT(Table132321432[[#This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50" t="s">
        <v>97</v>
      </c>
      <c r="P1015" s="50">
        <f>HEX2DEC(RIGHT(Table132321432[[#This Row],[h1]],8))</f>
        <v>0</v>
      </c>
      <c r="Q1015" s="50" t="s">
        <v>97</v>
      </c>
      <c r="R1015" s="50">
        <f>HEX2DEC(RIGHT(Table132321432[[#This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50" t="s">
        <v>97</v>
      </c>
      <c r="P1016" s="50">
        <f>HEX2DEC(RIGHT(Table132321432[[#This Row],[h1]],8))</f>
        <v>0</v>
      </c>
      <c r="Q1016" s="50" t="s">
        <v>97</v>
      </c>
      <c r="R1016" s="50">
        <f>HEX2DEC(RIGHT(Table132321432[[#This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50" t="s">
        <v>97</v>
      </c>
      <c r="P1017" s="50">
        <f>HEX2DEC(RIGHT(Table132321432[[#This Row],[h1]],8))</f>
        <v>0</v>
      </c>
      <c r="Q1017" s="50" t="s">
        <v>97</v>
      </c>
      <c r="R1017" s="50">
        <f>HEX2DEC(RIGHT(Table132321432[[#This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50" t="s">
        <v>97</v>
      </c>
      <c r="P1018" s="50">
        <f>HEX2DEC(RIGHT(Table132321432[[#This Row],[h1]],8))</f>
        <v>0</v>
      </c>
      <c r="Q1018" s="50" t="s">
        <v>97</v>
      </c>
      <c r="R1018" s="50">
        <f>HEX2DEC(RIGHT(Table132321432[[#This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50" t="s">
        <v>97</v>
      </c>
      <c r="P1019" s="50">
        <f>HEX2DEC(RIGHT(Table132321432[[#This Row],[h1]],8))</f>
        <v>0</v>
      </c>
      <c r="Q1019" s="50" t="s">
        <v>97</v>
      </c>
      <c r="R1019" s="50">
        <f>HEX2DEC(RIGHT(Table132321432[[#This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50" t="s">
        <v>97</v>
      </c>
      <c r="P1020" s="50">
        <f>HEX2DEC(RIGHT(Table132321432[[#This Row],[h1]],8))</f>
        <v>0</v>
      </c>
      <c r="Q1020" s="50" t="s">
        <v>97</v>
      </c>
      <c r="R1020" s="50">
        <f>HEX2DEC(RIGHT(Table132321432[[#This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50" t="s">
        <v>97</v>
      </c>
      <c r="P1021" s="50">
        <f>HEX2DEC(RIGHT(Table132321432[[#This Row],[h1]],8))</f>
        <v>0</v>
      </c>
      <c r="Q1021" s="50" t="s">
        <v>97</v>
      </c>
      <c r="R1021" s="50">
        <f>HEX2DEC(RIGHT(Table132321432[[#This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50" t="s">
        <v>97</v>
      </c>
      <c r="P1022" s="50">
        <f>HEX2DEC(RIGHT(Table132321432[[#This Row],[h1]],8))</f>
        <v>0</v>
      </c>
      <c r="Q1022" s="50" t="s">
        <v>97</v>
      </c>
      <c r="R1022" s="50">
        <f>HEX2DEC(RIGHT(Table132321432[[#This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50" t="s">
        <v>97</v>
      </c>
      <c r="P1023" s="50">
        <f>HEX2DEC(RIGHT(Table132321432[[#This Row],[h1]],8))</f>
        <v>0</v>
      </c>
      <c r="Q1023" s="50" t="s">
        <v>97</v>
      </c>
      <c r="R1023" s="50">
        <f>HEX2DEC(RIGHT(Table132321432[[#This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50" t="s">
        <v>97</v>
      </c>
      <c r="P1024" s="50">
        <f>HEX2DEC(RIGHT(Table132321432[[#This Row],[h1]],8))</f>
        <v>0</v>
      </c>
      <c r="Q1024" s="50" t="s">
        <v>97</v>
      </c>
      <c r="R1024" s="50">
        <f>HEX2DEC(RIGHT(Table132321432[[#This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50" t="s">
        <v>97</v>
      </c>
      <c r="P1025" s="50">
        <f>HEX2DEC(RIGHT(Table132321432[[#This Row],[h1]],8))</f>
        <v>0</v>
      </c>
      <c r="Q1025" s="50" t="s">
        <v>97</v>
      </c>
      <c r="R1025" s="50">
        <f>HEX2DEC(RIGHT(Table132321432[[#This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50" t="s">
        <v>97</v>
      </c>
      <c r="P1026" s="50">
        <f>HEX2DEC(RIGHT(Table132321432[[#This Row],[h1]],8))</f>
        <v>0</v>
      </c>
      <c r="Q1026" s="50" t="s">
        <v>97</v>
      </c>
      <c r="R1026" s="50">
        <f>HEX2DEC(RIGHT(Table132321432[[#This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50" t="s">
        <v>97</v>
      </c>
      <c r="P1027" s="50">
        <f>HEX2DEC(RIGHT(Table132321432[[#This Row],[h1]],8))</f>
        <v>0</v>
      </c>
      <c r="Q1027" s="50" t="s">
        <v>97</v>
      </c>
      <c r="R1027" s="50">
        <f>HEX2DEC(RIGHT(Table132321432[[#This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50" t="s">
        <v>97</v>
      </c>
      <c r="P1028" s="50">
        <f>HEX2DEC(RIGHT(Table132321432[[#This Row],[h1]],8))</f>
        <v>0</v>
      </c>
      <c r="Q1028" s="50" t="s">
        <v>97</v>
      </c>
      <c r="R1028" s="50">
        <f>HEX2DEC(RIGHT(Table132321432[[#This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50" t="s">
        <v>97</v>
      </c>
      <c r="P1029" s="50">
        <f>HEX2DEC(RIGHT(Table132321432[[#This Row],[h1]],8))</f>
        <v>0</v>
      </c>
      <c r="Q1029" s="50" t="s">
        <v>97</v>
      </c>
      <c r="R1029" s="50">
        <f>HEX2DEC(RIGHT(Table132321432[[#This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50" t="s">
        <v>97</v>
      </c>
      <c r="P1030" s="50">
        <f>HEX2DEC(RIGHT(Table132321432[[#This Row],[h1]],8))</f>
        <v>0</v>
      </c>
      <c r="Q1030" s="50" t="s">
        <v>97</v>
      </c>
      <c r="R1030" s="50">
        <f>HEX2DEC(RIGHT(Table132321432[[#This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50" t="s">
        <v>97</v>
      </c>
      <c r="P1031" s="50">
        <f>HEX2DEC(RIGHT(Table132321432[[#This Row],[h1]],8))</f>
        <v>0</v>
      </c>
      <c r="Q1031" s="50" t="s">
        <v>97</v>
      </c>
      <c r="R1031" s="50">
        <f>HEX2DEC(RIGHT(Table132321432[[#This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50" t="s">
        <v>97</v>
      </c>
      <c r="P1032" s="50">
        <f>HEX2DEC(RIGHT(Table132321432[[#This Row],[h1]],8))</f>
        <v>0</v>
      </c>
      <c r="Q1032" s="50" t="s">
        <v>97</v>
      </c>
      <c r="R1032" s="50">
        <f>HEX2DEC(RIGHT(Table132321432[[#This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50" t="s">
        <v>97</v>
      </c>
      <c r="P1033" s="50">
        <f>HEX2DEC(RIGHT(Table132321432[[#This Row],[h1]],8))</f>
        <v>0</v>
      </c>
      <c r="Q1033" s="50" t="s">
        <v>97</v>
      </c>
      <c r="R1033" s="50">
        <f>HEX2DEC(RIGHT(Table132321432[[#This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50" t="s">
        <v>97</v>
      </c>
      <c r="P1034" s="50">
        <f>HEX2DEC(RIGHT(Table132321432[[#This Row],[h1]],8))</f>
        <v>0</v>
      </c>
      <c r="Q1034" s="50" t="s">
        <v>97</v>
      </c>
      <c r="R1034" s="50">
        <f>HEX2DEC(RIGHT(Table132321432[[#This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50" t="s">
        <v>97</v>
      </c>
      <c r="P1035" s="50">
        <f>HEX2DEC(RIGHT(Table132321432[[#This Row],[h1]],8))</f>
        <v>0</v>
      </c>
      <c r="Q1035" s="50" t="s">
        <v>97</v>
      </c>
      <c r="R1035" s="50">
        <f>HEX2DEC(RIGHT(Table132321432[[#This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50" t="s">
        <v>97</v>
      </c>
      <c r="P1036" s="50">
        <f>HEX2DEC(RIGHT(Table132321432[[#This Row],[h1]],8))</f>
        <v>0</v>
      </c>
      <c r="Q1036" s="50" t="s">
        <v>97</v>
      </c>
      <c r="R1036" s="50">
        <f>HEX2DEC(RIGHT(Table132321432[[#This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50" t="s">
        <v>97</v>
      </c>
      <c r="P1037" s="50">
        <f>HEX2DEC(RIGHT(Table132321432[[#This Row],[h1]],8))</f>
        <v>0</v>
      </c>
      <c r="Q1037" s="50" t="s">
        <v>97</v>
      </c>
      <c r="R1037" s="50">
        <f>HEX2DEC(RIGHT(Table132321432[[#This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50" t="s">
        <v>97</v>
      </c>
      <c r="P1038" s="50">
        <f>HEX2DEC(RIGHT(Table132321432[[#This Row],[h1]],8))</f>
        <v>0</v>
      </c>
      <c r="Q1038" s="50" t="s">
        <v>97</v>
      </c>
      <c r="R1038" s="50">
        <f>HEX2DEC(RIGHT(Table132321432[[#This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50" t="s">
        <v>97</v>
      </c>
      <c r="P1039" s="50">
        <f>HEX2DEC(RIGHT(Table132321432[[#This Row],[h1]],8))</f>
        <v>0</v>
      </c>
      <c r="Q1039" s="50" t="s">
        <v>97</v>
      </c>
      <c r="R1039" s="50">
        <f>HEX2DEC(RIGHT(Table132321432[[#This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50" t="s">
        <v>97</v>
      </c>
      <c r="P1040" s="50">
        <f>HEX2DEC(RIGHT(Table132321432[[#This Row],[h1]],8))</f>
        <v>0</v>
      </c>
      <c r="Q1040" s="50" t="s">
        <v>97</v>
      </c>
      <c r="R1040" s="50">
        <f>HEX2DEC(RIGHT(Table132321432[[#This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50" t="s">
        <v>97</v>
      </c>
      <c r="P1041" s="50">
        <f>HEX2DEC(RIGHT(Table132321432[[#This Row],[h1]],8))</f>
        <v>0</v>
      </c>
      <c r="Q1041" s="50" t="s">
        <v>97</v>
      </c>
      <c r="R1041" s="50">
        <f>HEX2DEC(RIGHT(Table132321432[[#This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50" t="s">
        <v>97</v>
      </c>
      <c r="P1042" s="50">
        <f>HEX2DEC(RIGHT(Table132321432[[#This Row],[h1]],8))</f>
        <v>0</v>
      </c>
      <c r="Q1042" s="50" t="s">
        <v>97</v>
      </c>
      <c r="R1042" s="50">
        <f>HEX2DEC(RIGHT(Table132321432[[#This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50" t="s">
        <v>97</v>
      </c>
      <c r="P1043" s="50">
        <f>HEX2DEC(RIGHT(Table132321432[[#This Row],[h1]],8))</f>
        <v>0</v>
      </c>
      <c r="Q1043" s="50" t="s">
        <v>97</v>
      </c>
      <c r="R1043" s="50">
        <f>HEX2DEC(RIGHT(Table132321432[[#This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50" t="s">
        <v>97</v>
      </c>
      <c r="P1044" s="50">
        <f>HEX2DEC(RIGHT(Table132321432[[#This Row],[h1]],8))</f>
        <v>0</v>
      </c>
      <c r="Q1044" s="50" t="s">
        <v>97</v>
      </c>
      <c r="R1044" s="50">
        <f>HEX2DEC(RIGHT(Table132321432[[#This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50" t="s">
        <v>97</v>
      </c>
      <c r="P1045" s="50">
        <f>HEX2DEC(RIGHT(Table132321432[[#This Row],[h1]],8))</f>
        <v>0</v>
      </c>
      <c r="Q1045" s="50" t="s">
        <v>97</v>
      </c>
      <c r="R1045" s="50">
        <f>HEX2DEC(RIGHT(Table132321432[[#This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50" t="s">
        <v>97</v>
      </c>
      <c r="P1046" s="50">
        <f>HEX2DEC(RIGHT(Table132321432[[#This Row],[h1]],8))</f>
        <v>0</v>
      </c>
      <c r="Q1046" s="50" t="s">
        <v>97</v>
      </c>
      <c r="R1046" s="50">
        <f>HEX2DEC(RIGHT(Table132321432[[#This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50" t="s">
        <v>97</v>
      </c>
      <c r="P1047" s="50">
        <f>HEX2DEC(RIGHT(Table132321432[[#This Row],[h1]],8))</f>
        <v>0</v>
      </c>
      <c r="Q1047" s="50" t="s">
        <v>97</v>
      </c>
      <c r="R1047" s="50">
        <f>HEX2DEC(RIGHT(Table132321432[[#This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50" t="s">
        <v>97</v>
      </c>
      <c r="P1048" s="50">
        <f>HEX2DEC(RIGHT(Table132321432[[#This Row],[h1]],8))</f>
        <v>0</v>
      </c>
      <c r="Q1048" s="50" t="s">
        <v>97</v>
      </c>
      <c r="R1048" s="50">
        <f>HEX2DEC(RIGHT(Table132321432[[#This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50" t="s">
        <v>97</v>
      </c>
      <c r="P1049" s="50">
        <f>HEX2DEC(RIGHT(Table132321432[[#This Row],[h1]],8))</f>
        <v>0</v>
      </c>
      <c r="Q1049" s="50" t="s">
        <v>97</v>
      </c>
      <c r="R1049" s="50">
        <f>HEX2DEC(RIGHT(Table132321432[[#This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50" t="s">
        <v>97</v>
      </c>
      <c r="P1050" s="50">
        <f>HEX2DEC(RIGHT(Table132321432[[#This Row],[h1]],8))</f>
        <v>0</v>
      </c>
      <c r="Q1050" s="50" t="s">
        <v>97</v>
      </c>
      <c r="R1050" s="50">
        <f>HEX2DEC(RIGHT(Table132321432[[#This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50" t="s">
        <v>97</v>
      </c>
      <c r="P1051" s="50">
        <f>HEX2DEC(RIGHT(Table132321432[[#This Row],[h1]],8))</f>
        <v>0</v>
      </c>
      <c r="Q1051" s="50" t="s">
        <v>97</v>
      </c>
      <c r="R1051" s="50">
        <f>HEX2DEC(RIGHT(Table132321432[[#This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50" t="s">
        <v>97</v>
      </c>
      <c r="P1052" s="50">
        <f>HEX2DEC(RIGHT(Table132321432[[#This Row],[h1]],8))</f>
        <v>0</v>
      </c>
      <c r="Q1052" s="50" t="s">
        <v>97</v>
      </c>
      <c r="R1052" s="50">
        <f>HEX2DEC(RIGHT(Table132321432[[#This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50" t="s">
        <v>97</v>
      </c>
      <c r="P1053" s="50">
        <f>HEX2DEC(RIGHT(Table132321432[[#This Row],[h1]],8))</f>
        <v>0</v>
      </c>
      <c r="Q1053" s="50" t="s">
        <v>97</v>
      </c>
      <c r="R1053" s="50">
        <f>HEX2DEC(RIGHT(Table132321432[[#This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50" t="s">
        <v>97</v>
      </c>
      <c r="P1054" s="50">
        <f>HEX2DEC(RIGHT(Table132321432[[#This Row],[h1]],8))</f>
        <v>0</v>
      </c>
      <c r="Q1054" s="50" t="s">
        <v>97</v>
      </c>
      <c r="R1054" s="50">
        <f>HEX2DEC(RIGHT(Table132321432[[#This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50" t="s">
        <v>97</v>
      </c>
      <c r="P1055" s="50">
        <f>HEX2DEC(RIGHT(Table132321432[[#This Row],[h1]],8))</f>
        <v>0</v>
      </c>
      <c r="Q1055" s="50" t="s">
        <v>97</v>
      </c>
      <c r="R1055" s="50">
        <f>HEX2DEC(RIGHT(Table132321432[[#This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50" t="s">
        <v>97</v>
      </c>
      <c r="P1056" s="50">
        <f>HEX2DEC(RIGHT(Table132321432[[#This Row],[h1]],8))</f>
        <v>0</v>
      </c>
      <c r="Q1056" s="50" t="s">
        <v>97</v>
      </c>
      <c r="R1056" s="50">
        <f>HEX2DEC(RIGHT(Table132321432[[#This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50" t="s">
        <v>97</v>
      </c>
      <c r="P1057" s="50">
        <f>HEX2DEC(RIGHT(Table132321432[[#This Row],[h1]],8))</f>
        <v>0</v>
      </c>
      <c r="Q1057" s="50" t="s">
        <v>97</v>
      </c>
      <c r="R1057" s="50">
        <f>HEX2DEC(RIGHT(Table132321432[[#This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50" t="s">
        <v>97</v>
      </c>
      <c r="P1058" s="50">
        <f>HEX2DEC(RIGHT(Table132321432[[#This Row],[h1]],8))</f>
        <v>0</v>
      </c>
      <c r="Q1058" s="50" t="s">
        <v>97</v>
      </c>
      <c r="R1058" s="50">
        <f>HEX2DEC(RIGHT(Table132321432[[#This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50" t="s">
        <v>97</v>
      </c>
      <c r="P1059" s="50">
        <f>HEX2DEC(RIGHT(Table132321432[[#This Row],[h1]],8))</f>
        <v>0</v>
      </c>
      <c r="Q1059" s="50" t="s">
        <v>97</v>
      </c>
      <c r="R1059" s="50">
        <f>HEX2DEC(RIGHT(Table132321432[[#This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50" t="s">
        <v>97</v>
      </c>
      <c r="P1060" s="50">
        <f>HEX2DEC(RIGHT(Table132321432[[#This Row],[h1]],8))</f>
        <v>0</v>
      </c>
      <c r="Q1060" s="50" t="s">
        <v>97</v>
      </c>
      <c r="R1060" s="50">
        <f>HEX2DEC(RIGHT(Table132321432[[#This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50" t="s">
        <v>97</v>
      </c>
      <c r="P1061" s="50">
        <f>HEX2DEC(RIGHT(Table132321432[[#This Row],[h1]],8))</f>
        <v>0</v>
      </c>
      <c r="Q1061" s="50" t="s">
        <v>97</v>
      </c>
      <c r="R1061" s="50">
        <f>HEX2DEC(RIGHT(Table132321432[[#This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50" t="s">
        <v>97</v>
      </c>
      <c r="P1062" s="50">
        <f>HEX2DEC(RIGHT(Table132321432[[#This Row],[h1]],8))</f>
        <v>0</v>
      </c>
      <c r="Q1062" s="50" t="s">
        <v>97</v>
      </c>
      <c r="R1062" s="50">
        <f>HEX2DEC(RIGHT(Table132321432[[#This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50" t="s">
        <v>97</v>
      </c>
      <c r="P1063" s="50">
        <f>HEX2DEC(RIGHT(Table132321432[[#This Row],[h1]],8))</f>
        <v>0</v>
      </c>
      <c r="Q1063" s="50" t="s">
        <v>97</v>
      </c>
      <c r="R1063" s="50">
        <f>HEX2DEC(RIGHT(Table132321432[[#This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50" t="s">
        <v>97</v>
      </c>
      <c r="P1064" s="50">
        <f>HEX2DEC(RIGHT(Table132321432[[#This Row],[h1]],8))</f>
        <v>0</v>
      </c>
      <c r="Q1064" s="50" t="s">
        <v>97</v>
      </c>
      <c r="R1064" s="50">
        <f>HEX2DEC(RIGHT(Table132321432[[#This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50" t="s">
        <v>97</v>
      </c>
      <c r="P1065" s="50">
        <f>HEX2DEC(RIGHT(Table132321432[[#This Row],[h1]],8))</f>
        <v>0</v>
      </c>
      <c r="Q1065" s="50" t="s">
        <v>97</v>
      </c>
      <c r="R1065" s="50">
        <f>HEX2DEC(RIGHT(Table132321432[[#This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50" t="s">
        <v>97</v>
      </c>
      <c r="P1066" s="50">
        <f>HEX2DEC(RIGHT(Table132321432[[#This Row],[h1]],8))</f>
        <v>0</v>
      </c>
      <c r="Q1066" s="50" t="s">
        <v>97</v>
      </c>
      <c r="R1066" s="50">
        <f>HEX2DEC(RIGHT(Table132321432[[#This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50" t="s">
        <v>97</v>
      </c>
      <c r="P1067" s="50">
        <f>HEX2DEC(RIGHT(Table132321432[[#This Row],[h1]],8))</f>
        <v>0</v>
      </c>
      <c r="Q1067" s="50" t="s">
        <v>97</v>
      </c>
      <c r="R1067" s="50">
        <f>HEX2DEC(RIGHT(Table132321432[[#This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50" t="s">
        <v>97</v>
      </c>
      <c r="P1068" s="50">
        <f>HEX2DEC(RIGHT(Table132321432[[#This Row],[h1]],8))</f>
        <v>0</v>
      </c>
      <c r="Q1068" s="50" t="s">
        <v>97</v>
      </c>
      <c r="R1068" s="50">
        <f>HEX2DEC(RIGHT(Table132321432[[#This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50" t="s">
        <v>97</v>
      </c>
      <c r="P1069" s="50">
        <f>HEX2DEC(RIGHT(Table132321432[[#This Row],[h1]],8))</f>
        <v>0</v>
      </c>
      <c r="Q1069" s="50" t="s">
        <v>97</v>
      </c>
      <c r="R1069" s="50">
        <f>HEX2DEC(RIGHT(Table132321432[[#This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50" t="s">
        <v>97</v>
      </c>
      <c r="P1070" s="50">
        <f>HEX2DEC(RIGHT(Table132321432[[#This Row],[h1]],8))</f>
        <v>0</v>
      </c>
      <c r="Q1070" s="50" t="s">
        <v>97</v>
      </c>
      <c r="R1070" s="50">
        <f>HEX2DEC(RIGHT(Table132321432[[#This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50" t="s">
        <v>97</v>
      </c>
      <c r="P1071" s="50">
        <f>HEX2DEC(RIGHT(Table132321432[[#This Row],[h1]],8))</f>
        <v>0</v>
      </c>
      <c r="Q1071" s="50" t="s">
        <v>97</v>
      </c>
      <c r="R1071" s="50">
        <f>HEX2DEC(RIGHT(Table132321432[[#This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50" t="s">
        <v>97</v>
      </c>
      <c r="P1072" s="50">
        <f>HEX2DEC(RIGHT(Table132321432[[#This Row],[h1]],8))</f>
        <v>0</v>
      </c>
      <c r="Q1072" s="50" t="s">
        <v>97</v>
      </c>
      <c r="R1072" s="50">
        <f>HEX2DEC(RIGHT(Table132321432[[#This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50" t="s">
        <v>97</v>
      </c>
      <c r="P1073" s="50">
        <f>HEX2DEC(RIGHT(Table132321432[[#This Row],[h1]],8))</f>
        <v>0</v>
      </c>
      <c r="Q1073" s="50" t="s">
        <v>97</v>
      </c>
      <c r="R1073" s="50">
        <f>HEX2DEC(RIGHT(Table132321432[[#This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50" t="s">
        <v>97</v>
      </c>
      <c r="P1074" s="50">
        <f>HEX2DEC(RIGHT(Table132321432[[#This Row],[h1]],8))</f>
        <v>0</v>
      </c>
      <c r="Q1074" s="50" t="s">
        <v>97</v>
      </c>
      <c r="R1074" s="50">
        <f>HEX2DEC(RIGHT(Table132321432[[#This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50" t="s">
        <v>97</v>
      </c>
      <c r="P1075" s="50">
        <f>HEX2DEC(RIGHT(Table132321432[[#This Row],[h1]],8))</f>
        <v>0</v>
      </c>
      <c r="Q1075" s="50" t="s">
        <v>97</v>
      </c>
      <c r="R1075" s="50">
        <f>HEX2DEC(RIGHT(Table132321432[[#This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50" t="s">
        <v>97</v>
      </c>
      <c r="P1076" s="50">
        <f>HEX2DEC(RIGHT(Table132321432[[#This Row],[h1]],8))</f>
        <v>0</v>
      </c>
      <c r="Q1076" s="50" t="s">
        <v>97</v>
      </c>
      <c r="R1076" s="50">
        <f>HEX2DEC(RIGHT(Table132321432[[#This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50" t="s">
        <v>97</v>
      </c>
      <c r="P1077" s="50">
        <f>HEX2DEC(RIGHT(Table132321432[[#This Row],[h1]],8))</f>
        <v>0</v>
      </c>
      <c r="Q1077" s="50" t="s">
        <v>97</v>
      </c>
      <c r="R1077" s="50">
        <f>HEX2DEC(RIGHT(Table132321432[[#This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50" t="s">
        <v>97</v>
      </c>
      <c r="P1078" s="50">
        <f>HEX2DEC(RIGHT(Table132321432[[#This Row],[h1]],8))</f>
        <v>0</v>
      </c>
      <c r="Q1078" s="50" t="s">
        <v>97</v>
      </c>
      <c r="R1078" s="50">
        <f>HEX2DEC(RIGHT(Table132321432[[#This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50" t="s">
        <v>97</v>
      </c>
      <c r="P1079" s="50">
        <f>HEX2DEC(RIGHT(Table132321432[[#This Row],[h1]],8))</f>
        <v>0</v>
      </c>
      <c r="Q1079" s="50" t="s">
        <v>97</v>
      </c>
      <c r="R1079" s="50">
        <f>HEX2DEC(RIGHT(Table132321432[[#This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50" t="s">
        <v>97</v>
      </c>
      <c r="P1080" s="50">
        <f>HEX2DEC(RIGHT(Table132321432[[#This Row],[h1]],8))</f>
        <v>0</v>
      </c>
      <c r="Q1080" s="50" t="s">
        <v>97</v>
      </c>
      <c r="R1080" s="50">
        <f>HEX2DEC(RIGHT(Table132321432[[#This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50" t="s">
        <v>97</v>
      </c>
      <c r="P1081" s="50">
        <f>HEX2DEC(RIGHT(Table132321432[[#This Row],[h1]],8))</f>
        <v>0</v>
      </c>
      <c r="Q1081" s="50" t="s">
        <v>97</v>
      </c>
      <c r="R1081" s="50">
        <f>HEX2DEC(RIGHT(Table132321432[[#This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50" t="s">
        <v>97</v>
      </c>
      <c r="P1082" s="50">
        <f>HEX2DEC(RIGHT(Table132321432[[#This Row],[h1]],8))</f>
        <v>0</v>
      </c>
      <c r="Q1082" s="50" t="s">
        <v>97</v>
      </c>
      <c r="R1082" s="50">
        <f>HEX2DEC(RIGHT(Table132321432[[#This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50" t="s">
        <v>97</v>
      </c>
      <c r="P1083" s="50">
        <f>HEX2DEC(RIGHT(Table132321432[[#This Row],[h1]],8))</f>
        <v>0</v>
      </c>
      <c r="Q1083" s="50" t="s">
        <v>97</v>
      </c>
      <c r="R1083" s="50">
        <f>HEX2DEC(RIGHT(Table132321432[[#This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50" t="s">
        <v>97</v>
      </c>
      <c r="P1084" s="50">
        <f>HEX2DEC(RIGHT(Table132321432[[#This Row],[h1]],8))</f>
        <v>0</v>
      </c>
      <c r="Q1084" s="50" t="s">
        <v>97</v>
      </c>
      <c r="R1084" s="50">
        <f>HEX2DEC(RIGHT(Table132321432[[#This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50" t="s">
        <v>97</v>
      </c>
      <c r="P1085" s="50">
        <f>HEX2DEC(RIGHT(Table132321432[[#This Row],[h1]],8))</f>
        <v>0</v>
      </c>
      <c r="Q1085" s="50" t="s">
        <v>97</v>
      </c>
      <c r="R1085" s="50">
        <f>HEX2DEC(RIGHT(Table132321432[[#This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50" t="s">
        <v>97</v>
      </c>
      <c r="P1086" s="50">
        <f>HEX2DEC(RIGHT(Table132321432[[#This Row],[h1]],8))</f>
        <v>0</v>
      </c>
      <c r="Q1086" s="50" t="s">
        <v>97</v>
      </c>
      <c r="R1086" s="50">
        <f>HEX2DEC(RIGHT(Table132321432[[#This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50" t="s">
        <v>97</v>
      </c>
      <c r="P1087" s="50">
        <f>HEX2DEC(RIGHT(Table132321432[[#This Row],[h1]],8))</f>
        <v>0</v>
      </c>
      <c r="Q1087" s="50" t="s">
        <v>97</v>
      </c>
      <c r="R1087" s="50">
        <f>HEX2DEC(RIGHT(Table132321432[[#This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50" t="s">
        <v>97</v>
      </c>
      <c r="P1088" s="50">
        <f>HEX2DEC(RIGHT(Table132321432[[#This Row],[h1]],8))</f>
        <v>0</v>
      </c>
      <c r="Q1088" s="50" t="s">
        <v>97</v>
      </c>
      <c r="R1088" s="50">
        <f>HEX2DEC(RIGHT(Table132321432[[#This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50" t="s">
        <v>97</v>
      </c>
      <c r="P1089" s="50">
        <f>HEX2DEC(RIGHT(Table132321432[[#This Row],[h1]],8))</f>
        <v>0</v>
      </c>
      <c r="Q1089" s="50" t="s">
        <v>97</v>
      </c>
      <c r="R1089" s="50">
        <f>HEX2DEC(RIGHT(Table132321432[[#This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50" t="s">
        <v>97</v>
      </c>
      <c r="P1090" s="50">
        <f>HEX2DEC(RIGHT(Table132321432[[#This Row],[h1]],8))</f>
        <v>0</v>
      </c>
      <c r="Q1090" s="50" t="s">
        <v>97</v>
      </c>
      <c r="R1090" s="50">
        <f>HEX2DEC(RIGHT(Table132321432[[#This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50" t="s">
        <v>97</v>
      </c>
      <c r="P1091" s="50">
        <f>HEX2DEC(RIGHT(Table132321432[[#This Row],[h1]],8))</f>
        <v>0</v>
      </c>
      <c r="Q1091" s="50" t="s">
        <v>97</v>
      </c>
      <c r="R1091" s="50">
        <f>HEX2DEC(RIGHT(Table132321432[[#This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50" t="s">
        <v>97</v>
      </c>
      <c r="P1092" s="50">
        <f>HEX2DEC(RIGHT(Table132321432[[#This Row],[h1]],8))</f>
        <v>0</v>
      </c>
      <c r="Q1092" s="50" t="s">
        <v>97</v>
      </c>
      <c r="R1092" s="50">
        <f>HEX2DEC(RIGHT(Table132321432[[#This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50" t="s">
        <v>97</v>
      </c>
      <c r="P1093" s="50">
        <f>HEX2DEC(RIGHT(Table132321432[[#This Row],[h1]],8))</f>
        <v>0</v>
      </c>
      <c r="Q1093" s="50" t="s">
        <v>97</v>
      </c>
      <c r="R1093" s="50">
        <f>HEX2DEC(RIGHT(Table132321432[[#This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50" t="s">
        <v>97</v>
      </c>
      <c r="P1094" s="50">
        <f>HEX2DEC(RIGHT(Table132321432[[#This Row],[h1]],8))</f>
        <v>0</v>
      </c>
      <c r="Q1094" s="50" t="s">
        <v>97</v>
      </c>
      <c r="R1094" s="50">
        <f>HEX2DEC(RIGHT(Table132321432[[#This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50" t="s">
        <v>97</v>
      </c>
      <c r="P1095" s="50">
        <f>HEX2DEC(RIGHT(Table132321432[[#This Row],[h1]],8))</f>
        <v>0</v>
      </c>
      <c r="Q1095" s="50" t="s">
        <v>97</v>
      </c>
      <c r="R1095" s="50">
        <f>HEX2DEC(RIGHT(Table132321432[[#This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50" t="s">
        <v>97</v>
      </c>
      <c r="P1096" s="50">
        <f>HEX2DEC(RIGHT(Table132321432[[#This Row],[h1]],8))</f>
        <v>0</v>
      </c>
      <c r="Q1096" s="50" t="s">
        <v>97</v>
      </c>
      <c r="R1096" s="50">
        <f>HEX2DEC(RIGHT(Table132321432[[#This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50" t="s">
        <v>97</v>
      </c>
      <c r="P1097" s="50">
        <f>HEX2DEC(RIGHT(Table132321432[[#This Row],[h1]],8))</f>
        <v>0</v>
      </c>
      <c r="Q1097" s="50" t="s">
        <v>97</v>
      </c>
      <c r="R1097" s="50">
        <f>HEX2DEC(RIGHT(Table132321432[[#This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50" t="s">
        <v>97</v>
      </c>
      <c r="P1098" s="50">
        <f>HEX2DEC(RIGHT(Table132321432[[#This Row],[h1]],8))</f>
        <v>0</v>
      </c>
      <c r="Q1098" s="50" t="s">
        <v>97</v>
      </c>
      <c r="R1098" s="50">
        <f>HEX2DEC(RIGHT(Table132321432[[#This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50" t="s">
        <v>97</v>
      </c>
      <c r="P1099" s="50">
        <f>HEX2DEC(RIGHT(Table132321432[[#This Row],[h1]],8))</f>
        <v>0</v>
      </c>
      <c r="Q1099" s="50" t="s">
        <v>97</v>
      </c>
      <c r="R1099" s="50">
        <f>HEX2DEC(RIGHT(Table132321432[[#This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50" t="s">
        <v>97</v>
      </c>
      <c r="P1100" s="50">
        <f>HEX2DEC(RIGHT(Table132321432[[#This Row],[h1]],8))</f>
        <v>0</v>
      </c>
      <c r="Q1100" s="50" t="s">
        <v>97</v>
      </c>
      <c r="R1100" s="50">
        <f>HEX2DEC(RIGHT(Table132321432[[#This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50" t="s">
        <v>97</v>
      </c>
      <c r="P1101" s="50">
        <f>HEX2DEC(RIGHT(Table132321432[[#This Row],[h1]],8))</f>
        <v>0</v>
      </c>
      <c r="Q1101" s="50" t="s">
        <v>97</v>
      </c>
      <c r="R1101" s="50">
        <f>HEX2DEC(RIGHT(Table132321432[[#This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50" t="s">
        <v>97</v>
      </c>
      <c r="P1102" s="50">
        <f>HEX2DEC(RIGHT(Table132321432[[#This Row],[h1]],8))</f>
        <v>0</v>
      </c>
      <c r="Q1102" s="50" t="s">
        <v>97</v>
      </c>
      <c r="R1102" s="50">
        <f>HEX2DEC(RIGHT(Table132321432[[#This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50" t="s">
        <v>97</v>
      </c>
      <c r="P1103" s="50">
        <f>HEX2DEC(RIGHT(Table132321432[[#This Row],[h1]],8))</f>
        <v>0</v>
      </c>
      <c r="Q1103" s="50" t="s">
        <v>97</v>
      </c>
      <c r="R1103" s="50">
        <f>HEX2DEC(RIGHT(Table132321432[[#This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50" t="s">
        <v>97</v>
      </c>
      <c r="P1104" s="50">
        <f>HEX2DEC(RIGHT(Table132321432[[#This Row],[h1]],8))</f>
        <v>0</v>
      </c>
      <c r="Q1104" s="50" t="s">
        <v>97</v>
      </c>
      <c r="R1104" s="50">
        <f>HEX2DEC(RIGHT(Table132321432[[#This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50" t="s">
        <v>97</v>
      </c>
      <c r="P1105" s="50">
        <f>HEX2DEC(RIGHT(Table132321432[[#This Row],[h1]],8))</f>
        <v>0</v>
      </c>
      <c r="Q1105" s="50" t="s">
        <v>97</v>
      </c>
      <c r="R1105" s="50">
        <f>HEX2DEC(RIGHT(Table132321432[[#This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50" t="s">
        <v>97</v>
      </c>
      <c r="P1106" s="50">
        <f>HEX2DEC(RIGHT(Table132321432[[#This Row],[h1]],8))</f>
        <v>0</v>
      </c>
      <c r="Q1106" s="50" t="s">
        <v>97</v>
      </c>
      <c r="R1106" s="50">
        <f>HEX2DEC(RIGHT(Table132321432[[#This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50" t="s">
        <v>97</v>
      </c>
      <c r="P1107" s="50">
        <f>HEX2DEC(RIGHT(Table132321432[[#This Row],[h1]],8))</f>
        <v>0</v>
      </c>
      <c r="Q1107" s="50" t="s">
        <v>97</v>
      </c>
      <c r="R1107" s="50">
        <f>HEX2DEC(RIGHT(Table132321432[[#This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50" t="s">
        <v>97</v>
      </c>
      <c r="P1108" s="50">
        <f>HEX2DEC(RIGHT(Table132321432[[#This Row],[h1]],8))</f>
        <v>0</v>
      </c>
      <c r="Q1108" s="50" t="s">
        <v>97</v>
      </c>
      <c r="R1108" s="50">
        <f>HEX2DEC(RIGHT(Table132321432[[#This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50" t="s">
        <v>97</v>
      </c>
      <c r="P1109" s="50">
        <f>HEX2DEC(RIGHT(Table132321432[[#This Row],[h1]],8))</f>
        <v>0</v>
      </c>
      <c r="Q1109" s="50" t="s">
        <v>97</v>
      </c>
      <c r="R1109" s="50">
        <f>HEX2DEC(RIGHT(Table132321432[[#This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50" t="s">
        <v>97</v>
      </c>
      <c r="P1110" s="50">
        <f>HEX2DEC(RIGHT(Table132321432[[#This Row],[h1]],8))</f>
        <v>0</v>
      </c>
      <c r="Q1110" s="50" t="s">
        <v>97</v>
      </c>
      <c r="R1110" s="50">
        <f>HEX2DEC(RIGHT(Table132321432[[#This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50" t="s">
        <v>97</v>
      </c>
      <c r="P1111" s="50">
        <f>HEX2DEC(RIGHT(Table132321432[[#This Row],[h1]],8))</f>
        <v>0</v>
      </c>
      <c r="Q1111" s="50" t="s">
        <v>97</v>
      </c>
      <c r="R1111" s="50">
        <f>HEX2DEC(RIGHT(Table132321432[[#This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50" t="s">
        <v>97</v>
      </c>
      <c r="P1112" s="50">
        <f>HEX2DEC(RIGHT(Table132321432[[#This Row],[h1]],8))</f>
        <v>0</v>
      </c>
      <c r="Q1112" s="50" t="s">
        <v>97</v>
      </c>
      <c r="R1112" s="50">
        <f>HEX2DEC(RIGHT(Table132321432[[#This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50" t="s">
        <v>97</v>
      </c>
      <c r="P1113" s="50">
        <f>HEX2DEC(RIGHT(Table132321432[[#This Row],[h1]],8))</f>
        <v>0</v>
      </c>
      <c r="Q1113" s="50" t="s">
        <v>97</v>
      </c>
      <c r="R1113" s="50">
        <f>HEX2DEC(RIGHT(Table132321432[[#This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50" t="s">
        <v>97</v>
      </c>
      <c r="P1114" s="50">
        <f>HEX2DEC(RIGHT(Table132321432[[#This Row],[h1]],8))</f>
        <v>0</v>
      </c>
      <c r="Q1114" s="50" t="s">
        <v>97</v>
      </c>
      <c r="R1114" s="50">
        <f>HEX2DEC(RIGHT(Table132321432[[#This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50" t="s">
        <v>97</v>
      </c>
      <c r="P1115" s="50">
        <f>HEX2DEC(RIGHT(Table132321432[[#This Row],[h1]],8))</f>
        <v>0</v>
      </c>
      <c r="Q1115" s="50" t="s">
        <v>97</v>
      </c>
      <c r="R1115" s="50">
        <f>HEX2DEC(RIGHT(Table132321432[[#This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50" t="s">
        <v>97</v>
      </c>
      <c r="P1116" s="50">
        <f>HEX2DEC(RIGHT(Table132321432[[#This Row],[h1]],8))</f>
        <v>0</v>
      </c>
      <c r="Q1116" s="50" t="s">
        <v>97</v>
      </c>
      <c r="R1116" s="50">
        <f>HEX2DEC(RIGHT(Table132321432[[#This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50" t="s">
        <v>97</v>
      </c>
      <c r="P1117" s="50">
        <f>HEX2DEC(RIGHT(Table132321432[[#This Row],[h1]],8))</f>
        <v>0</v>
      </c>
      <c r="Q1117" s="50" t="s">
        <v>97</v>
      </c>
      <c r="R1117" s="50">
        <f>HEX2DEC(RIGHT(Table132321432[[#This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50" t="s">
        <v>97</v>
      </c>
      <c r="P1118" s="50">
        <f>HEX2DEC(RIGHT(Table132321432[[#This Row],[h1]],8))</f>
        <v>0</v>
      </c>
      <c r="Q1118" s="50" t="s">
        <v>97</v>
      </c>
      <c r="R1118" s="50">
        <f>HEX2DEC(RIGHT(Table132321432[[#This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50" t="s">
        <v>97</v>
      </c>
      <c r="P1119" s="50">
        <f>HEX2DEC(RIGHT(Table132321432[[#This Row],[h1]],8))</f>
        <v>0</v>
      </c>
      <c r="Q1119" s="50" t="s">
        <v>97</v>
      </c>
      <c r="R1119" s="50">
        <f>HEX2DEC(RIGHT(Table132321432[[#This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50" t="s">
        <v>97</v>
      </c>
      <c r="P1120" s="50">
        <f>HEX2DEC(RIGHT(Table132321432[[#This Row],[h1]],8))</f>
        <v>0</v>
      </c>
      <c r="Q1120" s="50" t="s">
        <v>97</v>
      </c>
      <c r="R1120" s="50">
        <f>HEX2DEC(RIGHT(Table132321432[[#This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50" t="s">
        <v>97</v>
      </c>
      <c r="P1121" s="50">
        <f>HEX2DEC(RIGHT(Table132321432[[#This Row],[h1]],8))</f>
        <v>0</v>
      </c>
      <c r="Q1121" s="50" t="s">
        <v>97</v>
      </c>
      <c r="R1121" s="50">
        <f>HEX2DEC(RIGHT(Table132321432[[#This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50" t="s">
        <v>97</v>
      </c>
      <c r="P1122" s="50">
        <f>HEX2DEC(RIGHT(Table132321432[[#This Row],[h1]],8))</f>
        <v>0</v>
      </c>
      <c r="Q1122" s="50" t="s">
        <v>97</v>
      </c>
      <c r="R1122" s="50">
        <f>HEX2DEC(RIGHT(Table132321432[[#This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50" t="s">
        <v>97</v>
      </c>
      <c r="P1123" s="50">
        <f>HEX2DEC(RIGHT(Table132321432[[#This Row],[h1]],8))</f>
        <v>0</v>
      </c>
      <c r="Q1123" s="50" t="s">
        <v>97</v>
      </c>
      <c r="R1123" s="50">
        <f>HEX2DEC(RIGHT(Table132321432[[#This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50" t="s">
        <v>97</v>
      </c>
      <c r="P1124" s="50">
        <f>HEX2DEC(RIGHT(Table132321432[[#This Row],[h1]],8))</f>
        <v>0</v>
      </c>
      <c r="Q1124" s="50" t="s">
        <v>97</v>
      </c>
      <c r="R1124" s="50">
        <f>HEX2DEC(RIGHT(Table132321432[[#This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50" t="s">
        <v>97</v>
      </c>
      <c r="P1125" s="50">
        <f>HEX2DEC(RIGHT(Table132321432[[#This Row],[h1]],8))</f>
        <v>0</v>
      </c>
      <c r="Q1125" s="50" t="s">
        <v>97</v>
      </c>
      <c r="R1125" s="50">
        <f>HEX2DEC(RIGHT(Table132321432[[#This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50" t="s">
        <v>97</v>
      </c>
      <c r="P1126" s="50">
        <f>HEX2DEC(RIGHT(Table132321432[[#This Row],[h1]],8))</f>
        <v>0</v>
      </c>
      <c r="Q1126" s="50" t="s">
        <v>97</v>
      </c>
      <c r="R1126" s="50">
        <f>HEX2DEC(RIGHT(Table132321432[[#This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50" t="s">
        <v>97</v>
      </c>
      <c r="P1127" s="50">
        <f>HEX2DEC(RIGHT(Table132321432[[#This Row],[h1]],8))</f>
        <v>0</v>
      </c>
      <c r="Q1127" s="50" t="s">
        <v>97</v>
      </c>
      <c r="R1127" s="50">
        <f>HEX2DEC(RIGHT(Table132321432[[#This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50" t="s">
        <v>97</v>
      </c>
      <c r="P1128" s="50">
        <f>HEX2DEC(RIGHT(Table132321432[[#This Row],[h1]],8))</f>
        <v>0</v>
      </c>
      <c r="Q1128" s="50" t="s">
        <v>97</v>
      </c>
      <c r="R1128" s="50">
        <f>HEX2DEC(RIGHT(Table132321432[[#This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50" t="s">
        <v>97</v>
      </c>
      <c r="P1129" s="50">
        <f>HEX2DEC(RIGHT(Table132321432[[#This Row],[h1]],8))</f>
        <v>0</v>
      </c>
      <c r="Q1129" s="50" t="s">
        <v>97</v>
      </c>
      <c r="R1129" s="50">
        <f>HEX2DEC(RIGHT(Table132321432[[#This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50" t="s">
        <v>97</v>
      </c>
      <c r="P1130" s="50">
        <f>HEX2DEC(RIGHT(Table132321432[[#This Row],[h1]],8))</f>
        <v>0</v>
      </c>
      <c r="Q1130" s="50" t="s">
        <v>97</v>
      </c>
      <c r="R1130" s="50">
        <f>HEX2DEC(RIGHT(Table132321432[[#This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50" t="s">
        <v>97</v>
      </c>
      <c r="P1131" s="50">
        <f>HEX2DEC(RIGHT(Table132321432[[#This Row],[h1]],8))</f>
        <v>0</v>
      </c>
      <c r="Q1131" s="50" t="s">
        <v>97</v>
      </c>
      <c r="R1131" s="50">
        <f>HEX2DEC(RIGHT(Table132321432[[#This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50" t="s">
        <v>97</v>
      </c>
      <c r="P1132" s="50">
        <f>HEX2DEC(RIGHT(Table132321432[[#This Row],[h1]],8))</f>
        <v>0</v>
      </c>
      <c r="Q1132" s="50" t="s">
        <v>97</v>
      </c>
      <c r="R1132" s="50">
        <f>HEX2DEC(RIGHT(Table132321432[[#This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50" t="s">
        <v>97</v>
      </c>
      <c r="P1133" s="50">
        <f>HEX2DEC(RIGHT(Table132321432[[#This Row],[h1]],8))</f>
        <v>0</v>
      </c>
      <c r="Q1133" s="50" t="s">
        <v>97</v>
      </c>
      <c r="R1133" s="50">
        <f>HEX2DEC(RIGHT(Table132321432[[#This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50" t="s">
        <v>97</v>
      </c>
      <c r="P1134" s="50">
        <f>HEX2DEC(RIGHT(Table132321432[[#This Row],[h1]],8))</f>
        <v>0</v>
      </c>
      <c r="Q1134" s="50" t="s">
        <v>97</v>
      </c>
      <c r="R1134" s="50">
        <f>HEX2DEC(RIGHT(Table132321432[[#This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50" t="s">
        <v>97</v>
      </c>
      <c r="P1135" s="50">
        <f>HEX2DEC(RIGHT(Table132321432[[#This Row],[h1]],8))</f>
        <v>0</v>
      </c>
      <c r="Q1135" s="50" t="s">
        <v>97</v>
      </c>
      <c r="R1135" s="50">
        <f>HEX2DEC(RIGHT(Table132321432[[#This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50" t="s">
        <v>97</v>
      </c>
      <c r="P1136" s="50">
        <f>HEX2DEC(RIGHT(Table132321432[[#This Row],[h1]],8))</f>
        <v>0</v>
      </c>
      <c r="Q1136" s="50" t="s">
        <v>97</v>
      </c>
      <c r="R1136" s="50">
        <f>HEX2DEC(RIGHT(Table132321432[[#This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50" t="s">
        <v>97</v>
      </c>
      <c r="P1137" s="50">
        <f>HEX2DEC(RIGHT(Table132321432[[#This Row],[h1]],8))</f>
        <v>0</v>
      </c>
      <c r="Q1137" s="50" t="s">
        <v>97</v>
      </c>
      <c r="R1137" s="50">
        <f>HEX2DEC(RIGHT(Table132321432[[#This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50" t="s">
        <v>97</v>
      </c>
      <c r="P1138" s="50">
        <f>HEX2DEC(RIGHT(Table132321432[[#This Row],[h1]],8))</f>
        <v>0</v>
      </c>
      <c r="Q1138" s="50" t="s">
        <v>97</v>
      </c>
      <c r="R1138" s="50">
        <f>HEX2DEC(RIGHT(Table132321432[[#This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50" t="s">
        <v>97</v>
      </c>
      <c r="P1139" s="50">
        <f>HEX2DEC(RIGHT(Table132321432[[#This Row],[h1]],8))</f>
        <v>0</v>
      </c>
      <c r="Q1139" s="50" t="s">
        <v>97</v>
      </c>
      <c r="R1139" s="50">
        <f>HEX2DEC(RIGHT(Table132321432[[#This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50" t="s">
        <v>97</v>
      </c>
      <c r="P1140" s="50">
        <f>HEX2DEC(RIGHT(Table132321432[[#This Row],[h1]],8))</f>
        <v>0</v>
      </c>
      <c r="Q1140" s="50" t="s">
        <v>97</v>
      </c>
      <c r="R1140" s="50">
        <f>HEX2DEC(RIGHT(Table132321432[[#This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50" t="s">
        <v>97</v>
      </c>
      <c r="P1141" s="50">
        <f>HEX2DEC(RIGHT(Table132321432[[#This Row],[h1]],8))</f>
        <v>0</v>
      </c>
      <c r="Q1141" s="50" t="s">
        <v>97</v>
      </c>
      <c r="R1141" s="50">
        <f>HEX2DEC(RIGHT(Table132321432[[#This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50" t="s">
        <v>97</v>
      </c>
      <c r="P1142" s="50">
        <f>HEX2DEC(RIGHT(Table132321432[[#This Row],[h1]],8))</f>
        <v>0</v>
      </c>
      <c r="Q1142" s="50" t="s">
        <v>97</v>
      </c>
      <c r="R1142" s="50">
        <f>HEX2DEC(RIGHT(Table132321432[[#This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50" t="s">
        <v>97</v>
      </c>
      <c r="P1143" s="50">
        <f>HEX2DEC(RIGHT(Table132321432[[#This Row],[h1]],8))</f>
        <v>0</v>
      </c>
      <c r="Q1143" s="50" t="s">
        <v>97</v>
      </c>
      <c r="R1143" s="50">
        <f>HEX2DEC(RIGHT(Table132321432[[#This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50" t="s">
        <v>97</v>
      </c>
      <c r="P1144" s="50">
        <f>HEX2DEC(RIGHT(Table132321432[[#This Row],[h1]],8))</f>
        <v>0</v>
      </c>
      <c r="Q1144" s="50" t="s">
        <v>97</v>
      </c>
      <c r="R1144" s="50">
        <f>HEX2DEC(RIGHT(Table132321432[[#This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50" t="s">
        <v>97</v>
      </c>
      <c r="P1145" s="50">
        <f>HEX2DEC(RIGHT(Table132321432[[#This Row],[h1]],8))</f>
        <v>0</v>
      </c>
      <c r="Q1145" s="50" t="s">
        <v>97</v>
      </c>
      <c r="R1145" s="50">
        <f>HEX2DEC(RIGHT(Table132321432[[#This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50" t="s">
        <v>97</v>
      </c>
      <c r="P1146" s="50">
        <f>HEX2DEC(RIGHT(Table132321432[[#This Row],[h1]],8))</f>
        <v>0</v>
      </c>
      <c r="Q1146" s="50" t="s">
        <v>97</v>
      </c>
      <c r="R1146" s="50">
        <f>HEX2DEC(RIGHT(Table132321432[[#This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50" t="s">
        <v>97</v>
      </c>
      <c r="P1147" s="50">
        <f>HEX2DEC(RIGHT(Table132321432[[#This Row],[h1]],8))</f>
        <v>0</v>
      </c>
      <c r="Q1147" s="50" t="s">
        <v>97</v>
      </c>
      <c r="R1147" s="50">
        <f>HEX2DEC(RIGHT(Table132321432[[#This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50" t="s">
        <v>97</v>
      </c>
      <c r="P1148" s="50">
        <f>HEX2DEC(RIGHT(Table132321432[[#This Row],[h1]],8))</f>
        <v>0</v>
      </c>
      <c r="Q1148" s="50" t="s">
        <v>97</v>
      </c>
      <c r="R1148" s="50">
        <f>HEX2DEC(RIGHT(Table132321432[[#This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50" t="s">
        <v>97</v>
      </c>
      <c r="P1149" s="50">
        <f>HEX2DEC(RIGHT(Table132321432[[#This Row],[h1]],8))</f>
        <v>0</v>
      </c>
      <c r="Q1149" s="50" t="s">
        <v>97</v>
      </c>
      <c r="R1149" s="50">
        <f>HEX2DEC(RIGHT(Table132321432[[#This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50" t="s">
        <v>97</v>
      </c>
      <c r="P1150" s="50">
        <f>HEX2DEC(RIGHT(Table132321432[[#This Row],[h1]],8))</f>
        <v>0</v>
      </c>
      <c r="Q1150" s="50" t="s">
        <v>97</v>
      </c>
      <c r="R1150" s="50">
        <f>HEX2DEC(RIGHT(Table132321432[[#This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50" t="s">
        <v>97</v>
      </c>
      <c r="P1151" s="50">
        <f>HEX2DEC(RIGHT(Table132321432[[#This Row],[h1]],8))</f>
        <v>0</v>
      </c>
      <c r="Q1151" s="50" t="s">
        <v>97</v>
      </c>
      <c r="R1151" s="50">
        <f>HEX2DEC(RIGHT(Table132321432[[#This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50" t="s">
        <v>97</v>
      </c>
      <c r="P1152" s="50">
        <f>HEX2DEC(RIGHT(Table132321432[[#This Row],[h1]],8))</f>
        <v>0</v>
      </c>
      <c r="Q1152" s="50" t="s">
        <v>97</v>
      </c>
      <c r="R1152" s="50">
        <f>HEX2DEC(RIGHT(Table132321432[[#This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50" t="s">
        <v>97</v>
      </c>
      <c r="P1153" s="50">
        <f>HEX2DEC(RIGHT(Table132321432[[#This Row],[h1]],8))</f>
        <v>0</v>
      </c>
      <c r="Q1153" s="50" t="s">
        <v>97</v>
      </c>
      <c r="R1153" s="50">
        <f>HEX2DEC(RIGHT(Table132321432[[#This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50" t="s">
        <v>97</v>
      </c>
      <c r="P1154" s="50">
        <f>HEX2DEC(RIGHT(Table132321432[[#This Row],[h1]],8))</f>
        <v>0</v>
      </c>
      <c r="Q1154" s="50" t="s">
        <v>97</v>
      </c>
      <c r="R1154" s="50">
        <f>HEX2DEC(RIGHT(Table132321432[[#This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50" t="s">
        <v>97</v>
      </c>
      <c r="P1155" s="50">
        <f>HEX2DEC(RIGHT(Table132321432[[#This Row],[h1]],8))</f>
        <v>0</v>
      </c>
      <c r="Q1155" s="50" t="s">
        <v>97</v>
      </c>
      <c r="R1155" s="50">
        <f>HEX2DEC(RIGHT(Table132321432[[#This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50" t="s">
        <v>97</v>
      </c>
      <c r="P1156" s="50">
        <f>HEX2DEC(RIGHT(Table132321432[[#This Row],[h1]],8))</f>
        <v>0</v>
      </c>
      <c r="Q1156" s="50" t="s">
        <v>97</v>
      </c>
      <c r="R1156" s="50">
        <f>HEX2DEC(RIGHT(Table132321432[[#This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50" t="s">
        <v>97</v>
      </c>
      <c r="P1157" s="50">
        <f>HEX2DEC(RIGHT(Table132321432[[#This Row],[h1]],8))</f>
        <v>0</v>
      </c>
      <c r="Q1157" s="50" t="s">
        <v>97</v>
      </c>
      <c r="R1157" s="50">
        <f>HEX2DEC(RIGHT(Table132321432[[#This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50" t="s">
        <v>97</v>
      </c>
      <c r="P1158" s="50">
        <f>HEX2DEC(RIGHT(Table132321432[[#This Row],[h1]],8))</f>
        <v>0</v>
      </c>
      <c r="Q1158" s="50" t="s">
        <v>97</v>
      </c>
      <c r="R1158" s="50">
        <f>HEX2DEC(RIGHT(Table132321432[[#This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50" t="s">
        <v>97</v>
      </c>
      <c r="P1159" s="50">
        <f>HEX2DEC(RIGHT(Table132321432[[#This Row],[h1]],8))</f>
        <v>0</v>
      </c>
      <c r="Q1159" s="50" t="s">
        <v>97</v>
      </c>
      <c r="R1159" s="50">
        <f>HEX2DEC(RIGHT(Table132321432[[#This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50" t="s">
        <v>97</v>
      </c>
      <c r="P1160" s="50">
        <f>HEX2DEC(RIGHT(Table132321432[[#This Row],[h1]],8))</f>
        <v>0</v>
      </c>
      <c r="Q1160" s="50" t="s">
        <v>97</v>
      </c>
      <c r="R1160" s="50">
        <f>HEX2DEC(RIGHT(Table132321432[[#This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50" t="s">
        <v>97</v>
      </c>
      <c r="P1161" s="50">
        <f>HEX2DEC(RIGHT(Table132321432[[#This Row],[h1]],8))</f>
        <v>0</v>
      </c>
      <c r="Q1161" s="50" t="s">
        <v>97</v>
      </c>
      <c r="R1161" s="50">
        <f>HEX2DEC(RIGHT(Table132321432[[#This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50" t="s">
        <v>97</v>
      </c>
      <c r="P1162" s="50">
        <f>HEX2DEC(RIGHT(Table132321432[[#This Row],[h1]],8))</f>
        <v>0</v>
      </c>
      <c r="Q1162" s="50" t="s">
        <v>97</v>
      </c>
      <c r="R1162" s="50">
        <f>HEX2DEC(RIGHT(Table132321432[[#This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50" t="s">
        <v>97</v>
      </c>
      <c r="P1163" s="50">
        <f>HEX2DEC(RIGHT(Table132321432[[#This Row],[h1]],8))</f>
        <v>0</v>
      </c>
      <c r="Q1163" s="50" t="s">
        <v>97</v>
      </c>
      <c r="R1163" s="50">
        <f>HEX2DEC(RIGHT(Table132321432[[#This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50" t="s">
        <v>97</v>
      </c>
      <c r="P1164" s="50">
        <f>HEX2DEC(RIGHT(Table132321432[[#This Row],[h1]],8))</f>
        <v>0</v>
      </c>
      <c r="Q1164" s="50" t="s">
        <v>97</v>
      </c>
      <c r="R1164" s="50">
        <f>HEX2DEC(RIGHT(Table132321432[[#This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50" t="s">
        <v>97</v>
      </c>
      <c r="P1165" s="50">
        <f>HEX2DEC(RIGHT(Table132321432[[#This Row],[h1]],8))</f>
        <v>0</v>
      </c>
      <c r="Q1165" s="50" t="s">
        <v>97</v>
      </c>
      <c r="R1165" s="50">
        <f>HEX2DEC(RIGHT(Table132321432[[#This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50" t="s">
        <v>97</v>
      </c>
      <c r="P1166" s="50">
        <f>HEX2DEC(RIGHT(Table132321432[[#This Row],[h1]],8))</f>
        <v>0</v>
      </c>
      <c r="Q1166" s="50" t="s">
        <v>97</v>
      </c>
      <c r="R1166" s="50">
        <f>HEX2DEC(RIGHT(Table132321432[[#This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50" t="s">
        <v>97</v>
      </c>
      <c r="P1167" s="50">
        <f>HEX2DEC(RIGHT(Table132321432[[#This Row],[h1]],8))</f>
        <v>0</v>
      </c>
      <c r="Q1167" s="50" t="s">
        <v>97</v>
      </c>
      <c r="R1167" s="50">
        <f>HEX2DEC(RIGHT(Table132321432[[#This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50" t="s">
        <v>97</v>
      </c>
      <c r="P1168" s="50">
        <f>HEX2DEC(RIGHT(Table132321432[[#This Row],[h1]],8))</f>
        <v>0</v>
      </c>
      <c r="Q1168" s="50" t="s">
        <v>97</v>
      </c>
      <c r="R1168" s="50">
        <f>HEX2DEC(RIGHT(Table132321432[[#This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50" t="s">
        <v>97</v>
      </c>
      <c r="P1169" s="50">
        <f>HEX2DEC(RIGHT(Table132321432[[#This Row],[h1]],8))</f>
        <v>0</v>
      </c>
      <c r="Q1169" s="50" t="s">
        <v>97</v>
      </c>
      <c r="R1169" s="50">
        <f>HEX2DEC(RIGHT(Table132321432[[#This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50" t="s">
        <v>97</v>
      </c>
      <c r="P1170" s="50">
        <f>HEX2DEC(RIGHT(Table132321432[[#This Row],[h1]],8))</f>
        <v>0</v>
      </c>
      <c r="Q1170" s="50" t="s">
        <v>97</v>
      </c>
      <c r="R1170" s="50">
        <f>HEX2DEC(RIGHT(Table132321432[[#This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50" t="s">
        <v>97</v>
      </c>
      <c r="P1171" s="50">
        <f>HEX2DEC(RIGHT(Table132321432[[#This Row],[h1]],8))</f>
        <v>0</v>
      </c>
      <c r="Q1171" s="50" t="s">
        <v>97</v>
      </c>
      <c r="R1171" s="50">
        <f>HEX2DEC(RIGHT(Table132321432[[#This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50" t="s">
        <v>97</v>
      </c>
      <c r="P1172" s="50">
        <f>HEX2DEC(RIGHT(Table132321432[[#This Row],[h1]],8))</f>
        <v>0</v>
      </c>
      <c r="Q1172" s="50" t="s">
        <v>97</v>
      </c>
      <c r="R1172" s="50">
        <f>HEX2DEC(RIGHT(Table132321432[[#This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50" t="s">
        <v>97</v>
      </c>
      <c r="P1173" s="50">
        <f>HEX2DEC(RIGHT(Table132321432[[#This Row],[h1]],8))</f>
        <v>0</v>
      </c>
      <c r="Q1173" s="50" t="s">
        <v>97</v>
      </c>
      <c r="R1173" s="50">
        <f>HEX2DEC(RIGHT(Table132321432[[#This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50" t="s">
        <v>97</v>
      </c>
      <c r="P1174" s="50">
        <f>HEX2DEC(RIGHT(Table132321432[[#This Row],[h1]],8))</f>
        <v>0</v>
      </c>
      <c r="Q1174" s="50" t="s">
        <v>97</v>
      </c>
      <c r="R1174" s="50">
        <f>HEX2DEC(RIGHT(Table132321432[[#This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50" t="s">
        <v>97</v>
      </c>
      <c r="P1175" s="50">
        <f>HEX2DEC(RIGHT(Table132321432[[#This Row],[h1]],8))</f>
        <v>0</v>
      </c>
      <c r="Q1175" s="50" t="s">
        <v>97</v>
      </c>
      <c r="R1175" s="50">
        <f>HEX2DEC(RIGHT(Table132321432[[#This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50" t="s">
        <v>97</v>
      </c>
      <c r="P1176" s="50">
        <f>HEX2DEC(RIGHT(Table132321432[[#This Row],[h1]],8))</f>
        <v>0</v>
      </c>
      <c r="Q1176" s="50" t="s">
        <v>97</v>
      </c>
      <c r="R1176" s="50">
        <f>HEX2DEC(RIGHT(Table132321432[[#This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50" t="s">
        <v>97</v>
      </c>
      <c r="P1177" s="50">
        <f>HEX2DEC(RIGHT(Table132321432[[#This Row],[h1]],8))</f>
        <v>0</v>
      </c>
      <c r="Q1177" s="50" t="s">
        <v>97</v>
      </c>
      <c r="R1177" s="50">
        <f>HEX2DEC(RIGHT(Table132321432[[#This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50" t="s">
        <v>97</v>
      </c>
      <c r="P1178" s="50">
        <f>HEX2DEC(RIGHT(Table132321432[[#This Row],[h1]],8))</f>
        <v>0</v>
      </c>
      <c r="Q1178" s="50" t="s">
        <v>97</v>
      </c>
      <c r="R1178" s="50">
        <f>HEX2DEC(RIGHT(Table132321432[[#This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50" t="s">
        <v>97</v>
      </c>
      <c r="P1179" s="50">
        <f>HEX2DEC(RIGHT(Table132321432[[#This Row],[h1]],8))</f>
        <v>0</v>
      </c>
      <c r="Q1179" s="50" t="s">
        <v>97</v>
      </c>
      <c r="R1179" s="50">
        <f>HEX2DEC(RIGHT(Table132321432[[#This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50" t="s">
        <v>97</v>
      </c>
      <c r="P1180" s="50">
        <f>HEX2DEC(RIGHT(Table132321432[[#This Row],[h1]],8))</f>
        <v>0</v>
      </c>
      <c r="Q1180" s="50" t="s">
        <v>97</v>
      </c>
      <c r="R1180" s="50">
        <f>HEX2DEC(RIGHT(Table132321432[[#This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50" t="s">
        <v>97</v>
      </c>
      <c r="P1181" s="50">
        <f>HEX2DEC(RIGHT(Table132321432[[#This Row],[h1]],8))</f>
        <v>0</v>
      </c>
      <c r="Q1181" s="50" t="s">
        <v>97</v>
      </c>
      <c r="R1181" s="50">
        <f>HEX2DEC(RIGHT(Table132321432[[#This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50" t="s">
        <v>97</v>
      </c>
      <c r="P1182" s="50">
        <f>HEX2DEC(RIGHT(Table132321432[[#This Row],[h1]],8))</f>
        <v>0</v>
      </c>
      <c r="Q1182" s="50" t="s">
        <v>97</v>
      </c>
      <c r="R1182" s="50">
        <f>HEX2DEC(RIGHT(Table132321432[[#This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50" t="s">
        <v>97</v>
      </c>
      <c r="P1183" s="50">
        <f>HEX2DEC(RIGHT(Table132321432[[#This Row],[h1]],8))</f>
        <v>0</v>
      </c>
      <c r="Q1183" s="50" t="s">
        <v>97</v>
      </c>
      <c r="R1183" s="50">
        <f>HEX2DEC(RIGHT(Table132321432[[#This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50" t="s">
        <v>97</v>
      </c>
      <c r="P1184" s="50">
        <f>HEX2DEC(RIGHT(Table132321432[[#This Row],[h1]],8))</f>
        <v>0</v>
      </c>
      <c r="Q1184" s="50" t="s">
        <v>97</v>
      </c>
      <c r="R1184" s="50">
        <f>HEX2DEC(RIGHT(Table132321432[[#This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50" t="s">
        <v>97</v>
      </c>
      <c r="P1185" s="50">
        <f>HEX2DEC(RIGHT(Table132321432[[#This Row],[h1]],8))</f>
        <v>0</v>
      </c>
      <c r="Q1185" s="50" t="s">
        <v>97</v>
      </c>
      <c r="R1185" s="50">
        <f>HEX2DEC(RIGHT(Table132321432[[#This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50" t="s">
        <v>97</v>
      </c>
      <c r="P1186" s="50">
        <f>HEX2DEC(RIGHT(Table132321432[[#This Row],[h1]],8))</f>
        <v>0</v>
      </c>
      <c r="Q1186" s="50" t="s">
        <v>97</v>
      </c>
      <c r="R1186" s="50">
        <f>HEX2DEC(RIGHT(Table132321432[[#This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50" t="s">
        <v>97</v>
      </c>
      <c r="P1187" s="50">
        <f>HEX2DEC(RIGHT(Table132321432[[#This Row],[h1]],8))</f>
        <v>0</v>
      </c>
      <c r="Q1187" s="50" t="s">
        <v>97</v>
      </c>
      <c r="R1187" s="50">
        <f>HEX2DEC(RIGHT(Table132321432[[#This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50" t="s">
        <v>97</v>
      </c>
      <c r="P1188" s="50">
        <f>HEX2DEC(RIGHT(Table132321432[[#This Row],[h1]],8))</f>
        <v>0</v>
      </c>
      <c r="Q1188" s="50" t="s">
        <v>97</v>
      </c>
      <c r="R1188" s="50">
        <f>HEX2DEC(RIGHT(Table132321432[[#This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50" t="s">
        <v>97</v>
      </c>
      <c r="P1189" s="50">
        <f>HEX2DEC(RIGHT(Table132321432[[#This Row],[h1]],8))</f>
        <v>0</v>
      </c>
      <c r="Q1189" s="50" t="s">
        <v>97</v>
      </c>
      <c r="R1189" s="50">
        <f>HEX2DEC(RIGHT(Table132321432[[#This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50" t="s">
        <v>97</v>
      </c>
      <c r="P1190" s="50">
        <f>HEX2DEC(RIGHT(Table132321432[[#This Row],[h1]],8))</f>
        <v>0</v>
      </c>
      <c r="Q1190" s="50" t="s">
        <v>97</v>
      </c>
      <c r="R1190" s="50">
        <f>HEX2DEC(RIGHT(Table132321432[[#This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50" t="s">
        <v>97</v>
      </c>
      <c r="P1191" s="50">
        <f>HEX2DEC(RIGHT(Table132321432[[#This Row],[h1]],8))</f>
        <v>0</v>
      </c>
      <c r="Q1191" s="50" t="s">
        <v>97</v>
      </c>
      <c r="R1191" s="50">
        <f>HEX2DEC(RIGHT(Table132321432[[#This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50" t="s">
        <v>97</v>
      </c>
      <c r="P1192" s="50">
        <f>HEX2DEC(RIGHT(Table132321432[[#This Row],[h1]],8))</f>
        <v>0</v>
      </c>
      <c r="Q1192" s="50" t="s">
        <v>97</v>
      </c>
      <c r="R1192" s="50">
        <f>HEX2DEC(RIGHT(Table132321432[[#This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50" t="s">
        <v>97</v>
      </c>
      <c r="P1193" s="50">
        <f>HEX2DEC(RIGHT(Table132321432[[#This Row],[h1]],8))</f>
        <v>0</v>
      </c>
      <c r="Q1193" s="50" t="s">
        <v>97</v>
      </c>
      <c r="R1193" s="50">
        <f>HEX2DEC(RIGHT(Table132321432[[#This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50" t="s">
        <v>97</v>
      </c>
      <c r="P1194" s="50">
        <f>HEX2DEC(RIGHT(Table132321432[[#This Row],[h1]],8))</f>
        <v>0</v>
      </c>
      <c r="Q1194" s="50" t="s">
        <v>97</v>
      </c>
      <c r="R1194" s="50">
        <f>HEX2DEC(RIGHT(Table132321432[[#This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50" t="s">
        <v>97</v>
      </c>
      <c r="P1195" s="50">
        <f>HEX2DEC(RIGHT(Table132321432[[#This Row],[h1]],8))</f>
        <v>0</v>
      </c>
      <c r="Q1195" s="50" t="s">
        <v>97</v>
      </c>
      <c r="R1195" s="50">
        <f>HEX2DEC(RIGHT(Table132321432[[#This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50" t="s">
        <v>97</v>
      </c>
      <c r="P1196" s="50">
        <f>HEX2DEC(RIGHT(Table132321432[[#This Row],[h1]],8))</f>
        <v>0</v>
      </c>
      <c r="Q1196" s="50" t="s">
        <v>97</v>
      </c>
      <c r="R1196" s="50">
        <f>HEX2DEC(RIGHT(Table132321432[[#This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50" t="s">
        <v>97</v>
      </c>
      <c r="P1197" s="50">
        <f>HEX2DEC(RIGHT(Table132321432[[#This Row],[h1]],8))</f>
        <v>0</v>
      </c>
      <c r="Q1197" s="50" t="s">
        <v>97</v>
      </c>
      <c r="R1197" s="50">
        <f>HEX2DEC(RIGHT(Table132321432[[#This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50" t="s">
        <v>97</v>
      </c>
      <c r="P1198" s="50">
        <f>HEX2DEC(RIGHT(Table132321432[[#This Row],[h1]],8))</f>
        <v>0</v>
      </c>
      <c r="Q1198" s="50" t="s">
        <v>97</v>
      </c>
      <c r="R1198" s="50">
        <f>HEX2DEC(RIGHT(Table132321432[[#This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50" t="s">
        <v>97</v>
      </c>
      <c r="P1199" s="50">
        <f>HEX2DEC(RIGHT(Table132321432[[#This Row],[h1]],8))</f>
        <v>0</v>
      </c>
      <c r="Q1199" s="50" t="s">
        <v>97</v>
      </c>
      <c r="R1199" s="50">
        <f>HEX2DEC(RIGHT(Table132321432[[#This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50" t="s">
        <v>97</v>
      </c>
      <c r="P1200" s="50">
        <f>HEX2DEC(RIGHT(Table132321432[[#This Row],[h1]],8))</f>
        <v>0</v>
      </c>
      <c r="Q1200" s="50" t="s">
        <v>97</v>
      </c>
      <c r="R1200" s="50">
        <f>HEX2DEC(RIGHT(Table132321432[[#This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50" t="s">
        <v>97</v>
      </c>
      <c r="P1201" s="50">
        <f>HEX2DEC(RIGHT(Table132321432[[#This Row],[h1]],8))</f>
        <v>0</v>
      </c>
      <c r="Q1201" s="50" t="s">
        <v>97</v>
      </c>
      <c r="R1201" s="50">
        <f>HEX2DEC(RIGHT(Table132321432[[#This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50" t="s">
        <v>97</v>
      </c>
      <c r="P1202" s="50">
        <f>HEX2DEC(RIGHT(Table132321432[[#This Row],[h1]],8))</f>
        <v>0</v>
      </c>
      <c r="Q1202" s="50" t="s">
        <v>97</v>
      </c>
      <c r="R1202" s="50">
        <f>HEX2DEC(RIGHT(Table132321432[[#This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50" t="s">
        <v>97</v>
      </c>
      <c r="P1203" s="50">
        <f>HEX2DEC(RIGHT(Table132321432[[#This Row],[h1]],8))</f>
        <v>0</v>
      </c>
      <c r="Q1203" s="50" t="s">
        <v>97</v>
      </c>
      <c r="R1203" s="50">
        <f>HEX2DEC(RIGHT(Table132321432[[#This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50" t="s">
        <v>97</v>
      </c>
      <c r="P1204" s="50">
        <f>HEX2DEC(RIGHT(Table132321432[[#This Row],[h1]],8))</f>
        <v>0</v>
      </c>
      <c r="Q1204" s="50" t="s">
        <v>97</v>
      </c>
      <c r="R1204" s="50">
        <f>HEX2DEC(RIGHT(Table132321432[[#This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50" t="s">
        <v>97</v>
      </c>
      <c r="P1205" s="50">
        <f>HEX2DEC(RIGHT(Table132321432[[#This Row],[h1]],8))</f>
        <v>0</v>
      </c>
      <c r="Q1205" s="50" t="s">
        <v>97</v>
      </c>
      <c r="R1205" s="50">
        <f>HEX2DEC(RIGHT(Table132321432[[#This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50" t="s">
        <v>97</v>
      </c>
      <c r="P1206" s="50">
        <f>HEX2DEC(RIGHT(Table132321432[[#This Row],[h1]],8))</f>
        <v>0</v>
      </c>
      <c r="Q1206" s="50" t="s">
        <v>97</v>
      </c>
      <c r="R1206" s="50">
        <f>HEX2DEC(RIGHT(Table132321432[[#This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50" t="s">
        <v>97</v>
      </c>
      <c r="P1207" s="50">
        <f>HEX2DEC(RIGHT(Table132321432[[#This Row],[h1]],8))</f>
        <v>0</v>
      </c>
      <c r="Q1207" s="50" t="s">
        <v>97</v>
      </c>
      <c r="R1207" s="50">
        <f>HEX2DEC(RIGHT(Table132321432[[#This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50" t="s">
        <v>97</v>
      </c>
      <c r="P1208" s="50">
        <f>HEX2DEC(RIGHT(Table132321432[[#This Row],[h1]],8))</f>
        <v>0</v>
      </c>
      <c r="Q1208" s="50" t="s">
        <v>97</v>
      </c>
      <c r="R1208" s="50">
        <f>HEX2DEC(RIGHT(Table132321432[[#This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50" t="s">
        <v>97</v>
      </c>
      <c r="P1209" s="50">
        <f>HEX2DEC(RIGHT(Table132321432[[#This Row],[h1]],8))</f>
        <v>0</v>
      </c>
      <c r="Q1209" s="50" t="s">
        <v>97</v>
      </c>
      <c r="R1209" s="50">
        <f>HEX2DEC(RIGHT(Table132321432[[#This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50" t="s">
        <v>97</v>
      </c>
      <c r="P1210" s="50">
        <f>HEX2DEC(RIGHT(Table132321432[[#This Row],[h1]],8))</f>
        <v>0</v>
      </c>
      <c r="Q1210" s="50" t="s">
        <v>97</v>
      </c>
      <c r="R1210" s="50">
        <f>HEX2DEC(RIGHT(Table132321432[[#This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50" t="s">
        <v>97</v>
      </c>
      <c r="P1211" s="50">
        <f>HEX2DEC(RIGHT(Table132321432[[#This Row],[h1]],8))</f>
        <v>0</v>
      </c>
      <c r="Q1211" s="50" t="s">
        <v>97</v>
      </c>
      <c r="R1211" s="50">
        <f>HEX2DEC(RIGHT(Table132321432[[#This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50" t="s">
        <v>97</v>
      </c>
      <c r="P1212" s="50">
        <f>HEX2DEC(RIGHT(Table132321432[[#This Row],[h1]],8))</f>
        <v>0</v>
      </c>
      <c r="Q1212" s="50" t="s">
        <v>97</v>
      </c>
      <c r="R1212" s="50">
        <f>HEX2DEC(RIGHT(Table132321432[[#This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50" t="s">
        <v>97</v>
      </c>
      <c r="P1213" s="50">
        <f>HEX2DEC(RIGHT(Table132321432[[#This Row],[h1]],8))</f>
        <v>0</v>
      </c>
      <c r="Q1213" s="50" t="s">
        <v>97</v>
      </c>
      <c r="R1213" s="50">
        <f>HEX2DEC(RIGHT(Table132321432[[#This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50" t="s">
        <v>97</v>
      </c>
      <c r="P1214" s="50">
        <f>HEX2DEC(RIGHT(Table132321432[[#This Row],[h1]],8))</f>
        <v>0</v>
      </c>
      <c r="Q1214" s="50" t="s">
        <v>97</v>
      </c>
      <c r="R1214" s="50">
        <f>HEX2DEC(RIGHT(Table132321432[[#This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50" t="s">
        <v>97</v>
      </c>
      <c r="P1215" s="50">
        <f>HEX2DEC(RIGHT(Table132321432[[#This Row],[h1]],8))</f>
        <v>0</v>
      </c>
      <c r="Q1215" s="50" t="s">
        <v>97</v>
      </c>
      <c r="R1215" s="50">
        <f>HEX2DEC(RIGHT(Table132321432[[#This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50" t="s">
        <v>97</v>
      </c>
      <c r="P1216" s="50">
        <f>HEX2DEC(RIGHT(Table132321432[[#This Row],[h1]],8))</f>
        <v>0</v>
      </c>
      <c r="Q1216" s="50" t="s">
        <v>97</v>
      </c>
      <c r="R1216" s="50">
        <f>HEX2DEC(RIGHT(Table132321432[[#This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50" t="s">
        <v>97</v>
      </c>
      <c r="P1217" s="50">
        <f>HEX2DEC(RIGHT(Table132321432[[#This Row],[h1]],8))</f>
        <v>0</v>
      </c>
      <c r="Q1217" s="50" t="s">
        <v>97</v>
      </c>
      <c r="R1217" s="50">
        <f>HEX2DEC(RIGHT(Table132321432[[#This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50" t="s">
        <v>97</v>
      </c>
      <c r="P1218" s="50">
        <f>HEX2DEC(RIGHT(Table132321432[[#This Row],[h1]],8))</f>
        <v>0</v>
      </c>
      <c r="Q1218" s="50" t="s">
        <v>97</v>
      </c>
      <c r="R1218" s="50">
        <f>HEX2DEC(RIGHT(Table132321432[[#This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50" t="s">
        <v>97</v>
      </c>
      <c r="P1219" s="50">
        <f>HEX2DEC(RIGHT(Table132321432[[#This Row],[h1]],8))</f>
        <v>0</v>
      </c>
      <c r="Q1219" s="50" t="s">
        <v>97</v>
      </c>
      <c r="R1219" s="50">
        <f>HEX2DEC(RIGHT(Table132321432[[#This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50" t="s">
        <v>97</v>
      </c>
      <c r="P1220" s="50">
        <f>HEX2DEC(RIGHT(Table132321432[[#This Row],[h1]],8))</f>
        <v>0</v>
      </c>
      <c r="Q1220" s="50" t="s">
        <v>97</v>
      </c>
      <c r="R1220" s="50">
        <f>HEX2DEC(RIGHT(Table132321432[[#This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50" t="s">
        <v>97</v>
      </c>
      <c r="P1221" s="50">
        <f>HEX2DEC(RIGHT(Table132321432[[#This Row],[h1]],8))</f>
        <v>0</v>
      </c>
      <c r="Q1221" s="50" t="s">
        <v>97</v>
      </c>
      <c r="R1221" s="50">
        <f>HEX2DEC(RIGHT(Table132321432[[#This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50" t="s">
        <v>97</v>
      </c>
      <c r="P1222" s="50">
        <f>HEX2DEC(RIGHT(Table132321432[[#This Row],[h1]],8))</f>
        <v>0</v>
      </c>
      <c r="Q1222" s="50" t="s">
        <v>97</v>
      </c>
      <c r="R1222" s="50">
        <f>HEX2DEC(RIGHT(Table132321432[[#This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50" t="s">
        <v>97</v>
      </c>
      <c r="P1223" s="50">
        <f>HEX2DEC(RIGHT(Table132321432[[#This Row],[h1]],8))</f>
        <v>0</v>
      </c>
      <c r="Q1223" s="50" t="s">
        <v>97</v>
      </c>
      <c r="R1223" s="50">
        <f>HEX2DEC(RIGHT(Table132321432[[#This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50" t="s">
        <v>97</v>
      </c>
      <c r="P1224" s="50">
        <f>HEX2DEC(RIGHT(Table132321432[[#This Row],[h1]],8))</f>
        <v>0</v>
      </c>
      <c r="Q1224" s="50" t="s">
        <v>97</v>
      </c>
      <c r="R1224" s="50">
        <f>HEX2DEC(RIGHT(Table132321432[[#This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50" t="s">
        <v>97</v>
      </c>
      <c r="P1225" s="50">
        <f>HEX2DEC(RIGHT(Table132321432[[#This Row],[h1]],8))</f>
        <v>0</v>
      </c>
      <c r="Q1225" s="50" t="s">
        <v>97</v>
      </c>
      <c r="R1225" s="50">
        <f>HEX2DEC(RIGHT(Table132321432[[#This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50" t="s">
        <v>97</v>
      </c>
      <c r="P1226" s="50">
        <f>HEX2DEC(RIGHT(Table132321432[[#This Row],[h1]],8))</f>
        <v>0</v>
      </c>
      <c r="Q1226" s="50" t="s">
        <v>97</v>
      </c>
      <c r="R1226" s="50">
        <f>HEX2DEC(RIGHT(Table132321432[[#This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50" t="s">
        <v>97</v>
      </c>
      <c r="P1227" s="50">
        <f>HEX2DEC(RIGHT(Table132321432[[#This Row],[h1]],8))</f>
        <v>0</v>
      </c>
      <c r="Q1227" s="50" t="s">
        <v>97</v>
      </c>
      <c r="R1227" s="50">
        <f>HEX2DEC(RIGHT(Table132321432[[#This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50" t="s">
        <v>97</v>
      </c>
      <c r="P1228" s="50">
        <f>HEX2DEC(RIGHT(Table132321432[[#This Row],[h1]],8))</f>
        <v>0</v>
      </c>
      <c r="Q1228" s="50" t="s">
        <v>97</v>
      </c>
      <c r="R1228" s="50">
        <f>HEX2DEC(RIGHT(Table132321432[[#This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50" t="s">
        <v>97</v>
      </c>
      <c r="P1229" s="50">
        <f>HEX2DEC(RIGHT(Table132321432[[#This Row],[h1]],8))</f>
        <v>0</v>
      </c>
      <c r="Q1229" s="50" t="s">
        <v>97</v>
      </c>
      <c r="R1229" s="50">
        <f>HEX2DEC(RIGHT(Table132321432[[#This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50" t="s">
        <v>97</v>
      </c>
      <c r="P1230" s="50">
        <f>HEX2DEC(RIGHT(Table132321432[[#This Row],[h1]],8))</f>
        <v>0</v>
      </c>
      <c r="Q1230" s="50" t="s">
        <v>97</v>
      </c>
      <c r="R1230" s="50">
        <f>HEX2DEC(RIGHT(Table132321432[[#This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50" t="s">
        <v>97</v>
      </c>
      <c r="P1231" s="50">
        <f>HEX2DEC(RIGHT(Table132321432[[#This Row],[h1]],8))</f>
        <v>0</v>
      </c>
      <c r="Q1231" s="50" t="s">
        <v>97</v>
      </c>
      <c r="R1231" s="50">
        <f>HEX2DEC(RIGHT(Table132321432[[#This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50" t="s">
        <v>97</v>
      </c>
      <c r="P1232" s="50">
        <f>HEX2DEC(RIGHT(Table132321432[[#This Row],[h1]],8))</f>
        <v>0</v>
      </c>
      <c r="Q1232" s="50" t="s">
        <v>97</v>
      </c>
      <c r="R1232" s="50">
        <f>HEX2DEC(RIGHT(Table132321432[[#This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50" t="s">
        <v>97</v>
      </c>
      <c r="P1233" s="50">
        <f>HEX2DEC(RIGHT(Table132321432[[#This Row],[h1]],8))</f>
        <v>0</v>
      </c>
      <c r="Q1233" s="50" t="s">
        <v>97</v>
      </c>
      <c r="R1233" s="50">
        <f>HEX2DEC(RIGHT(Table132321432[[#This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50" t="s">
        <v>97</v>
      </c>
      <c r="P1234" s="50">
        <f>HEX2DEC(RIGHT(Table132321432[[#This Row],[h1]],8))</f>
        <v>0</v>
      </c>
      <c r="Q1234" s="50" t="s">
        <v>97</v>
      </c>
      <c r="R1234" s="50">
        <f>HEX2DEC(RIGHT(Table132321432[[#This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50" t="s">
        <v>97</v>
      </c>
      <c r="P1235" s="50">
        <f>HEX2DEC(RIGHT(Table132321432[[#This Row],[h1]],8))</f>
        <v>0</v>
      </c>
      <c r="Q1235" s="50" t="s">
        <v>97</v>
      </c>
      <c r="R1235" s="50">
        <f>HEX2DEC(RIGHT(Table132321432[[#This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50" t="s">
        <v>97</v>
      </c>
      <c r="P1236" s="50">
        <f>HEX2DEC(RIGHT(Table132321432[[#This Row],[h1]],8))</f>
        <v>0</v>
      </c>
      <c r="Q1236" s="50" t="s">
        <v>97</v>
      </c>
      <c r="R1236" s="50">
        <f>HEX2DEC(RIGHT(Table132321432[[#This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50" t="s">
        <v>97</v>
      </c>
      <c r="P1237" s="50">
        <f>HEX2DEC(RIGHT(Table132321432[[#This Row],[h1]],8))</f>
        <v>0</v>
      </c>
      <c r="Q1237" s="50" t="s">
        <v>97</v>
      </c>
      <c r="R1237" s="50">
        <f>HEX2DEC(RIGHT(Table132321432[[#This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50" t="s">
        <v>97</v>
      </c>
      <c r="P1238" s="50">
        <f>HEX2DEC(RIGHT(Table132321432[[#This Row],[h1]],8))</f>
        <v>0</v>
      </c>
      <c r="Q1238" s="50" t="s">
        <v>97</v>
      </c>
      <c r="R1238" s="50">
        <f>HEX2DEC(RIGHT(Table132321432[[#This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50" t="s">
        <v>97</v>
      </c>
      <c r="P1239" s="50">
        <f>HEX2DEC(RIGHT(Table132321432[[#This Row],[h1]],8))</f>
        <v>0</v>
      </c>
      <c r="Q1239" s="50" t="s">
        <v>97</v>
      </c>
      <c r="R1239" s="50">
        <f>HEX2DEC(RIGHT(Table132321432[[#This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50" t="s">
        <v>97</v>
      </c>
      <c r="P1240" s="50">
        <f>HEX2DEC(RIGHT(Table132321432[[#This Row],[h1]],8))</f>
        <v>0</v>
      </c>
      <c r="Q1240" s="50" t="s">
        <v>97</v>
      </c>
      <c r="R1240" s="50">
        <f>HEX2DEC(RIGHT(Table132321432[[#This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50" t="s">
        <v>97</v>
      </c>
      <c r="P1241" s="50">
        <f>HEX2DEC(RIGHT(Table132321432[[#This Row],[h1]],8))</f>
        <v>0</v>
      </c>
      <c r="Q1241" s="50" t="s">
        <v>97</v>
      </c>
      <c r="R1241" s="50">
        <f>HEX2DEC(RIGHT(Table132321432[[#This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50" t="s">
        <v>97</v>
      </c>
      <c r="P1242" s="50">
        <f>HEX2DEC(RIGHT(Table132321432[[#This Row],[h1]],8))</f>
        <v>0</v>
      </c>
      <c r="Q1242" s="50" t="s">
        <v>97</v>
      </c>
      <c r="R1242" s="50">
        <f>HEX2DEC(RIGHT(Table132321432[[#This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50" t="s">
        <v>97</v>
      </c>
      <c r="P1243" s="50">
        <f>HEX2DEC(RIGHT(Table132321432[[#This Row],[h1]],8))</f>
        <v>0</v>
      </c>
      <c r="Q1243" s="50" t="s">
        <v>97</v>
      </c>
      <c r="R1243" s="50">
        <f>HEX2DEC(RIGHT(Table132321432[[#This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50" t="s">
        <v>97</v>
      </c>
      <c r="P1244" s="50">
        <f>HEX2DEC(RIGHT(Table132321432[[#This Row],[h1]],8))</f>
        <v>0</v>
      </c>
      <c r="Q1244" s="50" t="s">
        <v>97</v>
      </c>
      <c r="R1244" s="50">
        <f>HEX2DEC(RIGHT(Table132321432[[#This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50" t="s">
        <v>97</v>
      </c>
      <c r="P1245" s="50">
        <f>HEX2DEC(RIGHT(Table132321432[[#This Row],[h1]],8))</f>
        <v>0</v>
      </c>
      <c r="Q1245" s="50" t="s">
        <v>97</v>
      </c>
      <c r="R1245" s="50">
        <f>HEX2DEC(RIGHT(Table132321432[[#This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50" t="s">
        <v>97</v>
      </c>
      <c r="P1246" s="50">
        <f>HEX2DEC(RIGHT(Table132321432[[#This Row],[h1]],8))</f>
        <v>0</v>
      </c>
      <c r="Q1246" s="50" t="s">
        <v>97</v>
      </c>
      <c r="R1246" s="50">
        <f>HEX2DEC(RIGHT(Table132321432[[#This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50" t="s">
        <v>97</v>
      </c>
      <c r="P1247" s="50">
        <f>HEX2DEC(RIGHT(Table132321432[[#This Row],[h1]],8))</f>
        <v>0</v>
      </c>
      <c r="Q1247" s="50" t="s">
        <v>97</v>
      </c>
      <c r="R1247" s="50">
        <f>HEX2DEC(RIGHT(Table132321432[[#This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50" t="s">
        <v>97</v>
      </c>
      <c r="P1248" s="50">
        <f>HEX2DEC(RIGHT(Table132321432[[#This Row],[h1]],8))</f>
        <v>0</v>
      </c>
      <c r="Q1248" s="50" t="s">
        <v>97</v>
      </c>
      <c r="R1248" s="50">
        <f>HEX2DEC(RIGHT(Table132321432[[#This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50" t="s">
        <v>97</v>
      </c>
      <c r="P1249" s="50">
        <f>HEX2DEC(RIGHT(Table132321432[[#This Row],[h1]],8))</f>
        <v>0</v>
      </c>
      <c r="Q1249" s="50" t="s">
        <v>97</v>
      </c>
      <c r="R1249" s="50">
        <f>HEX2DEC(RIGHT(Table132321432[[#This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50" t="s">
        <v>97</v>
      </c>
      <c r="P1250" s="50">
        <f>HEX2DEC(RIGHT(Table132321432[[#This Row],[h1]],8))</f>
        <v>0</v>
      </c>
      <c r="Q1250" s="50" t="s">
        <v>97</v>
      </c>
      <c r="R1250" s="50">
        <f>HEX2DEC(RIGHT(Table132321432[[#This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50" t="s">
        <v>97</v>
      </c>
      <c r="P1251" s="50">
        <f>HEX2DEC(RIGHT(Table132321432[[#This Row],[h1]],8))</f>
        <v>0</v>
      </c>
      <c r="Q1251" s="50" t="s">
        <v>97</v>
      </c>
      <c r="R1251" s="50">
        <f>HEX2DEC(RIGHT(Table132321432[[#This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50" t="s">
        <v>97</v>
      </c>
      <c r="P1252" s="50">
        <f>HEX2DEC(RIGHT(Table132321432[[#This Row],[h1]],8))</f>
        <v>0</v>
      </c>
      <c r="Q1252" s="50" t="s">
        <v>97</v>
      </c>
      <c r="R1252" s="50">
        <f>HEX2DEC(RIGHT(Table132321432[[#This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50" t="s">
        <v>97</v>
      </c>
      <c r="P1253" s="50">
        <f>HEX2DEC(RIGHT(Table132321432[[#This Row],[h1]],8))</f>
        <v>0</v>
      </c>
      <c r="Q1253" s="50" t="s">
        <v>97</v>
      </c>
      <c r="R1253" s="50">
        <f>HEX2DEC(RIGHT(Table132321432[[#This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50" t="s">
        <v>97</v>
      </c>
      <c r="P1254" s="50">
        <f>HEX2DEC(RIGHT(Table132321432[[#This Row],[h1]],8))</f>
        <v>0</v>
      </c>
      <c r="Q1254" s="50" t="s">
        <v>97</v>
      </c>
      <c r="R1254" s="50">
        <f>HEX2DEC(RIGHT(Table132321432[[#This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50" t="s">
        <v>97</v>
      </c>
      <c r="P1255" s="50">
        <f>HEX2DEC(RIGHT(Table132321432[[#This Row],[h1]],8))</f>
        <v>0</v>
      </c>
      <c r="Q1255" s="50" t="s">
        <v>97</v>
      </c>
      <c r="R1255" s="50">
        <f>HEX2DEC(RIGHT(Table132321432[[#This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50" t="s">
        <v>97</v>
      </c>
      <c r="P1256" s="50">
        <f>HEX2DEC(RIGHT(Table132321432[[#This Row],[h1]],8))</f>
        <v>0</v>
      </c>
      <c r="Q1256" s="50" t="s">
        <v>97</v>
      </c>
      <c r="R1256" s="50">
        <f>HEX2DEC(RIGHT(Table132321432[[#This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50" t="s">
        <v>97</v>
      </c>
      <c r="P1257" s="50">
        <f>HEX2DEC(RIGHT(Table132321432[[#This Row],[h1]],8))</f>
        <v>0</v>
      </c>
      <c r="Q1257" s="50" t="s">
        <v>97</v>
      </c>
      <c r="R1257" s="50">
        <f>HEX2DEC(RIGHT(Table132321432[[#This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50" t="s">
        <v>97</v>
      </c>
      <c r="P1258" s="50">
        <f>HEX2DEC(RIGHT(Table132321432[[#This Row],[h1]],8))</f>
        <v>0</v>
      </c>
      <c r="Q1258" s="50" t="s">
        <v>97</v>
      </c>
      <c r="R1258" s="50">
        <f>HEX2DEC(RIGHT(Table132321432[[#This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50" t="s">
        <v>97</v>
      </c>
      <c r="P1259" s="50">
        <f>HEX2DEC(RIGHT(Table132321432[[#This Row],[h1]],8))</f>
        <v>0</v>
      </c>
      <c r="Q1259" s="50" t="s">
        <v>97</v>
      </c>
      <c r="R1259" s="50">
        <f>HEX2DEC(RIGHT(Table132321432[[#This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50" t="s">
        <v>97</v>
      </c>
      <c r="P1260" s="50">
        <f>HEX2DEC(RIGHT(Table132321432[[#This Row],[h1]],8))</f>
        <v>0</v>
      </c>
      <c r="Q1260" s="50" t="s">
        <v>97</v>
      </c>
      <c r="R1260" s="50">
        <f>HEX2DEC(RIGHT(Table132321432[[#This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50" t="s">
        <v>97</v>
      </c>
      <c r="P1261" s="50">
        <f>HEX2DEC(RIGHT(Table132321432[[#This Row],[h1]],8))</f>
        <v>0</v>
      </c>
      <c r="Q1261" s="50" t="s">
        <v>97</v>
      </c>
      <c r="R1261" s="50">
        <f>HEX2DEC(RIGHT(Table132321432[[#This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50" t="s">
        <v>97</v>
      </c>
      <c r="P1262" s="50">
        <f>HEX2DEC(RIGHT(Table132321432[[#This Row],[h1]],8))</f>
        <v>0</v>
      </c>
      <c r="Q1262" s="50" t="s">
        <v>97</v>
      </c>
      <c r="R1262" s="50">
        <f>HEX2DEC(RIGHT(Table132321432[[#This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50" t="s">
        <v>97</v>
      </c>
      <c r="P1263" s="50">
        <f>HEX2DEC(RIGHT(Table132321432[[#This Row],[h1]],8))</f>
        <v>0</v>
      </c>
      <c r="Q1263" s="50" t="s">
        <v>97</v>
      </c>
      <c r="R1263" s="50">
        <f>HEX2DEC(RIGHT(Table132321432[[#This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50" t="s">
        <v>97</v>
      </c>
      <c r="P1264" s="50">
        <f>HEX2DEC(RIGHT(Table132321432[[#This Row],[h1]],8))</f>
        <v>0</v>
      </c>
      <c r="Q1264" s="50" t="s">
        <v>97</v>
      </c>
      <c r="R1264" s="50">
        <f>HEX2DEC(RIGHT(Table132321432[[#This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50" t="s">
        <v>97</v>
      </c>
      <c r="P1265" s="50">
        <f>HEX2DEC(RIGHT(Table132321432[[#This Row],[h1]],8))</f>
        <v>0</v>
      </c>
      <c r="Q1265" s="50" t="s">
        <v>97</v>
      </c>
      <c r="R1265" s="50">
        <f>HEX2DEC(RIGHT(Table132321432[[#This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50" t="s">
        <v>97</v>
      </c>
      <c r="P1266" s="50">
        <f>HEX2DEC(RIGHT(Table132321432[[#This Row],[h1]],8))</f>
        <v>0</v>
      </c>
      <c r="Q1266" s="50" t="s">
        <v>97</v>
      </c>
      <c r="R1266" s="50">
        <f>HEX2DEC(RIGHT(Table132321432[[#This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50" t="s">
        <v>97</v>
      </c>
      <c r="P1267" s="50">
        <f>HEX2DEC(RIGHT(Table132321432[[#This Row],[h1]],8))</f>
        <v>0</v>
      </c>
      <c r="Q1267" s="50" t="s">
        <v>97</v>
      </c>
      <c r="R1267" s="50">
        <f>HEX2DEC(RIGHT(Table132321432[[#This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50" t="s">
        <v>97</v>
      </c>
      <c r="P1268" s="50">
        <f>HEX2DEC(RIGHT(Table132321432[[#This Row],[h1]],8))</f>
        <v>0</v>
      </c>
      <c r="Q1268" s="50" t="s">
        <v>97</v>
      </c>
      <c r="R1268" s="50">
        <f>HEX2DEC(RIGHT(Table132321432[[#This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50" t="s">
        <v>97</v>
      </c>
      <c r="P1269" s="50">
        <f>HEX2DEC(RIGHT(Table132321432[[#This Row],[h1]],8))</f>
        <v>0</v>
      </c>
      <c r="Q1269" s="50" t="s">
        <v>97</v>
      </c>
      <c r="R1269" s="50">
        <f>HEX2DEC(RIGHT(Table132321432[[#This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50" t="s">
        <v>97</v>
      </c>
      <c r="P1270" s="50">
        <f>HEX2DEC(RIGHT(Table132321432[[#This Row],[h1]],8))</f>
        <v>0</v>
      </c>
      <c r="Q1270" s="50" t="s">
        <v>97</v>
      </c>
      <c r="R1270" s="50">
        <f>HEX2DEC(RIGHT(Table132321432[[#This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50" t="s">
        <v>97</v>
      </c>
      <c r="P1271" s="50">
        <f>HEX2DEC(RIGHT(Table132321432[[#This Row],[h1]],8))</f>
        <v>0</v>
      </c>
      <c r="Q1271" s="50" t="s">
        <v>97</v>
      </c>
      <c r="R1271" s="50">
        <f>HEX2DEC(RIGHT(Table132321432[[#This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50" t="s">
        <v>97</v>
      </c>
      <c r="P1272" s="50">
        <f>HEX2DEC(RIGHT(Table132321432[[#This Row],[h1]],8))</f>
        <v>0</v>
      </c>
      <c r="Q1272" s="50" t="s">
        <v>97</v>
      </c>
      <c r="R1272" s="50">
        <f>HEX2DEC(RIGHT(Table132321432[[#This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50" t="s">
        <v>97</v>
      </c>
      <c r="P1273" s="50">
        <f>HEX2DEC(RIGHT(Table132321432[[#This Row],[h1]],8))</f>
        <v>0</v>
      </c>
      <c r="Q1273" s="50" t="s">
        <v>97</v>
      </c>
      <c r="R1273" s="50">
        <f>HEX2DEC(RIGHT(Table132321432[[#This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50" t="s">
        <v>97</v>
      </c>
      <c r="P1274" s="50">
        <f>HEX2DEC(RIGHT(Table132321432[[#This Row],[h1]],8))</f>
        <v>0</v>
      </c>
      <c r="Q1274" s="50" t="s">
        <v>97</v>
      </c>
      <c r="R1274" s="50">
        <f>HEX2DEC(RIGHT(Table132321432[[#This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50" t="s">
        <v>97</v>
      </c>
      <c r="P1275" s="50">
        <f>HEX2DEC(RIGHT(Table132321432[[#This Row],[h1]],8))</f>
        <v>0</v>
      </c>
      <c r="Q1275" s="50" t="s">
        <v>97</v>
      </c>
      <c r="R1275" s="50">
        <f>HEX2DEC(RIGHT(Table132321432[[#This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50" t="s">
        <v>97</v>
      </c>
      <c r="P1276" s="50">
        <f>HEX2DEC(RIGHT(Table132321432[[#This Row],[h1]],8))</f>
        <v>0</v>
      </c>
      <c r="Q1276" s="50" t="s">
        <v>97</v>
      </c>
      <c r="R1276" s="50">
        <f>HEX2DEC(RIGHT(Table132321432[[#This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50" t="s">
        <v>97</v>
      </c>
      <c r="P1277" s="50">
        <f>HEX2DEC(RIGHT(Table132321432[[#This Row],[h1]],8))</f>
        <v>0</v>
      </c>
      <c r="Q1277" s="50" t="s">
        <v>97</v>
      </c>
      <c r="R1277" s="50">
        <f>HEX2DEC(RIGHT(Table132321432[[#This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50" t="s">
        <v>97</v>
      </c>
      <c r="P1278" s="50">
        <f>HEX2DEC(RIGHT(Table132321432[[#This Row],[h1]],8))</f>
        <v>0</v>
      </c>
      <c r="Q1278" s="50" t="s">
        <v>97</v>
      </c>
      <c r="R1278" s="50">
        <f>HEX2DEC(RIGHT(Table132321432[[#This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50" t="s">
        <v>97</v>
      </c>
      <c r="P1279" s="50">
        <f>HEX2DEC(RIGHT(Table132321432[[#This Row],[h1]],8))</f>
        <v>0</v>
      </c>
      <c r="Q1279" s="50" t="s">
        <v>97</v>
      </c>
      <c r="R1279" s="50">
        <f>HEX2DEC(RIGHT(Table132321432[[#This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50" t="s">
        <v>97</v>
      </c>
      <c r="P1280" s="50">
        <f>HEX2DEC(RIGHT(Table132321432[[#This Row],[h1]],8))</f>
        <v>0</v>
      </c>
      <c r="Q1280" s="50" t="s">
        <v>97</v>
      </c>
      <c r="R1280" s="50">
        <f>HEX2DEC(RIGHT(Table132321432[[#This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50" t="s">
        <v>97</v>
      </c>
      <c r="P1281" s="50">
        <f>HEX2DEC(RIGHT(Table132321432[[#This Row],[h1]],8))</f>
        <v>0</v>
      </c>
      <c r="Q1281" s="50" t="s">
        <v>97</v>
      </c>
      <c r="R1281" s="50">
        <f>HEX2DEC(RIGHT(Table132321432[[#This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50" t="s">
        <v>97</v>
      </c>
      <c r="P1282" s="50">
        <f>HEX2DEC(RIGHT(Table132321432[[#This Row],[h1]],8))</f>
        <v>0</v>
      </c>
      <c r="Q1282" s="50" t="s">
        <v>97</v>
      </c>
      <c r="R1282" s="50">
        <f>HEX2DEC(RIGHT(Table132321432[[#This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50" t="s">
        <v>97</v>
      </c>
      <c r="P1283" s="50">
        <f>HEX2DEC(RIGHT(Table132321432[[#This Row],[h1]],8))</f>
        <v>0</v>
      </c>
      <c r="Q1283" s="50" t="s">
        <v>97</v>
      </c>
      <c r="R1283" s="50">
        <f>HEX2DEC(RIGHT(Table132321432[[#This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50" t="s">
        <v>97</v>
      </c>
      <c r="P1284" s="50">
        <f>HEX2DEC(RIGHT(Table132321432[[#This Row],[h1]],8))</f>
        <v>0</v>
      </c>
      <c r="Q1284" s="50" t="s">
        <v>97</v>
      </c>
      <c r="R1284" s="50">
        <f>HEX2DEC(RIGHT(Table132321432[[#This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50" t="s">
        <v>97</v>
      </c>
      <c r="P1285" s="50">
        <f>HEX2DEC(RIGHT(Table132321432[[#This Row],[h1]],8))</f>
        <v>0</v>
      </c>
      <c r="Q1285" s="50" t="s">
        <v>97</v>
      </c>
      <c r="R1285" s="50">
        <f>HEX2DEC(RIGHT(Table132321432[[#This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50" t="s">
        <v>97</v>
      </c>
      <c r="P1286" s="50">
        <f>HEX2DEC(RIGHT(Table132321432[[#This Row],[h1]],8))</f>
        <v>0</v>
      </c>
      <c r="Q1286" s="50" t="s">
        <v>97</v>
      </c>
      <c r="R1286" s="50">
        <f>HEX2DEC(RIGHT(Table132321432[[#This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50" t="s">
        <v>97</v>
      </c>
      <c r="P1287" s="50">
        <f>HEX2DEC(RIGHT(Table132321432[[#This Row],[h1]],8))</f>
        <v>0</v>
      </c>
      <c r="Q1287" s="50" t="s">
        <v>97</v>
      </c>
      <c r="R1287" s="50">
        <f>HEX2DEC(RIGHT(Table132321432[[#This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50" t="s">
        <v>97</v>
      </c>
      <c r="P1288" s="50">
        <f>HEX2DEC(RIGHT(Table132321432[[#This Row],[h1]],8))</f>
        <v>0</v>
      </c>
      <c r="Q1288" s="50" t="s">
        <v>97</v>
      </c>
      <c r="R1288" s="50">
        <f>HEX2DEC(RIGHT(Table132321432[[#This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50" t="s">
        <v>97</v>
      </c>
      <c r="P1289" s="50">
        <f>HEX2DEC(RIGHT(Table132321432[[#This Row],[h1]],8))</f>
        <v>0</v>
      </c>
      <c r="Q1289" s="50" t="s">
        <v>97</v>
      </c>
      <c r="R1289" s="50">
        <f>HEX2DEC(RIGHT(Table132321432[[#This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50" t="s">
        <v>97</v>
      </c>
      <c r="P1290" s="50">
        <f>HEX2DEC(RIGHT(Table132321432[[#This Row],[h1]],8))</f>
        <v>0</v>
      </c>
      <c r="Q1290" s="50" t="s">
        <v>97</v>
      </c>
      <c r="R1290" s="50">
        <f>HEX2DEC(RIGHT(Table132321432[[#This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50" t="s">
        <v>97</v>
      </c>
      <c r="P1291" s="50">
        <f>HEX2DEC(RIGHT(Table132321432[[#This Row],[h1]],8))</f>
        <v>0</v>
      </c>
      <c r="Q1291" s="50" t="s">
        <v>97</v>
      </c>
      <c r="R1291" s="50">
        <f>HEX2DEC(RIGHT(Table132321432[[#This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50" t="s">
        <v>97</v>
      </c>
      <c r="P1292" s="50">
        <f>HEX2DEC(RIGHT(Table132321432[[#This Row],[h1]],8))</f>
        <v>0</v>
      </c>
      <c r="Q1292" s="50" t="s">
        <v>97</v>
      </c>
      <c r="R1292" s="50">
        <f>HEX2DEC(RIGHT(Table132321432[[#This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50" t="s">
        <v>97</v>
      </c>
      <c r="P1293" s="50">
        <f>HEX2DEC(RIGHT(Table132321432[[#This Row],[h1]],8))</f>
        <v>0</v>
      </c>
      <c r="Q1293" s="50" t="s">
        <v>97</v>
      </c>
      <c r="R1293" s="50">
        <f>HEX2DEC(RIGHT(Table132321432[[#This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50" t="s">
        <v>97</v>
      </c>
      <c r="P1294" s="50">
        <f>HEX2DEC(RIGHT(Table132321432[[#This Row],[h1]],8))</f>
        <v>0</v>
      </c>
      <c r="Q1294" s="50" t="s">
        <v>97</v>
      </c>
      <c r="R1294" s="50">
        <f>HEX2DEC(RIGHT(Table132321432[[#This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50" t="s">
        <v>97</v>
      </c>
      <c r="P1295" s="50">
        <f>HEX2DEC(RIGHT(Table132321432[[#This Row],[h1]],8))</f>
        <v>0</v>
      </c>
      <c r="Q1295" s="50" t="s">
        <v>97</v>
      </c>
      <c r="R1295" s="50">
        <f>HEX2DEC(RIGHT(Table132321432[[#This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50" t="s">
        <v>97</v>
      </c>
      <c r="P1296" s="50">
        <f>HEX2DEC(RIGHT(Table132321432[[#This Row],[h1]],8))</f>
        <v>0</v>
      </c>
      <c r="Q1296" s="50" t="s">
        <v>97</v>
      </c>
      <c r="R1296" s="50">
        <f>HEX2DEC(RIGHT(Table132321432[[#This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50" t="s">
        <v>97</v>
      </c>
      <c r="P1297" s="50">
        <f>HEX2DEC(RIGHT(Table132321432[[#This Row],[h1]],8))</f>
        <v>0</v>
      </c>
      <c r="Q1297" s="50" t="s">
        <v>97</v>
      </c>
      <c r="R1297" s="50">
        <f>HEX2DEC(RIGHT(Table132321432[[#This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50" t="s">
        <v>97</v>
      </c>
      <c r="P1298" s="50">
        <f>HEX2DEC(RIGHT(Table132321432[[#This Row],[h1]],8))</f>
        <v>0</v>
      </c>
      <c r="Q1298" s="50" t="s">
        <v>97</v>
      </c>
      <c r="R1298" s="50">
        <f>HEX2DEC(RIGHT(Table132321432[[#This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50" t="s">
        <v>97</v>
      </c>
      <c r="P1299" s="50">
        <f>HEX2DEC(RIGHT(Table132321432[[#This Row],[h1]],8))</f>
        <v>0</v>
      </c>
      <c r="Q1299" s="50" t="s">
        <v>97</v>
      </c>
      <c r="R1299" s="50">
        <f>HEX2DEC(RIGHT(Table132321432[[#This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50" t="s">
        <v>97</v>
      </c>
      <c r="P1300" s="50">
        <f>HEX2DEC(RIGHT(Table132321432[[#This Row],[h1]],8))</f>
        <v>0</v>
      </c>
      <c r="Q1300" s="50" t="s">
        <v>97</v>
      </c>
      <c r="R1300" s="50">
        <f>HEX2DEC(RIGHT(Table132321432[[#This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50" t="s">
        <v>97</v>
      </c>
      <c r="P1301" s="50">
        <f>HEX2DEC(RIGHT(Table132321432[[#This Row],[h1]],8))</f>
        <v>0</v>
      </c>
      <c r="Q1301" s="50" t="s">
        <v>97</v>
      </c>
      <c r="R1301" s="50">
        <f>HEX2DEC(RIGHT(Table132321432[[#This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50" t="s">
        <v>97</v>
      </c>
      <c r="P1302" s="50">
        <f>HEX2DEC(RIGHT(Table132321432[[#This Row],[h1]],8))</f>
        <v>0</v>
      </c>
      <c r="Q1302" s="50" t="s">
        <v>97</v>
      </c>
      <c r="R1302" s="50">
        <f>HEX2DEC(RIGHT(Table132321432[[#This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50" t="s">
        <v>97</v>
      </c>
      <c r="P1303" s="50">
        <f>HEX2DEC(RIGHT(Table132321432[[#This Row],[h1]],8))</f>
        <v>0</v>
      </c>
      <c r="Q1303" s="50" t="s">
        <v>97</v>
      </c>
      <c r="R1303" s="50">
        <f>HEX2DEC(RIGHT(Table132321432[[#This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50" t="s">
        <v>97</v>
      </c>
      <c r="P1304" s="50">
        <f>HEX2DEC(RIGHT(Table132321432[[#This Row],[h1]],8))</f>
        <v>0</v>
      </c>
      <c r="Q1304" s="50" t="s">
        <v>97</v>
      </c>
      <c r="R1304" s="50">
        <f>HEX2DEC(RIGHT(Table132321432[[#This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50" t="s">
        <v>97</v>
      </c>
      <c r="P1305" s="50">
        <f>HEX2DEC(RIGHT(Table132321432[[#This Row],[h1]],8))</f>
        <v>0</v>
      </c>
      <c r="Q1305" s="50" t="s">
        <v>97</v>
      </c>
      <c r="R1305" s="50">
        <f>HEX2DEC(RIGHT(Table132321432[[#This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50" t="s">
        <v>97</v>
      </c>
      <c r="P1306" s="50">
        <f>HEX2DEC(RIGHT(Table132321432[[#This Row],[h1]],8))</f>
        <v>0</v>
      </c>
      <c r="Q1306" s="50" t="s">
        <v>97</v>
      </c>
      <c r="R1306" s="50">
        <f>HEX2DEC(RIGHT(Table132321432[[#This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50" t="s">
        <v>97</v>
      </c>
      <c r="P1307" s="50">
        <f>HEX2DEC(RIGHT(Table132321432[[#This Row],[h1]],8))</f>
        <v>0</v>
      </c>
      <c r="Q1307" s="50" t="s">
        <v>97</v>
      </c>
      <c r="R1307" s="50">
        <f>HEX2DEC(RIGHT(Table132321432[[#This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50" t="s">
        <v>97</v>
      </c>
      <c r="P1308" s="50">
        <f>HEX2DEC(RIGHT(Table132321432[[#This Row],[h1]],8))</f>
        <v>0</v>
      </c>
      <c r="Q1308" s="50" t="s">
        <v>97</v>
      </c>
      <c r="R1308" s="50">
        <f>HEX2DEC(RIGHT(Table132321432[[#This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50" t="s">
        <v>97</v>
      </c>
      <c r="P1309" s="50">
        <f>HEX2DEC(RIGHT(Table132321432[[#This Row],[h1]],8))</f>
        <v>0</v>
      </c>
      <c r="Q1309" s="50" t="s">
        <v>97</v>
      </c>
      <c r="R1309" s="50">
        <f>HEX2DEC(RIGHT(Table132321432[[#This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50" t="s">
        <v>97</v>
      </c>
      <c r="P1310" s="50">
        <f>HEX2DEC(RIGHT(Table132321432[[#This Row],[h1]],8))</f>
        <v>0</v>
      </c>
      <c r="Q1310" s="50" t="s">
        <v>97</v>
      </c>
      <c r="R1310" s="50">
        <f>HEX2DEC(RIGHT(Table132321432[[#This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50" t="s">
        <v>97</v>
      </c>
      <c r="P1311" s="50">
        <f>HEX2DEC(RIGHT(Table132321432[[#This Row],[h1]],8))</f>
        <v>0</v>
      </c>
      <c r="Q1311" s="50" t="s">
        <v>97</v>
      </c>
      <c r="R1311" s="50">
        <f>HEX2DEC(RIGHT(Table132321432[[#This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50" t="s">
        <v>97</v>
      </c>
      <c r="P1312" s="50">
        <f>HEX2DEC(RIGHT(Table132321432[[#This Row],[h1]],8))</f>
        <v>0</v>
      </c>
      <c r="Q1312" s="50" t="s">
        <v>97</v>
      </c>
      <c r="R1312" s="50">
        <f>HEX2DEC(RIGHT(Table132321432[[#This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50" t="s">
        <v>97</v>
      </c>
      <c r="P1313" s="50">
        <f>HEX2DEC(RIGHT(Table132321432[[#This Row],[h1]],8))</f>
        <v>0</v>
      </c>
      <c r="Q1313" s="50" t="s">
        <v>97</v>
      </c>
      <c r="R1313" s="50">
        <f>HEX2DEC(RIGHT(Table132321432[[#This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50" t="s">
        <v>97</v>
      </c>
      <c r="P1314" s="50">
        <f>HEX2DEC(RIGHT(Table132321432[[#This Row],[h1]],8))</f>
        <v>0</v>
      </c>
      <c r="Q1314" s="50" t="s">
        <v>97</v>
      </c>
      <c r="R1314" s="50">
        <f>HEX2DEC(RIGHT(Table132321432[[#This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50" t="s">
        <v>97</v>
      </c>
      <c r="P1315" s="50">
        <f>HEX2DEC(RIGHT(Table132321432[[#This Row],[h1]],8))</f>
        <v>0</v>
      </c>
      <c r="Q1315" s="50" t="s">
        <v>97</v>
      </c>
      <c r="R1315" s="50">
        <f>HEX2DEC(RIGHT(Table132321432[[#This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50" t="s">
        <v>97</v>
      </c>
      <c r="P1316" s="50">
        <f>HEX2DEC(RIGHT(Table132321432[[#This Row],[h1]],8))</f>
        <v>0</v>
      </c>
      <c r="Q1316" s="50" t="s">
        <v>97</v>
      </c>
      <c r="R1316" s="50">
        <f>HEX2DEC(RIGHT(Table132321432[[#This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50" t="s">
        <v>97</v>
      </c>
      <c r="P1317" s="50">
        <f>HEX2DEC(RIGHT(Table132321432[[#This Row],[h1]],8))</f>
        <v>0</v>
      </c>
      <c r="Q1317" s="50" t="s">
        <v>97</v>
      </c>
      <c r="R1317" s="50">
        <f>HEX2DEC(RIGHT(Table132321432[[#This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50" t="s">
        <v>97</v>
      </c>
      <c r="P1318" s="50">
        <f>HEX2DEC(RIGHT(Table132321432[[#This Row],[h1]],8))</f>
        <v>0</v>
      </c>
      <c r="Q1318" s="50" t="s">
        <v>97</v>
      </c>
      <c r="R1318" s="50">
        <f>HEX2DEC(RIGHT(Table132321432[[#This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50" t="s">
        <v>97</v>
      </c>
      <c r="P1319" s="50">
        <f>HEX2DEC(RIGHT(Table132321432[[#This Row],[h1]],8))</f>
        <v>0</v>
      </c>
      <c r="Q1319" s="50" t="s">
        <v>97</v>
      </c>
      <c r="R1319" s="50">
        <f>HEX2DEC(RIGHT(Table132321432[[#This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50" t="s">
        <v>97</v>
      </c>
      <c r="P1320" s="50">
        <f>HEX2DEC(RIGHT(Table132321432[[#This Row],[h1]],8))</f>
        <v>0</v>
      </c>
      <c r="Q1320" s="50" t="s">
        <v>97</v>
      </c>
      <c r="R1320" s="50">
        <f>HEX2DEC(RIGHT(Table132321432[[#This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50" t="s">
        <v>97</v>
      </c>
      <c r="P1321" s="50">
        <f>HEX2DEC(RIGHT(Table132321432[[#This Row],[h1]],8))</f>
        <v>0</v>
      </c>
      <c r="Q1321" s="50" t="s">
        <v>97</v>
      </c>
      <c r="R1321" s="50">
        <f>HEX2DEC(RIGHT(Table132321432[[#This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50" t="s">
        <v>97</v>
      </c>
      <c r="P1322" s="50">
        <f>HEX2DEC(RIGHT(Table132321432[[#This Row],[h1]],8))</f>
        <v>0</v>
      </c>
      <c r="Q1322" s="50" t="s">
        <v>97</v>
      </c>
      <c r="R1322" s="50">
        <f>HEX2DEC(RIGHT(Table132321432[[#This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50" t="s">
        <v>97</v>
      </c>
      <c r="P1323" s="50">
        <f>HEX2DEC(RIGHT(Table132321432[[#This Row],[h1]],8))</f>
        <v>0</v>
      </c>
      <c r="Q1323" s="50" t="s">
        <v>97</v>
      </c>
      <c r="R1323" s="50">
        <f>HEX2DEC(RIGHT(Table132321432[[#This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50" t="s">
        <v>97</v>
      </c>
      <c r="P1324" s="50">
        <f>HEX2DEC(RIGHT(Table132321432[[#This Row],[h1]],8))</f>
        <v>0</v>
      </c>
      <c r="Q1324" s="50" t="s">
        <v>97</v>
      </c>
      <c r="R1324" s="50">
        <f>HEX2DEC(RIGHT(Table132321432[[#This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50" t="s">
        <v>97</v>
      </c>
      <c r="P1325" s="50">
        <f>HEX2DEC(RIGHT(Table132321432[[#This Row],[h1]],8))</f>
        <v>0</v>
      </c>
      <c r="Q1325" s="50" t="s">
        <v>97</v>
      </c>
      <c r="R1325" s="50">
        <f>HEX2DEC(RIGHT(Table132321432[[#This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50" t="s">
        <v>97</v>
      </c>
      <c r="P1326" s="50">
        <f>HEX2DEC(RIGHT(Table132321432[[#This Row],[h1]],8))</f>
        <v>0</v>
      </c>
      <c r="Q1326" s="50" t="s">
        <v>97</v>
      </c>
      <c r="R1326" s="50">
        <f>HEX2DEC(RIGHT(Table132321432[[#This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50" t="s">
        <v>97</v>
      </c>
      <c r="P1327" s="50">
        <f>HEX2DEC(RIGHT(Table132321432[[#This Row],[h1]],8))</f>
        <v>0</v>
      </c>
      <c r="Q1327" s="50" t="s">
        <v>97</v>
      </c>
      <c r="R1327" s="50">
        <f>HEX2DEC(RIGHT(Table132321432[[#This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50" t="s">
        <v>97</v>
      </c>
      <c r="P1328" s="50">
        <f>HEX2DEC(RIGHT(Table132321432[[#This Row],[h1]],8))</f>
        <v>0</v>
      </c>
      <c r="Q1328" s="50" t="s">
        <v>97</v>
      </c>
      <c r="R1328" s="50">
        <f>HEX2DEC(RIGHT(Table132321432[[#This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50" t="s">
        <v>97</v>
      </c>
      <c r="P1329" s="50">
        <f>HEX2DEC(RIGHT(Table132321432[[#This Row],[h1]],8))</f>
        <v>0</v>
      </c>
      <c r="Q1329" s="50" t="s">
        <v>97</v>
      </c>
      <c r="R1329" s="50">
        <f>HEX2DEC(RIGHT(Table132321432[[#This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50" t="s">
        <v>97</v>
      </c>
      <c r="P1330" s="50">
        <f>HEX2DEC(RIGHT(Table132321432[[#This Row],[h1]],8))</f>
        <v>0</v>
      </c>
      <c r="Q1330" s="50" t="s">
        <v>97</v>
      </c>
      <c r="R1330" s="50">
        <f>HEX2DEC(RIGHT(Table132321432[[#This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50" t="s">
        <v>97</v>
      </c>
      <c r="P1331" s="50">
        <f>HEX2DEC(RIGHT(Table132321432[[#This Row],[h1]],8))</f>
        <v>0</v>
      </c>
      <c r="Q1331" s="50" t="s">
        <v>97</v>
      </c>
      <c r="R1331" s="50">
        <f>HEX2DEC(RIGHT(Table132321432[[#This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50" t="s">
        <v>97</v>
      </c>
      <c r="P1332" s="50">
        <f>HEX2DEC(RIGHT(Table132321432[[#This Row],[h1]],8))</f>
        <v>0</v>
      </c>
      <c r="Q1332" s="50" t="s">
        <v>97</v>
      </c>
      <c r="R1332" s="50">
        <f>HEX2DEC(RIGHT(Table132321432[[#This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50" t="s">
        <v>97</v>
      </c>
      <c r="P1333" s="50">
        <f>HEX2DEC(RIGHT(Table132321432[[#This Row],[h1]],8))</f>
        <v>0</v>
      </c>
      <c r="Q1333" s="50" t="s">
        <v>97</v>
      </c>
      <c r="R1333" s="50">
        <f>HEX2DEC(RIGHT(Table132321432[[#This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50" t="s">
        <v>97</v>
      </c>
      <c r="P1334" s="50">
        <f>HEX2DEC(RIGHT(Table132321432[[#This Row],[h1]],8))</f>
        <v>0</v>
      </c>
      <c r="Q1334" s="50" t="s">
        <v>97</v>
      </c>
      <c r="R1334" s="50">
        <f>HEX2DEC(RIGHT(Table132321432[[#This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50" t="s">
        <v>97</v>
      </c>
      <c r="P1335" s="50">
        <f>HEX2DEC(RIGHT(Table132321432[[#This Row],[h1]],8))</f>
        <v>0</v>
      </c>
      <c r="Q1335" s="50" t="s">
        <v>97</v>
      </c>
      <c r="R1335" s="50">
        <f>HEX2DEC(RIGHT(Table132321432[[#This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50" t="s">
        <v>97</v>
      </c>
      <c r="P1336" s="50">
        <f>HEX2DEC(RIGHT(Table132321432[[#This Row],[h1]],8))</f>
        <v>0</v>
      </c>
      <c r="Q1336" s="50" t="s">
        <v>97</v>
      </c>
      <c r="R1336" s="50">
        <f>HEX2DEC(RIGHT(Table132321432[[#This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50" t="s">
        <v>97</v>
      </c>
      <c r="P1337" s="50">
        <f>HEX2DEC(RIGHT(Table132321432[[#This Row],[h1]],8))</f>
        <v>0</v>
      </c>
      <c r="Q1337" s="50" t="s">
        <v>97</v>
      </c>
      <c r="R1337" s="50">
        <f>HEX2DEC(RIGHT(Table132321432[[#This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50" t="s">
        <v>97</v>
      </c>
      <c r="P1338" s="50">
        <f>HEX2DEC(RIGHT(Table132321432[[#This Row],[h1]],8))</f>
        <v>0</v>
      </c>
      <c r="Q1338" s="50" t="s">
        <v>97</v>
      </c>
      <c r="R1338" s="50">
        <f>HEX2DEC(RIGHT(Table132321432[[#This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50" t="s">
        <v>97</v>
      </c>
      <c r="P1339" s="50">
        <f>HEX2DEC(RIGHT(Table132321432[[#This Row],[h1]],8))</f>
        <v>0</v>
      </c>
      <c r="Q1339" s="50" t="s">
        <v>97</v>
      </c>
      <c r="R1339" s="50">
        <f>HEX2DEC(RIGHT(Table132321432[[#This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50" t="s">
        <v>97</v>
      </c>
      <c r="P1340" s="50">
        <f>HEX2DEC(RIGHT(Table132321432[[#This Row],[h1]],8))</f>
        <v>0</v>
      </c>
      <c r="Q1340" s="50" t="s">
        <v>97</v>
      </c>
      <c r="R1340" s="50">
        <f>HEX2DEC(RIGHT(Table132321432[[#This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50" t="s">
        <v>97</v>
      </c>
      <c r="P1341" s="50">
        <f>HEX2DEC(RIGHT(Table132321432[[#This Row],[h1]],8))</f>
        <v>0</v>
      </c>
      <c r="Q1341" s="50" t="s">
        <v>97</v>
      </c>
      <c r="R1341" s="50">
        <f>HEX2DEC(RIGHT(Table132321432[[#This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50" t="s">
        <v>97</v>
      </c>
      <c r="P1342" s="50">
        <f>HEX2DEC(RIGHT(Table132321432[[#This Row],[h1]],8))</f>
        <v>0</v>
      </c>
      <c r="Q1342" s="50" t="s">
        <v>97</v>
      </c>
      <c r="R1342" s="50">
        <f>HEX2DEC(RIGHT(Table132321432[[#This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50" t="s">
        <v>97</v>
      </c>
      <c r="P1343" s="50">
        <f>HEX2DEC(RIGHT(Table132321432[[#This Row],[h1]],8))</f>
        <v>0</v>
      </c>
      <c r="Q1343" s="50" t="s">
        <v>97</v>
      </c>
      <c r="R1343" s="50">
        <f>HEX2DEC(RIGHT(Table132321432[[#This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50" t="s">
        <v>97</v>
      </c>
      <c r="P1344" s="50">
        <f>HEX2DEC(RIGHT(Table132321432[[#This Row],[h1]],8))</f>
        <v>0</v>
      </c>
      <c r="Q1344" s="50" t="s">
        <v>97</v>
      </c>
      <c r="R1344" s="50">
        <f>HEX2DEC(RIGHT(Table132321432[[#This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50" t="s">
        <v>97</v>
      </c>
      <c r="P1345" s="50">
        <f>HEX2DEC(RIGHT(Table132321432[[#This Row],[h1]],8))</f>
        <v>0</v>
      </c>
      <c r="Q1345" s="50" t="s">
        <v>97</v>
      </c>
      <c r="R1345" s="50">
        <f>HEX2DEC(RIGHT(Table132321432[[#This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50" t="s">
        <v>97</v>
      </c>
      <c r="P1346" s="50">
        <f>HEX2DEC(RIGHT(Table132321432[[#This Row],[h1]],8))</f>
        <v>0</v>
      </c>
      <c r="Q1346" s="50" t="s">
        <v>97</v>
      </c>
      <c r="R1346" s="50">
        <f>HEX2DEC(RIGHT(Table132321432[[#This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50" t="s">
        <v>97</v>
      </c>
      <c r="P1347" s="50">
        <f>HEX2DEC(RIGHT(Table132321432[[#This Row],[h1]],8))</f>
        <v>0</v>
      </c>
      <c r="Q1347" s="50" t="s">
        <v>97</v>
      </c>
      <c r="R1347" s="50">
        <f>HEX2DEC(RIGHT(Table132321432[[#This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50" t="s">
        <v>97</v>
      </c>
      <c r="P1348" s="50">
        <f>HEX2DEC(RIGHT(Table132321432[[#This Row],[h1]],8))</f>
        <v>0</v>
      </c>
      <c r="Q1348" s="50" t="s">
        <v>97</v>
      </c>
      <c r="R1348" s="50">
        <f>HEX2DEC(RIGHT(Table132321432[[#This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50" t="s">
        <v>97</v>
      </c>
      <c r="P1349" s="50">
        <f>HEX2DEC(RIGHT(Table132321432[[#This Row],[h1]],8))</f>
        <v>0</v>
      </c>
      <c r="Q1349" s="50" t="s">
        <v>97</v>
      </c>
      <c r="R1349" s="50">
        <f>HEX2DEC(RIGHT(Table132321432[[#This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50" t="s">
        <v>97</v>
      </c>
      <c r="P1350" s="50">
        <f>HEX2DEC(RIGHT(Table132321432[[#This Row],[h1]],8))</f>
        <v>0</v>
      </c>
      <c r="Q1350" s="50" t="s">
        <v>97</v>
      </c>
      <c r="R1350" s="50">
        <f>HEX2DEC(RIGHT(Table132321432[[#This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50" t="s">
        <v>97</v>
      </c>
      <c r="P1351" s="50">
        <f>HEX2DEC(RIGHT(Table132321432[[#This Row],[h1]],8))</f>
        <v>0</v>
      </c>
      <c r="Q1351" s="50" t="s">
        <v>97</v>
      </c>
      <c r="R1351" s="50">
        <f>HEX2DEC(RIGHT(Table132321432[[#This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50" t="s">
        <v>97</v>
      </c>
      <c r="P1352" s="50">
        <f>HEX2DEC(RIGHT(Table132321432[[#This Row],[h1]],8))</f>
        <v>0</v>
      </c>
      <c r="Q1352" s="50" t="s">
        <v>97</v>
      </c>
      <c r="R1352" s="50">
        <f>HEX2DEC(RIGHT(Table132321432[[#This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50" t="s">
        <v>97</v>
      </c>
      <c r="P1353" s="50">
        <f>HEX2DEC(RIGHT(Table132321432[[#This Row],[h1]],8))</f>
        <v>0</v>
      </c>
      <c r="Q1353" s="50" t="s">
        <v>97</v>
      </c>
      <c r="R1353" s="50">
        <f>HEX2DEC(RIGHT(Table132321432[[#This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50" t="s">
        <v>97</v>
      </c>
      <c r="P1354" s="50">
        <f>HEX2DEC(RIGHT(Table132321432[[#This Row],[h1]],8))</f>
        <v>0</v>
      </c>
      <c r="Q1354" s="50" t="s">
        <v>97</v>
      </c>
      <c r="R1354" s="50">
        <f>HEX2DEC(RIGHT(Table132321432[[#This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50" t="s">
        <v>97</v>
      </c>
      <c r="P1355" s="50">
        <f>HEX2DEC(RIGHT(Table132321432[[#This Row],[h1]],8))</f>
        <v>0</v>
      </c>
      <c r="Q1355" s="50" t="s">
        <v>97</v>
      </c>
      <c r="R1355" s="50">
        <f>HEX2DEC(RIGHT(Table132321432[[#This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50" t="s">
        <v>97</v>
      </c>
      <c r="P1356" s="50">
        <f>HEX2DEC(RIGHT(Table132321432[[#This Row],[h1]],8))</f>
        <v>0</v>
      </c>
      <c r="Q1356" s="50" t="s">
        <v>97</v>
      </c>
      <c r="R1356" s="50">
        <f>HEX2DEC(RIGHT(Table132321432[[#This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50" t="s">
        <v>97</v>
      </c>
      <c r="P1357" s="50">
        <f>HEX2DEC(RIGHT(Table132321432[[#This Row],[h1]],8))</f>
        <v>0</v>
      </c>
      <c r="Q1357" s="50" t="s">
        <v>97</v>
      </c>
      <c r="R1357" s="50">
        <f>HEX2DEC(RIGHT(Table132321432[[#This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50" t="s">
        <v>97</v>
      </c>
      <c r="P1358" s="50">
        <f>HEX2DEC(RIGHT(Table132321432[[#This Row],[h1]],8))</f>
        <v>0</v>
      </c>
      <c r="Q1358" s="50" t="s">
        <v>97</v>
      </c>
      <c r="R1358" s="50">
        <f>HEX2DEC(RIGHT(Table132321432[[#This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50" t="s">
        <v>97</v>
      </c>
      <c r="P1359" s="50">
        <f>HEX2DEC(RIGHT(Table132321432[[#This Row],[h1]],8))</f>
        <v>0</v>
      </c>
      <c r="Q1359" s="50" t="s">
        <v>97</v>
      </c>
      <c r="R1359" s="50">
        <f>HEX2DEC(RIGHT(Table132321432[[#This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50" t="s">
        <v>97</v>
      </c>
      <c r="P1360" s="50">
        <f>HEX2DEC(RIGHT(Table132321432[[#This Row],[h1]],8))</f>
        <v>0</v>
      </c>
      <c r="Q1360" s="50" t="s">
        <v>97</v>
      </c>
      <c r="R1360" s="50">
        <f>HEX2DEC(RIGHT(Table132321432[[#This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50" t="s">
        <v>97</v>
      </c>
      <c r="P1361" s="50">
        <f>HEX2DEC(RIGHT(Table132321432[[#This Row],[h1]],8))</f>
        <v>0</v>
      </c>
      <c r="Q1361" s="50" t="s">
        <v>97</v>
      </c>
      <c r="R1361" s="50">
        <f>HEX2DEC(RIGHT(Table132321432[[#This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50" t="s">
        <v>97</v>
      </c>
      <c r="P1362" s="50">
        <f>HEX2DEC(RIGHT(Table132321432[[#This Row],[h1]],8))</f>
        <v>0</v>
      </c>
      <c r="Q1362" s="50" t="s">
        <v>97</v>
      </c>
      <c r="R1362" s="50">
        <f>HEX2DEC(RIGHT(Table132321432[[#This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50" t="s">
        <v>97</v>
      </c>
      <c r="P1363" s="50">
        <f>HEX2DEC(RIGHT(Table132321432[[#This Row],[h1]],8))</f>
        <v>0</v>
      </c>
      <c r="Q1363" s="50" t="s">
        <v>97</v>
      </c>
      <c r="R1363" s="50">
        <f>HEX2DEC(RIGHT(Table132321432[[#This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50" t="s">
        <v>97</v>
      </c>
      <c r="P1364" s="50">
        <f>HEX2DEC(RIGHT(Table132321432[[#This Row],[h1]],8))</f>
        <v>0</v>
      </c>
      <c r="Q1364" s="50" t="s">
        <v>97</v>
      </c>
      <c r="R1364" s="50">
        <f>HEX2DEC(RIGHT(Table132321432[[#This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50" t="s">
        <v>97</v>
      </c>
      <c r="P1365" s="50">
        <f>HEX2DEC(RIGHT(Table132321432[[#This Row],[h1]],8))</f>
        <v>0</v>
      </c>
      <c r="Q1365" s="50" t="s">
        <v>97</v>
      </c>
      <c r="R1365" s="50">
        <f>HEX2DEC(RIGHT(Table132321432[[#This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50" t="s">
        <v>97</v>
      </c>
      <c r="P1366" s="50">
        <f>HEX2DEC(RIGHT(Table132321432[[#This Row],[h1]],8))</f>
        <v>0</v>
      </c>
      <c r="Q1366" s="50" t="s">
        <v>97</v>
      </c>
      <c r="R1366" s="50">
        <f>HEX2DEC(RIGHT(Table132321432[[#This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50" t="s">
        <v>97</v>
      </c>
      <c r="P1367" s="50">
        <f>HEX2DEC(RIGHT(Table132321432[[#This Row],[h1]],8))</f>
        <v>0</v>
      </c>
      <c r="Q1367" s="50" t="s">
        <v>97</v>
      </c>
      <c r="R1367" s="50">
        <f>HEX2DEC(RIGHT(Table132321432[[#This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50" t="s">
        <v>97</v>
      </c>
      <c r="P1368" s="50">
        <f>HEX2DEC(RIGHT(Table132321432[[#This Row],[h1]],8))</f>
        <v>0</v>
      </c>
      <c r="Q1368" s="50" t="s">
        <v>97</v>
      </c>
      <c r="R1368" s="50">
        <f>HEX2DEC(RIGHT(Table132321432[[#This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50" t="s">
        <v>97</v>
      </c>
      <c r="P1369" s="50">
        <f>HEX2DEC(RIGHT(Table132321432[[#This Row],[h1]],8))</f>
        <v>0</v>
      </c>
      <c r="Q1369" s="50" t="s">
        <v>97</v>
      </c>
      <c r="R1369" s="50">
        <f>HEX2DEC(RIGHT(Table132321432[[#This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50" t="s">
        <v>97</v>
      </c>
      <c r="P1370" s="50">
        <f>HEX2DEC(RIGHT(Table132321432[[#This Row],[h1]],8))</f>
        <v>0</v>
      </c>
      <c r="Q1370" s="50" t="s">
        <v>97</v>
      </c>
      <c r="R1370" s="50">
        <f>HEX2DEC(RIGHT(Table132321432[[#This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50" t="s">
        <v>97</v>
      </c>
      <c r="P1371" s="50">
        <f>HEX2DEC(RIGHT(Table132321432[[#This Row],[h1]],8))</f>
        <v>0</v>
      </c>
      <c r="Q1371" s="50" t="s">
        <v>97</v>
      </c>
      <c r="R1371" s="50">
        <f>HEX2DEC(RIGHT(Table132321432[[#This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50" t="s">
        <v>97</v>
      </c>
      <c r="P1372" s="50">
        <f>HEX2DEC(RIGHT(Table132321432[[#This Row],[h1]],8))</f>
        <v>0</v>
      </c>
      <c r="Q1372" s="50" t="s">
        <v>97</v>
      </c>
      <c r="R1372" s="50">
        <f>HEX2DEC(RIGHT(Table132321432[[#This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50" t="s">
        <v>97</v>
      </c>
      <c r="P1373" s="50">
        <f>HEX2DEC(RIGHT(Table132321432[[#This Row],[h1]],8))</f>
        <v>0</v>
      </c>
      <c r="Q1373" s="50" t="s">
        <v>97</v>
      </c>
      <c r="R1373" s="50">
        <f>HEX2DEC(RIGHT(Table132321432[[#This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50" t="s">
        <v>97</v>
      </c>
      <c r="P1374" s="50">
        <f>HEX2DEC(RIGHT(Table132321432[[#This Row],[h1]],8))</f>
        <v>0</v>
      </c>
      <c r="Q1374" s="50" t="s">
        <v>97</v>
      </c>
      <c r="R1374" s="50">
        <f>HEX2DEC(RIGHT(Table132321432[[#This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50" t="s">
        <v>97</v>
      </c>
      <c r="P1375" s="50">
        <f>HEX2DEC(RIGHT(Table132321432[[#This Row],[h1]],8))</f>
        <v>0</v>
      </c>
      <c r="Q1375" s="50" t="s">
        <v>97</v>
      </c>
      <c r="R1375" s="50">
        <f>HEX2DEC(RIGHT(Table132321432[[#This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50" t="s">
        <v>97</v>
      </c>
      <c r="P1376" s="50">
        <f>HEX2DEC(RIGHT(Table132321432[[#This Row],[h1]],8))</f>
        <v>0</v>
      </c>
      <c r="Q1376" s="50" t="s">
        <v>97</v>
      </c>
      <c r="R1376" s="50">
        <f>HEX2DEC(RIGHT(Table132321432[[#This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50" t="s">
        <v>97</v>
      </c>
      <c r="P1377" s="50">
        <f>HEX2DEC(RIGHT(Table132321432[[#This Row],[h1]],8))</f>
        <v>0</v>
      </c>
      <c r="Q1377" s="50" t="s">
        <v>97</v>
      </c>
      <c r="R1377" s="50">
        <f>HEX2DEC(RIGHT(Table132321432[[#This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50" t="s">
        <v>97</v>
      </c>
      <c r="P1378" s="50">
        <f>HEX2DEC(RIGHT(Table132321432[[#This Row],[h1]],8))</f>
        <v>0</v>
      </c>
      <c r="Q1378" s="50" t="s">
        <v>97</v>
      </c>
      <c r="R1378" s="50">
        <f>HEX2DEC(RIGHT(Table132321432[[#This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50" t="s">
        <v>97</v>
      </c>
      <c r="P1379" s="50">
        <f>HEX2DEC(RIGHT(Table132321432[[#This Row],[h1]],8))</f>
        <v>0</v>
      </c>
      <c r="Q1379" s="50" t="s">
        <v>97</v>
      </c>
      <c r="R1379" s="50">
        <f>HEX2DEC(RIGHT(Table132321432[[#This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50" t="s">
        <v>97</v>
      </c>
      <c r="P1380" s="50">
        <f>HEX2DEC(RIGHT(Table132321432[[#This Row],[h1]],8))</f>
        <v>0</v>
      </c>
      <c r="Q1380" s="50" t="s">
        <v>97</v>
      </c>
      <c r="R1380" s="50">
        <f>HEX2DEC(RIGHT(Table132321432[[#This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50" t="s">
        <v>97</v>
      </c>
      <c r="P1381" s="50">
        <f>HEX2DEC(RIGHT(Table132321432[[#This Row],[h1]],8))</f>
        <v>0</v>
      </c>
      <c r="Q1381" s="50" t="s">
        <v>97</v>
      </c>
      <c r="R1381" s="50">
        <f>HEX2DEC(RIGHT(Table132321432[[#This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50" t="s">
        <v>97</v>
      </c>
      <c r="P1382" s="50">
        <f>HEX2DEC(RIGHT(Table132321432[[#This Row],[h1]],8))</f>
        <v>0</v>
      </c>
      <c r="Q1382" s="50" t="s">
        <v>97</v>
      </c>
      <c r="R1382" s="50">
        <f>HEX2DEC(RIGHT(Table132321432[[#This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50" t="s">
        <v>97</v>
      </c>
      <c r="P1383" s="50">
        <f>HEX2DEC(RIGHT(Table132321432[[#This Row],[h1]],8))</f>
        <v>0</v>
      </c>
      <c r="Q1383" s="50" t="s">
        <v>97</v>
      </c>
      <c r="R1383" s="50">
        <f>HEX2DEC(RIGHT(Table132321432[[#This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50" t="s">
        <v>97</v>
      </c>
      <c r="P1384" s="50">
        <f>HEX2DEC(RIGHT(Table132321432[[#This Row],[h1]],8))</f>
        <v>0</v>
      </c>
      <c r="Q1384" s="50" t="s">
        <v>97</v>
      </c>
      <c r="R1384" s="50">
        <f>HEX2DEC(RIGHT(Table132321432[[#This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50" t="s">
        <v>97</v>
      </c>
      <c r="P1385" s="50">
        <f>HEX2DEC(RIGHT(Table132321432[[#This Row],[h1]],8))</f>
        <v>0</v>
      </c>
      <c r="Q1385" s="50" t="s">
        <v>97</v>
      </c>
      <c r="R1385" s="50">
        <f>HEX2DEC(RIGHT(Table132321432[[#This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50" t="s">
        <v>97</v>
      </c>
      <c r="P1386" s="50">
        <f>HEX2DEC(RIGHT(Table132321432[[#This Row],[h1]],8))</f>
        <v>0</v>
      </c>
      <c r="Q1386" s="50" t="s">
        <v>97</v>
      </c>
      <c r="R1386" s="50">
        <f>HEX2DEC(RIGHT(Table132321432[[#This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50" t="s">
        <v>97</v>
      </c>
      <c r="P1387" s="50">
        <f>HEX2DEC(RIGHT(Table132321432[[#This Row],[h1]],8))</f>
        <v>0</v>
      </c>
      <c r="Q1387" s="50" t="s">
        <v>97</v>
      </c>
      <c r="R1387" s="50">
        <f>HEX2DEC(RIGHT(Table132321432[[#This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50" t="s">
        <v>97</v>
      </c>
      <c r="P1388" s="50">
        <f>HEX2DEC(RIGHT(Table132321432[[#This Row],[h1]],8))</f>
        <v>0</v>
      </c>
      <c r="Q1388" s="50" t="s">
        <v>97</v>
      </c>
      <c r="R1388" s="50">
        <f>HEX2DEC(RIGHT(Table132321432[[#This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50" t="s">
        <v>97</v>
      </c>
      <c r="P1389" s="50">
        <f>HEX2DEC(RIGHT(Table132321432[[#This Row],[h1]],8))</f>
        <v>0</v>
      </c>
      <c r="Q1389" s="50" t="s">
        <v>97</v>
      </c>
      <c r="R1389" s="50">
        <f>HEX2DEC(RIGHT(Table132321432[[#This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50" t="s">
        <v>97</v>
      </c>
      <c r="P1390" s="50">
        <f>HEX2DEC(RIGHT(Table132321432[[#This Row],[h1]],8))</f>
        <v>0</v>
      </c>
      <c r="Q1390" s="50" t="s">
        <v>97</v>
      </c>
      <c r="R1390" s="50">
        <f>HEX2DEC(RIGHT(Table132321432[[#This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50" t="s">
        <v>97</v>
      </c>
      <c r="P1391" s="50">
        <f>HEX2DEC(RIGHT(Table132321432[[#This Row],[h1]],8))</f>
        <v>0</v>
      </c>
      <c r="Q1391" s="50" t="s">
        <v>97</v>
      </c>
      <c r="R1391" s="50">
        <f>HEX2DEC(RIGHT(Table132321432[[#This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50" t="s">
        <v>97</v>
      </c>
      <c r="P1392" s="50">
        <f>HEX2DEC(RIGHT(Table132321432[[#This Row],[h1]],8))</f>
        <v>0</v>
      </c>
      <c r="Q1392" s="50" t="s">
        <v>97</v>
      </c>
      <c r="R1392" s="50">
        <f>HEX2DEC(RIGHT(Table132321432[[#This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50" t="s">
        <v>97</v>
      </c>
      <c r="P1393" s="50">
        <f>HEX2DEC(RIGHT(Table132321432[[#This Row],[h1]],8))</f>
        <v>0</v>
      </c>
      <c r="Q1393" s="50" t="s">
        <v>97</v>
      </c>
      <c r="R1393" s="50">
        <f>HEX2DEC(RIGHT(Table132321432[[#This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50" t="s">
        <v>97</v>
      </c>
      <c r="P1394" s="50">
        <f>HEX2DEC(RIGHT(Table132321432[[#This Row],[h1]],8))</f>
        <v>0</v>
      </c>
      <c r="Q1394" s="50" t="s">
        <v>97</v>
      </c>
      <c r="R1394" s="50">
        <f>HEX2DEC(RIGHT(Table132321432[[#This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50" t="s">
        <v>97</v>
      </c>
      <c r="P1395" s="50">
        <f>HEX2DEC(RIGHT(Table132321432[[#This Row],[h1]],8))</f>
        <v>0</v>
      </c>
      <c r="Q1395" s="50" t="s">
        <v>97</v>
      </c>
      <c r="R1395" s="50">
        <f>HEX2DEC(RIGHT(Table132321432[[#This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50" t="s">
        <v>97</v>
      </c>
      <c r="P1396" s="50">
        <f>HEX2DEC(RIGHT(Table132321432[[#This Row],[h1]],8))</f>
        <v>0</v>
      </c>
      <c r="Q1396" s="50" t="s">
        <v>97</v>
      </c>
      <c r="R1396" s="50">
        <f>HEX2DEC(RIGHT(Table132321432[[#This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50" t="s">
        <v>97</v>
      </c>
      <c r="P1397" s="50">
        <f>HEX2DEC(RIGHT(Table132321432[[#This Row],[h1]],8))</f>
        <v>0</v>
      </c>
      <c r="Q1397" s="50" t="s">
        <v>97</v>
      </c>
      <c r="R1397" s="50">
        <f>HEX2DEC(RIGHT(Table132321432[[#This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50" t="s">
        <v>97</v>
      </c>
      <c r="P1398" s="50">
        <f>HEX2DEC(RIGHT(Table132321432[[#This Row],[h1]],8))</f>
        <v>0</v>
      </c>
      <c r="Q1398" s="50" t="s">
        <v>97</v>
      </c>
      <c r="R1398" s="50">
        <f>HEX2DEC(RIGHT(Table132321432[[#This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50" t="s">
        <v>97</v>
      </c>
      <c r="P1399" s="50">
        <f>HEX2DEC(RIGHT(Table132321432[[#This Row],[h1]],8))</f>
        <v>0</v>
      </c>
      <c r="Q1399" s="50" t="s">
        <v>97</v>
      </c>
      <c r="R1399" s="50">
        <f>HEX2DEC(RIGHT(Table132321432[[#This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50" t="s">
        <v>97</v>
      </c>
      <c r="P1400" s="50">
        <f>HEX2DEC(RIGHT(Table132321432[[#This Row],[h1]],8))</f>
        <v>0</v>
      </c>
      <c r="Q1400" s="50" t="s">
        <v>97</v>
      </c>
      <c r="R1400" s="50">
        <f>HEX2DEC(RIGHT(Table132321432[[#This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50" t="s">
        <v>97</v>
      </c>
      <c r="P1401" s="50">
        <f>HEX2DEC(RIGHT(Table132321432[[#This Row],[h1]],8))</f>
        <v>0</v>
      </c>
      <c r="Q1401" s="50" t="s">
        <v>97</v>
      </c>
      <c r="R1401" s="50">
        <f>HEX2DEC(RIGHT(Table132321432[[#This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50" t="s">
        <v>97</v>
      </c>
      <c r="P1402" s="50">
        <f>HEX2DEC(RIGHT(Table132321432[[#This Row],[h1]],8))</f>
        <v>0</v>
      </c>
      <c r="Q1402" s="50" t="s">
        <v>97</v>
      </c>
      <c r="R1402" s="50">
        <f>HEX2DEC(RIGHT(Table132321432[[#This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50" t="s">
        <v>97</v>
      </c>
      <c r="P1403" s="50">
        <f>HEX2DEC(RIGHT(Table132321432[[#This Row],[h1]],8))</f>
        <v>0</v>
      </c>
      <c r="Q1403" s="50" t="s">
        <v>97</v>
      </c>
      <c r="R1403" s="50">
        <f>HEX2DEC(RIGHT(Table132321432[[#This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50" t="s">
        <v>97</v>
      </c>
      <c r="P1404" s="50">
        <f>HEX2DEC(RIGHT(Table132321432[[#This Row],[h1]],8))</f>
        <v>0</v>
      </c>
      <c r="Q1404" s="50" t="s">
        <v>97</v>
      </c>
      <c r="R1404" s="50">
        <f>HEX2DEC(RIGHT(Table132321432[[#This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50" t="s">
        <v>97</v>
      </c>
      <c r="P1405" s="50">
        <f>HEX2DEC(RIGHT(Table132321432[[#This Row],[h1]],8))</f>
        <v>0</v>
      </c>
      <c r="Q1405" s="50" t="s">
        <v>97</v>
      </c>
      <c r="R1405" s="50">
        <f>HEX2DEC(RIGHT(Table132321432[[#This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50" t="s">
        <v>97</v>
      </c>
      <c r="P1406" s="50">
        <f>HEX2DEC(RIGHT(Table132321432[[#This Row],[h1]],8))</f>
        <v>0</v>
      </c>
      <c r="Q1406" s="50" t="s">
        <v>97</v>
      </c>
      <c r="R1406" s="50">
        <f>HEX2DEC(RIGHT(Table132321432[[#This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50" t="s">
        <v>97</v>
      </c>
      <c r="P1407" s="50">
        <f>HEX2DEC(RIGHT(Table132321432[[#This Row],[h1]],8))</f>
        <v>0</v>
      </c>
      <c r="Q1407" s="50" t="s">
        <v>97</v>
      </c>
      <c r="R1407" s="50">
        <f>HEX2DEC(RIGHT(Table132321432[[#This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50" t="s">
        <v>97</v>
      </c>
      <c r="P1408" s="50">
        <f>HEX2DEC(RIGHT(Table132321432[[#This Row],[h1]],8))</f>
        <v>0</v>
      </c>
      <c r="Q1408" s="50" t="s">
        <v>97</v>
      </c>
      <c r="R1408" s="50">
        <f>HEX2DEC(RIGHT(Table132321432[[#This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50" t="s">
        <v>97</v>
      </c>
      <c r="P1409" s="50">
        <f>HEX2DEC(RIGHT(Table132321432[[#This Row],[h1]],8))</f>
        <v>0</v>
      </c>
      <c r="Q1409" s="50" t="s">
        <v>97</v>
      </c>
      <c r="R1409" s="50">
        <f>HEX2DEC(RIGHT(Table132321432[[#This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50" t="s">
        <v>97</v>
      </c>
      <c r="P1410" s="50">
        <f>HEX2DEC(RIGHT(Table132321432[[#This Row],[h1]],8))</f>
        <v>0</v>
      </c>
      <c r="Q1410" s="50" t="s">
        <v>97</v>
      </c>
      <c r="R1410" s="50">
        <f>HEX2DEC(RIGHT(Table132321432[[#This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50" t="s">
        <v>97</v>
      </c>
      <c r="P1411" s="50">
        <f>HEX2DEC(RIGHT(Table132321432[[#This Row],[h1]],8))</f>
        <v>0</v>
      </c>
      <c r="Q1411" s="50" t="s">
        <v>97</v>
      </c>
      <c r="R1411" s="50">
        <f>HEX2DEC(RIGHT(Table132321432[[#This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50" t="s">
        <v>97</v>
      </c>
      <c r="P1412" s="50">
        <f>HEX2DEC(RIGHT(Table132321432[[#This Row],[h1]],8))</f>
        <v>0</v>
      </c>
      <c r="Q1412" s="50" t="s">
        <v>97</v>
      </c>
      <c r="R1412" s="50">
        <f>HEX2DEC(RIGHT(Table132321432[[#This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50" t="s">
        <v>97</v>
      </c>
      <c r="P1413" s="50">
        <f>HEX2DEC(RIGHT(Table132321432[[#This Row],[h1]],8))</f>
        <v>0</v>
      </c>
      <c r="Q1413" s="50" t="s">
        <v>97</v>
      </c>
      <c r="R1413" s="50">
        <f>HEX2DEC(RIGHT(Table132321432[[#This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50" t="s">
        <v>97</v>
      </c>
      <c r="P1414" s="50">
        <f>HEX2DEC(RIGHT(Table132321432[[#This Row],[h1]],8))</f>
        <v>0</v>
      </c>
      <c r="Q1414" s="50" t="s">
        <v>97</v>
      </c>
      <c r="R1414" s="50">
        <f>HEX2DEC(RIGHT(Table132321432[[#This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50" t="s">
        <v>97</v>
      </c>
      <c r="P1415" s="50">
        <f>HEX2DEC(RIGHT(Table132321432[[#This Row],[h1]],8))</f>
        <v>0</v>
      </c>
      <c r="Q1415" s="50" t="s">
        <v>97</v>
      </c>
      <c r="R1415" s="50">
        <f>HEX2DEC(RIGHT(Table132321432[[#This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50" t="s">
        <v>97</v>
      </c>
      <c r="P1416" s="50">
        <f>HEX2DEC(RIGHT(Table132321432[[#This Row],[h1]],8))</f>
        <v>0</v>
      </c>
      <c r="Q1416" s="50" t="s">
        <v>97</v>
      </c>
      <c r="R1416" s="50">
        <f>HEX2DEC(RIGHT(Table132321432[[#This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50" t="s">
        <v>97</v>
      </c>
      <c r="P1417" s="50">
        <f>HEX2DEC(RIGHT(Table132321432[[#This Row],[h1]],8))</f>
        <v>0</v>
      </c>
      <c r="Q1417" s="50" t="s">
        <v>97</v>
      </c>
      <c r="R1417" s="50">
        <f>HEX2DEC(RIGHT(Table132321432[[#This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50" t="s">
        <v>97</v>
      </c>
      <c r="P1418" s="50">
        <f>HEX2DEC(RIGHT(Table132321432[[#This Row],[h1]],8))</f>
        <v>0</v>
      </c>
      <c r="Q1418" s="50" t="s">
        <v>97</v>
      </c>
      <c r="R1418" s="50">
        <f>HEX2DEC(RIGHT(Table132321432[[#This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50" t="s">
        <v>97</v>
      </c>
      <c r="P1419" s="50">
        <f>HEX2DEC(RIGHT(Table132321432[[#This Row],[h1]],8))</f>
        <v>0</v>
      </c>
      <c r="Q1419" s="50" t="s">
        <v>97</v>
      </c>
      <c r="R1419" s="50">
        <f>HEX2DEC(RIGHT(Table132321432[[#This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50" t="s">
        <v>97</v>
      </c>
      <c r="P1420" s="50">
        <f>HEX2DEC(RIGHT(Table132321432[[#This Row],[h1]],8))</f>
        <v>0</v>
      </c>
      <c r="Q1420" s="50" t="s">
        <v>97</v>
      </c>
      <c r="R1420" s="50">
        <f>HEX2DEC(RIGHT(Table132321432[[#This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50" t="s">
        <v>97</v>
      </c>
      <c r="P1421" s="50">
        <f>HEX2DEC(RIGHT(Table132321432[[#This Row],[h1]],8))</f>
        <v>0</v>
      </c>
      <c r="Q1421" s="50" t="s">
        <v>97</v>
      </c>
      <c r="R1421" s="50">
        <f>HEX2DEC(RIGHT(Table132321432[[#This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50" t="s">
        <v>97</v>
      </c>
      <c r="P1422" s="50">
        <f>HEX2DEC(RIGHT(Table132321432[[#This Row],[h1]],8))</f>
        <v>0</v>
      </c>
      <c r="Q1422" s="50" t="s">
        <v>97</v>
      </c>
      <c r="R1422" s="50">
        <f>HEX2DEC(RIGHT(Table132321432[[#This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50" t="s">
        <v>97</v>
      </c>
      <c r="P1423" s="50">
        <f>HEX2DEC(RIGHT(Table132321432[[#This Row],[h1]],8))</f>
        <v>0</v>
      </c>
      <c r="Q1423" s="50" t="s">
        <v>97</v>
      </c>
      <c r="R1423" s="50">
        <f>HEX2DEC(RIGHT(Table132321432[[#This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50" t="s">
        <v>97</v>
      </c>
      <c r="P1424" s="50">
        <f>HEX2DEC(RIGHT(Table132321432[[#This Row],[h1]],8))</f>
        <v>0</v>
      </c>
      <c r="Q1424" s="50" t="s">
        <v>97</v>
      </c>
      <c r="R1424" s="50">
        <f>HEX2DEC(RIGHT(Table132321432[[#This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50" t="s">
        <v>97</v>
      </c>
      <c r="P1425" s="50">
        <f>HEX2DEC(RIGHT(Table132321432[[#This Row],[h1]],8))</f>
        <v>0</v>
      </c>
      <c r="Q1425" s="50" t="s">
        <v>97</v>
      </c>
      <c r="R1425" s="50">
        <f>HEX2DEC(RIGHT(Table132321432[[#This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50" t="s">
        <v>97</v>
      </c>
      <c r="P1426" s="50">
        <f>HEX2DEC(RIGHT(Table132321432[[#This Row],[h1]],8))</f>
        <v>0</v>
      </c>
      <c r="Q1426" s="50" t="s">
        <v>97</v>
      </c>
      <c r="R1426" s="50">
        <f>HEX2DEC(RIGHT(Table132321432[[#This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50" t="s">
        <v>97</v>
      </c>
      <c r="P1427" s="50">
        <f>HEX2DEC(RIGHT(Table132321432[[#This Row],[h1]],8))</f>
        <v>0</v>
      </c>
      <c r="Q1427" s="50" t="s">
        <v>97</v>
      </c>
      <c r="R1427" s="50">
        <f>HEX2DEC(RIGHT(Table132321432[[#This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50" t="s">
        <v>97</v>
      </c>
      <c r="P1428" s="50">
        <f>HEX2DEC(RIGHT(Table132321432[[#This Row],[h1]],8))</f>
        <v>0</v>
      </c>
      <c r="Q1428" s="50" t="s">
        <v>97</v>
      </c>
      <c r="R1428" s="50">
        <f>HEX2DEC(RIGHT(Table132321432[[#This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50" t="s">
        <v>97</v>
      </c>
      <c r="P1429" s="50">
        <f>HEX2DEC(RIGHT(Table132321432[[#This Row],[h1]],8))</f>
        <v>0</v>
      </c>
      <c r="Q1429" s="50" t="s">
        <v>97</v>
      </c>
      <c r="R1429" s="50">
        <f>HEX2DEC(RIGHT(Table132321432[[#This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50" t="s">
        <v>97</v>
      </c>
      <c r="P1430" s="50">
        <f>HEX2DEC(RIGHT(Table132321432[[#This Row],[h1]],8))</f>
        <v>0</v>
      </c>
      <c r="Q1430" s="50" t="s">
        <v>97</v>
      </c>
      <c r="R1430" s="50">
        <f>HEX2DEC(RIGHT(Table132321432[[#This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50" t="s">
        <v>97</v>
      </c>
      <c r="P1431" s="50">
        <f>HEX2DEC(RIGHT(Table132321432[[#This Row],[h1]],8))</f>
        <v>0</v>
      </c>
      <c r="Q1431" s="50" t="s">
        <v>97</v>
      </c>
      <c r="R1431" s="50">
        <f>HEX2DEC(RIGHT(Table132321432[[#This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50" t="s">
        <v>97</v>
      </c>
      <c r="P1432" s="50">
        <f>HEX2DEC(RIGHT(Table132321432[[#This Row],[h1]],8))</f>
        <v>0</v>
      </c>
      <c r="Q1432" s="50" t="s">
        <v>97</v>
      </c>
      <c r="R1432" s="50">
        <f>HEX2DEC(RIGHT(Table132321432[[#This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50" t="s">
        <v>97</v>
      </c>
      <c r="P1433" s="50">
        <f>HEX2DEC(RIGHT(Table132321432[[#This Row],[h1]],8))</f>
        <v>0</v>
      </c>
      <c r="Q1433" s="50" t="s">
        <v>97</v>
      </c>
      <c r="R1433" s="50">
        <f>HEX2DEC(RIGHT(Table132321432[[#This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50" t="s">
        <v>97</v>
      </c>
      <c r="P1434" s="50">
        <f>HEX2DEC(RIGHT(Table132321432[[#This Row],[h1]],8))</f>
        <v>0</v>
      </c>
      <c r="Q1434" s="50" t="s">
        <v>97</v>
      </c>
      <c r="R1434" s="50">
        <f>HEX2DEC(RIGHT(Table132321432[[#This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50" t="s">
        <v>97</v>
      </c>
      <c r="P1435" s="50">
        <f>HEX2DEC(RIGHT(Table132321432[[#This Row],[h1]],8))</f>
        <v>0</v>
      </c>
      <c r="Q1435" s="50" t="s">
        <v>97</v>
      </c>
      <c r="R1435" s="50">
        <f>HEX2DEC(RIGHT(Table132321432[[#This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50" t="s">
        <v>97</v>
      </c>
      <c r="P1436" s="50">
        <f>HEX2DEC(RIGHT(Table132321432[[#This Row],[h1]],8))</f>
        <v>0</v>
      </c>
      <c r="Q1436" s="50" t="s">
        <v>97</v>
      </c>
      <c r="R1436" s="50">
        <f>HEX2DEC(RIGHT(Table132321432[[#This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50" t="s">
        <v>97</v>
      </c>
      <c r="P1437" s="50">
        <f>HEX2DEC(RIGHT(Table132321432[[#This Row],[h1]],8))</f>
        <v>0</v>
      </c>
      <c r="Q1437" s="50" t="s">
        <v>97</v>
      </c>
      <c r="R1437" s="50">
        <f>HEX2DEC(RIGHT(Table132321432[[#This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50" t="s">
        <v>97</v>
      </c>
      <c r="P1438" s="50">
        <f>HEX2DEC(RIGHT(Table132321432[[#This Row],[h1]],8))</f>
        <v>0</v>
      </c>
      <c r="Q1438" s="50" t="s">
        <v>97</v>
      </c>
      <c r="R1438" s="50">
        <f>HEX2DEC(RIGHT(Table132321432[[#This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50" t="s">
        <v>97</v>
      </c>
      <c r="P1439" s="50">
        <f>HEX2DEC(RIGHT(Table132321432[[#This Row],[h1]],8))</f>
        <v>0</v>
      </c>
      <c r="Q1439" s="50" t="s">
        <v>97</v>
      </c>
      <c r="R1439" s="50">
        <f>HEX2DEC(RIGHT(Table132321432[[#This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50" t="s">
        <v>97</v>
      </c>
      <c r="P1440" s="50">
        <f>HEX2DEC(RIGHT(Table132321432[[#This Row],[h1]],8))</f>
        <v>0</v>
      </c>
      <c r="Q1440" s="50" t="s">
        <v>97</v>
      </c>
      <c r="R1440" s="50">
        <f>HEX2DEC(RIGHT(Table132321432[[#This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50" t="s">
        <v>97</v>
      </c>
      <c r="P1441" s="50">
        <f>HEX2DEC(RIGHT(Table132321432[[#This Row],[h1]],8))</f>
        <v>0</v>
      </c>
      <c r="Q1441" s="50" t="s">
        <v>97</v>
      </c>
      <c r="R1441" s="50">
        <f>HEX2DEC(RIGHT(Table132321432[[#This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50" t="s">
        <v>97</v>
      </c>
      <c r="P1442" s="50">
        <f>HEX2DEC(RIGHT(Table132321432[[#This Row],[h1]],8))</f>
        <v>0</v>
      </c>
      <c r="Q1442" s="50" t="s">
        <v>97</v>
      </c>
      <c r="R1442" s="50">
        <f>HEX2DEC(RIGHT(Table132321432[[#This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50" t="s">
        <v>97</v>
      </c>
      <c r="P1443" s="50">
        <f>HEX2DEC(RIGHT(Table132321432[[#This Row],[h1]],8))</f>
        <v>0</v>
      </c>
      <c r="Q1443" s="50" t="s">
        <v>97</v>
      </c>
      <c r="R1443" s="50">
        <f>HEX2DEC(RIGHT(Table132321432[[#This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50" t="s">
        <v>97</v>
      </c>
      <c r="P1444" s="50">
        <f>HEX2DEC(RIGHT(Table132321432[[#This Row],[h1]],8))</f>
        <v>0</v>
      </c>
      <c r="Q1444" s="50" t="s">
        <v>97</v>
      </c>
      <c r="R1444" s="50">
        <f>HEX2DEC(RIGHT(Table132321432[[#This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50" t="s">
        <v>97</v>
      </c>
      <c r="P1445" s="50">
        <f>HEX2DEC(RIGHT(Table132321432[[#This Row],[h1]],8))</f>
        <v>0</v>
      </c>
      <c r="Q1445" s="50" t="s">
        <v>97</v>
      </c>
      <c r="R1445" s="50">
        <f>HEX2DEC(RIGHT(Table132321432[[#This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50" t="s">
        <v>97</v>
      </c>
      <c r="P1446" s="50">
        <f>HEX2DEC(RIGHT(Table132321432[[#This Row],[h1]],8))</f>
        <v>0</v>
      </c>
      <c r="Q1446" s="50" t="s">
        <v>97</v>
      </c>
      <c r="R1446" s="50">
        <f>HEX2DEC(RIGHT(Table132321432[[#This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50" t="s">
        <v>97</v>
      </c>
      <c r="P1447" s="50">
        <f>HEX2DEC(RIGHT(Table132321432[[#This Row],[h1]],8))</f>
        <v>0</v>
      </c>
      <c r="Q1447" s="50" t="s">
        <v>97</v>
      </c>
      <c r="R1447" s="50">
        <f>HEX2DEC(RIGHT(Table132321432[[#This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50" t="s">
        <v>97</v>
      </c>
      <c r="P1448" s="50">
        <f>HEX2DEC(RIGHT(Table132321432[[#This Row],[h1]],8))</f>
        <v>0</v>
      </c>
      <c r="Q1448" s="50" t="s">
        <v>97</v>
      </c>
      <c r="R1448" s="50">
        <f>HEX2DEC(RIGHT(Table132321432[[#This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50" t="s">
        <v>97</v>
      </c>
      <c r="P1449" s="50">
        <f>HEX2DEC(RIGHT(Table132321432[[#This Row],[h1]],8))</f>
        <v>0</v>
      </c>
      <c r="Q1449" s="50" t="s">
        <v>97</v>
      </c>
      <c r="R1449" s="50">
        <f>HEX2DEC(RIGHT(Table132321432[[#This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50" t="s">
        <v>97</v>
      </c>
      <c r="P1450" s="50">
        <f>HEX2DEC(RIGHT(Table132321432[[#This Row],[h1]],8))</f>
        <v>0</v>
      </c>
      <c r="Q1450" s="50" t="s">
        <v>97</v>
      </c>
      <c r="R1450" s="50">
        <f>HEX2DEC(RIGHT(Table132321432[[#This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50" t="s">
        <v>97</v>
      </c>
      <c r="P1451" s="50">
        <f>HEX2DEC(RIGHT(Table132321432[[#This Row],[h1]],8))</f>
        <v>0</v>
      </c>
      <c r="Q1451" s="50" t="s">
        <v>97</v>
      </c>
      <c r="R1451" s="50">
        <f>HEX2DEC(RIGHT(Table132321432[[#This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50" t="s">
        <v>97</v>
      </c>
      <c r="P1452" s="50">
        <f>HEX2DEC(RIGHT(Table132321432[[#This Row],[h1]],8))</f>
        <v>0</v>
      </c>
      <c r="Q1452" s="50" t="s">
        <v>97</v>
      </c>
      <c r="R1452" s="50">
        <f>HEX2DEC(RIGHT(Table132321432[[#This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50" t="s">
        <v>97</v>
      </c>
      <c r="P1453" s="50">
        <f>HEX2DEC(RIGHT(Table132321432[[#This Row],[h1]],8))</f>
        <v>0</v>
      </c>
      <c r="Q1453" s="50" t="s">
        <v>97</v>
      </c>
      <c r="R1453" s="50">
        <f>HEX2DEC(RIGHT(Table132321432[[#This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50" t="s">
        <v>97</v>
      </c>
      <c r="P1454" s="50">
        <f>HEX2DEC(RIGHT(Table132321432[[#This Row],[h1]],8))</f>
        <v>0</v>
      </c>
      <c r="Q1454" s="50" t="s">
        <v>97</v>
      </c>
      <c r="R1454" s="50">
        <f>HEX2DEC(RIGHT(Table132321432[[#This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50" t="s">
        <v>97</v>
      </c>
      <c r="P1455" s="50">
        <f>HEX2DEC(RIGHT(Table132321432[[#This Row],[h1]],8))</f>
        <v>0</v>
      </c>
      <c r="Q1455" s="50" t="s">
        <v>97</v>
      </c>
      <c r="R1455" s="50">
        <f>HEX2DEC(RIGHT(Table132321432[[#This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50" t="s">
        <v>97</v>
      </c>
      <c r="P1456" s="50">
        <f>HEX2DEC(RIGHT(Table132321432[[#This Row],[h1]],8))</f>
        <v>0</v>
      </c>
      <c r="Q1456" s="50" t="s">
        <v>97</v>
      </c>
      <c r="R1456" s="50">
        <f>HEX2DEC(RIGHT(Table132321432[[#This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50" t="s">
        <v>97</v>
      </c>
      <c r="P1457" s="50">
        <f>HEX2DEC(RIGHT(Table132321432[[#This Row],[h1]],8))</f>
        <v>0</v>
      </c>
      <c r="Q1457" s="50" t="s">
        <v>97</v>
      </c>
      <c r="R1457" s="50">
        <f>HEX2DEC(RIGHT(Table132321432[[#This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50" t="s">
        <v>97</v>
      </c>
      <c r="P1458" s="50">
        <f>HEX2DEC(RIGHT(Table132321432[[#This Row],[h1]],8))</f>
        <v>0</v>
      </c>
      <c r="Q1458" s="50" t="s">
        <v>97</v>
      </c>
      <c r="R1458" s="50">
        <f>HEX2DEC(RIGHT(Table132321432[[#This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50" t="s">
        <v>97</v>
      </c>
      <c r="P1459" s="50">
        <f>HEX2DEC(RIGHT(Table132321432[[#This Row],[h1]],8))</f>
        <v>0</v>
      </c>
      <c r="Q1459" s="50" t="s">
        <v>97</v>
      </c>
      <c r="R1459" s="50">
        <f>HEX2DEC(RIGHT(Table132321432[[#This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50" t="s">
        <v>97</v>
      </c>
      <c r="P1460" s="50">
        <f>HEX2DEC(RIGHT(Table132321432[[#This Row],[h1]],8))</f>
        <v>0</v>
      </c>
      <c r="Q1460" s="50" t="s">
        <v>97</v>
      </c>
      <c r="R1460" s="50">
        <f>HEX2DEC(RIGHT(Table132321432[[#This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50" t="s">
        <v>97</v>
      </c>
      <c r="P1461" s="50">
        <f>HEX2DEC(RIGHT(Table132321432[[#This Row],[h1]],8))</f>
        <v>0</v>
      </c>
      <c r="Q1461" s="50" t="s">
        <v>97</v>
      </c>
      <c r="R1461" s="50">
        <f>HEX2DEC(RIGHT(Table132321432[[#This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50" t="s">
        <v>97</v>
      </c>
      <c r="P1462" s="50">
        <f>HEX2DEC(RIGHT(Table132321432[[#This Row],[h1]],8))</f>
        <v>0</v>
      </c>
      <c r="Q1462" s="50" t="s">
        <v>97</v>
      </c>
      <c r="R1462" s="50">
        <f>HEX2DEC(RIGHT(Table132321432[[#This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50" t="s">
        <v>97</v>
      </c>
      <c r="P1463" s="50">
        <f>HEX2DEC(RIGHT(Table132321432[[#This Row],[h1]],8))</f>
        <v>0</v>
      </c>
      <c r="Q1463" s="50" t="s">
        <v>97</v>
      </c>
      <c r="R1463" s="50">
        <f>HEX2DEC(RIGHT(Table132321432[[#This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50" t="s">
        <v>97</v>
      </c>
      <c r="P1464" s="50">
        <f>HEX2DEC(RIGHT(Table132321432[[#This Row],[h1]],8))</f>
        <v>0</v>
      </c>
      <c r="Q1464" s="50" t="s">
        <v>97</v>
      </c>
      <c r="R1464" s="50">
        <f>HEX2DEC(RIGHT(Table132321432[[#This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50" t="s">
        <v>97</v>
      </c>
      <c r="P1465" s="50">
        <f>HEX2DEC(RIGHT(Table132321432[[#This Row],[h1]],8))</f>
        <v>0</v>
      </c>
      <c r="Q1465" s="50" t="s">
        <v>97</v>
      </c>
      <c r="R1465" s="50">
        <f>HEX2DEC(RIGHT(Table132321432[[#This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50" t="s">
        <v>97</v>
      </c>
      <c r="P1466" s="50">
        <f>HEX2DEC(RIGHT(Table132321432[[#This Row],[h1]],8))</f>
        <v>0</v>
      </c>
      <c r="Q1466" s="50" t="s">
        <v>97</v>
      </c>
      <c r="R1466" s="50">
        <f>HEX2DEC(RIGHT(Table132321432[[#This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50" t="s">
        <v>97</v>
      </c>
      <c r="P1467" s="50">
        <f>HEX2DEC(RIGHT(Table132321432[[#This Row],[h1]],8))</f>
        <v>0</v>
      </c>
      <c r="Q1467" s="50" t="s">
        <v>97</v>
      </c>
      <c r="R1467" s="50">
        <f>HEX2DEC(RIGHT(Table132321432[[#This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50" t="s">
        <v>97</v>
      </c>
      <c r="P1468" s="50">
        <f>HEX2DEC(RIGHT(Table132321432[[#This Row],[h1]],8))</f>
        <v>0</v>
      </c>
      <c r="Q1468" s="50" t="s">
        <v>97</v>
      </c>
      <c r="R1468" s="50">
        <f>HEX2DEC(RIGHT(Table132321432[[#This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50" t="s">
        <v>97</v>
      </c>
      <c r="P1469" s="50">
        <f>HEX2DEC(RIGHT(Table132321432[[#This Row],[h1]],8))</f>
        <v>0</v>
      </c>
      <c r="Q1469" s="50" t="s">
        <v>97</v>
      </c>
      <c r="R1469" s="50">
        <f>HEX2DEC(RIGHT(Table132321432[[#This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50" t="s">
        <v>97</v>
      </c>
      <c r="P1470" s="50">
        <f>HEX2DEC(RIGHT(Table132321432[[#This Row],[h1]],8))</f>
        <v>0</v>
      </c>
      <c r="Q1470" s="50" t="s">
        <v>97</v>
      </c>
      <c r="R1470" s="50">
        <f>HEX2DEC(RIGHT(Table132321432[[#This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50" t="s">
        <v>97</v>
      </c>
      <c r="P1471" s="50">
        <f>HEX2DEC(RIGHT(Table132321432[[#This Row],[h1]],8))</f>
        <v>0</v>
      </c>
      <c r="Q1471" s="50" t="s">
        <v>97</v>
      </c>
      <c r="R1471" s="50">
        <f>HEX2DEC(RIGHT(Table132321432[[#This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50" t="s">
        <v>97</v>
      </c>
      <c r="P1472" s="50">
        <f>HEX2DEC(RIGHT(Table132321432[[#This Row],[h1]],8))</f>
        <v>0</v>
      </c>
      <c r="Q1472" s="50" t="s">
        <v>97</v>
      </c>
      <c r="R1472" s="50">
        <f>HEX2DEC(RIGHT(Table132321432[[#This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50" t="s">
        <v>97</v>
      </c>
      <c r="P1473" s="50">
        <f>HEX2DEC(RIGHT(Table132321432[[#This Row],[h1]],8))</f>
        <v>0</v>
      </c>
      <c r="Q1473" s="50" t="s">
        <v>97</v>
      </c>
      <c r="R1473" s="50">
        <f>HEX2DEC(RIGHT(Table132321432[[#This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50" t="s">
        <v>97</v>
      </c>
      <c r="P1474" s="50">
        <f>HEX2DEC(RIGHT(Table132321432[[#This Row],[h1]],8))</f>
        <v>0</v>
      </c>
      <c r="Q1474" s="50" t="s">
        <v>97</v>
      </c>
      <c r="R1474" s="50">
        <f>HEX2DEC(RIGHT(Table132321432[[#This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50" t="s">
        <v>97</v>
      </c>
      <c r="P1475" s="50">
        <f>HEX2DEC(RIGHT(Table132321432[[#This Row],[h1]],8))</f>
        <v>0</v>
      </c>
      <c r="Q1475" s="50" t="s">
        <v>97</v>
      </c>
      <c r="R1475" s="50">
        <f>HEX2DEC(RIGHT(Table132321432[[#This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50" t="s">
        <v>97</v>
      </c>
      <c r="P1476" s="50">
        <f>HEX2DEC(RIGHT(Table132321432[[#This Row],[h1]],8))</f>
        <v>0</v>
      </c>
      <c r="Q1476" s="50" t="s">
        <v>97</v>
      </c>
      <c r="R1476" s="50">
        <f>HEX2DEC(RIGHT(Table132321432[[#This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50" t="s">
        <v>97</v>
      </c>
      <c r="P1477" s="50">
        <f>HEX2DEC(RIGHT(Table132321432[[#This Row],[h1]],8))</f>
        <v>0</v>
      </c>
      <c r="Q1477" s="50" t="s">
        <v>97</v>
      </c>
      <c r="R1477" s="50">
        <f>HEX2DEC(RIGHT(Table132321432[[#This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50" t="s">
        <v>97</v>
      </c>
      <c r="P1478" s="50">
        <f>HEX2DEC(RIGHT(Table132321432[[#This Row],[h1]],8))</f>
        <v>0</v>
      </c>
      <c r="Q1478" s="50" t="s">
        <v>97</v>
      </c>
      <c r="R1478" s="50">
        <f>HEX2DEC(RIGHT(Table132321432[[#This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50" t="s">
        <v>97</v>
      </c>
      <c r="P1479" s="50">
        <f>HEX2DEC(RIGHT(Table132321432[[#This Row],[h1]],8))</f>
        <v>0</v>
      </c>
      <c r="Q1479" s="50" t="s">
        <v>97</v>
      </c>
      <c r="R1479" s="50">
        <f>HEX2DEC(RIGHT(Table132321432[[#This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50" t="s">
        <v>97</v>
      </c>
      <c r="P1480" s="50">
        <f>HEX2DEC(RIGHT(Table132321432[[#This Row],[h1]],8))</f>
        <v>0</v>
      </c>
      <c r="Q1480" s="50" t="s">
        <v>97</v>
      </c>
      <c r="R1480" s="50">
        <f>HEX2DEC(RIGHT(Table132321432[[#This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50" t="s">
        <v>97</v>
      </c>
      <c r="P1481" s="50">
        <f>HEX2DEC(RIGHT(Table132321432[[#This Row],[h1]],8))</f>
        <v>0</v>
      </c>
      <c r="Q1481" s="50" t="s">
        <v>97</v>
      </c>
      <c r="R1481" s="50">
        <f>HEX2DEC(RIGHT(Table132321432[[#This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50" t="s">
        <v>97</v>
      </c>
      <c r="P1482" s="50">
        <f>HEX2DEC(RIGHT(Table132321432[[#This Row],[h1]],8))</f>
        <v>0</v>
      </c>
      <c r="Q1482" s="50" t="s">
        <v>97</v>
      </c>
      <c r="R1482" s="50">
        <f>HEX2DEC(RIGHT(Table132321432[[#This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50" t="s">
        <v>97</v>
      </c>
      <c r="P1483" s="50">
        <f>HEX2DEC(RIGHT(Table132321432[[#This Row],[h1]],8))</f>
        <v>0</v>
      </c>
      <c r="Q1483" s="50" t="s">
        <v>97</v>
      </c>
      <c r="R1483" s="50">
        <f>HEX2DEC(RIGHT(Table132321432[[#This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50" t="s">
        <v>97</v>
      </c>
      <c r="P1484" s="50">
        <f>HEX2DEC(RIGHT(Table132321432[[#This Row],[h1]],8))</f>
        <v>0</v>
      </c>
      <c r="Q1484" s="50" t="s">
        <v>97</v>
      </c>
      <c r="R1484" s="50">
        <f>HEX2DEC(RIGHT(Table132321432[[#This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50" t="s">
        <v>97</v>
      </c>
      <c r="P1485" s="50">
        <f>HEX2DEC(RIGHT(Table132321432[[#This Row],[h1]],8))</f>
        <v>0</v>
      </c>
      <c r="Q1485" s="50" t="s">
        <v>97</v>
      </c>
      <c r="R1485" s="50">
        <f>HEX2DEC(RIGHT(Table132321432[[#This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50" t="s">
        <v>97</v>
      </c>
      <c r="P1486" s="50">
        <f>HEX2DEC(RIGHT(Table132321432[[#This Row],[h1]],8))</f>
        <v>0</v>
      </c>
      <c r="Q1486" s="50" t="s">
        <v>97</v>
      </c>
      <c r="R1486" s="50">
        <f>HEX2DEC(RIGHT(Table132321432[[#This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50" t="s">
        <v>97</v>
      </c>
      <c r="P1487" s="50">
        <f>HEX2DEC(RIGHT(Table132321432[[#This Row],[h1]],8))</f>
        <v>0</v>
      </c>
      <c r="Q1487" s="50" t="s">
        <v>97</v>
      </c>
      <c r="R1487" s="50">
        <f>HEX2DEC(RIGHT(Table132321432[[#This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50" t="s">
        <v>97</v>
      </c>
      <c r="P1488" s="50">
        <f>HEX2DEC(RIGHT(Table132321432[[#This Row],[h1]],8))</f>
        <v>0</v>
      </c>
      <c r="Q1488" s="50" t="s">
        <v>97</v>
      </c>
      <c r="R1488" s="50">
        <f>HEX2DEC(RIGHT(Table132321432[[#This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50" t="s">
        <v>97</v>
      </c>
      <c r="P1489" s="50">
        <f>HEX2DEC(RIGHT(Table132321432[[#This Row],[h1]],8))</f>
        <v>0</v>
      </c>
      <c r="Q1489" s="50" t="s">
        <v>97</v>
      </c>
      <c r="R1489" s="50">
        <f>HEX2DEC(RIGHT(Table132321432[[#This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50" t="s">
        <v>97</v>
      </c>
      <c r="P1490" s="50">
        <f>HEX2DEC(RIGHT(Table132321432[[#This Row],[h1]],8))</f>
        <v>0</v>
      </c>
      <c r="Q1490" s="50" t="s">
        <v>97</v>
      </c>
      <c r="R1490" s="50">
        <f>HEX2DEC(RIGHT(Table132321432[[#This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50" t="s">
        <v>97</v>
      </c>
      <c r="P1491" s="50">
        <f>HEX2DEC(RIGHT(Table132321432[[#This Row],[h1]],8))</f>
        <v>0</v>
      </c>
      <c r="Q1491" s="50" t="s">
        <v>97</v>
      </c>
      <c r="R1491" s="50">
        <f>HEX2DEC(RIGHT(Table132321432[[#This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50" t="s">
        <v>97</v>
      </c>
      <c r="P1492" s="50">
        <f>HEX2DEC(RIGHT(Table132321432[[#This Row],[h1]],8))</f>
        <v>0</v>
      </c>
      <c r="Q1492" s="50" t="s">
        <v>97</v>
      </c>
      <c r="R1492" s="50">
        <f>HEX2DEC(RIGHT(Table132321432[[#This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50" t="s">
        <v>97</v>
      </c>
      <c r="P1493" s="50">
        <f>HEX2DEC(RIGHT(Table132321432[[#This Row],[h1]],8))</f>
        <v>0</v>
      </c>
      <c r="Q1493" s="50" t="s">
        <v>97</v>
      </c>
      <c r="R1493" s="50">
        <f>HEX2DEC(RIGHT(Table132321432[[#This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50" t="s">
        <v>97</v>
      </c>
      <c r="P1494" s="50">
        <f>HEX2DEC(RIGHT(Table132321432[[#This Row],[h1]],8))</f>
        <v>0</v>
      </c>
      <c r="Q1494" s="50" t="s">
        <v>97</v>
      </c>
      <c r="R1494" s="50">
        <f>HEX2DEC(RIGHT(Table132321432[[#This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50" t="s">
        <v>97</v>
      </c>
      <c r="P1495" s="50">
        <f>HEX2DEC(RIGHT(Table132321432[[#This Row],[h1]],8))</f>
        <v>0</v>
      </c>
      <c r="Q1495" s="50" t="s">
        <v>97</v>
      </c>
      <c r="R1495" s="50">
        <f>HEX2DEC(RIGHT(Table132321432[[#This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50" t="s">
        <v>97</v>
      </c>
      <c r="P1496" s="50">
        <f>HEX2DEC(RIGHT(Table132321432[[#This Row],[h1]],8))</f>
        <v>0</v>
      </c>
      <c r="Q1496" s="50" t="s">
        <v>97</v>
      </c>
      <c r="R1496" s="50">
        <f>HEX2DEC(RIGHT(Table132321432[[#This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50" t="s">
        <v>97</v>
      </c>
      <c r="P1497" s="50">
        <f>HEX2DEC(RIGHT(Table132321432[[#This Row],[h1]],8))</f>
        <v>0</v>
      </c>
      <c r="Q1497" s="50" t="s">
        <v>97</v>
      </c>
      <c r="R1497" s="50">
        <f>HEX2DEC(RIGHT(Table132321432[[#This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50" t="s">
        <v>97</v>
      </c>
      <c r="P1498" s="50">
        <f>HEX2DEC(RIGHT(Table132321432[[#This Row],[h1]],8))</f>
        <v>0</v>
      </c>
      <c r="Q1498" s="50" t="s">
        <v>97</v>
      </c>
      <c r="R1498" s="50">
        <f>HEX2DEC(RIGHT(Table132321432[[#This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50" t="s">
        <v>97</v>
      </c>
      <c r="P1499" s="50">
        <f>HEX2DEC(RIGHT(Table132321432[[#This Row],[h1]],8))</f>
        <v>0</v>
      </c>
      <c r="Q1499" s="50" t="s">
        <v>97</v>
      </c>
      <c r="R1499" s="50">
        <f>HEX2DEC(RIGHT(Table132321432[[#This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50" t="s">
        <v>97</v>
      </c>
      <c r="P1500" s="50">
        <f>HEX2DEC(RIGHT(Table132321432[[#This Row],[h1]],8))</f>
        <v>0</v>
      </c>
      <c r="Q1500" s="50" t="s">
        <v>97</v>
      </c>
      <c r="R1500" s="50">
        <f>HEX2DEC(RIGHT(Table132321432[[#This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50" t="s">
        <v>97</v>
      </c>
      <c r="P1501" s="50">
        <f>HEX2DEC(RIGHT(Table132321432[[#This Row],[h1]],8))</f>
        <v>0</v>
      </c>
      <c r="Q1501" s="50" t="s">
        <v>97</v>
      </c>
      <c r="R1501" s="50">
        <f>HEX2DEC(RIGHT(Table132321432[[#This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50" t="s">
        <v>97</v>
      </c>
      <c r="P1502" s="50">
        <f>HEX2DEC(RIGHT(Table132321432[[#This Row],[h1]],8))</f>
        <v>0</v>
      </c>
      <c r="Q1502" s="50" t="s">
        <v>97</v>
      </c>
      <c r="R1502" s="50">
        <f>HEX2DEC(RIGHT(Table132321432[[#This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50" t="s">
        <v>97</v>
      </c>
      <c r="P1503" s="50">
        <f>HEX2DEC(RIGHT(Table132321432[[#This Row],[h1]],8))</f>
        <v>0</v>
      </c>
      <c r="Q1503" s="50" t="s">
        <v>97</v>
      </c>
      <c r="R1503" s="50">
        <f>HEX2DEC(RIGHT(Table132321432[[#This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50" t="s">
        <v>97</v>
      </c>
      <c r="P1504" s="50">
        <f>HEX2DEC(RIGHT(Table132321432[[#This Row],[h1]],8))</f>
        <v>0</v>
      </c>
      <c r="Q1504" s="50" t="s">
        <v>97</v>
      </c>
      <c r="R1504" s="50">
        <f>HEX2DEC(RIGHT(Table132321432[[#This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50" t="s">
        <v>97</v>
      </c>
      <c r="P1505" s="50">
        <f>HEX2DEC(RIGHT(Table132321432[[#This Row],[h1]],8))</f>
        <v>0</v>
      </c>
      <c r="Q1505" s="50" t="s">
        <v>97</v>
      </c>
      <c r="R1505" s="50">
        <f>HEX2DEC(RIGHT(Table132321432[[#This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50" t="s">
        <v>97</v>
      </c>
      <c r="P1506" s="50">
        <f>HEX2DEC(RIGHT(Table132321432[[#This Row],[h1]],8))</f>
        <v>0</v>
      </c>
      <c r="Q1506" s="50" t="s">
        <v>97</v>
      </c>
      <c r="R1506" s="50">
        <f>HEX2DEC(RIGHT(Table132321432[[#This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50" t="s">
        <v>97</v>
      </c>
      <c r="P1507" s="50">
        <f>HEX2DEC(RIGHT(Table132321432[[#This Row],[h1]],8))</f>
        <v>0</v>
      </c>
      <c r="Q1507" s="50" t="s">
        <v>97</v>
      </c>
      <c r="R1507" s="50">
        <f>HEX2DEC(RIGHT(Table132321432[[#This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50" t="s">
        <v>97</v>
      </c>
      <c r="P1508" s="50">
        <f>HEX2DEC(RIGHT(Table132321432[[#This Row],[h1]],8))</f>
        <v>0</v>
      </c>
      <c r="Q1508" s="50" t="s">
        <v>97</v>
      </c>
      <c r="R1508" s="50">
        <f>HEX2DEC(RIGHT(Table132321432[[#This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50" t="s">
        <v>97</v>
      </c>
      <c r="P1509" s="50">
        <f>HEX2DEC(RIGHT(Table132321432[[#This Row],[h1]],8))</f>
        <v>0</v>
      </c>
      <c r="Q1509" s="50" t="s">
        <v>97</v>
      </c>
      <c r="R1509" s="50">
        <f>HEX2DEC(RIGHT(Table132321432[[#This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50" t="s">
        <v>97</v>
      </c>
      <c r="P1510" s="50">
        <f>HEX2DEC(RIGHT(Table132321432[[#This Row],[h1]],8))</f>
        <v>0</v>
      </c>
      <c r="Q1510" s="50" t="s">
        <v>97</v>
      </c>
      <c r="R1510" s="50">
        <f>HEX2DEC(RIGHT(Table132321432[[#This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50" t="s">
        <v>97</v>
      </c>
      <c r="P1511" s="50">
        <f>HEX2DEC(RIGHT(Table132321432[[#This Row],[h1]],8))</f>
        <v>0</v>
      </c>
      <c r="Q1511" s="50" t="s">
        <v>97</v>
      </c>
      <c r="R1511" s="50">
        <f>HEX2DEC(RIGHT(Table132321432[[#This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50" t="s">
        <v>97</v>
      </c>
      <c r="P1512" s="50">
        <f>HEX2DEC(RIGHT(Table132321432[[#This Row],[h1]],8))</f>
        <v>0</v>
      </c>
      <c r="Q1512" s="50" t="s">
        <v>97</v>
      </c>
      <c r="R1512" s="50">
        <f>HEX2DEC(RIGHT(Table132321432[[#This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50" t="s">
        <v>97</v>
      </c>
      <c r="P1513" s="50">
        <f>HEX2DEC(RIGHT(Table132321432[[#This Row],[h1]],8))</f>
        <v>0</v>
      </c>
      <c r="Q1513" s="50" t="s">
        <v>97</v>
      </c>
      <c r="R1513" s="50">
        <f>HEX2DEC(RIGHT(Table132321432[[#This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50" t="s">
        <v>97</v>
      </c>
      <c r="P1514" s="50">
        <f>HEX2DEC(RIGHT(Table132321432[[#This Row],[h1]],8))</f>
        <v>0</v>
      </c>
      <c r="Q1514" s="50" t="s">
        <v>97</v>
      </c>
      <c r="R1514" s="50">
        <f>HEX2DEC(RIGHT(Table132321432[[#This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50" t="s">
        <v>97</v>
      </c>
      <c r="P1515" s="50">
        <f>HEX2DEC(RIGHT(Table132321432[[#This Row],[h1]],8))</f>
        <v>0</v>
      </c>
      <c r="Q1515" s="50" t="s">
        <v>97</v>
      </c>
      <c r="R1515" s="50">
        <f>HEX2DEC(RIGHT(Table132321432[[#This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50" t="s">
        <v>97</v>
      </c>
      <c r="P1516" s="50">
        <f>HEX2DEC(RIGHT(Table132321432[[#This Row],[h1]],8))</f>
        <v>0</v>
      </c>
      <c r="Q1516" s="50" t="s">
        <v>97</v>
      </c>
      <c r="R1516" s="50">
        <f>HEX2DEC(RIGHT(Table132321432[[#This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50" t="s">
        <v>97</v>
      </c>
      <c r="P1517" s="50">
        <f>HEX2DEC(RIGHT(Table132321432[[#This Row],[h1]],8))</f>
        <v>0</v>
      </c>
      <c r="Q1517" s="50" t="s">
        <v>97</v>
      </c>
      <c r="R1517" s="50">
        <f>HEX2DEC(RIGHT(Table132321432[[#This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50" t="s">
        <v>97</v>
      </c>
      <c r="P1518" s="50">
        <f>HEX2DEC(RIGHT(Table132321432[[#This Row],[h1]],8))</f>
        <v>0</v>
      </c>
      <c r="Q1518" s="50" t="s">
        <v>97</v>
      </c>
      <c r="R1518" s="50">
        <f>HEX2DEC(RIGHT(Table132321432[[#This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50" t="s">
        <v>97</v>
      </c>
      <c r="P1519" s="50">
        <f>HEX2DEC(RIGHT(Table132321432[[#This Row],[h1]],8))</f>
        <v>0</v>
      </c>
      <c r="Q1519" s="50" t="s">
        <v>97</v>
      </c>
      <c r="R1519" s="50">
        <f>HEX2DEC(RIGHT(Table132321432[[#This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50" t="s">
        <v>97</v>
      </c>
      <c r="P1520" s="50">
        <f>HEX2DEC(RIGHT(Table132321432[[#This Row],[h1]],8))</f>
        <v>0</v>
      </c>
      <c r="Q1520" s="50" t="s">
        <v>97</v>
      </c>
      <c r="R1520" s="50">
        <f>HEX2DEC(RIGHT(Table132321432[[#This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50" t="s">
        <v>97</v>
      </c>
      <c r="P1521" s="50">
        <f>HEX2DEC(RIGHT(Table132321432[[#This Row],[h1]],8))</f>
        <v>0</v>
      </c>
      <c r="Q1521" s="50" t="s">
        <v>97</v>
      </c>
      <c r="R1521" s="50">
        <f>HEX2DEC(RIGHT(Table132321432[[#This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50" t="s">
        <v>97</v>
      </c>
      <c r="P1522" s="50">
        <f>HEX2DEC(RIGHT(Table132321432[[#This Row],[h1]],8))</f>
        <v>0</v>
      </c>
      <c r="Q1522" s="50" t="s">
        <v>97</v>
      </c>
      <c r="R1522" s="50">
        <f>HEX2DEC(RIGHT(Table132321432[[#This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50" t="s">
        <v>97</v>
      </c>
      <c r="P1523" s="50">
        <f>HEX2DEC(RIGHT(Table132321432[[#This Row],[h1]],8))</f>
        <v>0</v>
      </c>
      <c r="Q1523" s="50" t="s">
        <v>97</v>
      </c>
      <c r="R1523" s="50">
        <f>HEX2DEC(RIGHT(Table132321432[[#This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50" t="s">
        <v>97</v>
      </c>
      <c r="P1524" s="50">
        <f>HEX2DEC(RIGHT(Table132321432[[#This Row],[h1]],8))</f>
        <v>0</v>
      </c>
      <c r="Q1524" s="50" t="s">
        <v>97</v>
      </c>
      <c r="R1524" s="50">
        <f>HEX2DEC(RIGHT(Table132321432[[#This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50" t="s">
        <v>97</v>
      </c>
      <c r="P1525" s="50">
        <f>HEX2DEC(RIGHT(Table132321432[[#This Row],[h1]],8))</f>
        <v>0</v>
      </c>
      <c r="Q1525" s="50" t="s">
        <v>97</v>
      </c>
      <c r="R1525" s="50">
        <f>HEX2DEC(RIGHT(Table132321432[[#This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50" t="s">
        <v>97</v>
      </c>
      <c r="P1526" s="50">
        <f>HEX2DEC(RIGHT(Table132321432[[#This Row],[h1]],8))</f>
        <v>0</v>
      </c>
      <c r="Q1526" s="50" t="s">
        <v>97</v>
      </c>
      <c r="R1526" s="50">
        <f>HEX2DEC(RIGHT(Table132321432[[#This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50" t="s">
        <v>97</v>
      </c>
      <c r="P1527" s="50">
        <f>HEX2DEC(RIGHT(Table132321432[[#This Row],[h1]],8))</f>
        <v>0</v>
      </c>
      <c r="Q1527" s="50" t="s">
        <v>97</v>
      </c>
      <c r="R1527" s="50">
        <f>HEX2DEC(RIGHT(Table132321432[[#This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50" t="s">
        <v>97</v>
      </c>
      <c r="P1528" s="50">
        <f>HEX2DEC(RIGHT(Table132321432[[#This Row],[h1]],8))</f>
        <v>0</v>
      </c>
      <c r="Q1528" s="50" t="s">
        <v>97</v>
      </c>
      <c r="R1528" s="50">
        <f>HEX2DEC(RIGHT(Table132321432[[#This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50" t="s">
        <v>97</v>
      </c>
      <c r="P1529" s="50">
        <f>HEX2DEC(RIGHT(Table132321432[[#This Row],[h1]],8))</f>
        <v>0</v>
      </c>
      <c r="Q1529" s="50" t="s">
        <v>97</v>
      </c>
      <c r="R1529" s="50">
        <f>HEX2DEC(RIGHT(Table132321432[[#This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50" t="s">
        <v>97</v>
      </c>
      <c r="P1530" s="50">
        <f>HEX2DEC(RIGHT(Table132321432[[#This Row],[h1]],8))</f>
        <v>0</v>
      </c>
      <c r="Q1530" s="50" t="s">
        <v>97</v>
      </c>
      <c r="R1530" s="50">
        <f>HEX2DEC(RIGHT(Table132321432[[#This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50" t="s">
        <v>97</v>
      </c>
      <c r="P1531" s="50">
        <f>HEX2DEC(RIGHT(Table132321432[[#This Row],[h1]],8))</f>
        <v>0</v>
      </c>
      <c r="Q1531" s="50" t="s">
        <v>97</v>
      </c>
      <c r="R1531" s="50">
        <f>HEX2DEC(RIGHT(Table132321432[[#This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50" t="s">
        <v>97</v>
      </c>
      <c r="P1532" s="50">
        <f>HEX2DEC(RIGHT(Table132321432[[#This Row],[h1]],8))</f>
        <v>0</v>
      </c>
      <c r="Q1532" s="50" t="s">
        <v>97</v>
      </c>
      <c r="R1532" s="50">
        <f>HEX2DEC(RIGHT(Table132321432[[#This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50" t="s">
        <v>97</v>
      </c>
      <c r="P1533" s="50">
        <f>HEX2DEC(RIGHT(Table132321432[[#This Row],[h1]],8))</f>
        <v>0</v>
      </c>
      <c r="Q1533" s="50" t="s">
        <v>97</v>
      </c>
      <c r="R1533" s="50">
        <f>HEX2DEC(RIGHT(Table132321432[[#This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50" t="s">
        <v>97</v>
      </c>
      <c r="P1534" s="50">
        <f>HEX2DEC(RIGHT(Table132321432[[#This Row],[h1]],8))</f>
        <v>0</v>
      </c>
      <c r="Q1534" s="50" t="s">
        <v>97</v>
      </c>
      <c r="R1534" s="50">
        <f>HEX2DEC(RIGHT(Table132321432[[#This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50" t="s">
        <v>97</v>
      </c>
      <c r="P1535" s="50">
        <f>HEX2DEC(RIGHT(Table132321432[[#This Row],[h1]],8))</f>
        <v>0</v>
      </c>
      <c r="Q1535" s="50" t="s">
        <v>97</v>
      </c>
      <c r="R1535" s="50">
        <f>HEX2DEC(RIGHT(Table132321432[[#This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50" t="s">
        <v>97</v>
      </c>
      <c r="P1536" s="50">
        <f>HEX2DEC(RIGHT(Table132321432[[#This Row],[h1]],8))</f>
        <v>0</v>
      </c>
      <c r="Q1536" s="50" t="s">
        <v>97</v>
      </c>
      <c r="R1536" s="50">
        <f>HEX2DEC(RIGHT(Table132321432[[#This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50" t="s">
        <v>97</v>
      </c>
      <c r="P1537" s="50">
        <f>HEX2DEC(RIGHT(Table132321432[[#This Row],[h1]],8))</f>
        <v>0</v>
      </c>
      <c r="Q1537" s="50" t="s">
        <v>97</v>
      </c>
      <c r="R1537" s="50">
        <f>HEX2DEC(RIGHT(Table132321432[[#This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50" t="s">
        <v>97</v>
      </c>
      <c r="P1538" s="50">
        <f>HEX2DEC(RIGHT(Table132321432[[#This Row],[h1]],8))</f>
        <v>0</v>
      </c>
      <c r="Q1538" s="50" t="s">
        <v>97</v>
      </c>
      <c r="R1538" s="50">
        <f>HEX2DEC(RIGHT(Table132321432[[#This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50" t="s">
        <v>97</v>
      </c>
      <c r="P1539" s="50">
        <f>HEX2DEC(RIGHT(Table132321432[[#This Row],[h1]],8))</f>
        <v>0</v>
      </c>
      <c r="Q1539" s="50" t="s">
        <v>97</v>
      </c>
      <c r="R1539" s="50">
        <f>HEX2DEC(RIGHT(Table132321432[[#This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50" t="s">
        <v>97</v>
      </c>
      <c r="P1540" s="50">
        <f>HEX2DEC(RIGHT(Table132321432[[#This Row],[h1]],8))</f>
        <v>0</v>
      </c>
      <c r="Q1540" s="50" t="s">
        <v>97</v>
      </c>
      <c r="R1540" s="50">
        <f>HEX2DEC(RIGHT(Table132321432[[#This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50" t="s">
        <v>97</v>
      </c>
      <c r="P1541" s="50">
        <f>HEX2DEC(RIGHT(Table132321432[[#This Row],[h1]],8))</f>
        <v>0</v>
      </c>
      <c r="Q1541" s="50" t="s">
        <v>97</v>
      </c>
      <c r="R1541" s="50">
        <f>HEX2DEC(RIGHT(Table132321432[[#This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50" t="s">
        <v>97</v>
      </c>
      <c r="P1542" s="50">
        <f>HEX2DEC(RIGHT(Table132321432[[#This Row],[h1]],8))</f>
        <v>0</v>
      </c>
      <c r="Q1542" s="50" t="s">
        <v>97</v>
      </c>
      <c r="R1542" s="50">
        <f>HEX2DEC(RIGHT(Table132321432[[#This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50" t="s">
        <v>97</v>
      </c>
      <c r="P1543" s="50">
        <f>HEX2DEC(RIGHT(Table132321432[[#This Row],[h1]],8))</f>
        <v>0</v>
      </c>
      <c r="Q1543" s="50" t="s">
        <v>97</v>
      </c>
      <c r="R1543" s="50">
        <f>HEX2DEC(RIGHT(Table132321432[[#This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50" t="s">
        <v>97</v>
      </c>
      <c r="P1544" s="50">
        <f>HEX2DEC(RIGHT(Table132321432[[#This Row],[h1]],8))</f>
        <v>0</v>
      </c>
      <c r="Q1544" s="50" t="s">
        <v>97</v>
      </c>
      <c r="R1544" s="50">
        <f>HEX2DEC(RIGHT(Table132321432[[#This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50" t="s">
        <v>97</v>
      </c>
      <c r="P1545" s="50">
        <f>HEX2DEC(RIGHT(Table132321432[[#This Row],[h1]],8))</f>
        <v>0</v>
      </c>
      <c r="Q1545" s="50" t="s">
        <v>97</v>
      </c>
      <c r="R1545" s="50">
        <f>HEX2DEC(RIGHT(Table132321432[[#This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50" t="s">
        <v>97</v>
      </c>
      <c r="P1546" s="50">
        <f>HEX2DEC(RIGHT(Table132321432[[#This Row],[h1]],8))</f>
        <v>0</v>
      </c>
      <c r="Q1546" s="50" t="s">
        <v>97</v>
      </c>
      <c r="R1546" s="50">
        <f>HEX2DEC(RIGHT(Table132321432[[#This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50" t="s">
        <v>97</v>
      </c>
      <c r="P1547" s="50">
        <f>HEX2DEC(RIGHT(Table132321432[[#This Row],[h1]],8))</f>
        <v>0</v>
      </c>
      <c r="Q1547" s="50" t="s">
        <v>97</v>
      </c>
      <c r="R1547" s="50">
        <f>HEX2DEC(RIGHT(Table132321432[[#This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50" t="s">
        <v>97</v>
      </c>
      <c r="P1548" s="50">
        <f>HEX2DEC(RIGHT(Table132321432[[#This Row],[h1]],8))</f>
        <v>0</v>
      </c>
      <c r="Q1548" s="50" t="s">
        <v>97</v>
      </c>
      <c r="R1548" s="50">
        <f>HEX2DEC(RIGHT(Table132321432[[#This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50" t="s">
        <v>97</v>
      </c>
      <c r="P1549" s="50">
        <f>HEX2DEC(RIGHT(Table132321432[[#This Row],[h1]],8))</f>
        <v>0</v>
      </c>
      <c r="Q1549" s="50" t="s">
        <v>97</v>
      </c>
      <c r="R1549" s="50">
        <f>HEX2DEC(RIGHT(Table132321432[[#This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50" t="s">
        <v>97</v>
      </c>
      <c r="P1550" s="50">
        <f>HEX2DEC(RIGHT(Table132321432[[#This Row],[h1]],8))</f>
        <v>0</v>
      </c>
      <c r="Q1550" s="50" t="s">
        <v>97</v>
      </c>
      <c r="R1550" s="50">
        <f>HEX2DEC(RIGHT(Table132321432[[#This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50" t="s">
        <v>97</v>
      </c>
      <c r="P1551" s="50">
        <f>HEX2DEC(RIGHT(Table132321432[[#This Row],[h1]],8))</f>
        <v>0</v>
      </c>
      <c r="Q1551" s="50" t="s">
        <v>97</v>
      </c>
      <c r="R1551" s="50">
        <f>HEX2DEC(RIGHT(Table132321432[[#This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50" t="s">
        <v>97</v>
      </c>
      <c r="P1552" s="50">
        <f>HEX2DEC(RIGHT(Table132321432[[#This Row],[h1]],8))</f>
        <v>0</v>
      </c>
      <c r="Q1552" s="50" t="s">
        <v>97</v>
      </c>
      <c r="R1552" s="50">
        <f>HEX2DEC(RIGHT(Table132321432[[#This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50" t="s">
        <v>97</v>
      </c>
      <c r="P1553" s="50">
        <f>HEX2DEC(RIGHT(Table132321432[[#This Row],[h1]],8))</f>
        <v>0</v>
      </c>
      <c r="Q1553" s="50" t="s">
        <v>97</v>
      </c>
      <c r="R1553" s="50">
        <f>HEX2DEC(RIGHT(Table132321432[[#This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50" t="s">
        <v>97</v>
      </c>
      <c r="P1554" s="50">
        <f>HEX2DEC(RIGHT(Table132321432[[#This Row],[h1]],8))</f>
        <v>0</v>
      </c>
      <c r="Q1554" s="50" t="s">
        <v>97</v>
      </c>
      <c r="R1554" s="50">
        <f>HEX2DEC(RIGHT(Table132321432[[#This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50" t="s">
        <v>97</v>
      </c>
      <c r="P1555" s="50">
        <f>HEX2DEC(RIGHT(Table132321432[[#This Row],[h1]],8))</f>
        <v>0</v>
      </c>
      <c r="Q1555" s="50" t="s">
        <v>97</v>
      </c>
      <c r="R1555" s="50">
        <f>HEX2DEC(RIGHT(Table132321432[[#This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50" t="s">
        <v>97</v>
      </c>
      <c r="P1556" s="50">
        <f>HEX2DEC(RIGHT(Table132321432[[#This Row],[h1]],8))</f>
        <v>0</v>
      </c>
      <c r="Q1556" s="50" t="s">
        <v>97</v>
      </c>
      <c r="R1556" s="50">
        <f>HEX2DEC(RIGHT(Table132321432[[#This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50" t="s">
        <v>97</v>
      </c>
      <c r="P1557" s="50">
        <f>HEX2DEC(RIGHT(Table132321432[[#This Row],[h1]],8))</f>
        <v>0</v>
      </c>
      <c r="Q1557" s="50" t="s">
        <v>97</v>
      </c>
      <c r="R1557" s="50">
        <f>HEX2DEC(RIGHT(Table132321432[[#This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50" t="s">
        <v>97</v>
      </c>
      <c r="P1558" s="50">
        <f>HEX2DEC(RIGHT(Table132321432[[#This Row],[h1]],8))</f>
        <v>0</v>
      </c>
      <c r="Q1558" s="50" t="s">
        <v>97</v>
      </c>
      <c r="R1558" s="50">
        <f>HEX2DEC(RIGHT(Table132321432[[#This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50" t="s">
        <v>97</v>
      </c>
      <c r="P1559" s="50">
        <f>HEX2DEC(RIGHT(Table132321432[[#This Row],[h1]],8))</f>
        <v>0</v>
      </c>
      <c r="Q1559" s="50" t="s">
        <v>97</v>
      </c>
      <c r="R1559" s="50">
        <f>HEX2DEC(RIGHT(Table132321432[[#This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50" t="s">
        <v>97</v>
      </c>
      <c r="P1560" s="50">
        <f>HEX2DEC(RIGHT(Table132321432[[#This Row],[h1]],8))</f>
        <v>0</v>
      </c>
      <c r="Q1560" s="50" t="s">
        <v>97</v>
      </c>
      <c r="R1560" s="50">
        <f>HEX2DEC(RIGHT(Table132321432[[#This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50" t="s">
        <v>97</v>
      </c>
      <c r="P1561" s="50">
        <f>HEX2DEC(RIGHT(Table132321432[[#This Row],[h1]],8))</f>
        <v>0</v>
      </c>
      <c r="Q1561" s="50" t="s">
        <v>97</v>
      </c>
      <c r="R1561" s="50">
        <f>HEX2DEC(RIGHT(Table132321432[[#This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50" t="s">
        <v>97</v>
      </c>
      <c r="P1562" s="50">
        <f>HEX2DEC(RIGHT(Table132321432[[#This Row],[h1]],8))</f>
        <v>0</v>
      </c>
      <c r="Q1562" s="50" t="s">
        <v>97</v>
      </c>
      <c r="R1562" s="50">
        <f>HEX2DEC(RIGHT(Table132321432[[#This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50" t="s">
        <v>97</v>
      </c>
      <c r="P1563" s="50">
        <f>HEX2DEC(RIGHT(Table132321432[[#This Row],[h1]],8))</f>
        <v>0</v>
      </c>
      <c r="Q1563" s="50" t="s">
        <v>97</v>
      </c>
      <c r="R1563" s="50">
        <f>HEX2DEC(RIGHT(Table132321432[[#This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50" t="s">
        <v>97</v>
      </c>
      <c r="P1564" s="50">
        <f>HEX2DEC(RIGHT(Table132321432[[#This Row],[h1]],8))</f>
        <v>0</v>
      </c>
      <c r="Q1564" s="50" t="s">
        <v>97</v>
      </c>
      <c r="R1564" s="50">
        <f>HEX2DEC(RIGHT(Table132321432[[#This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50" t="s">
        <v>97</v>
      </c>
      <c r="P1565" s="50">
        <f>HEX2DEC(RIGHT(Table132321432[[#This Row],[h1]],8))</f>
        <v>0</v>
      </c>
      <c r="Q1565" s="50" t="s">
        <v>97</v>
      </c>
      <c r="R1565" s="50">
        <f>HEX2DEC(RIGHT(Table132321432[[#This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50" t="s">
        <v>97</v>
      </c>
      <c r="P1566" s="50">
        <f>HEX2DEC(RIGHT(Table132321432[[#This Row],[h1]],8))</f>
        <v>0</v>
      </c>
      <c r="Q1566" s="50" t="s">
        <v>97</v>
      </c>
      <c r="R1566" s="50">
        <f>HEX2DEC(RIGHT(Table132321432[[#This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50" t="s">
        <v>97</v>
      </c>
      <c r="P1567" s="50">
        <f>HEX2DEC(RIGHT(Table132321432[[#This Row],[h1]],8))</f>
        <v>0</v>
      </c>
      <c r="Q1567" s="50" t="s">
        <v>97</v>
      </c>
      <c r="R1567" s="50">
        <f>HEX2DEC(RIGHT(Table132321432[[#This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50" t="s">
        <v>97</v>
      </c>
      <c r="P1568" s="50">
        <f>HEX2DEC(RIGHT(Table132321432[[#This Row],[h1]],8))</f>
        <v>0</v>
      </c>
      <c r="Q1568" s="50" t="s">
        <v>97</v>
      </c>
      <c r="R1568" s="50">
        <f>HEX2DEC(RIGHT(Table132321432[[#This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50" t="s">
        <v>97</v>
      </c>
      <c r="P1569" s="50">
        <f>HEX2DEC(RIGHT(Table132321432[[#This Row],[h1]],8))</f>
        <v>0</v>
      </c>
      <c r="Q1569" s="50" t="s">
        <v>97</v>
      </c>
      <c r="R1569" s="50">
        <f>HEX2DEC(RIGHT(Table132321432[[#This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50" t="s">
        <v>97</v>
      </c>
      <c r="P1570" s="50">
        <f>HEX2DEC(RIGHT(Table132321432[[#This Row],[h1]],8))</f>
        <v>0</v>
      </c>
      <c r="Q1570" s="50" t="s">
        <v>97</v>
      </c>
      <c r="R1570" s="50">
        <f>HEX2DEC(RIGHT(Table132321432[[#This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50" t="s">
        <v>97</v>
      </c>
      <c r="P1571" s="50">
        <f>HEX2DEC(RIGHT(Table132321432[[#This Row],[h1]],8))</f>
        <v>0</v>
      </c>
      <c r="Q1571" s="50" t="s">
        <v>97</v>
      </c>
      <c r="R1571" s="50">
        <f>HEX2DEC(RIGHT(Table132321432[[#This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50" t="s">
        <v>97</v>
      </c>
      <c r="P1572" s="50">
        <f>HEX2DEC(RIGHT(Table132321432[[#This Row],[h1]],8))</f>
        <v>0</v>
      </c>
      <c r="Q1572" s="50" t="s">
        <v>97</v>
      </c>
      <c r="R1572" s="50">
        <f>HEX2DEC(RIGHT(Table132321432[[#This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50" t="s">
        <v>97</v>
      </c>
      <c r="P1573" s="50">
        <f>HEX2DEC(RIGHT(Table132321432[[#This Row],[h1]],8))</f>
        <v>0</v>
      </c>
      <c r="Q1573" s="50" t="s">
        <v>97</v>
      </c>
      <c r="R1573" s="50">
        <f>HEX2DEC(RIGHT(Table132321432[[#This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50" t="s">
        <v>97</v>
      </c>
      <c r="P1574" s="50">
        <f>HEX2DEC(RIGHT(Table132321432[[#This Row],[h1]],8))</f>
        <v>0</v>
      </c>
      <c r="Q1574" s="50" t="s">
        <v>97</v>
      </c>
      <c r="R1574" s="50">
        <f>HEX2DEC(RIGHT(Table132321432[[#This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50" t="s">
        <v>97</v>
      </c>
      <c r="P1575" s="50">
        <f>HEX2DEC(RIGHT(Table132321432[[#This Row],[h1]],8))</f>
        <v>0</v>
      </c>
      <c r="Q1575" s="50" t="s">
        <v>97</v>
      </c>
      <c r="R1575" s="50">
        <f>HEX2DEC(RIGHT(Table132321432[[#This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50" t="s">
        <v>97</v>
      </c>
      <c r="P1576" s="50">
        <f>HEX2DEC(RIGHT(Table132321432[[#This Row],[h1]],8))</f>
        <v>0</v>
      </c>
      <c r="Q1576" s="50" t="s">
        <v>97</v>
      </c>
      <c r="R1576" s="50">
        <f>HEX2DEC(RIGHT(Table132321432[[#This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50" t="s">
        <v>97</v>
      </c>
      <c r="P1577" s="50">
        <f>HEX2DEC(RIGHT(Table132321432[[#This Row],[h1]],8))</f>
        <v>0</v>
      </c>
      <c r="Q1577" s="50" t="s">
        <v>97</v>
      </c>
      <c r="R1577" s="50">
        <f>HEX2DEC(RIGHT(Table132321432[[#This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50" t="s">
        <v>97</v>
      </c>
      <c r="P1578" s="50">
        <f>HEX2DEC(RIGHT(Table132321432[[#This Row],[h1]],8))</f>
        <v>0</v>
      </c>
      <c r="Q1578" s="50" t="s">
        <v>97</v>
      </c>
      <c r="R1578" s="50">
        <f>HEX2DEC(RIGHT(Table132321432[[#This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50" t="s">
        <v>97</v>
      </c>
      <c r="P1579" s="50">
        <f>HEX2DEC(RIGHT(Table132321432[[#This Row],[h1]],8))</f>
        <v>0</v>
      </c>
      <c r="Q1579" s="50" t="s">
        <v>97</v>
      </c>
      <c r="R1579" s="50">
        <f>HEX2DEC(RIGHT(Table132321432[[#This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50" t="s">
        <v>97</v>
      </c>
      <c r="P1580" s="50">
        <f>HEX2DEC(RIGHT(Table132321432[[#This Row],[h1]],8))</f>
        <v>0</v>
      </c>
      <c r="Q1580" s="50" t="s">
        <v>97</v>
      </c>
      <c r="R1580" s="50">
        <f>HEX2DEC(RIGHT(Table132321432[[#This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50" t="s">
        <v>97</v>
      </c>
      <c r="P1581" s="50">
        <f>HEX2DEC(RIGHT(Table132321432[[#This Row],[h1]],8))</f>
        <v>0</v>
      </c>
      <c r="Q1581" s="50" t="s">
        <v>97</v>
      </c>
      <c r="R1581" s="50">
        <f>HEX2DEC(RIGHT(Table132321432[[#This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50" t="s">
        <v>97</v>
      </c>
      <c r="P1582" s="50">
        <f>HEX2DEC(RIGHT(Table132321432[[#This Row],[h1]],8))</f>
        <v>0</v>
      </c>
      <c r="Q1582" s="50" t="s">
        <v>97</v>
      </c>
      <c r="R1582" s="50">
        <f>HEX2DEC(RIGHT(Table132321432[[#This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50" t="s">
        <v>97</v>
      </c>
      <c r="P1583" s="50">
        <f>HEX2DEC(RIGHT(Table132321432[[#This Row],[h1]],8))</f>
        <v>0</v>
      </c>
      <c r="Q1583" s="50" t="s">
        <v>97</v>
      </c>
      <c r="R1583" s="50">
        <f>HEX2DEC(RIGHT(Table132321432[[#This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50" t="s">
        <v>97</v>
      </c>
      <c r="P1584" s="50">
        <f>HEX2DEC(RIGHT(Table132321432[[#This Row],[h1]],8))</f>
        <v>0</v>
      </c>
      <c r="Q1584" s="50" t="s">
        <v>97</v>
      </c>
      <c r="R1584" s="50">
        <f>HEX2DEC(RIGHT(Table132321432[[#This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50" t="s">
        <v>97</v>
      </c>
      <c r="P1585" s="50">
        <f>HEX2DEC(RIGHT(Table132321432[[#This Row],[h1]],8))</f>
        <v>0</v>
      </c>
      <c r="Q1585" s="50" t="s">
        <v>97</v>
      </c>
      <c r="R1585" s="50">
        <f>HEX2DEC(RIGHT(Table132321432[[#This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50" t="s">
        <v>97</v>
      </c>
      <c r="P1586" s="50">
        <f>HEX2DEC(RIGHT(Table132321432[[#This Row],[h1]],8))</f>
        <v>0</v>
      </c>
      <c r="Q1586" s="50" t="s">
        <v>97</v>
      </c>
      <c r="R1586" s="50">
        <f>HEX2DEC(RIGHT(Table132321432[[#This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50" t="s">
        <v>97</v>
      </c>
      <c r="P1587" s="50">
        <f>HEX2DEC(RIGHT(Table132321432[[#This Row],[h1]],8))</f>
        <v>0</v>
      </c>
      <c r="Q1587" s="50" t="s">
        <v>97</v>
      </c>
      <c r="R1587" s="50">
        <f>HEX2DEC(RIGHT(Table132321432[[#This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50" t="s">
        <v>97</v>
      </c>
      <c r="P1588" s="50">
        <f>HEX2DEC(RIGHT(Table132321432[[#This Row],[h1]],8))</f>
        <v>0</v>
      </c>
      <c r="Q1588" s="50" t="s">
        <v>97</v>
      </c>
      <c r="R1588" s="50">
        <f>HEX2DEC(RIGHT(Table132321432[[#This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50" t="s">
        <v>97</v>
      </c>
      <c r="P1589" s="50">
        <f>HEX2DEC(RIGHT(Table132321432[[#This Row],[h1]],8))</f>
        <v>0</v>
      </c>
      <c r="Q1589" s="50" t="s">
        <v>97</v>
      </c>
      <c r="R1589" s="50">
        <f>HEX2DEC(RIGHT(Table132321432[[#This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50" t="s">
        <v>97</v>
      </c>
      <c r="P1590" s="50">
        <f>HEX2DEC(RIGHT(Table132321432[[#This Row],[h1]],8))</f>
        <v>0</v>
      </c>
      <c r="Q1590" s="50" t="s">
        <v>97</v>
      </c>
      <c r="R1590" s="50">
        <f>HEX2DEC(RIGHT(Table132321432[[#This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50" t="s">
        <v>97</v>
      </c>
      <c r="P1591" s="50">
        <f>HEX2DEC(RIGHT(Table132321432[[#This Row],[h1]],8))</f>
        <v>0</v>
      </c>
      <c r="Q1591" s="50" t="s">
        <v>97</v>
      </c>
      <c r="R1591" s="50">
        <f>HEX2DEC(RIGHT(Table132321432[[#This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50" t="s">
        <v>97</v>
      </c>
      <c r="P1592" s="50">
        <f>HEX2DEC(RIGHT(Table132321432[[#This Row],[h1]],8))</f>
        <v>0</v>
      </c>
      <c r="Q1592" s="50" t="s">
        <v>97</v>
      </c>
      <c r="R1592" s="50">
        <f>HEX2DEC(RIGHT(Table132321432[[#This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50" t="s">
        <v>97</v>
      </c>
      <c r="P1593" s="50">
        <f>HEX2DEC(RIGHT(Table132321432[[#This Row],[h1]],8))</f>
        <v>0</v>
      </c>
      <c r="Q1593" s="50" t="s">
        <v>97</v>
      </c>
      <c r="R1593" s="50">
        <f>HEX2DEC(RIGHT(Table132321432[[#This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50" t="s">
        <v>97</v>
      </c>
      <c r="P1594" s="50">
        <f>HEX2DEC(RIGHT(Table132321432[[#This Row],[h1]],8))</f>
        <v>0</v>
      </c>
      <c r="Q1594" s="50" t="s">
        <v>97</v>
      </c>
      <c r="R1594" s="50">
        <f>HEX2DEC(RIGHT(Table132321432[[#This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50" t="s">
        <v>97</v>
      </c>
      <c r="P1595" s="50">
        <f>HEX2DEC(RIGHT(Table132321432[[#This Row],[h1]],8))</f>
        <v>0</v>
      </c>
      <c r="Q1595" s="50" t="s">
        <v>97</v>
      </c>
      <c r="R1595" s="50">
        <f>HEX2DEC(RIGHT(Table132321432[[#This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50" t="s">
        <v>97</v>
      </c>
      <c r="P1596" s="50">
        <f>HEX2DEC(RIGHT(Table132321432[[#This Row],[h1]],8))</f>
        <v>0</v>
      </c>
      <c r="Q1596" s="50" t="s">
        <v>97</v>
      </c>
      <c r="R1596" s="50">
        <f>HEX2DEC(RIGHT(Table132321432[[#This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50" t="s">
        <v>97</v>
      </c>
      <c r="P1597" s="50">
        <f>HEX2DEC(RIGHT(Table132321432[[#This Row],[h1]],8))</f>
        <v>0</v>
      </c>
      <c r="Q1597" s="50" t="s">
        <v>97</v>
      </c>
      <c r="R1597" s="50">
        <f>HEX2DEC(RIGHT(Table132321432[[#This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50" t="s">
        <v>97</v>
      </c>
      <c r="P1598" s="50">
        <f>HEX2DEC(RIGHT(Table132321432[[#This Row],[h1]],8))</f>
        <v>0</v>
      </c>
      <c r="Q1598" s="50" t="s">
        <v>97</v>
      </c>
      <c r="R1598" s="50">
        <f>HEX2DEC(RIGHT(Table132321432[[#This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50" t="s">
        <v>97</v>
      </c>
      <c r="P1599" s="50">
        <f>HEX2DEC(RIGHT(Table132321432[[#This Row],[h1]],8))</f>
        <v>0</v>
      </c>
      <c r="Q1599" s="50" t="s">
        <v>97</v>
      </c>
      <c r="R1599" s="50">
        <f>HEX2DEC(RIGHT(Table132321432[[#This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50" t="s">
        <v>97</v>
      </c>
      <c r="P1600" s="50">
        <f>HEX2DEC(RIGHT(Table132321432[[#This Row],[h1]],8))</f>
        <v>0</v>
      </c>
      <c r="Q1600" s="50" t="s">
        <v>97</v>
      </c>
      <c r="R1600" s="50">
        <f>HEX2DEC(RIGHT(Table132321432[[#This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50" t="s">
        <v>97</v>
      </c>
      <c r="P1601" s="50">
        <f>HEX2DEC(RIGHT(Table132321432[[#This Row],[h1]],8))</f>
        <v>0</v>
      </c>
      <c r="Q1601" s="50" t="s">
        <v>97</v>
      </c>
      <c r="R1601" s="50">
        <f>HEX2DEC(RIGHT(Table132321432[[#This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50" t="s">
        <v>97</v>
      </c>
      <c r="P1602" s="50">
        <f>HEX2DEC(RIGHT(Table132321432[[#This Row],[h1]],8))</f>
        <v>0</v>
      </c>
      <c r="Q1602" s="50" t="s">
        <v>97</v>
      </c>
      <c r="R1602" s="50">
        <f>HEX2DEC(RIGHT(Table132321432[[#This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50" t="s">
        <v>97</v>
      </c>
      <c r="P1603" s="50">
        <f>HEX2DEC(RIGHT(Table132321432[[#This Row],[h1]],8))</f>
        <v>0</v>
      </c>
      <c r="Q1603" s="50" t="s">
        <v>97</v>
      </c>
      <c r="R1603" s="50">
        <f>HEX2DEC(RIGHT(Table132321432[[#This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50" t="s">
        <v>97</v>
      </c>
      <c r="P1604" s="50">
        <f>HEX2DEC(RIGHT(Table132321432[[#This Row],[h1]],8))</f>
        <v>0</v>
      </c>
      <c r="Q1604" s="50" t="s">
        <v>97</v>
      </c>
      <c r="R1604" s="50">
        <f>HEX2DEC(RIGHT(Table132321432[[#This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50" t="s">
        <v>97</v>
      </c>
      <c r="P1605" s="50">
        <f>HEX2DEC(RIGHT(Table132321432[[#This Row],[h1]],8))</f>
        <v>0</v>
      </c>
      <c r="Q1605" s="50" t="s">
        <v>97</v>
      </c>
      <c r="R1605" s="50">
        <f>HEX2DEC(RIGHT(Table132321432[[#This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50" t="s">
        <v>97</v>
      </c>
      <c r="P1606" s="50">
        <f>HEX2DEC(RIGHT(Table132321432[[#This Row],[h1]],8))</f>
        <v>0</v>
      </c>
      <c r="Q1606" s="50" t="s">
        <v>97</v>
      </c>
      <c r="R1606" s="50">
        <f>HEX2DEC(RIGHT(Table132321432[[#This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50" t="s">
        <v>97</v>
      </c>
      <c r="P1607" s="50">
        <f>HEX2DEC(RIGHT(Table132321432[[#This Row],[h1]],8))</f>
        <v>0</v>
      </c>
      <c r="Q1607" s="50" t="s">
        <v>97</v>
      </c>
      <c r="R1607" s="50">
        <f>HEX2DEC(RIGHT(Table132321432[[#This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50" t="s">
        <v>97</v>
      </c>
      <c r="P1608" s="50">
        <f>HEX2DEC(RIGHT(Table132321432[[#This Row],[h1]],8))</f>
        <v>0</v>
      </c>
      <c r="Q1608" s="50" t="s">
        <v>97</v>
      </c>
      <c r="R1608" s="50">
        <f>HEX2DEC(RIGHT(Table132321432[[#This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50" t="s">
        <v>97</v>
      </c>
      <c r="P1609" s="50">
        <f>HEX2DEC(RIGHT(Table132321432[[#This Row],[h1]],8))</f>
        <v>0</v>
      </c>
      <c r="Q1609" s="50" t="s">
        <v>97</v>
      </c>
      <c r="R1609" s="50">
        <f>HEX2DEC(RIGHT(Table132321432[[#This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50" t="s">
        <v>97</v>
      </c>
      <c r="P1610" s="50">
        <f>HEX2DEC(RIGHT(Table132321432[[#This Row],[h1]],8))</f>
        <v>0</v>
      </c>
      <c r="Q1610" s="50" t="s">
        <v>97</v>
      </c>
      <c r="R1610" s="50">
        <f>HEX2DEC(RIGHT(Table132321432[[#This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50" t="s">
        <v>97</v>
      </c>
      <c r="P1611" s="50">
        <f>HEX2DEC(RIGHT(Table132321432[[#This Row],[h1]],8))</f>
        <v>0</v>
      </c>
      <c r="Q1611" s="50" t="s">
        <v>97</v>
      </c>
      <c r="R1611" s="50">
        <f>HEX2DEC(RIGHT(Table132321432[[#This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50" t="s">
        <v>97</v>
      </c>
      <c r="P1612" s="50">
        <f>HEX2DEC(RIGHT(Table132321432[[#This Row],[h1]],8))</f>
        <v>0</v>
      </c>
      <c r="Q1612" s="50" t="s">
        <v>97</v>
      </c>
      <c r="R1612" s="50">
        <f>HEX2DEC(RIGHT(Table132321432[[#This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50" t="s">
        <v>97</v>
      </c>
      <c r="P1613" s="50">
        <f>HEX2DEC(RIGHT(Table132321432[[#This Row],[h1]],8))</f>
        <v>0</v>
      </c>
      <c r="Q1613" s="50" t="s">
        <v>97</v>
      </c>
      <c r="R1613" s="50">
        <f>HEX2DEC(RIGHT(Table132321432[[#This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50" t="s">
        <v>97</v>
      </c>
      <c r="P1614" s="50">
        <f>HEX2DEC(RIGHT(Table132321432[[#This Row],[h1]],8))</f>
        <v>0</v>
      </c>
      <c r="Q1614" s="50" t="s">
        <v>97</v>
      </c>
      <c r="R1614" s="50">
        <f>HEX2DEC(RIGHT(Table132321432[[#This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50" t="s">
        <v>97</v>
      </c>
      <c r="P1615" s="50">
        <f>HEX2DEC(RIGHT(Table132321432[[#This Row],[h1]],8))</f>
        <v>0</v>
      </c>
      <c r="Q1615" s="50" t="s">
        <v>97</v>
      </c>
      <c r="R1615" s="50">
        <f>HEX2DEC(RIGHT(Table132321432[[#This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50" t="s">
        <v>97</v>
      </c>
      <c r="P1616" s="50">
        <f>HEX2DEC(RIGHT(Table132321432[[#This Row],[h1]],8))</f>
        <v>0</v>
      </c>
      <c r="Q1616" s="50" t="s">
        <v>97</v>
      </c>
      <c r="R1616" s="50">
        <f>HEX2DEC(RIGHT(Table132321432[[#This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50" t="s">
        <v>97</v>
      </c>
      <c r="P1617" s="50">
        <f>HEX2DEC(RIGHT(Table132321432[[#This Row],[h1]],8))</f>
        <v>0</v>
      </c>
      <c r="Q1617" s="50" t="s">
        <v>97</v>
      </c>
      <c r="R1617" s="50">
        <f>HEX2DEC(RIGHT(Table132321432[[#This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50" t="s">
        <v>97</v>
      </c>
      <c r="P1618" s="50">
        <f>HEX2DEC(RIGHT(Table132321432[[#This Row],[h1]],8))</f>
        <v>0</v>
      </c>
      <c r="Q1618" s="50" t="s">
        <v>97</v>
      </c>
      <c r="R1618" s="50">
        <f>HEX2DEC(RIGHT(Table132321432[[#This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50" t="s">
        <v>97</v>
      </c>
      <c r="P1619" s="50">
        <f>HEX2DEC(RIGHT(Table132321432[[#This Row],[h1]],8))</f>
        <v>0</v>
      </c>
      <c r="Q1619" s="50" t="s">
        <v>97</v>
      </c>
      <c r="R1619" s="50">
        <f>HEX2DEC(RIGHT(Table132321432[[#This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50" t="s">
        <v>97</v>
      </c>
      <c r="P1620" s="50">
        <f>HEX2DEC(RIGHT(Table132321432[[#This Row],[h1]],8))</f>
        <v>0</v>
      </c>
      <c r="Q1620" s="50" t="s">
        <v>97</v>
      </c>
      <c r="R1620" s="50">
        <f>HEX2DEC(RIGHT(Table132321432[[#This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50" t="s">
        <v>97</v>
      </c>
      <c r="P1621" s="50">
        <f>HEX2DEC(RIGHT(Table132321432[[#This Row],[h1]],8))</f>
        <v>0</v>
      </c>
      <c r="Q1621" s="50" t="s">
        <v>97</v>
      </c>
      <c r="R1621" s="50">
        <f>HEX2DEC(RIGHT(Table132321432[[#This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50" t="s">
        <v>97</v>
      </c>
      <c r="P1622" s="50">
        <f>HEX2DEC(RIGHT(Table132321432[[#This Row],[h1]],8))</f>
        <v>0</v>
      </c>
      <c r="Q1622" s="50" t="s">
        <v>97</v>
      </c>
      <c r="R1622" s="50">
        <f>HEX2DEC(RIGHT(Table132321432[[#This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50" t="s">
        <v>97</v>
      </c>
      <c r="P1623" s="50">
        <f>HEX2DEC(RIGHT(Table132321432[[#This Row],[h1]],8))</f>
        <v>0</v>
      </c>
      <c r="Q1623" s="50" t="s">
        <v>97</v>
      </c>
      <c r="R1623" s="50">
        <f>HEX2DEC(RIGHT(Table132321432[[#This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50" t="s">
        <v>97</v>
      </c>
      <c r="P1624" s="50">
        <f>HEX2DEC(RIGHT(Table132321432[[#This Row],[h1]],8))</f>
        <v>0</v>
      </c>
      <c r="Q1624" s="50" t="s">
        <v>97</v>
      </c>
      <c r="R1624" s="50">
        <f>HEX2DEC(RIGHT(Table132321432[[#This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50" t="s">
        <v>97</v>
      </c>
      <c r="P1625" s="50">
        <f>HEX2DEC(RIGHT(Table132321432[[#This Row],[h1]],8))</f>
        <v>0</v>
      </c>
      <c r="Q1625" s="50" t="s">
        <v>97</v>
      </c>
      <c r="R1625" s="50">
        <f>HEX2DEC(RIGHT(Table132321432[[#This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50" t="s">
        <v>97</v>
      </c>
      <c r="P1626" s="50">
        <f>HEX2DEC(RIGHT(Table132321432[[#This Row],[h1]],8))</f>
        <v>0</v>
      </c>
      <c r="Q1626" s="50" t="s">
        <v>97</v>
      </c>
      <c r="R1626" s="50">
        <f>HEX2DEC(RIGHT(Table132321432[[#This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50" t="s">
        <v>97</v>
      </c>
      <c r="P1627" s="50">
        <f>HEX2DEC(RIGHT(Table132321432[[#This Row],[h1]],8))</f>
        <v>0</v>
      </c>
      <c r="Q1627" s="50" t="s">
        <v>97</v>
      </c>
      <c r="R1627" s="50">
        <f>HEX2DEC(RIGHT(Table132321432[[#This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50" t="s">
        <v>97</v>
      </c>
      <c r="P1628" s="50">
        <f>HEX2DEC(RIGHT(Table132321432[[#This Row],[h1]],8))</f>
        <v>0</v>
      </c>
      <c r="Q1628" s="50" t="s">
        <v>97</v>
      </c>
      <c r="R1628" s="50">
        <f>HEX2DEC(RIGHT(Table132321432[[#This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50" t="s">
        <v>97</v>
      </c>
      <c r="P1629" s="50">
        <f>HEX2DEC(RIGHT(Table132321432[[#This Row],[h1]],8))</f>
        <v>0</v>
      </c>
      <c r="Q1629" s="50" t="s">
        <v>97</v>
      </c>
      <c r="R1629" s="50">
        <f>HEX2DEC(RIGHT(Table132321432[[#This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50" t="s">
        <v>97</v>
      </c>
      <c r="P1630" s="50">
        <f>HEX2DEC(RIGHT(Table132321432[[#This Row],[h1]],8))</f>
        <v>0</v>
      </c>
      <c r="Q1630" s="50" t="s">
        <v>97</v>
      </c>
      <c r="R1630" s="50">
        <f>HEX2DEC(RIGHT(Table132321432[[#This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50" t="s">
        <v>97</v>
      </c>
      <c r="P1631" s="50">
        <f>HEX2DEC(RIGHT(Table132321432[[#This Row],[h1]],8))</f>
        <v>0</v>
      </c>
      <c r="Q1631" s="50" t="s">
        <v>97</v>
      </c>
      <c r="R1631" s="50">
        <f>HEX2DEC(RIGHT(Table132321432[[#This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50" t="s">
        <v>97</v>
      </c>
      <c r="P1632" s="50">
        <f>HEX2DEC(RIGHT(Table132321432[[#This Row],[h1]],8))</f>
        <v>0</v>
      </c>
      <c r="Q1632" s="50" t="s">
        <v>97</v>
      </c>
      <c r="R1632" s="50">
        <f>HEX2DEC(RIGHT(Table132321432[[#This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50" t="s">
        <v>97</v>
      </c>
      <c r="P1633" s="50">
        <f>HEX2DEC(RIGHT(Table132321432[[#This Row],[h1]],8))</f>
        <v>0</v>
      </c>
      <c r="Q1633" s="50" t="s">
        <v>97</v>
      </c>
      <c r="R1633" s="50">
        <f>HEX2DEC(RIGHT(Table132321432[[#This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50" t="s">
        <v>97</v>
      </c>
      <c r="P1634" s="50">
        <f>HEX2DEC(RIGHT(Table132321432[[#This Row],[h1]],8))</f>
        <v>0</v>
      </c>
      <c r="Q1634" s="50" t="s">
        <v>97</v>
      </c>
      <c r="R1634" s="50">
        <f>HEX2DEC(RIGHT(Table132321432[[#This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50" t="s">
        <v>97</v>
      </c>
      <c r="P1635" s="50">
        <f>HEX2DEC(RIGHT(Table132321432[[#This Row],[h1]],8))</f>
        <v>0</v>
      </c>
      <c r="Q1635" s="50" t="s">
        <v>97</v>
      </c>
      <c r="R1635" s="50">
        <f>HEX2DEC(RIGHT(Table132321432[[#This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50" t="s">
        <v>97</v>
      </c>
      <c r="P1636" s="50">
        <f>HEX2DEC(RIGHT(Table132321432[[#This Row],[h1]],8))</f>
        <v>0</v>
      </c>
      <c r="Q1636" s="50" t="s">
        <v>97</v>
      </c>
      <c r="R1636" s="50">
        <f>HEX2DEC(RIGHT(Table132321432[[#This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50" t="s">
        <v>97</v>
      </c>
      <c r="P1637" s="50">
        <f>HEX2DEC(RIGHT(Table132321432[[#This Row],[h1]],8))</f>
        <v>0</v>
      </c>
      <c r="Q1637" s="50" t="s">
        <v>97</v>
      </c>
      <c r="R1637" s="50">
        <f>HEX2DEC(RIGHT(Table132321432[[#This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50" t="s">
        <v>97</v>
      </c>
      <c r="P1638" s="50">
        <f>HEX2DEC(RIGHT(Table132321432[[#This Row],[h1]],8))</f>
        <v>0</v>
      </c>
      <c r="Q1638" s="50" t="s">
        <v>97</v>
      </c>
      <c r="R1638" s="50">
        <f>HEX2DEC(RIGHT(Table132321432[[#This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50" t="s">
        <v>97</v>
      </c>
      <c r="P1639" s="50">
        <f>HEX2DEC(RIGHT(Table132321432[[#This Row],[h1]],8))</f>
        <v>0</v>
      </c>
      <c r="Q1639" s="50" t="s">
        <v>97</v>
      </c>
      <c r="R1639" s="50">
        <f>HEX2DEC(RIGHT(Table132321432[[#This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50" t="s">
        <v>97</v>
      </c>
      <c r="P1640" s="50">
        <f>HEX2DEC(RIGHT(Table132321432[[#This Row],[h1]],8))</f>
        <v>0</v>
      </c>
      <c r="Q1640" s="50" t="s">
        <v>97</v>
      </c>
      <c r="R1640" s="50">
        <f>HEX2DEC(RIGHT(Table132321432[[#This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50" t="s">
        <v>97</v>
      </c>
      <c r="P1641" s="50">
        <f>HEX2DEC(RIGHT(Table132321432[[#This Row],[h1]],8))</f>
        <v>0</v>
      </c>
      <c r="Q1641" s="50" t="s">
        <v>97</v>
      </c>
      <c r="R1641" s="50">
        <f>HEX2DEC(RIGHT(Table132321432[[#This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50" t="s">
        <v>97</v>
      </c>
      <c r="P1642" s="50">
        <f>HEX2DEC(RIGHT(Table132321432[[#This Row],[h1]],8))</f>
        <v>0</v>
      </c>
      <c r="Q1642" s="50" t="s">
        <v>97</v>
      </c>
      <c r="R1642" s="50">
        <f>HEX2DEC(RIGHT(Table132321432[[#This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50" t="s">
        <v>97</v>
      </c>
      <c r="P1643" s="50">
        <f>HEX2DEC(RIGHT(Table132321432[[#This Row],[h1]],8))</f>
        <v>0</v>
      </c>
      <c r="Q1643" s="50" t="s">
        <v>97</v>
      </c>
      <c r="R1643" s="50">
        <f>HEX2DEC(RIGHT(Table132321432[[#This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50" t="s">
        <v>97</v>
      </c>
      <c r="P1644" s="50">
        <f>HEX2DEC(RIGHT(Table132321432[[#This Row],[h1]],8))</f>
        <v>0</v>
      </c>
      <c r="Q1644" s="50" t="s">
        <v>97</v>
      </c>
      <c r="R1644" s="50">
        <f>HEX2DEC(RIGHT(Table132321432[[#This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50" t="s">
        <v>97</v>
      </c>
      <c r="P1645" s="50">
        <f>HEX2DEC(RIGHT(Table132321432[[#This Row],[h1]],8))</f>
        <v>0</v>
      </c>
      <c r="Q1645" s="50" t="s">
        <v>97</v>
      </c>
      <c r="R1645" s="50">
        <f>HEX2DEC(RIGHT(Table132321432[[#This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50" t="s">
        <v>97</v>
      </c>
      <c r="P1646" s="50">
        <f>HEX2DEC(RIGHT(Table132321432[[#This Row],[h1]],8))</f>
        <v>0</v>
      </c>
      <c r="Q1646" s="50" t="s">
        <v>97</v>
      </c>
      <c r="R1646" s="50">
        <f>HEX2DEC(RIGHT(Table132321432[[#This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50" t="s">
        <v>97</v>
      </c>
      <c r="P1647" s="50">
        <f>HEX2DEC(RIGHT(Table132321432[[#This Row],[h1]],8))</f>
        <v>0</v>
      </c>
      <c r="Q1647" s="50" t="s">
        <v>97</v>
      </c>
      <c r="R1647" s="50">
        <f>HEX2DEC(RIGHT(Table132321432[[#This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50" t="s">
        <v>97</v>
      </c>
      <c r="P1648" s="50">
        <f>HEX2DEC(RIGHT(Table132321432[[#This Row],[h1]],8))</f>
        <v>0</v>
      </c>
      <c r="Q1648" s="50" t="s">
        <v>97</v>
      </c>
      <c r="R1648" s="50">
        <f>HEX2DEC(RIGHT(Table132321432[[#This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50" t="s">
        <v>97</v>
      </c>
      <c r="P1649" s="50">
        <f>HEX2DEC(RIGHT(Table132321432[[#This Row],[h1]],8))</f>
        <v>0</v>
      </c>
      <c r="Q1649" s="50" t="s">
        <v>97</v>
      </c>
      <c r="R1649" s="50">
        <f>HEX2DEC(RIGHT(Table132321432[[#This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50" t="s">
        <v>97</v>
      </c>
      <c r="P1650" s="50">
        <f>HEX2DEC(RIGHT(Table132321432[[#This Row],[h1]],8))</f>
        <v>0</v>
      </c>
      <c r="Q1650" s="50" t="s">
        <v>97</v>
      </c>
      <c r="R1650" s="50">
        <f>HEX2DEC(RIGHT(Table132321432[[#This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50" t="s">
        <v>97</v>
      </c>
      <c r="P1651" s="50">
        <f>HEX2DEC(RIGHT(Table132321432[[#This Row],[h1]],8))</f>
        <v>0</v>
      </c>
      <c r="Q1651" s="50" t="s">
        <v>97</v>
      </c>
      <c r="R1651" s="50">
        <f>HEX2DEC(RIGHT(Table132321432[[#This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50" t="s">
        <v>97</v>
      </c>
      <c r="P1652" s="50">
        <f>HEX2DEC(RIGHT(Table132321432[[#This Row],[h1]],8))</f>
        <v>0</v>
      </c>
      <c r="Q1652" s="50" t="s">
        <v>97</v>
      </c>
      <c r="R1652" s="50">
        <f>HEX2DEC(RIGHT(Table132321432[[#This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50" t="s">
        <v>97</v>
      </c>
      <c r="P1653" s="50">
        <f>HEX2DEC(RIGHT(Table132321432[[#This Row],[h1]],8))</f>
        <v>0</v>
      </c>
      <c r="Q1653" s="50" t="s">
        <v>97</v>
      </c>
      <c r="R1653" s="50">
        <f>HEX2DEC(RIGHT(Table132321432[[#This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50" t="s">
        <v>97</v>
      </c>
      <c r="P1654" s="50">
        <f>HEX2DEC(RIGHT(Table132321432[[#This Row],[h1]],8))</f>
        <v>0</v>
      </c>
      <c r="Q1654" s="50" t="s">
        <v>97</v>
      </c>
      <c r="R1654" s="50">
        <f>HEX2DEC(RIGHT(Table132321432[[#This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50" t="s">
        <v>97</v>
      </c>
      <c r="P1655" s="50">
        <f>HEX2DEC(RIGHT(Table132321432[[#This Row],[h1]],8))</f>
        <v>0</v>
      </c>
      <c r="Q1655" s="50" t="s">
        <v>97</v>
      </c>
      <c r="R1655" s="50">
        <f>HEX2DEC(RIGHT(Table132321432[[#This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50" t="s">
        <v>97</v>
      </c>
      <c r="P1656" s="50">
        <f>HEX2DEC(RIGHT(Table132321432[[#This Row],[h1]],8))</f>
        <v>0</v>
      </c>
      <c r="Q1656" s="50" t="s">
        <v>97</v>
      </c>
      <c r="R1656" s="50">
        <f>HEX2DEC(RIGHT(Table132321432[[#This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50" t="s">
        <v>97</v>
      </c>
      <c r="P1657" s="50">
        <f>HEX2DEC(RIGHT(Table132321432[[#This Row],[h1]],8))</f>
        <v>0</v>
      </c>
      <c r="Q1657" s="50" t="s">
        <v>97</v>
      </c>
      <c r="R1657" s="50">
        <f>HEX2DEC(RIGHT(Table132321432[[#This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50" t="s">
        <v>97</v>
      </c>
      <c r="P1658" s="50">
        <f>HEX2DEC(RIGHT(Table132321432[[#This Row],[h1]],8))</f>
        <v>0</v>
      </c>
      <c r="Q1658" s="50" t="s">
        <v>97</v>
      </c>
      <c r="R1658" s="50">
        <f>HEX2DEC(RIGHT(Table132321432[[#This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50" t="s">
        <v>97</v>
      </c>
      <c r="P1659" s="50">
        <f>HEX2DEC(RIGHT(Table132321432[[#This Row],[h1]],8))</f>
        <v>0</v>
      </c>
      <c r="Q1659" s="50" t="s">
        <v>97</v>
      </c>
      <c r="R1659" s="50">
        <f>HEX2DEC(RIGHT(Table132321432[[#This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50" t="s">
        <v>97</v>
      </c>
      <c r="P1660" s="50">
        <f>HEX2DEC(RIGHT(Table132321432[[#This Row],[h1]],8))</f>
        <v>0</v>
      </c>
      <c r="Q1660" s="50" t="s">
        <v>97</v>
      </c>
      <c r="R1660" s="50">
        <f>HEX2DEC(RIGHT(Table132321432[[#This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50" t="s">
        <v>97</v>
      </c>
      <c r="P1661" s="50">
        <f>HEX2DEC(RIGHT(Table132321432[[#This Row],[h1]],8))</f>
        <v>0</v>
      </c>
      <c r="Q1661" s="50" t="s">
        <v>97</v>
      </c>
      <c r="R1661" s="50">
        <f>HEX2DEC(RIGHT(Table132321432[[#This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50" t="s">
        <v>97</v>
      </c>
      <c r="P1662" s="50">
        <f>HEX2DEC(RIGHT(Table132321432[[#This Row],[h1]],8))</f>
        <v>0</v>
      </c>
      <c r="Q1662" s="50" t="s">
        <v>97</v>
      </c>
      <c r="R1662" s="50">
        <f>HEX2DEC(RIGHT(Table132321432[[#This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50" t="s">
        <v>97</v>
      </c>
      <c r="P1663" s="50">
        <f>HEX2DEC(RIGHT(Table132321432[[#This Row],[h1]],8))</f>
        <v>0</v>
      </c>
      <c r="Q1663" s="50" t="s">
        <v>97</v>
      </c>
      <c r="R1663" s="50">
        <f>HEX2DEC(RIGHT(Table132321432[[#This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50" t="s">
        <v>97</v>
      </c>
      <c r="P1664" s="50">
        <f>HEX2DEC(RIGHT(Table132321432[[#This Row],[h1]],8))</f>
        <v>0</v>
      </c>
      <c r="Q1664" s="50" t="s">
        <v>97</v>
      </c>
      <c r="R1664" s="50">
        <f>HEX2DEC(RIGHT(Table132321432[[#This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50" t="s">
        <v>97</v>
      </c>
      <c r="P1665" s="50">
        <f>HEX2DEC(RIGHT(Table132321432[[#This Row],[h1]],8))</f>
        <v>0</v>
      </c>
      <c r="Q1665" s="50" t="s">
        <v>97</v>
      </c>
      <c r="R1665" s="50">
        <f>HEX2DEC(RIGHT(Table132321432[[#This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50" t="s">
        <v>97</v>
      </c>
      <c r="P1666" s="50">
        <f>HEX2DEC(RIGHT(Table132321432[[#This Row],[h1]],8))</f>
        <v>0</v>
      </c>
      <c r="Q1666" s="50" t="s">
        <v>97</v>
      </c>
      <c r="R1666" s="50">
        <f>HEX2DEC(RIGHT(Table132321432[[#This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50" t="s">
        <v>97</v>
      </c>
      <c r="P1667" s="50">
        <f>HEX2DEC(RIGHT(Table132321432[[#This Row],[h1]],8))</f>
        <v>0</v>
      </c>
      <c r="Q1667" s="50" t="s">
        <v>97</v>
      </c>
      <c r="R1667" s="50">
        <f>HEX2DEC(RIGHT(Table132321432[[#This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50" t="s">
        <v>97</v>
      </c>
      <c r="P1668" s="50">
        <f>HEX2DEC(RIGHT(Table132321432[[#This Row],[h1]],8))</f>
        <v>0</v>
      </c>
      <c r="Q1668" s="50" t="s">
        <v>97</v>
      </c>
      <c r="R1668" s="50">
        <f>HEX2DEC(RIGHT(Table132321432[[#This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50" t="s">
        <v>97</v>
      </c>
      <c r="P1669" s="50">
        <f>HEX2DEC(RIGHT(Table132321432[[#This Row],[h1]],8))</f>
        <v>0</v>
      </c>
      <c r="Q1669" s="50" t="s">
        <v>97</v>
      </c>
      <c r="R1669" s="50">
        <f>HEX2DEC(RIGHT(Table132321432[[#This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50" t="s">
        <v>97</v>
      </c>
      <c r="P1670" s="50">
        <f>HEX2DEC(RIGHT(Table132321432[[#This Row],[h1]],8))</f>
        <v>0</v>
      </c>
      <c r="Q1670" s="50" t="s">
        <v>97</v>
      </c>
      <c r="R1670" s="50">
        <f>HEX2DEC(RIGHT(Table132321432[[#This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50" t="s">
        <v>97</v>
      </c>
      <c r="P1671" s="50">
        <f>HEX2DEC(RIGHT(Table132321432[[#This Row],[h1]],8))</f>
        <v>0</v>
      </c>
      <c r="Q1671" s="50" t="s">
        <v>97</v>
      </c>
      <c r="R1671" s="50">
        <f>HEX2DEC(RIGHT(Table132321432[[#This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50" t="s">
        <v>97</v>
      </c>
      <c r="P1672" s="50">
        <f>HEX2DEC(RIGHT(Table132321432[[#This Row],[h1]],8))</f>
        <v>0</v>
      </c>
      <c r="Q1672" s="50" t="s">
        <v>97</v>
      </c>
      <c r="R1672" s="50">
        <f>HEX2DEC(RIGHT(Table132321432[[#This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50" t="s">
        <v>97</v>
      </c>
      <c r="P1673" s="50">
        <f>HEX2DEC(RIGHT(Table132321432[[#This Row],[h1]],8))</f>
        <v>0</v>
      </c>
      <c r="Q1673" s="50" t="s">
        <v>97</v>
      </c>
      <c r="R1673" s="50">
        <f>HEX2DEC(RIGHT(Table132321432[[#This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50" t="s">
        <v>97</v>
      </c>
      <c r="P1674" s="50">
        <f>HEX2DEC(RIGHT(Table132321432[[#This Row],[h1]],8))</f>
        <v>0</v>
      </c>
      <c r="Q1674" s="50" t="s">
        <v>97</v>
      </c>
      <c r="R1674" s="50">
        <f>HEX2DEC(RIGHT(Table132321432[[#This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50" t="s">
        <v>97</v>
      </c>
      <c r="P1675" s="50">
        <f>HEX2DEC(RIGHT(Table132321432[[#This Row],[h1]],8))</f>
        <v>0</v>
      </c>
      <c r="Q1675" s="50" t="s">
        <v>97</v>
      </c>
      <c r="R1675" s="50">
        <f>HEX2DEC(RIGHT(Table132321432[[#This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50" t="s">
        <v>97</v>
      </c>
      <c r="P1676" s="50">
        <f>HEX2DEC(RIGHT(Table132321432[[#This Row],[h1]],8))</f>
        <v>0</v>
      </c>
      <c r="Q1676" s="50" t="s">
        <v>97</v>
      </c>
      <c r="R1676" s="50">
        <f>HEX2DEC(RIGHT(Table132321432[[#This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50" t="s">
        <v>97</v>
      </c>
      <c r="P1677" s="50">
        <f>HEX2DEC(RIGHT(Table132321432[[#This Row],[h1]],8))</f>
        <v>0</v>
      </c>
      <c r="Q1677" s="50" t="s">
        <v>97</v>
      </c>
      <c r="R1677" s="50">
        <f>HEX2DEC(RIGHT(Table132321432[[#This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50" t="s">
        <v>97</v>
      </c>
      <c r="P1678" s="50">
        <f>HEX2DEC(RIGHT(Table132321432[[#This Row],[h1]],8))</f>
        <v>0</v>
      </c>
      <c r="Q1678" s="50" t="s">
        <v>97</v>
      </c>
      <c r="R1678" s="50">
        <f>HEX2DEC(RIGHT(Table132321432[[#This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50" t="s">
        <v>97</v>
      </c>
      <c r="P1679" s="50">
        <f>HEX2DEC(RIGHT(Table132321432[[#This Row],[h1]],8))</f>
        <v>0</v>
      </c>
      <c r="Q1679" s="50" t="s">
        <v>97</v>
      </c>
      <c r="R1679" s="50">
        <f>HEX2DEC(RIGHT(Table132321432[[#This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50" t="s">
        <v>97</v>
      </c>
      <c r="P1680" s="50">
        <f>HEX2DEC(RIGHT(Table132321432[[#This Row],[h1]],8))</f>
        <v>0</v>
      </c>
      <c r="Q1680" s="50" t="s">
        <v>97</v>
      </c>
      <c r="R1680" s="50">
        <f>HEX2DEC(RIGHT(Table132321432[[#This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50" t="s">
        <v>97</v>
      </c>
      <c r="P1681" s="50">
        <f>HEX2DEC(RIGHT(Table132321432[[#This Row],[h1]],8))</f>
        <v>0</v>
      </c>
      <c r="Q1681" s="50" t="s">
        <v>97</v>
      </c>
      <c r="R1681" s="50">
        <f>HEX2DEC(RIGHT(Table132321432[[#This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50" t="s">
        <v>97</v>
      </c>
      <c r="P1682" s="50">
        <f>HEX2DEC(RIGHT(Table132321432[[#This Row],[h1]],8))</f>
        <v>0</v>
      </c>
      <c r="Q1682" s="50" t="s">
        <v>97</v>
      </c>
      <c r="R1682" s="50">
        <f>HEX2DEC(RIGHT(Table132321432[[#This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50" t="s">
        <v>97</v>
      </c>
      <c r="P1683" s="50">
        <f>HEX2DEC(RIGHT(Table132321432[[#This Row],[h1]],8))</f>
        <v>0</v>
      </c>
      <c r="Q1683" s="50" t="s">
        <v>97</v>
      </c>
      <c r="R1683" s="50">
        <f>HEX2DEC(RIGHT(Table132321432[[#This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50" t="s">
        <v>97</v>
      </c>
      <c r="P1684" s="50">
        <f>HEX2DEC(RIGHT(Table132321432[[#This Row],[h1]],8))</f>
        <v>0</v>
      </c>
      <c r="Q1684" s="50" t="s">
        <v>97</v>
      </c>
      <c r="R1684" s="50">
        <f>HEX2DEC(RIGHT(Table132321432[[#This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50" t="s">
        <v>97</v>
      </c>
      <c r="P1685" s="50">
        <f>HEX2DEC(RIGHT(Table132321432[[#This Row],[h1]],8))</f>
        <v>0</v>
      </c>
      <c r="Q1685" s="50" t="s">
        <v>97</v>
      </c>
      <c r="R1685" s="50">
        <f>HEX2DEC(RIGHT(Table132321432[[#This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50" t="s">
        <v>97</v>
      </c>
      <c r="P1686" s="50">
        <f>HEX2DEC(RIGHT(Table132321432[[#This Row],[h1]],8))</f>
        <v>0</v>
      </c>
      <c r="Q1686" s="50" t="s">
        <v>97</v>
      </c>
      <c r="R1686" s="50">
        <f>HEX2DEC(RIGHT(Table132321432[[#This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50" t="s">
        <v>97</v>
      </c>
      <c r="P1687" s="50">
        <f>HEX2DEC(RIGHT(Table132321432[[#This Row],[h1]],8))</f>
        <v>0</v>
      </c>
      <c r="Q1687" s="50" t="s">
        <v>97</v>
      </c>
      <c r="R1687" s="50">
        <f>HEX2DEC(RIGHT(Table132321432[[#This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50" t="s">
        <v>97</v>
      </c>
      <c r="P1688" s="50">
        <f>HEX2DEC(RIGHT(Table132321432[[#This Row],[h1]],8))</f>
        <v>0</v>
      </c>
      <c r="Q1688" s="50" t="s">
        <v>97</v>
      </c>
      <c r="R1688" s="50">
        <f>HEX2DEC(RIGHT(Table132321432[[#This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50" t="s">
        <v>97</v>
      </c>
      <c r="P1689" s="50">
        <f>HEX2DEC(RIGHT(Table132321432[[#This Row],[h1]],8))</f>
        <v>0</v>
      </c>
      <c r="Q1689" s="50" t="s">
        <v>97</v>
      </c>
      <c r="R1689" s="50">
        <f>HEX2DEC(RIGHT(Table132321432[[#This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50" t="s">
        <v>97</v>
      </c>
      <c r="P1690" s="50">
        <f>HEX2DEC(RIGHT(Table132321432[[#This Row],[h1]],8))</f>
        <v>0</v>
      </c>
      <c r="Q1690" s="50" t="s">
        <v>97</v>
      </c>
      <c r="R1690" s="50">
        <f>HEX2DEC(RIGHT(Table132321432[[#This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50" t="s">
        <v>97</v>
      </c>
      <c r="P1691" s="50">
        <f>HEX2DEC(RIGHT(Table132321432[[#This Row],[h1]],8))</f>
        <v>0</v>
      </c>
      <c r="Q1691" s="50" t="s">
        <v>97</v>
      </c>
      <c r="R1691" s="50">
        <f>HEX2DEC(RIGHT(Table132321432[[#This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50" t="s">
        <v>97</v>
      </c>
      <c r="P1692" s="50">
        <f>HEX2DEC(RIGHT(Table132321432[[#This Row],[h1]],8))</f>
        <v>0</v>
      </c>
      <c r="Q1692" s="50" t="s">
        <v>97</v>
      </c>
      <c r="R1692" s="50">
        <f>HEX2DEC(RIGHT(Table132321432[[#This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50" t="s">
        <v>97</v>
      </c>
      <c r="P1693" s="50">
        <f>HEX2DEC(RIGHT(Table132321432[[#This Row],[h1]],8))</f>
        <v>0</v>
      </c>
      <c r="Q1693" s="50" t="s">
        <v>97</v>
      </c>
      <c r="R1693" s="50">
        <f>HEX2DEC(RIGHT(Table132321432[[#This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50" t="s">
        <v>97</v>
      </c>
      <c r="P1694" s="50">
        <f>HEX2DEC(RIGHT(Table132321432[[#This Row],[h1]],8))</f>
        <v>0</v>
      </c>
      <c r="Q1694" s="50" t="s">
        <v>97</v>
      </c>
      <c r="R1694" s="50">
        <f>HEX2DEC(RIGHT(Table132321432[[#This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50" t="s">
        <v>97</v>
      </c>
      <c r="P1695" s="50">
        <f>HEX2DEC(RIGHT(Table132321432[[#This Row],[h1]],8))</f>
        <v>0</v>
      </c>
      <c r="Q1695" s="50" t="s">
        <v>97</v>
      </c>
      <c r="R1695" s="50">
        <f>HEX2DEC(RIGHT(Table132321432[[#This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50" t="s">
        <v>97</v>
      </c>
      <c r="P1696" s="50">
        <f>HEX2DEC(RIGHT(Table132321432[[#This Row],[h1]],8))</f>
        <v>0</v>
      </c>
      <c r="Q1696" s="50" t="s">
        <v>97</v>
      </c>
      <c r="R1696" s="50">
        <f>HEX2DEC(RIGHT(Table132321432[[#This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50" t="s">
        <v>97</v>
      </c>
      <c r="P1697" s="50">
        <f>HEX2DEC(RIGHT(Table132321432[[#This Row],[h1]],8))</f>
        <v>0</v>
      </c>
      <c r="Q1697" s="50" t="s">
        <v>97</v>
      </c>
      <c r="R1697" s="50">
        <f>HEX2DEC(RIGHT(Table132321432[[#This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50" t="s">
        <v>97</v>
      </c>
      <c r="P1698" s="50">
        <f>HEX2DEC(RIGHT(Table132321432[[#This Row],[h1]],8))</f>
        <v>0</v>
      </c>
      <c r="Q1698" s="50" t="s">
        <v>97</v>
      </c>
      <c r="R1698" s="50">
        <f>HEX2DEC(RIGHT(Table132321432[[#This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50" t="s">
        <v>97</v>
      </c>
      <c r="P1699" s="50">
        <f>HEX2DEC(RIGHT(Table132321432[[#This Row],[h1]],8))</f>
        <v>0</v>
      </c>
      <c r="Q1699" s="50" t="s">
        <v>97</v>
      </c>
      <c r="R1699" s="50">
        <f>HEX2DEC(RIGHT(Table132321432[[#This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50" t="s">
        <v>97</v>
      </c>
      <c r="P1700" s="50">
        <f>HEX2DEC(RIGHT(Table132321432[[#This Row],[h1]],8))</f>
        <v>0</v>
      </c>
      <c r="Q1700" s="50" t="s">
        <v>97</v>
      </c>
      <c r="R1700" s="50">
        <f>HEX2DEC(RIGHT(Table132321432[[#This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50" t="s">
        <v>97</v>
      </c>
      <c r="P1701" s="50">
        <f>HEX2DEC(RIGHT(Table132321432[[#This Row],[h1]],8))</f>
        <v>0</v>
      </c>
      <c r="Q1701" s="50" t="s">
        <v>97</v>
      </c>
      <c r="R1701" s="50">
        <f>HEX2DEC(RIGHT(Table132321432[[#This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50" t="s">
        <v>97</v>
      </c>
      <c r="P1702" s="50">
        <f>HEX2DEC(RIGHT(Table132321432[[#This Row],[h1]],8))</f>
        <v>0</v>
      </c>
      <c r="Q1702" s="50" t="s">
        <v>97</v>
      </c>
      <c r="R1702" s="50">
        <f>HEX2DEC(RIGHT(Table132321432[[#This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50" t="s">
        <v>97</v>
      </c>
      <c r="P1703" s="50">
        <f>HEX2DEC(RIGHT(Table132321432[[#This Row],[h1]],8))</f>
        <v>0</v>
      </c>
      <c r="Q1703" s="50" t="s">
        <v>97</v>
      </c>
      <c r="R1703" s="50">
        <f>HEX2DEC(RIGHT(Table132321432[[#This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50" t="s">
        <v>97</v>
      </c>
      <c r="P1704" s="50">
        <f>HEX2DEC(RIGHT(Table132321432[[#This Row],[h1]],8))</f>
        <v>0</v>
      </c>
      <c r="Q1704" s="50" t="s">
        <v>97</v>
      </c>
      <c r="R1704" s="50">
        <f>HEX2DEC(RIGHT(Table132321432[[#This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50" t="s">
        <v>97</v>
      </c>
      <c r="P1705" s="50">
        <f>HEX2DEC(RIGHT(Table132321432[[#This Row],[h1]],8))</f>
        <v>0</v>
      </c>
      <c r="Q1705" s="50" t="s">
        <v>97</v>
      </c>
      <c r="R1705" s="50">
        <f>HEX2DEC(RIGHT(Table132321432[[#This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50" t="s">
        <v>97</v>
      </c>
      <c r="P1706" s="50">
        <f>HEX2DEC(RIGHT(Table132321432[[#This Row],[h1]],8))</f>
        <v>0</v>
      </c>
      <c r="Q1706" s="50" t="s">
        <v>97</v>
      </c>
      <c r="R1706" s="50">
        <f>HEX2DEC(RIGHT(Table132321432[[#This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50" t="s">
        <v>97</v>
      </c>
      <c r="P1707" s="50">
        <f>HEX2DEC(RIGHT(Table132321432[[#This Row],[h1]],8))</f>
        <v>0</v>
      </c>
      <c r="Q1707" s="50" t="s">
        <v>97</v>
      </c>
      <c r="R1707" s="50">
        <f>HEX2DEC(RIGHT(Table132321432[[#This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50" t="s">
        <v>97</v>
      </c>
      <c r="P1708" s="50">
        <f>HEX2DEC(RIGHT(Table132321432[[#This Row],[h1]],8))</f>
        <v>0</v>
      </c>
      <c r="Q1708" s="50" t="s">
        <v>97</v>
      </c>
      <c r="R1708" s="50">
        <f>HEX2DEC(RIGHT(Table132321432[[#This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50" t="s">
        <v>97</v>
      </c>
      <c r="P1709" s="50">
        <f>HEX2DEC(RIGHT(Table132321432[[#This Row],[h1]],8))</f>
        <v>0</v>
      </c>
      <c r="Q1709" s="50" t="s">
        <v>97</v>
      </c>
      <c r="R1709" s="50">
        <f>HEX2DEC(RIGHT(Table132321432[[#This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50" t="s">
        <v>97</v>
      </c>
      <c r="P1710" s="50">
        <f>HEX2DEC(RIGHT(Table132321432[[#This Row],[h1]],8))</f>
        <v>0</v>
      </c>
      <c r="Q1710" s="50" t="s">
        <v>97</v>
      </c>
      <c r="R1710" s="50">
        <f>HEX2DEC(RIGHT(Table132321432[[#This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50" t="s">
        <v>97</v>
      </c>
      <c r="P1711" s="50">
        <f>HEX2DEC(RIGHT(Table132321432[[#This Row],[h1]],8))</f>
        <v>0</v>
      </c>
      <c r="Q1711" s="50" t="s">
        <v>97</v>
      </c>
      <c r="R1711" s="50">
        <f>HEX2DEC(RIGHT(Table132321432[[#This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50" t="s">
        <v>97</v>
      </c>
      <c r="P1712" s="50">
        <f>HEX2DEC(RIGHT(Table132321432[[#This Row],[h1]],8))</f>
        <v>0</v>
      </c>
      <c r="Q1712" s="50" t="s">
        <v>97</v>
      </c>
      <c r="R1712" s="50">
        <f>HEX2DEC(RIGHT(Table132321432[[#This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50" t="s">
        <v>97</v>
      </c>
      <c r="P1713" s="50">
        <f>HEX2DEC(RIGHT(Table132321432[[#This Row],[h1]],8))</f>
        <v>0</v>
      </c>
      <c r="Q1713" s="50" t="s">
        <v>97</v>
      </c>
      <c r="R1713" s="50">
        <f>HEX2DEC(RIGHT(Table132321432[[#This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50" t="s">
        <v>97</v>
      </c>
      <c r="P1714" s="50">
        <f>HEX2DEC(RIGHT(Table132321432[[#This Row],[h1]],8))</f>
        <v>0</v>
      </c>
      <c r="Q1714" s="50" t="s">
        <v>97</v>
      </c>
      <c r="R1714" s="50">
        <f>HEX2DEC(RIGHT(Table132321432[[#This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50" t="s">
        <v>97</v>
      </c>
      <c r="P1715" s="50">
        <f>HEX2DEC(RIGHT(Table132321432[[#This Row],[h1]],8))</f>
        <v>0</v>
      </c>
      <c r="Q1715" s="50" t="s">
        <v>97</v>
      </c>
      <c r="R1715" s="50">
        <f>HEX2DEC(RIGHT(Table132321432[[#This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50" t="s">
        <v>97</v>
      </c>
      <c r="P1716" s="50">
        <f>HEX2DEC(RIGHT(Table132321432[[#This Row],[h1]],8))</f>
        <v>0</v>
      </c>
      <c r="Q1716" s="50" t="s">
        <v>97</v>
      </c>
      <c r="R1716" s="50">
        <f>HEX2DEC(RIGHT(Table132321432[[#This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50" t="s">
        <v>97</v>
      </c>
      <c r="P1717" s="50">
        <f>HEX2DEC(RIGHT(Table132321432[[#This Row],[h1]],8))</f>
        <v>0</v>
      </c>
      <c r="Q1717" s="50" t="s">
        <v>97</v>
      </c>
      <c r="R1717" s="50">
        <f>HEX2DEC(RIGHT(Table132321432[[#This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50" t="s">
        <v>97</v>
      </c>
      <c r="P1718" s="50">
        <f>HEX2DEC(RIGHT(Table132321432[[#This Row],[h1]],8))</f>
        <v>0</v>
      </c>
      <c r="Q1718" s="50" t="s">
        <v>97</v>
      </c>
      <c r="R1718" s="50">
        <f>HEX2DEC(RIGHT(Table132321432[[#This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50" t="s">
        <v>97</v>
      </c>
      <c r="P1719" s="50">
        <f>HEX2DEC(RIGHT(Table132321432[[#This Row],[h1]],8))</f>
        <v>0</v>
      </c>
      <c r="Q1719" s="50" t="s">
        <v>97</v>
      </c>
      <c r="R1719" s="50">
        <f>HEX2DEC(RIGHT(Table132321432[[#This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50" t="s">
        <v>97</v>
      </c>
      <c r="P1720" s="50">
        <f>HEX2DEC(RIGHT(Table132321432[[#This Row],[h1]],8))</f>
        <v>0</v>
      </c>
      <c r="Q1720" s="50" t="s">
        <v>97</v>
      </c>
      <c r="R1720" s="50">
        <f>HEX2DEC(RIGHT(Table132321432[[#This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50" t="s">
        <v>97</v>
      </c>
      <c r="P1721" s="50">
        <f>HEX2DEC(RIGHT(Table132321432[[#This Row],[h1]],8))</f>
        <v>0</v>
      </c>
      <c r="Q1721" s="50" t="s">
        <v>97</v>
      </c>
      <c r="R1721" s="50">
        <f>HEX2DEC(RIGHT(Table132321432[[#This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50" t="s">
        <v>97</v>
      </c>
      <c r="P1722" s="50">
        <f>HEX2DEC(RIGHT(Table132321432[[#This Row],[h1]],8))</f>
        <v>0</v>
      </c>
      <c r="Q1722" s="50" t="s">
        <v>97</v>
      </c>
      <c r="R1722" s="50">
        <f>HEX2DEC(RIGHT(Table132321432[[#This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50" t="s">
        <v>97</v>
      </c>
      <c r="P1723" s="50">
        <f>HEX2DEC(RIGHT(Table132321432[[#This Row],[h1]],8))</f>
        <v>0</v>
      </c>
      <c r="Q1723" s="50" t="s">
        <v>97</v>
      </c>
      <c r="R1723" s="50">
        <f>HEX2DEC(RIGHT(Table132321432[[#This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50" t="s">
        <v>97</v>
      </c>
      <c r="P1724" s="50">
        <f>HEX2DEC(RIGHT(Table132321432[[#This Row],[h1]],8))</f>
        <v>0</v>
      </c>
      <c r="Q1724" s="50" t="s">
        <v>97</v>
      </c>
      <c r="R1724" s="50">
        <f>HEX2DEC(RIGHT(Table132321432[[#This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50" t="s">
        <v>97</v>
      </c>
      <c r="P1725" s="50">
        <f>HEX2DEC(RIGHT(Table132321432[[#This Row],[h1]],8))</f>
        <v>0</v>
      </c>
      <c r="Q1725" s="50" t="s">
        <v>97</v>
      </c>
      <c r="R1725" s="50">
        <f>HEX2DEC(RIGHT(Table132321432[[#This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50" t="s">
        <v>97</v>
      </c>
      <c r="P1726" s="50">
        <f>HEX2DEC(RIGHT(Table132321432[[#This Row],[h1]],8))</f>
        <v>0</v>
      </c>
      <c r="Q1726" s="50" t="s">
        <v>97</v>
      </c>
      <c r="R1726" s="50">
        <f>HEX2DEC(RIGHT(Table132321432[[#This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50" t="s">
        <v>97</v>
      </c>
      <c r="P1727" s="50">
        <f>HEX2DEC(RIGHT(Table132321432[[#This Row],[h1]],8))</f>
        <v>0</v>
      </c>
      <c r="Q1727" s="50" t="s">
        <v>97</v>
      </c>
      <c r="R1727" s="50">
        <f>HEX2DEC(RIGHT(Table132321432[[#This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50" t="s">
        <v>97</v>
      </c>
      <c r="P1728" s="50">
        <f>HEX2DEC(RIGHT(Table132321432[[#This Row],[h1]],8))</f>
        <v>0</v>
      </c>
      <c r="Q1728" s="50" t="s">
        <v>97</v>
      </c>
      <c r="R1728" s="50">
        <f>HEX2DEC(RIGHT(Table132321432[[#This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50" t="s">
        <v>97</v>
      </c>
      <c r="P1729" s="50">
        <f>HEX2DEC(RIGHT(Table132321432[[#This Row],[h1]],8))</f>
        <v>0</v>
      </c>
      <c r="Q1729" s="50" t="s">
        <v>97</v>
      </c>
      <c r="R1729" s="50">
        <f>HEX2DEC(RIGHT(Table132321432[[#This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50" t="s">
        <v>97</v>
      </c>
      <c r="P1730" s="50">
        <f>HEX2DEC(RIGHT(Table132321432[[#This Row],[h1]],8))</f>
        <v>0</v>
      </c>
      <c r="Q1730" s="50" t="s">
        <v>97</v>
      </c>
      <c r="R1730" s="50">
        <f>HEX2DEC(RIGHT(Table132321432[[#This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50" t="s">
        <v>97</v>
      </c>
      <c r="P1731" s="50">
        <f>HEX2DEC(RIGHT(Table132321432[[#This Row],[h1]],8))</f>
        <v>0</v>
      </c>
      <c r="Q1731" s="50" t="s">
        <v>97</v>
      </c>
      <c r="R1731" s="50">
        <f>HEX2DEC(RIGHT(Table132321432[[#This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50" t="s">
        <v>97</v>
      </c>
      <c r="P1732" s="50">
        <f>HEX2DEC(RIGHT(Table132321432[[#This Row],[h1]],8))</f>
        <v>0</v>
      </c>
      <c r="Q1732" s="50" t="s">
        <v>97</v>
      </c>
      <c r="R1732" s="50">
        <f>HEX2DEC(RIGHT(Table132321432[[#This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50" t="s">
        <v>97</v>
      </c>
      <c r="P1733" s="50">
        <f>HEX2DEC(RIGHT(Table132321432[[#This Row],[h1]],8))</f>
        <v>0</v>
      </c>
      <c r="Q1733" s="50" t="s">
        <v>97</v>
      </c>
      <c r="R1733" s="50">
        <f>HEX2DEC(RIGHT(Table132321432[[#This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50" t="s">
        <v>97</v>
      </c>
      <c r="P1734" s="50">
        <f>HEX2DEC(RIGHT(Table132321432[[#This Row],[h1]],8))</f>
        <v>0</v>
      </c>
      <c r="Q1734" s="50" t="s">
        <v>97</v>
      </c>
      <c r="R1734" s="50">
        <f>HEX2DEC(RIGHT(Table132321432[[#This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50" t="s">
        <v>97</v>
      </c>
      <c r="P1735" s="50">
        <f>HEX2DEC(RIGHT(Table132321432[[#This Row],[h1]],8))</f>
        <v>0</v>
      </c>
      <c r="Q1735" s="50" t="s">
        <v>97</v>
      </c>
      <c r="R1735" s="50">
        <f>HEX2DEC(RIGHT(Table132321432[[#This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50" t="s">
        <v>97</v>
      </c>
      <c r="P1736" s="50">
        <f>HEX2DEC(RIGHT(Table132321432[[#This Row],[h1]],8))</f>
        <v>0</v>
      </c>
      <c r="Q1736" s="50" t="s">
        <v>97</v>
      </c>
      <c r="R1736" s="50">
        <f>HEX2DEC(RIGHT(Table132321432[[#This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50" t="s">
        <v>97</v>
      </c>
      <c r="P1737" s="50">
        <f>HEX2DEC(RIGHT(Table132321432[[#This Row],[h1]],8))</f>
        <v>0</v>
      </c>
      <c r="Q1737" s="50" t="s">
        <v>97</v>
      </c>
      <c r="R1737" s="50">
        <f>HEX2DEC(RIGHT(Table132321432[[#This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50" t="s">
        <v>97</v>
      </c>
      <c r="P1738" s="50">
        <f>HEX2DEC(RIGHT(Table132321432[[#This Row],[h1]],8))</f>
        <v>0</v>
      </c>
      <c r="Q1738" s="50" t="s">
        <v>97</v>
      </c>
      <c r="R1738" s="50">
        <f>HEX2DEC(RIGHT(Table132321432[[#This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50" t="s">
        <v>97</v>
      </c>
      <c r="P1739" s="50">
        <f>HEX2DEC(RIGHT(Table132321432[[#This Row],[h1]],8))</f>
        <v>0</v>
      </c>
      <c r="Q1739" s="50" t="s">
        <v>97</v>
      </c>
      <c r="R1739" s="50">
        <f>HEX2DEC(RIGHT(Table132321432[[#This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50" t="s">
        <v>97</v>
      </c>
      <c r="P1740" s="50">
        <f>HEX2DEC(RIGHT(Table132321432[[#This Row],[h1]],8))</f>
        <v>0</v>
      </c>
      <c r="Q1740" s="50" t="s">
        <v>97</v>
      </c>
      <c r="R1740" s="50">
        <f>HEX2DEC(RIGHT(Table132321432[[#This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50" t="s">
        <v>97</v>
      </c>
      <c r="P1741" s="50">
        <f>HEX2DEC(RIGHT(Table132321432[[#This Row],[h1]],8))</f>
        <v>0</v>
      </c>
      <c r="Q1741" s="50" t="s">
        <v>97</v>
      </c>
      <c r="R1741" s="50">
        <f>HEX2DEC(RIGHT(Table132321432[[#This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50" t="s">
        <v>97</v>
      </c>
      <c r="P1742" s="50">
        <f>HEX2DEC(RIGHT(Table132321432[[#This Row],[h1]],8))</f>
        <v>0</v>
      </c>
      <c r="Q1742" s="50" t="s">
        <v>97</v>
      </c>
      <c r="R1742" s="50">
        <f>HEX2DEC(RIGHT(Table132321432[[#This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50" t="s">
        <v>97</v>
      </c>
      <c r="P1743" s="50">
        <f>HEX2DEC(RIGHT(Table132321432[[#This Row],[h1]],8))</f>
        <v>0</v>
      </c>
      <c r="Q1743" s="50" t="s">
        <v>97</v>
      </c>
      <c r="R1743" s="50">
        <f>HEX2DEC(RIGHT(Table132321432[[#This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50" t="s">
        <v>97</v>
      </c>
      <c r="P1744" s="50">
        <f>HEX2DEC(RIGHT(Table132321432[[#This Row],[h1]],8))</f>
        <v>0</v>
      </c>
      <c r="Q1744" s="50" t="s">
        <v>97</v>
      </c>
      <c r="R1744" s="50">
        <f>HEX2DEC(RIGHT(Table132321432[[#This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50" t="s">
        <v>97</v>
      </c>
      <c r="P1745" s="50">
        <f>HEX2DEC(RIGHT(Table132321432[[#This Row],[h1]],8))</f>
        <v>0</v>
      </c>
      <c r="Q1745" s="50" t="s">
        <v>97</v>
      </c>
      <c r="R1745" s="50">
        <f>HEX2DEC(RIGHT(Table132321432[[#This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50" t="s">
        <v>97</v>
      </c>
      <c r="P1746" s="50">
        <f>HEX2DEC(RIGHT(Table132321432[[#This Row],[h1]],8))</f>
        <v>0</v>
      </c>
      <c r="Q1746" s="50" t="s">
        <v>97</v>
      </c>
      <c r="R1746" s="50">
        <f>HEX2DEC(RIGHT(Table132321432[[#This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50" t="s">
        <v>97</v>
      </c>
      <c r="P1747" s="50">
        <f>HEX2DEC(RIGHT(Table132321432[[#This Row],[h1]],8))</f>
        <v>0</v>
      </c>
      <c r="Q1747" s="50" t="s">
        <v>97</v>
      </c>
      <c r="R1747" s="50">
        <f>HEX2DEC(RIGHT(Table132321432[[#This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50" t="s">
        <v>97</v>
      </c>
      <c r="P1748" s="50">
        <f>HEX2DEC(RIGHT(Table132321432[[#This Row],[h1]],8))</f>
        <v>0</v>
      </c>
      <c r="Q1748" s="50" t="s">
        <v>97</v>
      </c>
      <c r="R1748" s="50">
        <f>HEX2DEC(RIGHT(Table132321432[[#This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50" t="s">
        <v>97</v>
      </c>
      <c r="P1749" s="50">
        <f>HEX2DEC(RIGHT(Table132321432[[#This Row],[h1]],8))</f>
        <v>0</v>
      </c>
      <c r="Q1749" s="50" t="s">
        <v>97</v>
      </c>
      <c r="R1749" s="50">
        <f>HEX2DEC(RIGHT(Table132321432[[#This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50" t="s">
        <v>97</v>
      </c>
      <c r="P1750" s="50">
        <f>HEX2DEC(RIGHT(Table132321432[[#This Row],[h1]],8))</f>
        <v>0</v>
      </c>
      <c r="Q1750" s="50" t="s">
        <v>97</v>
      </c>
      <c r="R1750" s="50">
        <f>HEX2DEC(RIGHT(Table132321432[[#This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50" t="s">
        <v>97</v>
      </c>
      <c r="P1751" s="50">
        <f>HEX2DEC(RIGHT(Table132321432[[#This Row],[h1]],8))</f>
        <v>0</v>
      </c>
      <c r="Q1751" s="50" t="s">
        <v>97</v>
      </c>
      <c r="R1751" s="50">
        <f>HEX2DEC(RIGHT(Table132321432[[#This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50" t="s">
        <v>97</v>
      </c>
      <c r="P1752" s="50">
        <f>HEX2DEC(RIGHT(Table132321432[[#This Row],[h1]],8))</f>
        <v>0</v>
      </c>
      <c r="Q1752" s="50" t="s">
        <v>97</v>
      </c>
      <c r="R1752" s="50">
        <f>HEX2DEC(RIGHT(Table132321432[[#This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50" t="s">
        <v>97</v>
      </c>
      <c r="P1753" s="50">
        <f>HEX2DEC(RIGHT(Table132321432[[#This Row],[h1]],8))</f>
        <v>0</v>
      </c>
      <c r="Q1753" s="50" t="s">
        <v>97</v>
      </c>
      <c r="R1753" s="50">
        <f>HEX2DEC(RIGHT(Table132321432[[#This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50" t="s">
        <v>97</v>
      </c>
      <c r="P1754" s="50">
        <f>HEX2DEC(RIGHT(Table132321432[[#This Row],[h1]],8))</f>
        <v>0</v>
      </c>
      <c r="Q1754" s="50" t="s">
        <v>97</v>
      </c>
      <c r="R1754" s="50">
        <f>HEX2DEC(RIGHT(Table132321432[[#This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50" t="s">
        <v>97</v>
      </c>
      <c r="P1755" s="50">
        <f>HEX2DEC(RIGHT(Table132321432[[#This Row],[h1]],8))</f>
        <v>0</v>
      </c>
      <c r="Q1755" s="50" t="s">
        <v>97</v>
      </c>
      <c r="R1755" s="50">
        <f>HEX2DEC(RIGHT(Table132321432[[#This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50" t="s">
        <v>97</v>
      </c>
      <c r="P1756" s="50">
        <f>HEX2DEC(RIGHT(Table132321432[[#This Row],[h1]],8))</f>
        <v>0</v>
      </c>
      <c r="Q1756" s="50" t="s">
        <v>97</v>
      </c>
      <c r="R1756" s="50">
        <f>HEX2DEC(RIGHT(Table132321432[[#This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50" t="s">
        <v>97</v>
      </c>
      <c r="P1757" s="50">
        <f>HEX2DEC(RIGHT(Table132321432[[#This Row],[h1]],8))</f>
        <v>0</v>
      </c>
      <c r="Q1757" s="50" t="s">
        <v>97</v>
      </c>
      <c r="R1757" s="50">
        <f>HEX2DEC(RIGHT(Table132321432[[#This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50" t="s">
        <v>97</v>
      </c>
      <c r="P1758" s="50">
        <f>HEX2DEC(RIGHT(Table132321432[[#This Row],[h1]],8))</f>
        <v>0</v>
      </c>
      <c r="Q1758" s="50" t="s">
        <v>97</v>
      </c>
      <c r="R1758" s="50">
        <f>HEX2DEC(RIGHT(Table132321432[[#This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50" t="s">
        <v>97</v>
      </c>
      <c r="P1759" s="50">
        <f>HEX2DEC(RIGHT(Table132321432[[#This Row],[h1]],8))</f>
        <v>0</v>
      </c>
      <c r="Q1759" s="50" t="s">
        <v>97</v>
      </c>
      <c r="R1759" s="50">
        <f>HEX2DEC(RIGHT(Table132321432[[#This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50" t="s">
        <v>97</v>
      </c>
      <c r="P1760" s="50">
        <f>HEX2DEC(RIGHT(Table132321432[[#This Row],[h1]],8))</f>
        <v>0</v>
      </c>
      <c r="Q1760" s="50" t="s">
        <v>97</v>
      </c>
      <c r="R1760" s="50">
        <f>HEX2DEC(RIGHT(Table132321432[[#This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50" t="s">
        <v>97</v>
      </c>
      <c r="P1761" s="50">
        <f>HEX2DEC(RIGHT(Table132321432[[#This Row],[h1]],8))</f>
        <v>0</v>
      </c>
      <c r="Q1761" s="50" t="s">
        <v>97</v>
      </c>
      <c r="R1761" s="50">
        <f>HEX2DEC(RIGHT(Table132321432[[#This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50" t="s">
        <v>97</v>
      </c>
      <c r="P1762" s="50">
        <f>HEX2DEC(RIGHT(Table132321432[[#This Row],[h1]],8))</f>
        <v>0</v>
      </c>
      <c r="Q1762" s="50" t="s">
        <v>97</v>
      </c>
      <c r="R1762" s="50">
        <f>HEX2DEC(RIGHT(Table132321432[[#This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50" t="s">
        <v>97</v>
      </c>
      <c r="P1763" s="50">
        <f>HEX2DEC(RIGHT(Table132321432[[#This Row],[h1]],8))</f>
        <v>0</v>
      </c>
      <c r="Q1763" s="50" t="s">
        <v>97</v>
      </c>
      <c r="R1763" s="50">
        <f>HEX2DEC(RIGHT(Table132321432[[#This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50" t="s">
        <v>97</v>
      </c>
      <c r="P1764" s="50">
        <f>HEX2DEC(RIGHT(Table132321432[[#This Row],[h1]],8))</f>
        <v>0</v>
      </c>
      <c r="Q1764" s="50" t="s">
        <v>97</v>
      </c>
      <c r="R1764" s="50">
        <f>HEX2DEC(RIGHT(Table132321432[[#This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50" t="s">
        <v>97</v>
      </c>
      <c r="P1765" s="50">
        <f>HEX2DEC(RIGHT(Table132321432[[#This Row],[h1]],8))</f>
        <v>0</v>
      </c>
      <c r="Q1765" s="50" t="s">
        <v>97</v>
      </c>
      <c r="R1765" s="50">
        <f>HEX2DEC(RIGHT(Table132321432[[#This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50" t="s">
        <v>97</v>
      </c>
      <c r="P1766" s="50">
        <f>HEX2DEC(RIGHT(Table132321432[[#This Row],[h1]],8))</f>
        <v>0</v>
      </c>
      <c r="Q1766" s="50" t="s">
        <v>97</v>
      </c>
      <c r="R1766" s="50">
        <f>HEX2DEC(RIGHT(Table132321432[[#This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50" t="s">
        <v>97</v>
      </c>
      <c r="P1767" s="50">
        <f>HEX2DEC(RIGHT(Table132321432[[#This Row],[h1]],8))</f>
        <v>0</v>
      </c>
      <c r="Q1767" s="50" t="s">
        <v>97</v>
      </c>
      <c r="R1767" s="50">
        <f>HEX2DEC(RIGHT(Table132321432[[#This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50" t="s">
        <v>97</v>
      </c>
      <c r="P1768" s="50">
        <f>HEX2DEC(RIGHT(Table132321432[[#This Row],[h1]],8))</f>
        <v>0</v>
      </c>
      <c r="Q1768" s="50" t="s">
        <v>97</v>
      </c>
      <c r="R1768" s="50">
        <f>HEX2DEC(RIGHT(Table132321432[[#This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50" t="s">
        <v>97</v>
      </c>
      <c r="P1769" s="50">
        <f>HEX2DEC(RIGHT(Table132321432[[#This Row],[h1]],8))</f>
        <v>0</v>
      </c>
      <c r="Q1769" s="50" t="s">
        <v>97</v>
      </c>
      <c r="R1769" s="50">
        <f>HEX2DEC(RIGHT(Table132321432[[#This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50" t="s">
        <v>97</v>
      </c>
      <c r="P1770" s="50">
        <f>HEX2DEC(RIGHT(Table132321432[[#This Row],[h1]],8))</f>
        <v>0</v>
      </c>
      <c r="Q1770" s="50" t="s">
        <v>97</v>
      </c>
      <c r="R1770" s="50">
        <f>HEX2DEC(RIGHT(Table132321432[[#This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50" t="s">
        <v>97</v>
      </c>
      <c r="P1771" s="50">
        <f>HEX2DEC(RIGHT(Table132321432[[#This Row],[h1]],8))</f>
        <v>0</v>
      </c>
      <c r="Q1771" s="50" t="s">
        <v>97</v>
      </c>
      <c r="R1771" s="50">
        <f>HEX2DEC(RIGHT(Table132321432[[#This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50" t="s">
        <v>97</v>
      </c>
      <c r="P1772" s="50">
        <f>HEX2DEC(RIGHT(Table132321432[[#This Row],[h1]],8))</f>
        <v>0</v>
      </c>
      <c r="Q1772" s="50" t="s">
        <v>97</v>
      </c>
      <c r="R1772" s="50">
        <f>HEX2DEC(RIGHT(Table132321432[[#This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50" t="s">
        <v>97</v>
      </c>
      <c r="P1773" s="50">
        <f>HEX2DEC(RIGHT(Table132321432[[#This Row],[h1]],8))</f>
        <v>0</v>
      </c>
      <c r="Q1773" s="50" t="s">
        <v>97</v>
      </c>
      <c r="R1773" s="50">
        <f>HEX2DEC(RIGHT(Table132321432[[#This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50" t="s">
        <v>97</v>
      </c>
      <c r="P1774" s="50">
        <f>HEX2DEC(RIGHT(Table132321432[[#This Row],[h1]],8))</f>
        <v>0</v>
      </c>
      <c r="Q1774" s="50" t="s">
        <v>97</v>
      </c>
      <c r="R1774" s="50">
        <f>HEX2DEC(RIGHT(Table132321432[[#This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50" t="s">
        <v>97</v>
      </c>
      <c r="P1775" s="50">
        <f>HEX2DEC(RIGHT(Table132321432[[#This Row],[h1]],8))</f>
        <v>0</v>
      </c>
      <c r="Q1775" s="50" t="s">
        <v>97</v>
      </c>
      <c r="R1775" s="50">
        <f>HEX2DEC(RIGHT(Table132321432[[#This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50" t="s">
        <v>97</v>
      </c>
      <c r="P1776" s="50">
        <f>HEX2DEC(RIGHT(Table132321432[[#This Row],[h1]],8))</f>
        <v>0</v>
      </c>
      <c r="Q1776" s="50" t="s">
        <v>97</v>
      </c>
      <c r="R1776" s="50">
        <f>HEX2DEC(RIGHT(Table132321432[[#This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50" t="s">
        <v>97</v>
      </c>
      <c r="P1777" s="50">
        <f>HEX2DEC(RIGHT(Table132321432[[#This Row],[h1]],8))</f>
        <v>0</v>
      </c>
      <c r="Q1777" s="50" t="s">
        <v>97</v>
      </c>
      <c r="R1777" s="50">
        <f>HEX2DEC(RIGHT(Table132321432[[#This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50" t="s">
        <v>97</v>
      </c>
      <c r="P1778" s="50">
        <f>HEX2DEC(RIGHT(Table132321432[[#This Row],[h1]],8))</f>
        <v>0</v>
      </c>
      <c r="Q1778" s="50" t="s">
        <v>97</v>
      </c>
      <c r="R1778" s="50">
        <f>HEX2DEC(RIGHT(Table132321432[[#This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50" t="s">
        <v>97</v>
      </c>
      <c r="P1779" s="50">
        <f>HEX2DEC(RIGHT(Table132321432[[#This Row],[h1]],8))</f>
        <v>0</v>
      </c>
      <c r="Q1779" s="50" t="s">
        <v>97</v>
      </c>
      <c r="R1779" s="50">
        <f>HEX2DEC(RIGHT(Table132321432[[#This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50" t="s">
        <v>97</v>
      </c>
      <c r="P1780" s="50">
        <f>HEX2DEC(RIGHT(Table132321432[[#This Row],[h1]],8))</f>
        <v>0</v>
      </c>
      <c r="Q1780" s="50" t="s">
        <v>97</v>
      </c>
      <c r="R1780" s="50">
        <f>HEX2DEC(RIGHT(Table132321432[[#This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50" t="s">
        <v>97</v>
      </c>
      <c r="P1781" s="50">
        <f>HEX2DEC(RIGHT(Table132321432[[#This Row],[h1]],8))</f>
        <v>0</v>
      </c>
      <c r="Q1781" s="50" t="s">
        <v>97</v>
      </c>
      <c r="R1781" s="50">
        <f>HEX2DEC(RIGHT(Table132321432[[#This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50" t="s">
        <v>97</v>
      </c>
      <c r="P1782" s="50">
        <f>HEX2DEC(RIGHT(Table132321432[[#This Row],[h1]],8))</f>
        <v>0</v>
      </c>
      <c r="Q1782" s="50" t="s">
        <v>97</v>
      </c>
      <c r="R1782" s="50">
        <f>HEX2DEC(RIGHT(Table132321432[[#This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50" t="s">
        <v>97</v>
      </c>
      <c r="P1783" s="50">
        <f>HEX2DEC(RIGHT(Table132321432[[#This Row],[h1]],8))</f>
        <v>0</v>
      </c>
      <c r="Q1783" s="50" t="s">
        <v>97</v>
      </c>
      <c r="R1783" s="50">
        <f>HEX2DEC(RIGHT(Table132321432[[#This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50" t="s">
        <v>97</v>
      </c>
      <c r="P1784" s="50">
        <f>HEX2DEC(RIGHT(Table132321432[[#This Row],[h1]],8))</f>
        <v>0</v>
      </c>
      <c r="Q1784" s="50" t="s">
        <v>97</v>
      </c>
      <c r="R1784" s="50">
        <f>HEX2DEC(RIGHT(Table132321432[[#This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50" t="s">
        <v>97</v>
      </c>
      <c r="P1785" s="50">
        <f>HEX2DEC(RIGHT(Table132321432[[#This Row],[h1]],8))</f>
        <v>0</v>
      </c>
      <c r="Q1785" s="50" t="s">
        <v>97</v>
      </c>
      <c r="R1785" s="50">
        <f>HEX2DEC(RIGHT(Table132321432[[#This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50" t="s">
        <v>97</v>
      </c>
      <c r="P1786" s="50">
        <f>HEX2DEC(RIGHT(Table132321432[[#This Row],[h1]],8))</f>
        <v>0</v>
      </c>
      <c r="Q1786" s="50" t="s">
        <v>97</v>
      </c>
      <c r="R1786" s="50">
        <f>HEX2DEC(RIGHT(Table132321432[[#This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50" t="s">
        <v>97</v>
      </c>
      <c r="P1787" s="50">
        <f>HEX2DEC(RIGHT(Table132321432[[#This Row],[h1]],8))</f>
        <v>0</v>
      </c>
      <c r="Q1787" s="50" t="s">
        <v>97</v>
      </c>
      <c r="R1787" s="50">
        <f>HEX2DEC(RIGHT(Table132321432[[#This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50" t="s">
        <v>97</v>
      </c>
      <c r="P1788" s="50">
        <f>HEX2DEC(RIGHT(Table132321432[[#This Row],[h1]],8))</f>
        <v>0</v>
      </c>
      <c r="Q1788" s="50" t="s">
        <v>97</v>
      </c>
      <c r="R1788" s="50">
        <f>HEX2DEC(RIGHT(Table132321432[[#This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50" t="s">
        <v>97</v>
      </c>
      <c r="P1789" s="50">
        <f>HEX2DEC(RIGHT(Table132321432[[#This Row],[h1]],8))</f>
        <v>0</v>
      </c>
      <c r="Q1789" s="50" t="s">
        <v>97</v>
      </c>
      <c r="R1789" s="50">
        <f>HEX2DEC(RIGHT(Table132321432[[#This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50" t="s">
        <v>97</v>
      </c>
      <c r="P1790" s="50">
        <f>HEX2DEC(RIGHT(Table132321432[[#This Row],[h1]],8))</f>
        <v>0</v>
      </c>
      <c r="Q1790" s="50" t="s">
        <v>97</v>
      </c>
      <c r="R1790" s="50">
        <f>HEX2DEC(RIGHT(Table132321432[[#This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50" t="s">
        <v>97</v>
      </c>
      <c r="P1791" s="50">
        <f>HEX2DEC(RIGHT(Table132321432[[#This Row],[h1]],8))</f>
        <v>0</v>
      </c>
      <c r="Q1791" s="50" t="s">
        <v>97</v>
      </c>
      <c r="R1791" s="50">
        <f>HEX2DEC(RIGHT(Table132321432[[#This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50" t="s">
        <v>97</v>
      </c>
      <c r="P1792" s="50">
        <f>HEX2DEC(RIGHT(Table132321432[[#This Row],[h1]],8))</f>
        <v>0</v>
      </c>
      <c r="Q1792" s="50" t="s">
        <v>97</v>
      </c>
      <c r="R1792" s="50">
        <f>HEX2DEC(RIGHT(Table132321432[[#This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50" t="s">
        <v>97</v>
      </c>
      <c r="P1793" s="50">
        <f>HEX2DEC(RIGHT(Table132321432[[#This Row],[h1]],8))</f>
        <v>0</v>
      </c>
      <c r="Q1793" s="50" t="s">
        <v>97</v>
      </c>
      <c r="R1793" s="50">
        <f>HEX2DEC(RIGHT(Table132321432[[#This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50" t="s">
        <v>97</v>
      </c>
      <c r="P1794" s="50">
        <f>HEX2DEC(RIGHT(Table132321432[[#This Row],[h1]],8))</f>
        <v>0</v>
      </c>
      <c r="Q1794" s="50" t="s">
        <v>97</v>
      </c>
      <c r="R1794" s="50">
        <f>HEX2DEC(RIGHT(Table132321432[[#This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50" t="s">
        <v>97</v>
      </c>
      <c r="P1795" s="50">
        <f>HEX2DEC(RIGHT(Table132321432[[#This Row],[h1]],8))</f>
        <v>0</v>
      </c>
      <c r="Q1795" s="50" t="s">
        <v>97</v>
      </c>
      <c r="R1795" s="50">
        <f>HEX2DEC(RIGHT(Table132321432[[#This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50" t="s">
        <v>97</v>
      </c>
      <c r="P1796" s="50">
        <f>HEX2DEC(RIGHT(Table132321432[[#This Row],[h1]],8))</f>
        <v>0</v>
      </c>
      <c r="Q1796" s="50" t="s">
        <v>97</v>
      </c>
      <c r="R1796" s="50">
        <f>HEX2DEC(RIGHT(Table132321432[[#This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50" t="s">
        <v>97</v>
      </c>
      <c r="P1797" s="50">
        <f>HEX2DEC(RIGHT(Table132321432[[#This Row],[h1]],8))</f>
        <v>0</v>
      </c>
      <c r="Q1797" s="50" t="s">
        <v>97</v>
      </c>
      <c r="R1797" s="50">
        <f>HEX2DEC(RIGHT(Table132321432[[#This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50" t="s">
        <v>97</v>
      </c>
      <c r="P1798" s="50">
        <f>HEX2DEC(RIGHT(Table132321432[[#This Row],[h1]],8))</f>
        <v>0</v>
      </c>
      <c r="Q1798" s="50" t="s">
        <v>97</v>
      </c>
      <c r="R1798" s="50">
        <f>HEX2DEC(RIGHT(Table132321432[[#This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50" t="s">
        <v>97</v>
      </c>
      <c r="P1799" s="50">
        <f>HEX2DEC(RIGHT(Table132321432[[#This Row],[h1]],8))</f>
        <v>0</v>
      </c>
      <c r="Q1799" s="50" t="s">
        <v>97</v>
      </c>
      <c r="R1799" s="50">
        <f>HEX2DEC(RIGHT(Table132321432[[#This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50" t="s">
        <v>97</v>
      </c>
      <c r="P1800" s="50">
        <f>HEX2DEC(RIGHT(Table132321432[[#This Row],[h1]],8))</f>
        <v>0</v>
      </c>
      <c r="Q1800" s="50" t="s">
        <v>97</v>
      </c>
      <c r="R1800" s="50">
        <f>HEX2DEC(RIGHT(Table132321432[[#This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50" t="s">
        <v>97</v>
      </c>
      <c r="P1801" s="50">
        <f>HEX2DEC(RIGHT(Table132321432[[#This Row],[h1]],8))</f>
        <v>0</v>
      </c>
      <c r="Q1801" s="50" t="s">
        <v>97</v>
      </c>
      <c r="R1801" s="50">
        <f>HEX2DEC(RIGHT(Table132321432[[#This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50" t="s">
        <v>97</v>
      </c>
      <c r="P1802" s="50">
        <f>HEX2DEC(RIGHT(Table132321432[[#This Row],[h1]],8))</f>
        <v>0</v>
      </c>
      <c r="Q1802" s="50" t="s">
        <v>97</v>
      </c>
      <c r="R1802" s="50">
        <f>HEX2DEC(RIGHT(Table132321432[[#This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50" t="s">
        <v>97</v>
      </c>
      <c r="P1803" s="50">
        <f>HEX2DEC(RIGHT(Table132321432[[#This Row],[h1]],8))</f>
        <v>0</v>
      </c>
      <c r="Q1803" s="50" t="s">
        <v>97</v>
      </c>
      <c r="R1803" s="50">
        <f>HEX2DEC(RIGHT(Table132321432[[#This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50" t="s">
        <v>97</v>
      </c>
      <c r="P1804" s="50">
        <f>HEX2DEC(RIGHT(Table132321432[[#This Row],[h1]],8))</f>
        <v>0</v>
      </c>
      <c r="Q1804" s="50" t="s">
        <v>97</v>
      </c>
      <c r="R1804" s="50">
        <f>HEX2DEC(RIGHT(Table132321432[[#This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50" t="s">
        <v>97</v>
      </c>
      <c r="P1805" s="50">
        <f>HEX2DEC(RIGHT(Table132321432[[#This Row],[h1]],8))</f>
        <v>0</v>
      </c>
      <c r="Q1805" s="50" t="s">
        <v>97</v>
      </c>
      <c r="R1805" s="50">
        <f>HEX2DEC(RIGHT(Table132321432[[#This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50" t="s">
        <v>97</v>
      </c>
      <c r="P1806" s="50">
        <f>HEX2DEC(RIGHT(Table132321432[[#This Row],[h1]],8))</f>
        <v>0</v>
      </c>
      <c r="Q1806" s="50" t="s">
        <v>97</v>
      </c>
      <c r="R1806" s="50">
        <f>HEX2DEC(RIGHT(Table132321432[[#This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50" t="s">
        <v>97</v>
      </c>
      <c r="P1807" s="50">
        <f>HEX2DEC(RIGHT(Table132321432[[#This Row],[h1]],8))</f>
        <v>0</v>
      </c>
      <c r="Q1807" s="50" t="s">
        <v>97</v>
      </c>
      <c r="R1807" s="50">
        <f>HEX2DEC(RIGHT(Table132321432[[#This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50" t="s">
        <v>97</v>
      </c>
      <c r="P1808" s="50">
        <f>HEX2DEC(RIGHT(Table132321432[[#This Row],[h1]],8))</f>
        <v>0</v>
      </c>
      <c r="Q1808" s="50" t="s">
        <v>97</v>
      </c>
      <c r="R1808" s="50">
        <f>HEX2DEC(RIGHT(Table132321432[[#This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50" t="s">
        <v>97</v>
      </c>
      <c r="P1809" s="50">
        <f>HEX2DEC(RIGHT(Table132321432[[#This Row],[h1]],8))</f>
        <v>0</v>
      </c>
      <c r="Q1809" s="50" t="s">
        <v>97</v>
      </c>
      <c r="R1809" s="50">
        <f>HEX2DEC(RIGHT(Table132321432[[#This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50" t="s">
        <v>97</v>
      </c>
      <c r="P1810" s="50">
        <f>HEX2DEC(RIGHT(Table132321432[[#This Row],[h1]],8))</f>
        <v>0</v>
      </c>
      <c r="Q1810" s="50" t="s">
        <v>97</v>
      </c>
      <c r="R1810" s="50">
        <f>HEX2DEC(RIGHT(Table132321432[[#This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50" t="s">
        <v>97</v>
      </c>
      <c r="P1811" s="50">
        <f>HEX2DEC(RIGHT(Table132321432[[#This Row],[h1]],8))</f>
        <v>0</v>
      </c>
      <c r="Q1811" s="50" t="s">
        <v>97</v>
      </c>
      <c r="R1811" s="50">
        <f>HEX2DEC(RIGHT(Table132321432[[#This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50" t="s">
        <v>97</v>
      </c>
      <c r="P1812" s="50">
        <f>HEX2DEC(RIGHT(Table132321432[[#This Row],[h1]],8))</f>
        <v>0</v>
      </c>
      <c r="Q1812" s="50" t="s">
        <v>97</v>
      </c>
      <c r="R1812" s="50">
        <f>HEX2DEC(RIGHT(Table132321432[[#This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50" t="s">
        <v>97</v>
      </c>
      <c r="P1813" s="50">
        <f>HEX2DEC(RIGHT(Table132321432[[#This Row],[h1]],8))</f>
        <v>0</v>
      </c>
      <c r="Q1813" s="50" t="s">
        <v>97</v>
      </c>
      <c r="R1813" s="50">
        <f>HEX2DEC(RIGHT(Table132321432[[#This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50" t="s">
        <v>97</v>
      </c>
      <c r="P1814" s="50">
        <f>HEX2DEC(RIGHT(Table132321432[[#This Row],[h1]],8))</f>
        <v>0</v>
      </c>
      <c r="Q1814" s="50" t="s">
        <v>97</v>
      </c>
      <c r="R1814" s="50">
        <f>HEX2DEC(RIGHT(Table132321432[[#This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50" t="s">
        <v>97</v>
      </c>
      <c r="P1815" s="50">
        <f>HEX2DEC(RIGHT(Table132321432[[#This Row],[h1]],8))</f>
        <v>0</v>
      </c>
      <c r="Q1815" s="50" t="s">
        <v>97</v>
      </c>
      <c r="R1815" s="50">
        <f>HEX2DEC(RIGHT(Table132321432[[#This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50" t="s">
        <v>97</v>
      </c>
      <c r="P1816" s="50">
        <f>HEX2DEC(RIGHT(Table132321432[[#This Row],[h1]],8))</f>
        <v>0</v>
      </c>
      <c r="Q1816" s="50" t="s">
        <v>97</v>
      </c>
      <c r="R1816" s="50">
        <f>HEX2DEC(RIGHT(Table132321432[[#This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50" t="s">
        <v>97</v>
      </c>
      <c r="P1817" s="50">
        <f>HEX2DEC(RIGHT(Table132321432[[#This Row],[h1]],8))</f>
        <v>0</v>
      </c>
      <c r="Q1817" s="50" t="s">
        <v>97</v>
      </c>
      <c r="R1817" s="50">
        <f>HEX2DEC(RIGHT(Table132321432[[#This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50" t="s">
        <v>97</v>
      </c>
      <c r="P1818" s="50">
        <f>HEX2DEC(RIGHT(Table132321432[[#This Row],[h1]],8))</f>
        <v>0</v>
      </c>
      <c r="Q1818" s="50" t="s">
        <v>97</v>
      </c>
      <c r="R1818" s="50">
        <f>HEX2DEC(RIGHT(Table132321432[[#This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50" t="s">
        <v>97</v>
      </c>
      <c r="P1819" s="50">
        <f>HEX2DEC(RIGHT(Table132321432[[#This Row],[h1]],8))</f>
        <v>0</v>
      </c>
      <c r="Q1819" s="50" t="s">
        <v>97</v>
      </c>
      <c r="R1819" s="50">
        <f>HEX2DEC(RIGHT(Table132321432[[#This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50" t="s">
        <v>97</v>
      </c>
      <c r="P1820" s="50">
        <f>HEX2DEC(RIGHT(Table132321432[[#This Row],[h1]],8))</f>
        <v>0</v>
      </c>
      <c r="Q1820" s="50" t="s">
        <v>97</v>
      </c>
      <c r="R1820" s="50">
        <f>HEX2DEC(RIGHT(Table132321432[[#This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50" t="s">
        <v>97</v>
      </c>
      <c r="P1821" s="50">
        <f>HEX2DEC(RIGHT(Table132321432[[#This Row],[h1]],8))</f>
        <v>0</v>
      </c>
      <c r="Q1821" s="50" t="s">
        <v>97</v>
      </c>
      <c r="R1821" s="50">
        <f>HEX2DEC(RIGHT(Table132321432[[#This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50" t="s">
        <v>97</v>
      </c>
      <c r="P1822" s="50">
        <f>HEX2DEC(RIGHT(Table132321432[[#This Row],[h1]],8))</f>
        <v>0</v>
      </c>
      <c r="Q1822" s="50" t="s">
        <v>97</v>
      </c>
      <c r="R1822" s="50">
        <f>HEX2DEC(RIGHT(Table132321432[[#This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50" t="s">
        <v>97</v>
      </c>
      <c r="P1823" s="50">
        <f>HEX2DEC(RIGHT(Table132321432[[#This Row],[h1]],8))</f>
        <v>0</v>
      </c>
      <c r="Q1823" s="50" t="s">
        <v>97</v>
      </c>
      <c r="R1823" s="50">
        <f>HEX2DEC(RIGHT(Table132321432[[#This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50" t="s">
        <v>97</v>
      </c>
      <c r="P1824" s="50">
        <f>HEX2DEC(RIGHT(Table132321432[[#This Row],[h1]],8))</f>
        <v>0</v>
      </c>
      <c r="Q1824" s="50" t="s">
        <v>97</v>
      </c>
      <c r="R1824" s="50">
        <f>HEX2DEC(RIGHT(Table132321432[[#This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50" t="s">
        <v>97</v>
      </c>
      <c r="P1825" s="50">
        <f>HEX2DEC(RIGHT(Table132321432[[#This Row],[h1]],8))</f>
        <v>0</v>
      </c>
      <c r="Q1825" s="50" t="s">
        <v>97</v>
      </c>
      <c r="R1825" s="50">
        <f>HEX2DEC(RIGHT(Table132321432[[#This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50" t="s">
        <v>97</v>
      </c>
      <c r="P1826" s="50">
        <f>HEX2DEC(RIGHT(Table132321432[[#This Row],[h1]],8))</f>
        <v>0</v>
      </c>
      <c r="Q1826" s="50" t="s">
        <v>97</v>
      </c>
      <c r="R1826" s="50">
        <f>HEX2DEC(RIGHT(Table132321432[[#This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50" t="s">
        <v>97</v>
      </c>
      <c r="P1827" s="50">
        <f>HEX2DEC(RIGHT(Table132321432[[#This Row],[h1]],8))</f>
        <v>0</v>
      </c>
      <c r="Q1827" s="50" t="s">
        <v>97</v>
      </c>
      <c r="R1827" s="50">
        <f>HEX2DEC(RIGHT(Table132321432[[#This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50" t="s">
        <v>97</v>
      </c>
      <c r="P1828" s="50">
        <f>HEX2DEC(RIGHT(Table132321432[[#This Row],[h1]],8))</f>
        <v>0</v>
      </c>
      <c r="Q1828" s="50" t="s">
        <v>97</v>
      </c>
      <c r="R1828" s="50">
        <f>HEX2DEC(RIGHT(Table132321432[[#This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50" t="s">
        <v>97</v>
      </c>
      <c r="P1829" s="50">
        <f>HEX2DEC(RIGHT(Table132321432[[#This Row],[h1]],8))</f>
        <v>0</v>
      </c>
      <c r="Q1829" s="50" t="s">
        <v>97</v>
      </c>
      <c r="R1829" s="50">
        <f>HEX2DEC(RIGHT(Table132321432[[#This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50" t="s">
        <v>97</v>
      </c>
      <c r="P1830" s="50">
        <f>HEX2DEC(RIGHT(Table132321432[[#This Row],[h1]],8))</f>
        <v>0</v>
      </c>
      <c r="Q1830" s="50" t="s">
        <v>97</v>
      </c>
      <c r="R1830" s="50">
        <f>HEX2DEC(RIGHT(Table132321432[[#This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50" t="s">
        <v>97</v>
      </c>
      <c r="P1831" s="50">
        <f>HEX2DEC(RIGHT(Table132321432[[#This Row],[h1]],8))</f>
        <v>0</v>
      </c>
      <c r="Q1831" s="50" t="s">
        <v>97</v>
      </c>
      <c r="R1831" s="50">
        <f>HEX2DEC(RIGHT(Table132321432[[#This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50" t="s">
        <v>97</v>
      </c>
      <c r="P1832" s="50">
        <f>HEX2DEC(RIGHT(Table132321432[[#This Row],[h1]],8))</f>
        <v>0</v>
      </c>
      <c r="Q1832" s="50" t="s">
        <v>97</v>
      </c>
      <c r="R1832" s="50">
        <f>HEX2DEC(RIGHT(Table132321432[[#This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50" t="s">
        <v>97</v>
      </c>
      <c r="P1833" s="50">
        <f>HEX2DEC(RIGHT(Table132321432[[#This Row],[h1]],8))</f>
        <v>0</v>
      </c>
      <c r="Q1833" s="50" t="s">
        <v>97</v>
      </c>
      <c r="R1833" s="50">
        <f>HEX2DEC(RIGHT(Table132321432[[#This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50" t="s">
        <v>97</v>
      </c>
      <c r="P1834" s="50">
        <f>HEX2DEC(RIGHT(Table132321432[[#This Row],[h1]],8))</f>
        <v>0</v>
      </c>
      <c r="Q1834" s="50" t="s">
        <v>97</v>
      </c>
      <c r="R1834" s="50">
        <f>HEX2DEC(RIGHT(Table132321432[[#This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50" t="s">
        <v>97</v>
      </c>
      <c r="P1835" s="50">
        <f>HEX2DEC(RIGHT(Table132321432[[#This Row],[h1]],8))</f>
        <v>0</v>
      </c>
      <c r="Q1835" s="50" t="s">
        <v>97</v>
      </c>
      <c r="R1835" s="50">
        <f>HEX2DEC(RIGHT(Table132321432[[#This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50" t="s">
        <v>97</v>
      </c>
      <c r="P1836" s="50">
        <f>HEX2DEC(RIGHT(Table132321432[[#This Row],[h1]],8))</f>
        <v>0</v>
      </c>
      <c r="Q1836" s="50" t="s">
        <v>97</v>
      </c>
      <c r="R1836" s="50">
        <f>HEX2DEC(RIGHT(Table132321432[[#This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50" t="s">
        <v>97</v>
      </c>
      <c r="P1837" s="50">
        <f>HEX2DEC(RIGHT(Table132321432[[#This Row],[h1]],8))</f>
        <v>0</v>
      </c>
      <c r="Q1837" s="50" t="s">
        <v>97</v>
      </c>
      <c r="R1837" s="50">
        <f>HEX2DEC(RIGHT(Table132321432[[#This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50" t="s">
        <v>97</v>
      </c>
      <c r="P1838" s="50">
        <f>HEX2DEC(RIGHT(Table132321432[[#This Row],[h1]],8))</f>
        <v>0</v>
      </c>
      <c r="Q1838" s="50" t="s">
        <v>97</v>
      </c>
      <c r="R1838" s="50">
        <f>HEX2DEC(RIGHT(Table132321432[[#This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50" t="s">
        <v>97</v>
      </c>
      <c r="P1839" s="50">
        <f>HEX2DEC(RIGHT(Table132321432[[#This Row],[h1]],8))</f>
        <v>0</v>
      </c>
      <c r="Q1839" s="50" t="s">
        <v>97</v>
      </c>
      <c r="R1839" s="50">
        <f>HEX2DEC(RIGHT(Table132321432[[#This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50" t="s">
        <v>97</v>
      </c>
      <c r="P1840" s="50">
        <f>HEX2DEC(RIGHT(Table132321432[[#This Row],[h1]],8))</f>
        <v>0</v>
      </c>
      <c r="Q1840" s="50" t="s">
        <v>97</v>
      </c>
      <c r="R1840" s="50">
        <f>HEX2DEC(RIGHT(Table132321432[[#This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50" t="s">
        <v>97</v>
      </c>
      <c r="P1841" s="50">
        <f>HEX2DEC(RIGHT(Table132321432[[#This Row],[h1]],8))</f>
        <v>0</v>
      </c>
      <c r="Q1841" s="50" t="s">
        <v>97</v>
      </c>
      <c r="R1841" s="50">
        <f>HEX2DEC(RIGHT(Table132321432[[#This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50" t="s">
        <v>97</v>
      </c>
      <c r="P1842" s="50">
        <f>HEX2DEC(RIGHT(Table132321432[[#This Row],[h1]],8))</f>
        <v>0</v>
      </c>
      <c r="Q1842" s="50" t="s">
        <v>97</v>
      </c>
      <c r="R1842" s="50">
        <f>HEX2DEC(RIGHT(Table132321432[[#This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50" t="s">
        <v>97</v>
      </c>
      <c r="P1843" s="50">
        <f>HEX2DEC(RIGHT(Table132321432[[#This Row],[h1]],8))</f>
        <v>0</v>
      </c>
      <c r="Q1843" s="50" t="s">
        <v>97</v>
      </c>
      <c r="R1843" s="50">
        <f>HEX2DEC(RIGHT(Table132321432[[#This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50" t="s">
        <v>97</v>
      </c>
      <c r="P1844" s="50">
        <f>HEX2DEC(RIGHT(Table132321432[[#This Row],[h1]],8))</f>
        <v>0</v>
      </c>
      <c r="Q1844" s="50" t="s">
        <v>97</v>
      </c>
      <c r="R1844" s="50">
        <f>HEX2DEC(RIGHT(Table132321432[[#This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50" t="s">
        <v>97</v>
      </c>
      <c r="P1845" s="50">
        <f>HEX2DEC(RIGHT(Table132321432[[#This Row],[h1]],8))</f>
        <v>0</v>
      </c>
      <c r="Q1845" s="50" t="s">
        <v>97</v>
      </c>
      <c r="R1845" s="50">
        <f>HEX2DEC(RIGHT(Table132321432[[#This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50" t="s">
        <v>97</v>
      </c>
      <c r="P1846" s="50">
        <f>HEX2DEC(RIGHT(Table132321432[[#This Row],[h1]],8))</f>
        <v>0</v>
      </c>
      <c r="Q1846" s="50" t="s">
        <v>97</v>
      </c>
      <c r="R1846" s="50">
        <f>HEX2DEC(RIGHT(Table132321432[[#This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50" t="s">
        <v>97</v>
      </c>
      <c r="P1847" s="50">
        <f>HEX2DEC(RIGHT(Table132321432[[#This Row],[h1]],8))</f>
        <v>0</v>
      </c>
      <c r="Q1847" s="50" t="s">
        <v>97</v>
      </c>
      <c r="R1847" s="50">
        <f>HEX2DEC(RIGHT(Table132321432[[#This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50" t="s">
        <v>97</v>
      </c>
      <c r="P1848" s="50">
        <f>HEX2DEC(RIGHT(Table132321432[[#This Row],[h1]],8))</f>
        <v>0</v>
      </c>
      <c r="Q1848" s="50" t="s">
        <v>97</v>
      </c>
      <c r="R1848" s="50">
        <f>HEX2DEC(RIGHT(Table132321432[[#This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50" t="s">
        <v>97</v>
      </c>
      <c r="P1849" s="50">
        <f>HEX2DEC(RIGHT(Table132321432[[#This Row],[h1]],8))</f>
        <v>0</v>
      </c>
      <c r="Q1849" s="50" t="s">
        <v>97</v>
      </c>
      <c r="R1849" s="50">
        <f>HEX2DEC(RIGHT(Table132321432[[#This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50" t="s">
        <v>97</v>
      </c>
      <c r="P1850" s="50">
        <f>HEX2DEC(RIGHT(Table132321432[[#This Row],[h1]],8))</f>
        <v>0</v>
      </c>
      <c r="Q1850" s="50" t="s">
        <v>97</v>
      </c>
      <c r="R1850" s="50">
        <f>HEX2DEC(RIGHT(Table132321432[[#This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50" t="s">
        <v>97</v>
      </c>
      <c r="P1851" s="50">
        <f>HEX2DEC(RIGHT(Table132321432[[#This Row],[h1]],8))</f>
        <v>0</v>
      </c>
      <c r="Q1851" s="50" t="s">
        <v>97</v>
      </c>
      <c r="R1851" s="50">
        <f>HEX2DEC(RIGHT(Table132321432[[#This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50" t="s">
        <v>97</v>
      </c>
      <c r="P1852" s="50">
        <f>HEX2DEC(RIGHT(Table132321432[[#This Row],[h1]],8))</f>
        <v>0</v>
      </c>
      <c r="Q1852" s="50" t="s">
        <v>97</v>
      </c>
      <c r="R1852" s="50">
        <f>HEX2DEC(RIGHT(Table132321432[[#This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50" t="s">
        <v>97</v>
      </c>
      <c r="P1853" s="50">
        <f>HEX2DEC(RIGHT(Table132321432[[#This Row],[h1]],8))</f>
        <v>0</v>
      </c>
      <c r="Q1853" s="50" t="s">
        <v>97</v>
      </c>
      <c r="R1853" s="50">
        <f>HEX2DEC(RIGHT(Table132321432[[#This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50" t="s">
        <v>97</v>
      </c>
      <c r="P1854" s="50">
        <f>HEX2DEC(RIGHT(Table132321432[[#This Row],[h1]],8))</f>
        <v>0</v>
      </c>
      <c r="Q1854" s="50" t="s">
        <v>97</v>
      </c>
      <c r="R1854" s="50">
        <f>HEX2DEC(RIGHT(Table132321432[[#This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50" t="s">
        <v>97</v>
      </c>
      <c r="P1855" s="50">
        <f>HEX2DEC(RIGHT(Table132321432[[#This Row],[h1]],8))</f>
        <v>0</v>
      </c>
      <c r="Q1855" s="50" t="s">
        <v>97</v>
      </c>
      <c r="R1855" s="50">
        <f>HEX2DEC(RIGHT(Table132321432[[#This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50" t="s">
        <v>97</v>
      </c>
      <c r="P1856" s="50">
        <f>HEX2DEC(RIGHT(Table132321432[[#This Row],[h1]],8))</f>
        <v>0</v>
      </c>
      <c r="Q1856" s="50" t="s">
        <v>97</v>
      </c>
      <c r="R1856" s="50">
        <f>HEX2DEC(RIGHT(Table132321432[[#This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50" t="s">
        <v>97</v>
      </c>
      <c r="P1857" s="50">
        <f>HEX2DEC(RIGHT(Table132321432[[#This Row],[h1]],8))</f>
        <v>0</v>
      </c>
      <c r="Q1857" s="50" t="s">
        <v>97</v>
      </c>
      <c r="R1857" s="50">
        <f>HEX2DEC(RIGHT(Table132321432[[#This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50" t="s">
        <v>97</v>
      </c>
      <c r="P1858" s="50">
        <f>HEX2DEC(RIGHT(Table132321432[[#This Row],[h1]],8))</f>
        <v>0</v>
      </c>
      <c r="Q1858" s="50" t="s">
        <v>97</v>
      </c>
      <c r="R1858" s="50">
        <f>HEX2DEC(RIGHT(Table132321432[[#This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50" t="s">
        <v>97</v>
      </c>
      <c r="P1859" s="50">
        <f>HEX2DEC(RIGHT(Table132321432[[#This Row],[h1]],8))</f>
        <v>0</v>
      </c>
      <c r="Q1859" s="50" t="s">
        <v>97</v>
      </c>
      <c r="R1859" s="50">
        <f>HEX2DEC(RIGHT(Table132321432[[#This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50" t="s">
        <v>97</v>
      </c>
      <c r="P1860" s="50">
        <f>HEX2DEC(RIGHT(Table132321432[[#This Row],[h1]],8))</f>
        <v>0</v>
      </c>
      <c r="Q1860" s="50" t="s">
        <v>97</v>
      </c>
      <c r="R1860" s="50">
        <f>HEX2DEC(RIGHT(Table132321432[[#This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50" t="s">
        <v>97</v>
      </c>
      <c r="P1861" s="50">
        <f>HEX2DEC(RIGHT(Table132321432[[#This Row],[h1]],8))</f>
        <v>0</v>
      </c>
      <c r="Q1861" s="50" t="s">
        <v>97</v>
      </c>
      <c r="R1861" s="50">
        <f>HEX2DEC(RIGHT(Table132321432[[#This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50" t="s">
        <v>97</v>
      </c>
      <c r="P1862" s="50">
        <f>HEX2DEC(RIGHT(Table132321432[[#This Row],[h1]],8))</f>
        <v>0</v>
      </c>
      <c r="Q1862" s="50" t="s">
        <v>97</v>
      </c>
      <c r="R1862" s="50">
        <f>HEX2DEC(RIGHT(Table132321432[[#This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50" t="s">
        <v>97</v>
      </c>
      <c r="P1863" s="50">
        <f>HEX2DEC(RIGHT(Table132321432[[#This Row],[h1]],8))</f>
        <v>0</v>
      </c>
      <c r="Q1863" s="50" t="s">
        <v>97</v>
      </c>
      <c r="R1863" s="50">
        <f>HEX2DEC(RIGHT(Table132321432[[#This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50" t="s">
        <v>97</v>
      </c>
      <c r="P1864" s="50">
        <f>HEX2DEC(RIGHT(Table132321432[[#This Row],[h1]],8))</f>
        <v>0</v>
      </c>
      <c r="Q1864" s="50" t="s">
        <v>97</v>
      </c>
      <c r="R1864" s="50">
        <f>HEX2DEC(RIGHT(Table132321432[[#This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50" t="s">
        <v>97</v>
      </c>
      <c r="P1865" s="50">
        <f>HEX2DEC(RIGHT(Table132321432[[#This Row],[h1]],8))</f>
        <v>0</v>
      </c>
      <c r="Q1865" s="50" t="s">
        <v>97</v>
      </c>
      <c r="R1865" s="50">
        <f>HEX2DEC(RIGHT(Table132321432[[#This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50" t="s">
        <v>97</v>
      </c>
      <c r="P1866" s="50">
        <f>HEX2DEC(RIGHT(Table132321432[[#This Row],[h1]],8))</f>
        <v>0</v>
      </c>
      <c r="Q1866" s="50" t="s">
        <v>97</v>
      </c>
      <c r="R1866" s="50">
        <f>HEX2DEC(RIGHT(Table132321432[[#This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50" t="s">
        <v>97</v>
      </c>
      <c r="P1867" s="50">
        <f>HEX2DEC(RIGHT(Table132321432[[#This Row],[h1]],8))</f>
        <v>0</v>
      </c>
      <c r="Q1867" s="50" t="s">
        <v>97</v>
      </c>
      <c r="R1867" s="50">
        <f>HEX2DEC(RIGHT(Table132321432[[#This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50" t="s">
        <v>97</v>
      </c>
      <c r="P1868" s="50">
        <f>HEX2DEC(RIGHT(Table132321432[[#This Row],[h1]],8))</f>
        <v>0</v>
      </c>
      <c r="Q1868" s="50" t="s">
        <v>97</v>
      </c>
      <c r="R1868" s="50">
        <f>HEX2DEC(RIGHT(Table132321432[[#This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50" t="s">
        <v>97</v>
      </c>
      <c r="P1869" s="50">
        <f>HEX2DEC(RIGHT(Table132321432[[#This Row],[h1]],8))</f>
        <v>0</v>
      </c>
      <c r="Q1869" s="50" t="s">
        <v>97</v>
      </c>
      <c r="R1869" s="50">
        <f>HEX2DEC(RIGHT(Table132321432[[#This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50" t="s">
        <v>97</v>
      </c>
      <c r="P1870" s="50">
        <f>HEX2DEC(RIGHT(Table132321432[[#This Row],[h1]],8))</f>
        <v>0</v>
      </c>
      <c r="Q1870" s="50" t="s">
        <v>97</v>
      </c>
      <c r="R1870" s="50">
        <f>HEX2DEC(RIGHT(Table132321432[[#This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50" t="s">
        <v>97</v>
      </c>
      <c r="P1871" s="50">
        <f>HEX2DEC(RIGHT(Table132321432[[#This Row],[h1]],8))</f>
        <v>0</v>
      </c>
      <c r="Q1871" s="50" t="s">
        <v>97</v>
      </c>
      <c r="R1871" s="50">
        <f>HEX2DEC(RIGHT(Table132321432[[#This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50" t="s">
        <v>97</v>
      </c>
      <c r="P1872" s="50">
        <f>HEX2DEC(RIGHT(Table132321432[[#This Row],[h1]],8))</f>
        <v>0</v>
      </c>
      <c r="Q1872" s="50" t="s">
        <v>97</v>
      </c>
      <c r="R1872" s="50">
        <f>HEX2DEC(RIGHT(Table132321432[[#This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50" t="s">
        <v>97</v>
      </c>
      <c r="P1873" s="50">
        <f>HEX2DEC(RIGHT(Table132321432[[#This Row],[h1]],8))</f>
        <v>0</v>
      </c>
      <c r="Q1873" s="50" t="s">
        <v>97</v>
      </c>
      <c r="R1873" s="50">
        <f>HEX2DEC(RIGHT(Table132321432[[#This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50" t="s">
        <v>97</v>
      </c>
      <c r="P1874" s="50">
        <f>HEX2DEC(RIGHT(Table132321432[[#This Row],[h1]],8))</f>
        <v>0</v>
      </c>
      <c r="Q1874" s="50" t="s">
        <v>97</v>
      </c>
      <c r="R1874" s="50">
        <f>HEX2DEC(RIGHT(Table132321432[[#This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50" t="s">
        <v>97</v>
      </c>
      <c r="P1875" s="50">
        <f>HEX2DEC(RIGHT(Table132321432[[#This Row],[h1]],8))</f>
        <v>0</v>
      </c>
      <c r="Q1875" s="50" t="s">
        <v>97</v>
      </c>
      <c r="R1875" s="50">
        <f>HEX2DEC(RIGHT(Table132321432[[#This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50" t="s">
        <v>97</v>
      </c>
      <c r="P1876" s="50">
        <f>HEX2DEC(RIGHT(Table132321432[[#This Row],[h1]],8))</f>
        <v>0</v>
      </c>
      <c r="Q1876" s="50" t="s">
        <v>97</v>
      </c>
      <c r="R1876" s="50">
        <f>HEX2DEC(RIGHT(Table132321432[[#This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50" t="s">
        <v>97</v>
      </c>
      <c r="P1877" s="50">
        <f>HEX2DEC(RIGHT(Table132321432[[#This Row],[h1]],8))</f>
        <v>0</v>
      </c>
      <c r="Q1877" s="50" t="s">
        <v>97</v>
      </c>
      <c r="R1877" s="50">
        <f>HEX2DEC(RIGHT(Table132321432[[#This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50" t="s">
        <v>97</v>
      </c>
      <c r="P1878" s="50">
        <f>HEX2DEC(RIGHT(Table132321432[[#This Row],[h1]],8))</f>
        <v>0</v>
      </c>
      <c r="Q1878" s="50" t="s">
        <v>97</v>
      </c>
      <c r="R1878" s="50">
        <f>HEX2DEC(RIGHT(Table132321432[[#This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50" t="s">
        <v>97</v>
      </c>
      <c r="P1879" s="50">
        <f>HEX2DEC(RIGHT(Table132321432[[#This Row],[h1]],8))</f>
        <v>0</v>
      </c>
      <c r="Q1879" s="50" t="s">
        <v>97</v>
      </c>
      <c r="R1879" s="50">
        <f>HEX2DEC(RIGHT(Table132321432[[#This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50" t="s">
        <v>97</v>
      </c>
      <c r="P1880" s="50">
        <f>HEX2DEC(RIGHT(Table132321432[[#This Row],[h1]],8))</f>
        <v>0</v>
      </c>
      <c r="Q1880" s="50" t="s">
        <v>97</v>
      </c>
      <c r="R1880" s="50">
        <f>HEX2DEC(RIGHT(Table132321432[[#This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50" t="s">
        <v>97</v>
      </c>
      <c r="P1881" s="50">
        <f>HEX2DEC(RIGHT(Table132321432[[#This Row],[h1]],8))</f>
        <v>0</v>
      </c>
      <c r="Q1881" s="50" t="s">
        <v>97</v>
      </c>
      <c r="R1881" s="50">
        <f>HEX2DEC(RIGHT(Table132321432[[#This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50" t="s">
        <v>97</v>
      </c>
      <c r="P1882" s="50">
        <f>HEX2DEC(RIGHT(Table132321432[[#This Row],[h1]],8))</f>
        <v>0</v>
      </c>
      <c r="Q1882" s="50" t="s">
        <v>97</v>
      </c>
      <c r="R1882" s="50">
        <f>HEX2DEC(RIGHT(Table132321432[[#This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50" t="s">
        <v>97</v>
      </c>
      <c r="P1883" s="50">
        <f>HEX2DEC(RIGHT(Table132321432[[#This Row],[h1]],8))</f>
        <v>0</v>
      </c>
      <c r="Q1883" s="50" t="s">
        <v>97</v>
      </c>
      <c r="R1883" s="50">
        <f>HEX2DEC(RIGHT(Table132321432[[#This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50" t="s">
        <v>97</v>
      </c>
      <c r="P1884" s="50">
        <f>HEX2DEC(RIGHT(Table132321432[[#This Row],[h1]],8))</f>
        <v>0</v>
      </c>
      <c r="Q1884" s="50" t="s">
        <v>97</v>
      </c>
      <c r="R1884" s="50">
        <f>HEX2DEC(RIGHT(Table132321432[[#This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50" t="s">
        <v>97</v>
      </c>
      <c r="P1885" s="50">
        <f>HEX2DEC(RIGHT(Table132321432[[#This Row],[h1]],8))</f>
        <v>0</v>
      </c>
      <c r="Q1885" s="50" t="s">
        <v>97</v>
      </c>
      <c r="R1885" s="50">
        <f>HEX2DEC(RIGHT(Table132321432[[#This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50" t="s">
        <v>97</v>
      </c>
      <c r="P1886" s="50">
        <f>HEX2DEC(RIGHT(Table132321432[[#This Row],[h1]],8))</f>
        <v>0</v>
      </c>
      <c r="Q1886" s="50" t="s">
        <v>97</v>
      </c>
      <c r="R1886" s="50">
        <f>HEX2DEC(RIGHT(Table132321432[[#This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50" t="s">
        <v>97</v>
      </c>
      <c r="P1887" s="50">
        <f>HEX2DEC(RIGHT(Table132321432[[#This Row],[h1]],8))</f>
        <v>0</v>
      </c>
      <c r="Q1887" s="50" t="s">
        <v>97</v>
      </c>
      <c r="R1887" s="50">
        <f>HEX2DEC(RIGHT(Table132321432[[#This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50" t="s">
        <v>97</v>
      </c>
      <c r="P1888" s="50">
        <f>HEX2DEC(RIGHT(Table132321432[[#This Row],[h1]],8))</f>
        <v>0</v>
      </c>
      <c r="Q1888" s="50" t="s">
        <v>97</v>
      </c>
      <c r="R1888" s="50">
        <f>HEX2DEC(RIGHT(Table132321432[[#This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50" t="s">
        <v>97</v>
      </c>
      <c r="P1889" s="50">
        <f>HEX2DEC(RIGHT(Table132321432[[#This Row],[h1]],8))</f>
        <v>0</v>
      </c>
      <c r="Q1889" s="50" t="s">
        <v>97</v>
      </c>
      <c r="R1889" s="50">
        <f>HEX2DEC(RIGHT(Table132321432[[#This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50" t="s">
        <v>97</v>
      </c>
      <c r="P1890" s="50">
        <f>HEX2DEC(RIGHT(Table132321432[[#This Row],[h1]],8))</f>
        <v>0</v>
      </c>
      <c r="Q1890" s="50" t="s">
        <v>97</v>
      </c>
      <c r="R1890" s="50">
        <f>HEX2DEC(RIGHT(Table132321432[[#This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50" t="s">
        <v>97</v>
      </c>
      <c r="P1891" s="50">
        <f>HEX2DEC(RIGHT(Table132321432[[#This Row],[h1]],8))</f>
        <v>0</v>
      </c>
      <c r="Q1891" s="50" t="s">
        <v>97</v>
      </c>
      <c r="R1891" s="50">
        <f>HEX2DEC(RIGHT(Table132321432[[#This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50" t="s">
        <v>97</v>
      </c>
      <c r="P1892" s="50">
        <f>HEX2DEC(RIGHT(Table132321432[[#This Row],[h1]],8))</f>
        <v>0</v>
      </c>
      <c r="Q1892" s="50" t="s">
        <v>97</v>
      </c>
      <c r="R1892" s="50">
        <f>HEX2DEC(RIGHT(Table132321432[[#This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50" t="s">
        <v>97</v>
      </c>
      <c r="P1893" s="50">
        <f>HEX2DEC(RIGHT(Table132321432[[#This Row],[h1]],8))</f>
        <v>0</v>
      </c>
      <c r="Q1893" s="50" t="s">
        <v>97</v>
      </c>
      <c r="R1893" s="50">
        <f>HEX2DEC(RIGHT(Table132321432[[#This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50" t="s">
        <v>97</v>
      </c>
      <c r="P1894" s="50">
        <f>HEX2DEC(RIGHT(Table132321432[[#This Row],[h1]],8))</f>
        <v>0</v>
      </c>
      <c r="Q1894" s="50" t="s">
        <v>97</v>
      </c>
      <c r="R1894" s="50">
        <f>HEX2DEC(RIGHT(Table132321432[[#This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50" t="s">
        <v>97</v>
      </c>
      <c r="P1895" s="50">
        <f>HEX2DEC(RIGHT(Table132321432[[#This Row],[h1]],8))</f>
        <v>0</v>
      </c>
      <c r="Q1895" s="50" t="s">
        <v>97</v>
      </c>
      <c r="R1895" s="50">
        <f>HEX2DEC(RIGHT(Table132321432[[#This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50" t="s">
        <v>97</v>
      </c>
      <c r="P1896" s="50">
        <f>HEX2DEC(RIGHT(Table132321432[[#This Row],[h1]],8))</f>
        <v>0</v>
      </c>
      <c r="Q1896" s="50" t="s">
        <v>97</v>
      </c>
      <c r="R1896" s="50">
        <f>HEX2DEC(RIGHT(Table132321432[[#This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50" t="s">
        <v>97</v>
      </c>
      <c r="P1897" s="50">
        <f>HEX2DEC(RIGHT(Table132321432[[#This Row],[h1]],8))</f>
        <v>0</v>
      </c>
      <c r="Q1897" s="50" t="s">
        <v>97</v>
      </c>
      <c r="R1897" s="50">
        <f>HEX2DEC(RIGHT(Table132321432[[#This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50" t="s">
        <v>97</v>
      </c>
      <c r="P1898" s="50">
        <f>HEX2DEC(RIGHT(Table132321432[[#This Row],[h1]],8))</f>
        <v>0</v>
      </c>
      <c r="Q1898" s="50" t="s">
        <v>97</v>
      </c>
      <c r="R1898" s="50">
        <f>HEX2DEC(RIGHT(Table132321432[[#This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50" t="s">
        <v>97</v>
      </c>
      <c r="P1899" s="50">
        <f>HEX2DEC(RIGHT(Table132321432[[#This Row],[h1]],8))</f>
        <v>0</v>
      </c>
      <c r="Q1899" s="50" t="s">
        <v>97</v>
      </c>
      <c r="R1899" s="50">
        <f>HEX2DEC(RIGHT(Table132321432[[#This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50" t="s">
        <v>97</v>
      </c>
      <c r="P1900" s="50">
        <f>HEX2DEC(RIGHT(Table132321432[[#This Row],[h1]],8))</f>
        <v>0</v>
      </c>
      <c r="Q1900" s="50" t="s">
        <v>97</v>
      </c>
      <c r="R1900" s="50">
        <f>HEX2DEC(RIGHT(Table132321432[[#This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50" t="s">
        <v>97</v>
      </c>
      <c r="P1901" s="50">
        <f>HEX2DEC(RIGHT(Table132321432[[#This Row],[h1]],8))</f>
        <v>0</v>
      </c>
      <c r="Q1901" s="50" t="s">
        <v>97</v>
      </c>
      <c r="R1901" s="50">
        <f>HEX2DEC(RIGHT(Table132321432[[#This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50" t="s">
        <v>97</v>
      </c>
      <c r="P1902" s="50">
        <f>HEX2DEC(RIGHT(Table132321432[[#This Row],[h1]],8))</f>
        <v>0</v>
      </c>
      <c r="Q1902" s="50" t="s">
        <v>97</v>
      </c>
      <c r="R1902" s="50">
        <f>HEX2DEC(RIGHT(Table132321432[[#This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50" t="s">
        <v>97</v>
      </c>
      <c r="P1903" s="50">
        <f>HEX2DEC(RIGHT(Table132321432[[#This Row],[h1]],8))</f>
        <v>0</v>
      </c>
      <c r="Q1903" s="50" t="s">
        <v>97</v>
      </c>
      <c r="R1903" s="50">
        <f>HEX2DEC(RIGHT(Table132321432[[#This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50" t="s">
        <v>97</v>
      </c>
      <c r="P1904" s="50">
        <f>HEX2DEC(RIGHT(Table132321432[[#This Row],[h1]],8))</f>
        <v>0</v>
      </c>
      <c r="Q1904" s="50" t="s">
        <v>97</v>
      </c>
      <c r="R1904" s="50">
        <f>HEX2DEC(RIGHT(Table132321432[[#This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50" t="s">
        <v>97</v>
      </c>
      <c r="P1905" s="50">
        <f>HEX2DEC(RIGHT(Table132321432[[#This Row],[h1]],8))</f>
        <v>0</v>
      </c>
      <c r="Q1905" s="50" t="s">
        <v>97</v>
      </c>
      <c r="R1905" s="50">
        <f>HEX2DEC(RIGHT(Table132321432[[#This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50" t="s">
        <v>97</v>
      </c>
      <c r="P1906" s="50">
        <f>HEX2DEC(RIGHT(Table132321432[[#This Row],[h1]],8))</f>
        <v>0</v>
      </c>
      <c r="Q1906" s="50" t="s">
        <v>97</v>
      </c>
      <c r="R1906" s="50">
        <f>HEX2DEC(RIGHT(Table132321432[[#This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50" t="s">
        <v>97</v>
      </c>
      <c r="P1907" s="50">
        <f>HEX2DEC(RIGHT(Table132321432[[#This Row],[h1]],8))</f>
        <v>0</v>
      </c>
      <c r="Q1907" s="50" t="s">
        <v>97</v>
      </c>
      <c r="R1907" s="50">
        <f>HEX2DEC(RIGHT(Table132321432[[#This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50" t="s">
        <v>97</v>
      </c>
      <c r="P1908" s="50">
        <f>HEX2DEC(RIGHT(Table132321432[[#This Row],[h1]],8))</f>
        <v>0</v>
      </c>
      <c r="Q1908" s="50" t="s">
        <v>97</v>
      </c>
      <c r="R1908" s="50">
        <f>HEX2DEC(RIGHT(Table132321432[[#This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50" t="s">
        <v>97</v>
      </c>
      <c r="P1909" s="50">
        <f>HEX2DEC(RIGHT(Table132321432[[#This Row],[h1]],8))</f>
        <v>0</v>
      </c>
      <c r="Q1909" s="50" t="s">
        <v>97</v>
      </c>
      <c r="R1909" s="50">
        <f>HEX2DEC(RIGHT(Table132321432[[#This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50" t="s">
        <v>97</v>
      </c>
      <c r="P1910" s="50">
        <f>HEX2DEC(RIGHT(Table132321432[[#This Row],[h1]],8))</f>
        <v>0</v>
      </c>
      <c r="Q1910" s="50" t="s">
        <v>97</v>
      </c>
      <c r="R1910" s="50">
        <f>HEX2DEC(RIGHT(Table132321432[[#This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50" t="s">
        <v>97</v>
      </c>
      <c r="P1911" s="50">
        <f>HEX2DEC(RIGHT(Table132321432[[#This Row],[h1]],8))</f>
        <v>0</v>
      </c>
      <c r="Q1911" s="50" t="s">
        <v>97</v>
      </c>
      <c r="R1911" s="50">
        <f>HEX2DEC(RIGHT(Table132321432[[#This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50" t="s">
        <v>97</v>
      </c>
      <c r="P1912" s="50">
        <f>HEX2DEC(RIGHT(Table132321432[[#This Row],[h1]],8))</f>
        <v>0</v>
      </c>
      <c r="Q1912" s="50" t="s">
        <v>97</v>
      </c>
      <c r="R1912" s="50">
        <f>HEX2DEC(RIGHT(Table132321432[[#This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50" t="s">
        <v>97</v>
      </c>
      <c r="P1913" s="50">
        <f>HEX2DEC(RIGHT(Table132321432[[#This Row],[h1]],8))</f>
        <v>0</v>
      </c>
      <c r="Q1913" s="50" t="s">
        <v>97</v>
      </c>
      <c r="R1913" s="50">
        <f>HEX2DEC(RIGHT(Table132321432[[#This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50" t="s">
        <v>97</v>
      </c>
      <c r="P1914" s="50">
        <f>HEX2DEC(RIGHT(Table132321432[[#This Row],[h1]],8))</f>
        <v>0</v>
      </c>
      <c r="Q1914" s="50" t="s">
        <v>97</v>
      </c>
      <c r="R1914" s="50">
        <f>HEX2DEC(RIGHT(Table132321432[[#This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50" t="s">
        <v>97</v>
      </c>
      <c r="P1915" s="50">
        <f>HEX2DEC(RIGHT(Table132321432[[#This Row],[h1]],8))</f>
        <v>0</v>
      </c>
      <c r="Q1915" s="50" t="s">
        <v>97</v>
      </c>
      <c r="R1915" s="50">
        <f>HEX2DEC(RIGHT(Table132321432[[#This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50" t="s">
        <v>97</v>
      </c>
      <c r="P1916" s="50">
        <f>HEX2DEC(RIGHT(Table132321432[[#This Row],[h1]],8))</f>
        <v>0</v>
      </c>
      <c r="Q1916" s="50" t="s">
        <v>97</v>
      </c>
      <c r="R1916" s="50">
        <f>HEX2DEC(RIGHT(Table132321432[[#This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50" t="s">
        <v>97</v>
      </c>
      <c r="P1917" s="50">
        <f>HEX2DEC(RIGHT(Table132321432[[#This Row],[h1]],8))</f>
        <v>0</v>
      </c>
      <c r="Q1917" s="50" t="s">
        <v>97</v>
      </c>
      <c r="R1917" s="50">
        <f>HEX2DEC(RIGHT(Table132321432[[#This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50" t="s">
        <v>97</v>
      </c>
      <c r="P1918" s="50">
        <f>HEX2DEC(RIGHT(Table132321432[[#This Row],[h1]],8))</f>
        <v>0</v>
      </c>
      <c r="Q1918" s="50" t="s">
        <v>97</v>
      </c>
      <c r="R1918" s="50">
        <f>HEX2DEC(RIGHT(Table132321432[[#This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50" t="s">
        <v>97</v>
      </c>
      <c r="P1919" s="50">
        <f>HEX2DEC(RIGHT(Table132321432[[#This Row],[h1]],8))</f>
        <v>0</v>
      </c>
      <c r="Q1919" s="50" t="s">
        <v>97</v>
      </c>
      <c r="R1919" s="50">
        <f>HEX2DEC(RIGHT(Table132321432[[#This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50" t="s">
        <v>97</v>
      </c>
      <c r="P1920" s="50">
        <f>HEX2DEC(RIGHT(Table132321432[[#This Row],[h1]],8))</f>
        <v>0</v>
      </c>
      <c r="Q1920" s="50" t="s">
        <v>97</v>
      </c>
      <c r="R1920" s="50">
        <f>HEX2DEC(RIGHT(Table132321432[[#This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50" t="s">
        <v>97</v>
      </c>
      <c r="P1921" s="50">
        <f>HEX2DEC(RIGHT(Table132321432[[#This Row],[h1]],8))</f>
        <v>0</v>
      </c>
      <c r="Q1921" s="50" t="s">
        <v>97</v>
      </c>
      <c r="R1921" s="50">
        <f>HEX2DEC(RIGHT(Table132321432[[#This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50" t="s">
        <v>97</v>
      </c>
      <c r="P1922" s="50">
        <f>HEX2DEC(RIGHT(Table132321432[[#This Row],[h1]],8))</f>
        <v>0</v>
      </c>
      <c r="Q1922" s="50" t="s">
        <v>97</v>
      </c>
      <c r="R1922" s="50">
        <f>HEX2DEC(RIGHT(Table132321432[[#This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50" t="s">
        <v>97</v>
      </c>
      <c r="P1923" s="50">
        <f>HEX2DEC(RIGHT(Table132321432[[#This Row],[h1]],8))</f>
        <v>0</v>
      </c>
      <c r="Q1923" s="50" t="s">
        <v>97</v>
      </c>
      <c r="R1923" s="50">
        <f>HEX2DEC(RIGHT(Table132321432[[#This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50" t="s">
        <v>97</v>
      </c>
      <c r="P1924" s="50">
        <f>HEX2DEC(RIGHT(Table132321432[[#This Row],[h1]],8))</f>
        <v>0</v>
      </c>
      <c r="Q1924" s="50" t="s">
        <v>97</v>
      </c>
      <c r="R1924" s="50">
        <f>HEX2DEC(RIGHT(Table132321432[[#This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50" t="s">
        <v>97</v>
      </c>
      <c r="P1925" s="50">
        <f>HEX2DEC(RIGHT(Table132321432[[#This Row],[h1]],8))</f>
        <v>0</v>
      </c>
      <c r="Q1925" s="50" t="s">
        <v>97</v>
      </c>
      <c r="R1925" s="50">
        <f>HEX2DEC(RIGHT(Table132321432[[#This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50" t="s">
        <v>97</v>
      </c>
      <c r="P1926" s="50">
        <f>HEX2DEC(RIGHT(Table132321432[[#This Row],[h1]],8))</f>
        <v>0</v>
      </c>
      <c r="Q1926" s="50" t="s">
        <v>97</v>
      </c>
      <c r="R1926" s="50">
        <f>HEX2DEC(RIGHT(Table132321432[[#This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50" t="s">
        <v>97</v>
      </c>
      <c r="P1927" s="50">
        <f>HEX2DEC(RIGHT(Table132321432[[#This Row],[h1]],8))</f>
        <v>0</v>
      </c>
      <c r="Q1927" s="50" t="s">
        <v>97</v>
      </c>
      <c r="R1927" s="50">
        <f>HEX2DEC(RIGHT(Table132321432[[#This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50" t="s">
        <v>97</v>
      </c>
      <c r="P1928" s="50">
        <f>HEX2DEC(RIGHT(Table132321432[[#This Row],[h1]],8))</f>
        <v>0</v>
      </c>
      <c r="Q1928" s="50" t="s">
        <v>97</v>
      </c>
      <c r="R1928" s="50">
        <f>HEX2DEC(RIGHT(Table132321432[[#This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50" t="s">
        <v>97</v>
      </c>
      <c r="P1929" s="50">
        <f>HEX2DEC(RIGHT(Table132321432[[#This Row],[h1]],8))</f>
        <v>0</v>
      </c>
      <c r="Q1929" s="50" t="s">
        <v>97</v>
      </c>
      <c r="R1929" s="50">
        <f>HEX2DEC(RIGHT(Table132321432[[#This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50" t="s">
        <v>97</v>
      </c>
      <c r="P1930" s="50">
        <f>HEX2DEC(RIGHT(Table132321432[[#This Row],[h1]],8))</f>
        <v>0</v>
      </c>
      <c r="Q1930" s="50" t="s">
        <v>97</v>
      </c>
      <c r="R1930" s="50">
        <f>HEX2DEC(RIGHT(Table132321432[[#This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50" t="s">
        <v>97</v>
      </c>
      <c r="P1931" s="50">
        <f>HEX2DEC(RIGHT(Table132321432[[#This Row],[h1]],8))</f>
        <v>0</v>
      </c>
      <c r="Q1931" s="50" t="s">
        <v>97</v>
      </c>
      <c r="R1931" s="50">
        <f>HEX2DEC(RIGHT(Table132321432[[#This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50" t="s">
        <v>97</v>
      </c>
      <c r="P1932" s="50">
        <f>HEX2DEC(RIGHT(Table132321432[[#This Row],[h1]],8))</f>
        <v>0</v>
      </c>
      <c r="Q1932" s="50" t="s">
        <v>97</v>
      </c>
      <c r="R1932" s="50">
        <f>HEX2DEC(RIGHT(Table132321432[[#This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50" t="s">
        <v>97</v>
      </c>
      <c r="P1933" s="50">
        <f>HEX2DEC(RIGHT(Table132321432[[#This Row],[h1]],8))</f>
        <v>0</v>
      </c>
      <c r="Q1933" s="50" t="s">
        <v>97</v>
      </c>
      <c r="R1933" s="50">
        <f>HEX2DEC(RIGHT(Table132321432[[#This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50" t="s">
        <v>97</v>
      </c>
      <c r="P1934" s="50">
        <f>HEX2DEC(RIGHT(Table132321432[[#This Row],[h1]],8))</f>
        <v>0</v>
      </c>
      <c r="Q1934" s="50" t="s">
        <v>97</v>
      </c>
      <c r="R1934" s="50">
        <f>HEX2DEC(RIGHT(Table132321432[[#This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50" t="s">
        <v>97</v>
      </c>
      <c r="P1935" s="50">
        <f>HEX2DEC(RIGHT(Table132321432[[#This Row],[h1]],8))</f>
        <v>0</v>
      </c>
      <c r="Q1935" s="50" t="s">
        <v>97</v>
      </c>
      <c r="R1935" s="50">
        <f>HEX2DEC(RIGHT(Table132321432[[#This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50" t="s">
        <v>97</v>
      </c>
      <c r="P1936" s="50">
        <f>HEX2DEC(RIGHT(Table132321432[[#This Row],[h1]],8))</f>
        <v>0</v>
      </c>
      <c r="Q1936" s="50" t="s">
        <v>97</v>
      </c>
      <c r="R1936" s="50">
        <f>HEX2DEC(RIGHT(Table132321432[[#This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50" t="s">
        <v>97</v>
      </c>
      <c r="P1937" s="50">
        <f>HEX2DEC(RIGHT(Table132321432[[#This Row],[h1]],8))</f>
        <v>0</v>
      </c>
      <c r="Q1937" s="50" t="s">
        <v>97</v>
      </c>
      <c r="R1937" s="50">
        <f>HEX2DEC(RIGHT(Table132321432[[#This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50" t="s">
        <v>97</v>
      </c>
      <c r="P1938" s="50">
        <f>HEX2DEC(RIGHT(Table132321432[[#This Row],[h1]],8))</f>
        <v>0</v>
      </c>
      <c r="Q1938" s="50" t="s">
        <v>97</v>
      </c>
      <c r="R1938" s="50">
        <f>HEX2DEC(RIGHT(Table132321432[[#This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50" t="s">
        <v>97</v>
      </c>
      <c r="P1939" s="50">
        <f>HEX2DEC(RIGHT(Table132321432[[#This Row],[h1]],8))</f>
        <v>0</v>
      </c>
      <c r="Q1939" s="50" t="s">
        <v>97</v>
      </c>
      <c r="R1939" s="50">
        <f>HEX2DEC(RIGHT(Table132321432[[#This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50" t="s">
        <v>97</v>
      </c>
      <c r="P1940" s="50">
        <f>HEX2DEC(RIGHT(Table132321432[[#This Row],[h1]],8))</f>
        <v>0</v>
      </c>
      <c r="Q1940" s="50" t="s">
        <v>97</v>
      </c>
      <c r="R1940" s="50">
        <f>HEX2DEC(RIGHT(Table132321432[[#This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50" t="s">
        <v>97</v>
      </c>
      <c r="P1941" s="50">
        <f>HEX2DEC(RIGHT(Table132321432[[#This Row],[h1]],8))</f>
        <v>0</v>
      </c>
      <c r="Q1941" s="50" t="s">
        <v>97</v>
      </c>
      <c r="R1941" s="50">
        <f>HEX2DEC(RIGHT(Table132321432[[#This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50" t="s">
        <v>97</v>
      </c>
      <c r="P1942" s="50">
        <f>HEX2DEC(RIGHT(Table132321432[[#This Row],[h1]],8))</f>
        <v>0</v>
      </c>
      <c r="Q1942" s="50" t="s">
        <v>97</v>
      </c>
      <c r="R1942" s="50">
        <f>HEX2DEC(RIGHT(Table132321432[[#This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50" t="s">
        <v>97</v>
      </c>
      <c r="P1943" s="50">
        <f>HEX2DEC(RIGHT(Table132321432[[#This Row],[h1]],8))</f>
        <v>0</v>
      </c>
      <c r="Q1943" s="50" t="s">
        <v>97</v>
      </c>
      <c r="R1943" s="50">
        <f>HEX2DEC(RIGHT(Table132321432[[#This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50" t="s">
        <v>97</v>
      </c>
      <c r="P1944" s="50">
        <f>HEX2DEC(RIGHT(Table132321432[[#This Row],[h1]],8))</f>
        <v>0</v>
      </c>
      <c r="Q1944" s="50" t="s">
        <v>97</v>
      </c>
      <c r="R1944" s="50">
        <f>HEX2DEC(RIGHT(Table132321432[[#This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50" t="s">
        <v>97</v>
      </c>
      <c r="P1945" s="50">
        <f>HEX2DEC(RIGHT(Table132321432[[#This Row],[h1]],8))</f>
        <v>0</v>
      </c>
      <c r="Q1945" s="50" t="s">
        <v>97</v>
      </c>
      <c r="R1945" s="50">
        <f>HEX2DEC(RIGHT(Table132321432[[#This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50" t="s">
        <v>97</v>
      </c>
      <c r="P1946" s="50">
        <f>HEX2DEC(RIGHT(Table132321432[[#This Row],[h1]],8))</f>
        <v>0</v>
      </c>
      <c r="Q1946" s="50" t="s">
        <v>97</v>
      </c>
      <c r="R1946" s="50">
        <f>HEX2DEC(RIGHT(Table132321432[[#This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50" t="s">
        <v>97</v>
      </c>
      <c r="P1947" s="50">
        <f>HEX2DEC(RIGHT(Table132321432[[#This Row],[h1]],8))</f>
        <v>0</v>
      </c>
      <c r="Q1947" s="50" t="s">
        <v>97</v>
      </c>
      <c r="R1947" s="50">
        <f>HEX2DEC(RIGHT(Table132321432[[#This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50" t="s">
        <v>97</v>
      </c>
      <c r="P1948" s="50">
        <f>HEX2DEC(RIGHT(Table132321432[[#This Row],[h1]],8))</f>
        <v>0</v>
      </c>
      <c r="Q1948" s="50" t="s">
        <v>97</v>
      </c>
      <c r="R1948" s="50">
        <f>HEX2DEC(RIGHT(Table132321432[[#This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50" t="s">
        <v>97</v>
      </c>
      <c r="P1949" s="50">
        <f>HEX2DEC(RIGHT(Table132321432[[#This Row],[h1]],8))</f>
        <v>0</v>
      </c>
      <c r="Q1949" s="50" t="s">
        <v>97</v>
      </c>
      <c r="R1949" s="50">
        <f>HEX2DEC(RIGHT(Table132321432[[#This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50" t="s">
        <v>97</v>
      </c>
      <c r="P1950" s="50">
        <f>HEX2DEC(RIGHT(Table132321432[[#This Row],[h1]],8))</f>
        <v>0</v>
      </c>
      <c r="Q1950" s="50" t="s">
        <v>97</v>
      </c>
      <c r="R1950" s="50">
        <f>HEX2DEC(RIGHT(Table132321432[[#This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50" t="s">
        <v>97</v>
      </c>
      <c r="P1951" s="50">
        <f>HEX2DEC(RIGHT(Table132321432[[#This Row],[h1]],8))</f>
        <v>0</v>
      </c>
      <c r="Q1951" s="50" t="s">
        <v>97</v>
      </c>
      <c r="R1951" s="50">
        <f>HEX2DEC(RIGHT(Table132321432[[#This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50" t="s">
        <v>97</v>
      </c>
      <c r="P1952" s="50">
        <f>HEX2DEC(RIGHT(Table132321432[[#This Row],[h1]],8))</f>
        <v>0</v>
      </c>
      <c r="Q1952" s="50" t="s">
        <v>97</v>
      </c>
      <c r="R1952" s="50">
        <f>HEX2DEC(RIGHT(Table132321432[[#This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50" t="s">
        <v>97</v>
      </c>
      <c r="P1953" s="50">
        <f>HEX2DEC(RIGHT(Table132321432[[#This Row],[h1]],8))</f>
        <v>0</v>
      </c>
      <c r="Q1953" s="50" t="s">
        <v>97</v>
      </c>
      <c r="R1953" s="50">
        <f>HEX2DEC(RIGHT(Table132321432[[#This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50" t="s">
        <v>97</v>
      </c>
      <c r="P1954" s="50">
        <f>HEX2DEC(RIGHT(Table132321432[[#This Row],[h1]],8))</f>
        <v>0</v>
      </c>
      <c r="Q1954" s="50" t="s">
        <v>97</v>
      </c>
      <c r="R1954" s="50">
        <f>HEX2DEC(RIGHT(Table132321432[[#This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50" t="s">
        <v>97</v>
      </c>
      <c r="P1955" s="50">
        <f>HEX2DEC(RIGHT(Table132321432[[#This Row],[h1]],8))</f>
        <v>0</v>
      </c>
      <c r="Q1955" s="50" t="s">
        <v>97</v>
      </c>
      <c r="R1955" s="50">
        <f>HEX2DEC(RIGHT(Table132321432[[#This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50" t="s">
        <v>97</v>
      </c>
      <c r="P1956" s="50">
        <f>HEX2DEC(RIGHT(Table132321432[[#This Row],[h1]],8))</f>
        <v>0</v>
      </c>
      <c r="Q1956" s="50" t="s">
        <v>97</v>
      </c>
      <c r="R1956" s="50">
        <f>HEX2DEC(RIGHT(Table132321432[[#This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50" t="s">
        <v>97</v>
      </c>
      <c r="P1957" s="50">
        <f>HEX2DEC(RIGHT(Table132321432[[#This Row],[h1]],8))</f>
        <v>0</v>
      </c>
      <c r="Q1957" s="50" t="s">
        <v>97</v>
      </c>
      <c r="R1957" s="50">
        <f>HEX2DEC(RIGHT(Table132321432[[#This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50" t="s">
        <v>97</v>
      </c>
      <c r="P1958" s="50">
        <f>HEX2DEC(RIGHT(Table132321432[[#This Row],[h1]],8))</f>
        <v>0</v>
      </c>
      <c r="Q1958" s="50" t="s">
        <v>97</v>
      </c>
      <c r="R1958" s="50">
        <f>HEX2DEC(RIGHT(Table132321432[[#This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50" t="s">
        <v>97</v>
      </c>
      <c r="P1959" s="50">
        <f>HEX2DEC(RIGHT(Table132321432[[#This Row],[h1]],8))</f>
        <v>0</v>
      </c>
      <c r="Q1959" s="50" t="s">
        <v>97</v>
      </c>
      <c r="R1959" s="50">
        <f>HEX2DEC(RIGHT(Table132321432[[#This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50" t="s">
        <v>97</v>
      </c>
      <c r="P1960" s="50">
        <f>HEX2DEC(RIGHT(Table132321432[[#This Row],[h1]],8))</f>
        <v>0</v>
      </c>
      <c r="Q1960" s="50" t="s">
        <v>97</v>
      </c>
      <c r="R1960" s="50">
        <f>HEX2DEC(RIGHT(Table132321432[[#This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50" t="s">
        <v>97</v>
      </c>
      <c r="P1961" s="50">
        <f>HEX2DEC(RIGHT(Table132321432[[#This Row],[h1]],8))</f>
        <v>0</v>
      </c>
      <c r="Q1961" s="50" t="s">
        <v>97</v>
      </c>
      <c r="R1961" s="50">
        <f>HEX2DEC(RIGHT(Table132321432[[#This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50" t="s">
        <v>97</v>
      </c>
      <c r="P1962" s="50">
        <f>HEX2DEC(RIGHT(Table132321432[[#This Row],[h1]],8))</f>
        <v>0</v>
      </c>
      <c r="Q1962" s="50" t="s">
        <v>97</v>
      </c>
      <c r="R1962" s="50">
        <f>HEX2DEC(RIGHT(Table132321432[[#This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50" t="s">
        <v>97</v>
      </c>
      <c r="P1963" s="50">
        <f>HEX2DEC(RIGHT(Table132321432[[#This Row],[h1]],8))</f>
        <v>0</v>
      </c>
      <c r="Q1963" s="50" t="s">
        <v>97</v>
      </c>
      <c r="R1963" s="50">
        <f>HEX2DEC(RIGHT(Table132321432[[#This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50" t="s">
        <v>97</v>
      </c>
      <c r="P1964" s="50">
        <f>HEX2DEC(RIGHT(Table132321432[[#This Row],[h1]],8))</f>
        <v>0</v>
      </c>
      <c r="Q1964" s="50" t="s">
        <v>97</v>
      </c>
      <c r="R1964" s="50">
        <f>HEX2DEC(RIGHT(Table132321432[[#This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50" t="s">
        <v>97</v>
      </c>
      <c r="P1965" s="50">
        <f>HEX2DEC(RIGHT(Table132321432[[#This Row],[h1]],8))</f>
        <v>0</v>
      </c>
      <c r="Q1965" s="50" t="s">
        <v>97</v>
      </c>
      <c r="R1965" s="50">
        <f>HEX2DEC(RIGHT(Table132321432[[#This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50" t="s">
        <v>97</v>
      </c>
      <c r="P1966" s="50">
        <f>HEX2DEC(RIGHT(Table132321432[[#This Row],[h1]],8))</f>
        <v>0</v>
      </c>
      <c r="Q1966" s="50" t="s">
        <v>97</v>
      </c>
      <c r="R1966" s="50">
        <f>HEX2DEC(RIGHT(Table132321432[[#This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50" t="s">
        <v>97</v>
      </c>
      <c r="P1967" s="50">
        <f>HEX2DEC(RIGHT(Table132321432[[#This Row],[h1]],8))</f>
        <v>0</v>
      </c>
      <c r="Q1967" s="50" t="s">
        <v>97</v>
      </c>
      <c r="R1967" s="50">
        <f>HEX2DEC(RIGHT(Table132321432[[#This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50" t="s">
        <v>97</v>
      </c>
      <c r="P1968" s="50">
        <f>HEX2DEC(RIGHT(Table132321432[[#This Row],[h1]],8))</f>
        <v>0</v>
      </c>
      <c r="Q1968" s="50" t="s">
        <v>97</v>
      </c>
      <c r="R1968" s="50">
        <f>HEX2DEC(RIGHT(Table132321432[[#This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50" t="s">
        <v>97</v>
      </c>
      <c r="P1969" s="50">
        <f>HEX2DEC(RIGHT(Table132321432[[#This Row],[h1]],8))</f>
        <v>0</v>
      </c>
      <c r="Q1969" s="50" t="s">
        <v>97</v>
      </c>
      <c r="R1969" s="50">
        <f>HEX2DEC(RIGHT(Table132321432[[#This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50" t="s">
        <v>97</v>
      </c>
      <c r="P1970" s="50">
        <f>HEX2DEC(RIGHT(Table132321432[[#This Row],[h1]],8))</f>
        <v>0</v>
      </c>
      <c r="Q1970" s="50" t="s">
        <v>97</v>
      </c>
      <c r="R1970" s="50">
        <f>HEX2DEC(RIGHT(Table132321432[[#This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50" t="s">
        <v>97</v>
      </c>
      <c r="P1971" s="50">
        <f>HEX2DEC(RIGHT(Table132321432[[#This Row],[h1]],8))</f>
        <v>0</v>
      </c>
      <c r="Q1971" s="50" t="s">
        <v>97</v>
      </c>
      <c r="R1971" s="50">
        <f>HEX2DEC(RIGHT(Table132321432[[#This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50" t="s">
        <v>97</v>
      </c>
      <c r="P1972" s="50">
        <f>HEX2DEC(RIGHT(Table132321432[[#This Row],[h1]],8))</f>
        <v>0</v>
      </c>
      <c r="Q1972" s="50" t="s">
        <v>97</v>
      </c>
      <c r="R1972" s="50">
        <f>HEX2DEC(RIGHT(Table132321432[[#This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50" t="s">
        <v>97</v>
      </c>
      <c r="P1973" s="50">
        <f>HEX2DEC(RIGHT(Table132321432[[#This Row],[h1]],8))</f>
        <v>0</v>
      </c>
      <c r="Q1973" s="50" t="s">
        <v>97</v>
      </c>
      <c r="R1973" s="50">
        <f>HEX2DEC(RIGHT(Table132321432[[#This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50" t="s">
        <v>97</v>
      </c>
      <c r="P1974" s="50">
        <f>HEX2DEC(RIGHT(Table132321432[[#This Row],[h1]],8))</f>
        <v>0</v>
      </c>
      <c r="Q1974" s="50" t="s">
        <v>97</v>
      </c>
      <c r="R1974" s="50">
        <f>HEX2DEC(RIGHT(Table132321432[[#This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50" t="s">
        <v>97</v>
      </c>
      <c r="P1975" s="50">
        <f>HEX2DEC(RIGHT(Table132321432[[#This Row],[h1]],8))</f>
        <v>0</v>
      </c>
      <c r="Q1975" s="50" t="s">
        <v>97</v>
      </c>
      <c r="R1975" s="50">
        <f>HEX2DEC(RIGHT(Table132321432[[#This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50" t="s">
        <v>97</v>
      </c>
      <c r="P1976" s="50">
        <f>HEX2DEC(RIGHT(Table132321432[[#This Row],[h1]],8))</f>
        <v>0</v>
      </c>
      <c r="Q1976" s="50" t="s">
        <v>97</v>
      </c>
      <c r="R1976" s="50">
        <f>HEX2DEC(RIGHT(Table132321432[[#This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50" t="s">
        <v>97</v>
      </c>
      <c r="P1977" s="50">
        <f>HEX2DEC(RIGHT(Table132321432[[#This Row],[h1]],8))</f>
        <v>0</v>
      </c>
      <c r="Q1977" s="50" t="s">
        <v>97</v>
      </c>
      <c r="R1977" s="50">
        <f>HEX2DEC(RIGHT(Table132321432[[#This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50" t="s">
        <v>97</v>
      </c>
      <c r="P1978" s="50">
        <f>HEX2DEC(RIGHT(Table132321432[[#This Row],[h1]],8))</f>
        <v>0</v>
      </c>
      <c r="Q1978" s="50" t="s">
        <v>97</v>
      </c>
      <c r="R1978" s="50">
        <f>HEX2DEC(RIGHT(Table132321432[[#This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50" t="s">
        <v>97</v>
      </c>
      <c r="P1979" s="50">
        <f>HEX2DEC(RIGHT(Table132321432[[#This Row],[h1]],8))</f>
        <v>0</v>
      </c>
      <c r="Q1979" s="50" t="s">
        <v>97</v>
      </c>
      <c r="R1979" s="50">
        <f>HEX2DEC(RIGHT(Table132321432[[#This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50" t="s">
        <v>97</v>
      </c>
      <c r="P1980" s="50">
        <f>HEX2DEC(RIGHT(Table132321432[[#This Row],[h1]],8))</f>
        <v>0</v>
      </c>
      <c r="Q1980" s="50" t="s">
        <v>97</v>
      </c>
      <c r="R1980" s="50">
        <f>HEX2DEC(RIGHT(Table132321432[[#This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50" t="s">
        <v>97</v>
      </c>
      <c r="P1981" s="50">
        <f>HEX2DEC(RIGHT(Table132321432[[#This Row],[h1]],8))</f>
        <v>0</v>
      </c>
      <c r="Q1981" s="50" t="s">
        <v>97</v>
      </c>
      <c r="R1981" s="50">
        <f>HEX2DEC(RIGHT(Table132321432[[#This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50" t="s">
        <v>97</v>
      </c>
      <c r="P1982" s="50">
        <f>HEX2DEC(RIGHT(Table132321432[[#This Row],[h1]],8))</f>
        <v>0</v>
      </c>
      <c r="Q1982" s="50" t="s">
        <v>97</v>
      </c>
      <c r="R1982" s="50">
        <f>HEX2DEC(RIGHT(Table132321432[[#This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50" t="s">
        <v>97</v>
      </c>
      <c r="P1983" s="50">
        <f>HEX2DEC(RIGHT(Table132321432[[#This Row],[h1]],8))</f>
        <v>0</v>
      </c>
      <c r="Q1983" s="50" t="s">
        <v>97</v>
      </c>
      <c r="R1983" s="50">
        <f>HEX2DEC(RIGHT(Table132321432[[#This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50" t="s">
        <v>97</v>
      </c>
      <c r="P1984" s="50">
        <f>HEX2DEC(RIGHT(Table132321432[[#This Row],[h1]],8))</f>
        <v>0</v>
      </c>
      <c r="Q1984" s="50" t="s">
        <v>97</v>
      </c>
      <c r="R1984" s="50">
        <f>HEX2DEC(RIGHT(Table132321432[[#This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50" t="s">
        <v>97</v>
      </c>
      <c r="P1985" s="50">
        <f>HEX2DEC(RIGHT(Table132321432[[#This Row],[h1]],8))</f>
        <v>0</v>
      </c>
      <c r="Q1985" s="50" t="s">
        <v>97</v>
      </c>
      <c r="R1985" s="50">
        <f>HEX2DEC(RIGHT(Table132321432[[#This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50" t="s">
        <v>97</v>
      </c>
      <c r="P1986" s="50">
        <f>HEX2DEC(RIGHT(Table132321432[[#This Row],[h1]],8))</f>
        <v>0</v>
      </c>
      <c r="Q1986" s="50" t="s">
        <v>97</v>
      </c>
      <c r="R1986" s="50">
        <f>HEX2DEC(RIGHT(Table132321432[[#This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50" t="s">
        <v>97</v>
      </c>
      <c r="P1987" s="50">
        <f>HEX2DEC(RIGHT(Table132321432[[#This Row],[h1]],8))</f>
        <v>0</v>
      </c>
      <c r="Q1987" s="50" t="s">
        <v>97</v>
      </c>
      <c r="R1987" s="50">
        <f>HEX2DEC(RIGHT(Table132321432[[#This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50" t="s">
        <v>97</v>
      </c>
      <c r="P1988" s="50">
        <f>HEX2DEC(RIGHT(Table132321432[[#This Row],[h1]],8))</f>
        <v>0</v>
      </c>
      <c r="Q1988" s="50" t="s">
        <v>97</v>
      </c>
      <c r="R1988" s="50">
        <f>HEX2DEC(RIGHT(Table132321432[[#This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50" t="s">
        <v>97</v>
      </c>
      <c r="P1989" s="50">
        <f>HEX2DEC(RIGHT(Table132321432[[#This Row],[h1]],8))</f>
        <v>0</v>
      </c>
      <c r="Q1989" s="50" t="s">
        <v>97</v>
      </c>
      <c r="R1989" s="50">
        <f>HEX2DEC(RIGHT(Table132321432[[#This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50" t="s">
        <v>97</v>
      </c>
      <c r="P1990" s="50">
        <f>HEX2DEC(RIGHT(Table132321432[[#This Row],[h1]],8))</f>
        <v>0</v>
      </c>
      <c r="Q1990" s="50" t="s">
        <v>97</v>
      </c>
      <c r="R1990" s="50">
        <f>HEX2DEC(RIGHT(Table132321432[[#This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50" t="s">
        <v>97</v>
      </c>
      <c r="P1991" s="50">
        <f>HEX2DEC(RIGHT(Table132321432[[#This Row],[h1]],8))</f>
        <v>0</v>
      </c>
      <c r="Q1991" s="50" t="s">
        <v>97</v>
      </c>
      <c r="R1991" s="50">
        <f>HEX2DEC(RIGHT(Table132321432[[#This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50" t="s">
        <v>97</v>
      </c>
      <c r="P1992" s="50">
        <f>HEX2DEC(RIGHT(Table132321432[[#This Row],[h1]],8))</f>
        <v>0</v>
      </c>
      <c r="Q1992" s="50" t="s">
        <v>97</v>
      </c>
      <c r="R1992" s="50">
        <f>HEX2DEC(RIGHT(Table132321432[[#This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50" t="s">
        <v>97</v>
      </c>
      <c r="P1993" s="50">
        <f>HEX2DEC(RIGHT(Table132321432[[#This Row],[h1]],8))</f>
        <v>0</v>
      </c>
      <c r="Q1993" s="50" t="s">
        <v>97</v>
      </c>
      <c r="R1993" s="50">
        <f>HEX2DEC(RIGHT(Table132321432[[#This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50" t="s">
        <v>97</v>
      </c>
      <c r="P1994" s="50">
        <f>HEX2DEC(RIGHT(Table132321432[[#This Row],[h1]],8))</f>
        <v>0</v>
      </c>
      <c r="Q1994" s="50" t="s">
        <v>97</v>
      </c>
      <c r="R1994" s="50">
        <f>HEX2DEC(RIGHT(Table132321432[[#This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50" t="s">
        <v>97</v>
      </c>
      <c r="P1995" s="50">
        <f>HEX2DEC(RIGHT(Table132321432[[#This Row],[h1]],8))</f>
        <v>0</v>
      </c>
      <c r="Q1995" s="50" t="s">
        <v>97</v>
      </c>
      <c r="R1995" s="50">
        <f>HEX2DEC(RIGHT(Table132321432[[#This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50" t="s">
        <v>97</v>
      </c>
      <c r="P1996" s="50">
        <f>HEX2DEC(RIGHT(Table132321432[[#This Row],[h1]],8))</f>
        <v>0</v>
      </c>
      <c r="Q1996" s="50" t="s">
        <v>97</v>
      </c>
      <c r="R1996" s="50">
        <f>HEX2DEC(RIGHT(Table132321432[[#This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50" t="s">
        <v>97</v>
      </c>
      <c r="P1997" s="50">
        <f>HEX2DEC(RIGHT(Table132321432[[#This Row],[h1]],8))</f>
        <v>0</v>
      </c>
      <c r="Q1997" s="50" t="s">
        <v>97</v>
      </c>
      <c r="R1997" s="50">
        <f>HEX2DEC(RIGHT(Table132321432[[#This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50" t="s">
        <v>97</v>
      </c>
      <c r="P1998" s="50">
        <f>HEX2DEC(RIGHT(Table132321432[[#This Row],[h1]],8))</f>
        <v>0</v>
      </c>
      <c r="Q1998" s="50" t="s">
        <v>97</v>
      </c>
      <c r="R1998" s="50">
        <f>HEX2DEC(RIGHT(Table132321432[[#This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50" t="s">
        <v>97</v>
      </c>
      <c r="P1999" s="50">
        <f>HEX2DEC(RIGHT(Table132321432[[#This Row],[h1]],8))</f>
        <v>0</v>
      </c>
      <c r="Q1999" s="50" t="s">
        <v>97</v>
      </c>
      <c r="R1999" s="50">
        <f>HEX2DEC(RIGHT(Table132321432[[#This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50" t="s">
        <v>97</v>
      </c>
      <c r="P2000" s="50">
        <f>HEX2DEC(RIGHT(Table132321432[[#This Row],[h1]],8))</f>
        <v>0</v>
      </c>
      <c r="Q2000" s="50" t="s">
        <v>97</v>
      </c>
      <c r="R2000" s="50">
        <f>HEX2DEC(RIGHT(Table132321432[[#This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50" t="s">
        <v>97</v>
      </c>
      <c r="P2001" s="50">
        <f>HEX2DEC(RIGHT(Table132321432[[#This Row],[h1]],8))</f>
        <v>0</v>
      </c>
      <c r="Q2001" s="50" t="s">
        <v>97</v>
      </c>
      <c r="R2001" s="50">
        <f>HEX2DEC(RIGHT(Table132321432[[#This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50" t="s">
        <v>97</v>
      </c>
      <c r="P2002" s="50">
        <f>HEX2DEC(RIGHT(Table132321432[[#This Row],[h1]],8))</f>
        <v>0</v>
      </c>
      <c r="Q2002" s="50" t="s">
        <v>97</v>
      </c>
      <c r="R2002" s="50">
        <f>HEX2DEC(RIGHT(Table132321432[[#This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50" t="s">
        <v>97</v>
      </c>
      <c r="P2003" s="50">
        <f>HEX2DEC(RIGHT(Table132321432[[#This Row],[h1]],8))</f>
        <v>0</v>
      </c>
      <c r="Q2003" s="50" t="s">
        <v>97</v>
      </c>
      <c r="R2003" s="50">
        <f>HEX2DEC(RIGHT(Table132321432[[#This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50" t="s">
        <v>97</v>
      </c>
      <c r="P2004" s="50">
        <f>HEX2DEC(RIGHT(Table132321432[[#This Row],[h1]],8))</f>
        <v>0</v>
      </c>
      <c r="Q2004" s="50" t="s">
        <v>97</v>
      </c>
      <c r="R2004" s="50">
        <f>HEX2DEC(RIGHT(Table132321432[[#This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50" t="s">
        <v>97</v>
      </c>
      <c r="P2005" s="50">
        <f>HEX2DEC(RIGHT(Table132321432[[#This Row],[h1]],8))</f>
        <v>0</v>
      </c>
      <c r="Q2005" s="50" t="s">
        <v>97</v>
      </c>
      <c r="R2005" s="50">
        <f>HEX2DEC(RIGHT(Table132321432[[#This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50" t="s">
        <v>97</v>
      </c>
      <c r="P2006" s="50">
        <f>HEX2DEC(RIGHT(Table132321432[[#This Row],[h1]],8))</f>
        <v>0</v>
      </c>
      <c r="Q2006" s="50" t="s">
        <v>97</v>
      </c>
      <c r="R2006" s="50">
        <f>HEX2DEC(RIGHT(Table132321432[[#This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50" t="s">
        <v>97</v>
      </c>
      <c r="P2007" s="50">
        <f>HEX2DEC(RIGHT(Table132321432[[#This Row],[h1]],8))</f>
        <v>0</v>
      </c>
      <c r="Q2007" s="50" t="s">
        <v>97</v>
      </c>
      <c r="R2007" s="50">
        <f>HEX2DEC(RIGHT(Table132321432[[#This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50" t="s">
        <v>97</v>
      </c>
      <c r="P2008" s="50">
        <f>HEX2DEC(RIGHT(Table132321432[[#This Row],[h1]],8))</f>
        <v>0</v>
      </c>
      <c r="Q2008" s="50" t="s">
        <v>97</v>
      </c>
      <c r="R2008" s="50">
        <f>HEX2DEC(RIGHT(Table132321432[[#This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50" t="s">
        <v>97</v>
      </c>
      <c r="P2009" s="50">
        <f>HEX2DEC(RIGHT(Table132321432[[#This Row],[h1]],8))</f>
        <v>0</v>
      </c>
      <c r="Q2009" s="50" t="s">
        <v>97</v>
      </c>
      <c r="R2009" s="50">
        <f>HEX2DEC(RIGHT(Table132321432[[#This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50" t="s">
        <v>97</v>
      </c>
      <c r="P2010" s="50">
        <f>HEX2DEC(RIGHT(Table132321432[[#This Row],[h1]],8))</f>
        <v>0</v>
      </c>
      <c r="Q2010" s="50" t="s">
        <v>97</v>
      </c>
      <c r="R2010" s="50">
        <f>HEX2DEC(RIGHT(Table132321432[[#This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50" t="s">
        <v>97</v>
      </c>
      <c r="P2011" s="50">
        <f>HEX2DEC(RIGHT(Table132321432[[#This Row],[h1]],8))</f>
        <v>0</v>
      </c>
      <c r="Q2011" s="50" t="s">
        <v>97</v>
      </c>
      <c r="R2011" s="50">
        <f>HEX2DEC(RIGHT(Table132321432[[#This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50" t="s">
        <v>97</v>
      </c>
      <c r="P2012" s="50">
        <f>HEX2DEC(RIGHT(Table132321432[[#This Row],[h1]],8))</f>
        <v>0</v>
      </c>
      <c r="Q2012" s="50" t="s">
        <v>97</v>
      </c>
      <c r="R2012" s="50">
        <f>HEX2DEC(RIGHT(Table132321432[[#This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50" t="s">
        <v>97</v>
      </c>
      <c r="P2013" s="50">
        <f>HEX2DEC(RIGHT(Table132321432[[#This Row],[h1]],8))</f>
        <v>0</v>
      </c>
      <c r="Q2013" s="50" t="s">
        <v>97</v>
      </c>
      <c r="R2013" s="50">
        <f>HEX2DEC(RIGHT(Table132321432[[#This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50" t="s">
        <v>97</v>
      </c>
      <c r="P2014" s="50">
        <f>HEX2DEC(RIGHT(Table132321432[[#This Row],[h1]],8))</f>
        <v>0</v>
      </c>
      <c r="Q2014" s="50" t="s">
        <v>97</v>
      </c>
      <c r="R2014" s="50">
        <f>HEX2DEC(RIGHT(Table132321432[[#This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50" t="s">
        <v>97</v>
      </c>
      <c r="P2015" s="50">
        <f>HEX2DEC(RIGHT(Table132321432[[#This Row],[h1]],8))</f>
        <v>0</v>
      </c>
      <c r="Q2015" s="50" t="s">
        <v>97</v>
      </c>
      <c r="R2015" s="50">
        <f>HEX2DEC(RIGHT(Table132321432[[#This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50" t="s">
        <v>97</v>
      </c>
      <c r="P2016" s="50">
        <f>HEX2DEC(RIGHT(Table132321432[[#This Row],[h1]],8))</f>
        <v>0</v>
      </c>
      <c r="Q2016" s="50" t="s">
        <v>97</v>
      </c>
      <c r="R2016" s="50">
        <f>HEX2DEC(RIGHT(Table132321432[[#This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50" t="s">
        <v>97</v>
      </c>
      <c r="P2017" s="50">
        <f>HEX2DEC(RIGHT(Table132321432[[#This Row],[h1]],8))</f>
        <v>0</v>
      </c>
      <c r="Q2017" s="50" t="s">
        <v>97</v>
      </c>
      <c r="R2017" s="50">
        <f>HEX2DEC(RIGHT(Table132321432[[#This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50" t="s">
        <v>97</v>
      </c>
      <c r="P2018" s="50">
        <f>HEX2DEC(RIGHT(Table132321432[[#This Row],[h1]],8))</f>
        <v>0</v>
      </c>
      <c r="Q2018" s="50" t="s">
        <v>97</v>
      </c>
      <c r="R2018" s="50">
        <f>HEX2DEC(RIGHT(Table132321432[[#This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50" t="s">
        <v>97</v>
      </c>
      <c r="P2019" s="50">
        <f>HEX2DEC(RIGHT(Table132321432[[#This Row],[h1]],8))</f>
        <v>0</v>
      </c>
      <c r="Q2019" s="50" t="s">
        <v>97</v>
      </c>
      <c r="R2019" s="50">
        <f>HEX2DEC(RIGHT(Table132321432[[#This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50" t="s">
        <v>97</v>
      </c>
      <c r="P2020" s="50">
        <f>HEX2DEC(RIGHT(Table132321432[[#This Row],[h1]],8))</f>
        <v>0</v>
      </c>
      <c r="Q2020" s="50" t="s">
        <v>97</v>
      </c>
      <c r="R2020" s="50">
        <f>HEX2DEC(RIGHT(Table132321432[[#This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50" t="s">
        <v>97</v>
      </c>
      <c r="P2021" s="50">
        <f>HEX2DEC(RIGHT(Table132321432[[#This Row],[h1]],8))</f>
        <v>0</v>
      </c>
      <c r="Q2021" s="50" t="s">
        <v>97</v>
      </c>
      <c r="R2021" s="50">
        <f>HEX2DEC(RIGHT(Table132321432[[#This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50" t="s">
        <v>97</v>
      </c>
      <c r="P2022" s="50">
        <f>HEX2DEC(RIGHT(Table132321432[[#This Row],[h1]],8))</f>
        <v>0</v>
      </c>
      <c r="Q2022" s="50" t="s">
        <v>97</v>
      </c>
      <c r="R2022" s="50">
        <f>HEX2DEC(RIGHT(Table132321432[[#This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50" t="s">
        <v>97</v>
      </c>
      <c r="P2023" s="50">
        <f>HEX2DEC(RIGHT(Table132321432[[#This Row],[h1]],8))</f>
        <v>0</v>
      </c>
      <c r="Q2023" s="50" t="s">
        <v>97</v>
      </c>
      <c r="R2023" s="50">
        <f>HEX2DEC(RIGHT(Table132321432[[#This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50" t="s">
        <v>97</v>
      </c>
      <c r="P2024" s="50">
        <f>HEX2DEC(RIGHT(Table132321432[[#This Row],[h1]],8))</f>
        <v>0</v>
      </c>
      <c r="Q2024" s="50" t="s">
        <v>97</v>
      </c>
      <c r="R2024" s="50">
        <f>HEX2DEC(RIGHT(Table132321432[[#This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50" t="s">
        <v>97</v>
      </c>
      <c r="P2025" s="50">
        <f>HEX2DEC(RIGHT(Table132321432[[#This Row],[h1]],8))</f>
        <v>0</v>
      </c>
      <c r="Q2025" s="50" t="s">
        <v>97</v>
      </c>
      <c r="R2025" s="50">
        <f>HEX2DEC(RIGHT(Table132321432[[#This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50" t="s">
        <v>97</v>
      </c>
      <c r="P2026" s="50">
        <f>HEX2DEC(RIGHT(Table132321432[[#This Row],[h1]],8))</f>
        <v>0</v>
      </c>
      <c r="Q2026" s="50" t="s">
        <v>97</v>
      </c>
      <c r="R2026" s="50">
        <f>HEX2DEC(RIGHT(Table132321432[[#This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50" t="s">
        <v>97</v>
      </c>
      <c r="P2027" s="50">
        <f>HEX2DEC(RIGHT(Table132321432[[#This Row],[h1]],8))</f>
        <v>0</v>
      </c>
      <c r="Q2027" s="50" t="s">
        <v>97</v>
      </c>
      <c r="R2027" s="50">
        <f>HEX2DEC(RIGHT(Table132321432[[#This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50" t="s">
        <v>97</v>
      </c>
      <c r="P2028" s="50">
        <f>HEX2DEC(RIGHT(Table132321432[[#This Row],[h1]],8))</f>
        <v>0</v>
      </c>
      <c r="Q2028" s="50" t="s">
        <v>97</v>
      </c>
      <c r="R2028" s="50">
        <f>HEX2DEC(RIGHT(Table132321432[[#This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50" t="s">
        <v>97</v>
      </c>
      <c r="P2029" s="50">
        <f>HEX2DEC(RIGHT(Table132321432[[#This Row],[h1]],8))</f>
        <v>0</v>
      </c>
      <c r="Q2029" s="50" t="s">
        <v>97</v>
      </c>
      <c r="R2029" s="50">
        <f>HEX2DEC(RIGHT(Table132321432[[#This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50" t="s">
        <v>97</v>
      </c>
      <c r="P2030" s="50">
        <f>HEX2DEC(RIGHT(Table132321432[[#This Row],[h1]],8))</f>
        <v>0</v>
      </c>
      <c r="Q2030" s="50" t="s">
        <v>97</v>
      </c>
      <c r="R2030" s="50">
        <f>HEX2DEC(RIGHT(Table132321432[[#This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50" t="s">
        <v>97</v>
      </c>
      <c r="P2031" s="50">
        <f>HEX2DEC(RIGHT(Table132321432[[#This Row],[h1]],8))</f>
        <v>0</v>
      </c>
      <c r="Q2031" s="50" t="s">
        <v>97</v>
      </c>
      <c r="R2031" s="50">
        <f>HEX2DEC(RIGHT(Table132321432[[#This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50" t="s">
        <v>97</v>
      </c>
      <c r="P2032" s="50">
        <f>HEX2DEC(RIGHT(Table132321432[[#This Row],[h1]],8))</f>
        <v>0</v>
      </c>
      <c r="Q2032" s="50" t="s">
        <v>97</v>
      </c>
      <c r="R2032" s="50">
        <f>HEX2DEC(RIGHT(Table132321432[[#This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50" t="s">
        <v>97</v>
      </c>
      <c r="P2033" s="50">
        <f>HEX2DEC(RIGHT(Table132321432[[#This Row],[h1]],8))</f>
        <v>0</v>
      </c>
      <c r="Q2033" s="50" t="s">
        <v>97</v>
      </c>
      <c r="R2033" s="50">
        <f>HEX2DEC(RIGHT(Table132321432[[#This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50" t="s">
        <v>97</v>
      </c>
      <c r="P2034" s="50">
        <f>HEX2DEC(RIGHT(Table132321432[[#This Row],[h1]],8))</f>
        <v>0</v>
      </c>
      <c r="Q2034" s="50" t="s">
        <v>97</v>
      </c>
      <c r="R2034" s="50">
        <f>HEX2DEC(RIGHT(Table132321432[[#This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50" t="s">
        <v>97</v>
      </c>
      <c r="P2035" s="50">
        <f>HEX2DEC(RIGHT(Table132321432[[#This Row],[h1]],8))</f>
        <v>0</v>
      </c>
      <c r="Q2035" s="50" t="s">
        <v>97</v>
      </c>
      <c r="R2035" s="50">
        <f>HEX2DEC(RIGHT(Table132321432[[#This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50" t="s">
        <v>97</v>
      </c>
      <c r="P2036" s="50">
        <f>HEX2DEC(RIGHT(Table132321432[[#This Row],[h1]],8))</f>
        <v>0</v>
      </c>
      <c r="Q2036" s="50" t="s">
        <v>97</v>
      </c>
      <c r="R2036" s="50">
        <f>HEX2DEC(RIGHT(Table132321432[[#This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50" t="s">
        <v>97</v>
      </c>
      <c r="P2037" s="50">
        <f>HEX2DEC(RIGHT(Table132321432[[#This Row],[h1]],8))</f>
        <v>0</v>
      </c>
      <c r="Q2037" s="50" t="s">
        <v>97</v>
      </c>
      <c r="R2037" s="50">
        <f>HEX2DEC(RIGHT(Table132321432[[#This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50" t="s">
        <v>97</v>
      </c>
      <c r="P2038" s="50">
        <f>HEX2DEC(RIGHT(Table132321432[[#This Row],[h1]],8))</f>
        <v>0</v>
      </c>
      <c r="Q2038" s="50" t="s">
        <v>97</v>
      </c>
      <c r="R2038" s="50">
        <f>HEX2DEC(RIGHT(Table132321432[[#This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50" t="s">
        <v>97</v>
      </c>
      <c r="P2039" s="50">
        <f>HEX2DEC(RIGHT(Table132321432[[#This Row],[h1]],8))</f>
        <v>0</v>
      </c>
      <c r="Q2039" s="50" t="s">
        <v>97</v>
      </c>
      <c r="R2039" s="50">
        <f>HEX2DEC(RIGHT(Table132321432[[#This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50" t="s">
        <v>97</v>
      </c>
      <c r="P2040" s="50">
        <f>HEX2DEC(RIGHT(Table132321432[[#This Row],[h1]],8))</f>
        <v>0</v>
      </c>
      <c r="Q2040" s="50" t="s">
        <v>97</v>
      </c>
      <c r="R2040" s="50">
        <f>HEX2DEC(RIGHT(Table132321432[[#This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50" t="s">
        <v>97</v>
      </c>
      <c r="P2041" s="50">
        <f>HEX2DEC(RIGHT(Table132321432[[#This Row],[h1]],8))</f>
        <v>0</v>
      </c>
      <c r="Q2041" s="50" t="s">
        <v>97</v>
      </c>
      <c r="R2041" s="50">
        <f>HEX2DEC(RIGHT(Table132321432[[#This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50" t="s">
        <v>27</v>
      </c>
      <c r="Q2042" s="50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50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94"/>
  <sheetViews>
    <sheetView zoomScale="115" zoomScaleNormal="115" workbookViewId="0">
      <pane xSplit="3" ySplit="6" topLeftCell="D349" activePane="bottomRight" state="frozen"/>
      <selection pane="topRight" activeCell="C1" sqref="C1"/>
      <selection pane="bottomLeft" activeCell="A7" sqref="A7"/>
      <selection pane="bottomRight" activeCell="G390" sqref="G390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5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5" bestFit="1" customWidth="1"/>
    <col min="16" max="16" width="12.25" style="45" customWidth="1"/>
    <col min="17" max="17" width="14.125" style="45" bestFit="1" customWidth="1"/>
    <col min="18" max="18" width="14.125" style="45" customWidth="1"/>
    <col min="19" max="19" width="1.75" style="45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5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5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158</v>
      </c>
      <c r="P2" s="62"/>
      <c r="Q2" s="62"/>
      <c r="R2" s="62"/>
      <c r="T2" s="62" t="s">
        <v>30</v>
      </c>
      <c r="U2" s="62"/>
      <c r="V2" s="62"/>
      <c r="W2" s="62"/>
    </row>
    <row r="3" spans="1:23" s="45" customFormat="1" x14ac:dyDescent="0.3">
      <c r="A3" s="12" t="s">
        <v>32</v>
      </c>
      <c r="C3" s="45" t="s">
        <v>23</v>
      </c>
      <c r="D3" s="45" t="s">
        <v>9</v>
      </c>
      <c r="E3" s="45" t="s">
        <v>10</v>
      </c>
      <c r="F3" s="45" t="s">
        <v>11</v>
      </c>
      <c r="G3" s="45" t="s">
        <v>105</v>
      </c>
      <c r="I3" s="45" t="s">
        <v>6</v>
      </c>
      <c r="J3" s="45" t="s">
        <v>7</v>
      </c>
      <c r="L3" s="45" t="s">
        <v>6</v>
      </c>
      <c r="M3" s="45" t="s">
        <v>7</v>
      </c>
      <c r="O3" s="45" t="s">
        <v>98</v>
      </c>
      <c r="P3" s="34" t="s">
        <v>99</v>
      </c>
      <c r="Q3" s="45" t="s">
        <v>100</v>
      </c>
      <c r="R3" s="45" t="s">
        <v>101</v>
      </c>
      <c r="T3" s="45" t="s">
        <v>5</v>
      </c>
      <c r="U3" s="45" t="s">
        <v>6</v>
      </c>
      <c r="V3" s="45" t="s">
        <v>8</v>
      </c>
      <c r="W3" s="45" t="s">
        <v>7</v>
      </c>
    </row>
    <row r="4" spans="1:23" s="45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5" customFormat="1" x14ac:dyDescent="0.3">
      <c r="A5" s="12" t="s">
        <v>112</v>
      </c>
      <c r="B5" s="45" t="str">
        <f>A3&amp;"."&amp;A4&amp;"."&amp;A5&amp;A6&amp;"."</f>
        <v>SCL3.TS.EVF001.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5" customFormat="1" x14ac:dyDescent="0.3">
      <c r="A6" s="12" t="s">
        <v>41</v>
      </c>
      <c r="B6" s="45" t="str">
        <f>A3&amp;":"&amp;A4&amp;":"&amp;A5&amp;A6&amp;":"</f>
        <v>SCL3:TS:EVF001: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5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159</v>
      </c>
      <c r="P7" s="18"/>
      <c r="Q7" s="18" t="s">
        <v>160</v>
      </c>
    </row>
    <row r="8" spans="1:23" x14ac:dyDescent="0.3">
      <c r="C8" s="42"/>
      <c r="G8" s="19"/>
      <c r="H8" s="45"/>
      <c r="I8" s="20">
        <v>32768</v>
      </c>
      <c r="J8" s="21">
        <v>10</v>
      </c>
      <c r="K8" s="45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5"/>
      <c r="I9" s="20">
        <v>0</v>
      </c>
      <c r="J9" s="21">
        <v>10</v>
      </c>
      <c r="K9" s="45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5"/>
      <c r="I10" s="24">
        <v>0</v>
      </c>
      <c r="J10" s="24">
        <v>20</v>
      </c>
      <c r="K10" s="45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161</v>
      </c>
      <c r="G11" s="33">
        <v>500</v>
      </c>
      <c r="H11" s="45"/>
      <c r="I11" s="24">
        <v>0</v>
      </c>
      <c r="J11" s="24">
        <v>20</v>
      </c>
      <c r="K11" s="45"/>
      <c r="L11" s="24">
        <v>11</v>
      </c>
      <c r="M11" s="24">
        <v>50000</v>
      </c>
      <c r="O11" s="49" t="s">
        <v>97</v>
      </c>
      <c r="P11" s="45">
        <f>HEX2DEC(RIGHT(Table132321[[#This Row],[h1]],8))</f>
        <v>0</v>
      </c>
      <c r="Q11" s="45" t="s">
        <v>97</v>
      </c>
      <c r="R11" s="45">
        <f>HEX2DEC(RIGHT(Table132321[[#This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5"/>
      <c r="I12" s="24">
        <v>0</v>
      </c>
      <c r="J12" s="24">
        <v>20</v>
      </c>
      <c r="K12" s="45"/>
      <c r="L12" s="24">
        <v>12</v>
      </c>
      <c r="M12" s="24">
        <v>50000</v>
      </c>
      <c r="O12" s="45" t="s">
        <v>97</v>
      </c>
      <c r="P12" s="45">
        <f>HEX2DEC(RIGHT(Table132321[[#This Row],[h1]],8))</f>
        <v>0</v>
      </c>
      <c r="Q12" s="45" t="s">
        <v>97</v>
      </c>
      <c r="R12" s="45">
        <f>HEX2DEC(RIGHT(Table132321[[#This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5"/>
      <c r="I13" s="20" t="s">
        <v>27</v>
      </c>
      <c r="J13" s="24">
        <v>50000</v>
      </c>
      <c r="K13" s="45"/>
      <c r="L13" s="24">
        <v>13</v>
      </c>
      <c r="M13" s="24">
        <v>50000</v>
      </c>
      <c r="O13" s="45" t="s">
        <v>97</v>
      </c>
      <c r="P13" s="45">
        <f>HEX2DEC(RIGHT(Table132321[[#This Row],[h1]],8))</f>
        <v>0</v>
      </c>
      <c r="Q13" s="45" t="s">
        <v>97</v>
      </c>
      <c r="R13" s="45">
        <f>HEX2DEC(RIGHT(Table132321[[#This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162</v>
      </c>
      <c r="G14" s="33">
        <v>0</v>
      </c>
      <c r="H14" s="45"/>
      <c r="J14" s="24">
        <v>50000</v>
      </c>
      <c r="K14" s="45"/>
      <c r="L14" s="24">
        <v>14</v>
      </c>
      <c r="M14" s="24">
        <v>50000</v>
      </c>
      <c r="O14" s="45" t="s">
        <v>97</v>
      </c>
      <c r="P14" s="45">
        <f>HEX2DEC(RIGHT(Table132321[[#This Row],[h1]],8))</f>
        <v>0</v>
      </c>
      <c r="Q14" s="45" t="s">
        <v>97</v>
      </c>
      <c r="R14" s="45">
        <f>HEX2DEC(RIGHT(Table132321[[#This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163</v>
      </c>
      <c r="G15" s="33">
        <v>0</v>
      </c>
      <c r="H15" s="45"/>
      <c r="J15" s="24">
        <v>50000</v>
      </c>
      <c r="K15" s="45"/>
      <c r="L15" s="24">
        <v>15</v>
      </c>
      <c r="M15" s="24">
        <v>50000</v>
      </c>
      <c r="O15" s="45" t="s">
        <v>97</v>
      </c>
      <c r="P15" s="45">
        <f>HEX2DEC(RIGHT(Table132321[[#This Row],[h1]],8))</f>
        <v>0</v>
      </c>
      <c r="Q15" s="45" t="s">
        <v>97</v>
      </c>
      <c r="R15" s="45">
        <f>HEX2DEC(RIGHT(Table132321[[#This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164</v>
      </c>
      <c r="G16" s="33">
        <v>0</v>
      </c>
      <c r="H16" s="45"/>
      <c r="J16" s="24">
        <v>50000</v>
      </c>
      <c r="K16" s="45"/>
      <c r="L16" s="24">
        <v>16</v>
      </c>
      <c r="M16" s="24">
        <v>50000</v>
      </c>
      <c r="O16" s="45" t="s">
        <v>97</v>
      </c>
      <c r="P16" s="45">
        <f>HEX2DEC(RIGHT(Table132321[[#This Row],[h1]],8))</f>
        <v>0</v>
      </c>
      <c r="Q16" s="45" t="s">
        <v>97</v>
      </c>
      <c r="R16" s="45">
        <f>HEX2DEC(RIGHT(Table132321[[#This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165</v>
      </c>
      <c r="G17" s="33">
        <v>0</v>
      </c>
      <c r="H17" s="45"/>
      <c r="J17" s="24">
        <v>50000</v>
      </c>
      <c r="K17" s="45"/>
      <c r="L17" s="24">
        <v>17</v>
      </c>
      <c r="M17" s="24">
        <v>50000</v>
      </c>
      <c r="O17" s="45" t="s">
        <v>97</v>
      </c>
      <c r="P17" s="45">
        <f>HEX2DEC(RIGHT(Table132321[[#This Row],[h1]],8))</f>
        <v>0</v>
      </c>
      <c r="Q17" s="45" t="s">
        <v>97</v>
      </c>
      <c r="R17" s="45">
        <f>HEX2DEC(RIGHT(Table132321[[#This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166</v>
      </c>
      <c r="G18" s="33">
        <v>0</v>
      </c>
      <c r="H18" s="45"/>
      <c r="J18" s="24">
        <v>50000</v>
      </c>
      <c r="K18" s="45"/>
      <c r="L18" s="24">
        <v>18</v>
      </c>
      <c r="M18" s="24">
        <v>50000</v>
      </c>
      <c r="O18" s="45" t="s">
        <v>97</v>
      </c>
      <c r="P18" s="45">
        <f>HEX2DEC(RIGHT(Table132321[[#This Row],[h1]],8))</f>
        <v>0</v>
      </c>
      <c r="Q18" s="45" t="s">
        <v>97</v>
      </c>
      <c r="R18" s="45">
        <f>HEX2DEC(RIGHT(Table132321[[#This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167</v>
      </c>
      <c r="G19" s="33">
        <v>0</v>
      </c>
      <c r="H19" s="45"/>
      <c r="J19" s="24">
        <v>50000</v>
      </c>
      <c r="K19" s="45"/>
      <c r="L19" s="24">
        <v>19</v>
      </c>
      <c r="M19" s="24">
        <v>50000</v>
      </c>
      <c r="O19" s="45" t="s">
        <v>97</v>
      </c>
      <c r="P19" s="45">
        <f>HEX2DEC(RIGHT(Table132321[[#This Row],[h1]],8))</f>
        <v>0</v>
      </c>
      <c r="Q19" s="45" t="s">
        <v>97</v>
      </c>
      <c r="R19" s="45">
        <f>HEX2DEC(RIGHT(Table132321[[#This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168</v>
      </c>
      <c r="G20" s="33">
        <v>0</v>
      </c>
      <c r="H20" s="45"/>
      <c r="J20" s="24">
        <v>50000</v>
      </c>
      <c r="K20" s="45"/>
      <c r="L20" s="24">
        <v>20</v>
      </c>
      <c r="M20" s="24">
        <v>50000</v>
      </c>
      <c r="O20" s="45" t="s">
        <v>97</v>
      </c>
      <c r="P20" s="45">
        <f>HEX2DEC(RIGHT(Table132321[[#This Row],[h1]],8))</f>
        <v>0</v>
      </c>
      <c r="Q20" s="45" t="s">
        <v>97</v>
      </c>
      <c r="R20" s="45">
        <f>HEX2DEC(RIGHT(Table132321[[#This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169</v>
      </c>
      <c r="G21" s="33">
        <v>0</v>
      </c>
      <c r="H21" s="45"/>
      <c r="J21" s="24">
        <v>50000</v>
      </c>
      <c r="K21" s="45"/>
      <c r="L21" s="24">
        <v>21</v>
      </c>
      <c r="M21" s="24">
        <v>50000</v>
      </c>
      <c r="O21" s="45" t="s">
        <v>97</v>
      </c>
      <c r="P21" s="45">
        <f>HEX2DEC(RIGHT(Table132321[[#This Row],[h1]],8))</f>
        <v>0</v>
      </c>
      <c r="Q21" s="45" t="s">
        <v>97</v>
      </c>
      <c r="R21" s="45">
        <f>HEX2DEC(RIGHT(Table132321[[#This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5"/>
      <c r="J22" s="24">
        <v>50000</v>
      </c>
      <c r="K22" s="45"/>
      <c r="L22" s="24">
        <v>22</v>
      </c>
      <c r="M22" s="24">
        <v>50000</v>
      </c>
      <c r="O22" s="45" t="s">
        <v>97</v>
      </c>
      <c r="P22" s="45">
        <f>HEX2DEC(RIGHT(Table132321[[#This Row],[h1]],8))</f>
        <v>0</v>
      </c>
      <c r="Q22" s="45" t="s">
        <v>97</v>
      </c>
      <c r="R22" s="45">
        <f>HEX2DEC(RIGHT(Table132321[[#This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5"/>
      <c r="J23" s="24">
        <v>50000</v>
      </c>
      <c r="K23" s="45"/>
      <c r="L23" s="24">
        <v>23</v>
      </c>
      <c r="M23" s="24">
        <v>50000</v>
      </c>
      <c r="O23" s="45" t="s">
        <v>97</v>
      </c>
      <c r="P23" s="45">
        <f>HEX2DEC(RIGHT(Table132321[[#This Row],[h1]],8))</f>
        <v>0</v>
      </c>
      <c r="Q23" s="45" t="s">
        <v>97</v>
      </c>
      <c r="R23" s="45">
        <f>HEX2DEC(RIGHT(Table132321[[#This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5"/>
      <c r="J24" s="24">
        <v>50000</v>
      </c>
      <c r="K24" s="45"/>
      <c r="L24" s="24">
        <v>24</v>
      </c>
      <c r="M24" s="24">
        <v>50000</v>
      </c>
      <c r="O24" s="45" t="s">
        <v>97</v>
      </c>
      <c r="P24" s="45">
        <f>HEX2DEC(RIGHT(Table132321[[#This Row],[h1]],8))</f>
        <v>0</v>
      </c>
      <c r="Q24" s="45" t="s">
        <v>97</v>
      </c>
      <c r="R24" s="45">
        <f>HEX2DEC(RIGHT(Table132321[[#This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170</v>
      </c>
      <c r="G25" s="33">
        <v>0</v>
      </c>
      <c r="H25" s="45"/>
      <c r="J25" s="24">
        <v>50000</v>
      </c>
      <c r="K25" s="45"/>
      <c r="L25" s="24">
        <v>25</v>
      </c>
      <c r="M25" s="24">
        <v>50000</v>
      </c>
      <c r="O25" s="45" t="s">
        <v>97</v>
      </c>
      <c r="P25" s="45">
        <f>HEX2DEC(RIGHT(Table132321[[#This Row],[h1]],8))</f>
        <v>0</v>
      </c>
      <c r="Q25" s="45" t="s">
        <v>97</v>
      </c>
      <c r="R25" s="45">
        <f>HEX2DEC(RIGHT(Table132321[[#This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171</v>
      </c>
      <c r="G26" s="33">
        <v>0</v>
      </c>
      <c r="H26" s="45"/>
      <c r="J26" s="24">
        <v>50000</v>
      </c>
      <c r="K26" s="45"/>
      <c r="L26" s="24">
        <v>26</v>
      </c>
      <c r="M26" s="24">
        <v>50000</v>
      </c>
      <c r="O26" s="45" t="s">
        <v>97</v>
      </c>
      <c r="P26" s="45">
        <f>HEX2DEC(RIGHT(Table132321[[#This Row],[h1]],8))</f>
        <v>0</v>
      </c>
      <c r="Q26" s="45" t="s">
        <v>97</v>
      </c>
      <c r="R26" s="45">
        <f>HEX2DEC(RIGHT(Table132321[[#This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172</v>
      </c>
      <c r="G27" s="33">
        <v>0</v>
      </c>
      <c r="H27" s="45"/>
      <c r="J27" s="24">
        <v>50000</v>
      </c>
      <c r="K27" s="45"/>
      <c r="L27" s="24">
        <v>27</v>
      </c>
      <c r="M27" s="24">
        <v>50000</v>
      </c>
      <c r="O27" s="45" t="s">
        <v>97</v>
      </c>
      <c r="P27" s="45">
        <f>HEX2DEC(RIGHT(Table132321[[#This Row],[h1]],8))</f>
        <v>0</v>
      </c>
      <c r="Q27" s="45" t="s">
        <v>97</v>
      </c>
      <c r="R27" s="45">
        <f>HEX2DEC(RIGHT(Table132321[[#This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173</v>
      </c>
      <c r="G28" s="33">
        <v>0</v>
      </c>
      <c r="H28" s="45"/>
      <c r="J28" s="24">
        <v>50000</v>
      </c>
      <c r="K28" s="45"/>
      <c r="L28" s="24">
        <v>28</v>
      </c>
      <c r="M28" s="24">
        <v>50000</v>
      </c>
      <c r="O28" s="45" t="s">
        <v>97</v>
      </c>
      <c r="P28" s="45">
        <f>HEX2DEC(RIGHT(Table132321[[#This Row],[h1]],8))</f>
        <v>0</v>
      </c>
      <c r="Q28" s="45" t="s">
        <v>97</v>
      </c>
      <c r="R28" s="45">
        <f>HEX2DEC(RIGHT(Table132321[[#This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174</v>
      </c>
      <c r="G29" s="33">
        <v>0</v>
      </c>
      <c r="H29" s="45"/>
      <c r="J29" s="24">
        <v>50000</v>
      </c>
      <c r="K29" s="45"/>
      <c r="L29" s="24">
        <v>29</v>
      </c>
      <c r="M29" s="24">
        <v>50000</v>
      </c>
      <c r="O29" s="45" t="s">
        <v>97</v>
      </c>
      <c r="P29" s="45">
        <f>HEX2DEC(RIGHT(Table132321[[#This Row],[h1]],8))</f>
        <v>0</v>
      </c>
      <c r="Q29" s="45" t="s">
        <v>97</v>
      </c>
      <c r="R29" s="45">
        <f>HEX2DEC(RIGHT(Table132321[[#This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175</v>
      </c>
      <c r="G30" s="33">
        <v>0</v>
      </c>
      <c r="H30" s="45"/>
      <c r="J30" s="24">
        <v>50000</v>
      </c>
      <c r="K30" s="45"/>
      <c r="L30" s="24">
        <v>30</v>
      </c>
      <c r="M30" s="24">
        <v>50000</v>
      </c>
      <c r="O30" s="45" t="s">
        <v>97</v>
      </c>
      <c r="P30" s="45">
        <f>HEX2DEC(RIGHT(Table132321[[#This Row],[h1]],8))</f>
        <v>0</v>
      </c>
      <c r="Q30" s="45" t="s">
        <v>97</v>
      </c>
      <c r="R30" s="45">
        <f>HEX2DEC(RIGHT(Table132321[[#This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176</v>
      </c>
      <c r="G31" s="33">
        <v>0</v>
      </c>
      <c r="H31" s="45"/>
      <c r="J31" s="24">
        <v>50000</v>
      </c>
      <c r="K31" s="45"/>
      <c r="L31" s="20"/>
      <c r="M31" s="24">
        <v>50000</v>
      </c>
      <c r="O31" s="45" t="s">
        <v>97</v>
      </c>
      <c r="P31" s="45">
        <f>HEX2DEC(RIGHT(Table132321[[#This Row],[h1]],8))</f>
        <v>0</v>
      </c>
      <c r="Q31" s="45" t="s">
        <v>97</v>
      </c>
      <c r="R31" s="45">
        <f>HEX2DEC(RIGHT(Table132321[[#This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177</v>
      </c>
      <c r="G32" s="33">
        <v>0</v>
      </c>
      <c r="H32" s="45"/>
      <c r="J32" s="24">
        <v>50000</v>
      </c>
      <c r="K32" s="45"/>
      <c r="M32" s="24">
        <v>50000</v>
      </c>
      <c r="O32" s="45" t="s">
        <v>97</v>
      </c>
      <c r="P32" s="45">
        <f>HEX2DEC(RIGHT(Table132321[[#This Row],[h1]],8))</f>
        <v>0</v>
      </c>
      <c r="Q32" s="45" t="s">
        <v>97</v>
      </c>
      <c r="R32" s="45">
        <f>HEX2DEC(RIGHT(Table132321[[#This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178</v>
      </c>
      <c r="G33" s="33">
        <v>0</v>
      </c>
      <c r="H33" s="45"/>
      <c r="J33" s="24">
        <v>50000</v>
      </c>
      <c r="K33" s="45"/>
      <c r="M33" s="24">
        <v>50000</v>
      </c>
      <c r="O33" s="45" t="s">
        <v>97</v>
      </c>
      <c r="P33" s="45">
        <f>HEX2DEC(RIGHT(Table132321[[#This Row],[h1]],8))</f>
        <v>0</v>
      </c>
      <c r="Q33" s="45" t="s">
        <v>97</v>
      </c>
      <c r="R33" s="45">
        <f>HEX2DEC(RIGHT(Table132321[[#This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179</v>
      </c>
      <c r="G34" s="33">
        <v>0</v>
      </c>
      <c r="H34" s="45"/>
      <c r="J34" s="24">
        <v>50000</v>
      </c>
      <c r="K34" s="45"/>
      <c r="M34" s="24">
        <v>50000</v>
      </c>
      <c r="O34" s="45" t="s">
        <v>97</v>
      </c>
      <c r="P34" s="45">
        <f>HEX2DEC(RIGHT(Table132321[[#This Row],[h1]],8))</f>
        <v>0</v>
      </c>
      <c r="Q34" s="45" t="s">
        <v>97</v>
      </c>
      <c r="R34" s="45">
        <f>HEX2DEC(RIGHT(Table132321[[#This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180</v>
      </c>
      <c r="G35" s="33">
        <v>0</v>
      </c>
      <c r="H35" s="45"/>
      <c r="J35" s="24">
        <v>50000</v>
      </c>
      <c r="K35" s="45"/>
      <c r="M35" s="24">
        <v>50000</v>
      </c>
      <c r="O35" s="45" t="s">
        <v>97</v>
      </c>
      <c r="P35" s="45">
        <f>HEX2DEC(RIGHT(Table132321[[#This Row],[h1]],8))</f>
        <v>0</v>
      </c>
      <c r="Q35" s="45" t="s">
        <v>97</v>
      </c>
      <c r="R35" s="45">
        <f>HEX2DEC(RIGHT(Table132321[[#This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181</v>
      </c>
      <c r="G36" s="33">
        <v>0</v>
      </c>
      <c r="H36" s="45"/>
      <c r="J36" s="24">
        <v>50000</v>
      </c>
      <c r="K36" s="45"/>
      <c r="M36" s="24">
        <v>50000</v>
      </c>
      <c r="O36" s="45" t="s">
        <v>97</v>
      </c>
      <c r="P36" s="45">
        <f>HEX2DEC(RIGHT(Table132321[[#This Row],[h1]],8))</f>
        <v>0</v>
      </c>
      <c r="Q36" s="45" t="s">
        <v>97</v>
      </c>
      <c r="R36" s="45">
        <f>HEX2DEC(RIGHT(Table132321[[#This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182</v>
      </c>
      <c r="G37" s="33">
        <v>0</v>
      </c>
      <c r="H37" s="45"/>
      <c r="J37" s="24">
        <v>50000</v>
      </c>
      <c r="K37" s="45"/>
      <c r="M37" s="24">
        <v>50000</v>
      </c>
      <c r="O37" s="45" t="s">
        <v>97</v>
      </c>
      <c r="P37" s="45">
        <f>HEX2DEC(RIGHT(Table132321[[#This Row],[h1]],8))</f>
        <v>0</v>
      </c>
      <c r="Q37" s="45" t="s">
        <v>97</v>
      </c>
      <c r="R37" s="45">
        <f>HEX2DEC(RIGHT(Table132321[[#This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183</v>
      </c>
      <c r="G38" s="33">
        <v>0</v>
      </c>
      <c r="H38" s="45"/>
      <c r="J38" s="24">
        <v>50000</v>
      </c>
      <c r="K38" s="45"/>
      <c r="L38" s="20" t="s">
        <v>88</v>
      </c>
      <c r="M38" s="24">
        <v>50000</v>
      </c>
      <c r="O38" s="45" t="s">
        <v>97</v>
      </c>
      <c r="P38" s="45">
        <f>HEX2DEC(RIGHT(Table132321[[#This Row],[h1]],8))</f>
        <v>0</v>
      </c>
      <c r="Q38" s="45" t="s">
        <v>97</v>
      </c>
      <c r="R38" s="45">
        <f>HEX2DEC(RIGHT(Table132321[[#This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184</v>
      </c>
      <c r="G39" s="33">
        <v>0</v>
      </c>
      <c r="H39" s="45"/>
      <c r="J39" s="24">
        <v>50000</v>
      </c>
      <c r="K39" s="45"/>
      <c r="M39" s="24">
        <v>50000</v>
      </c>
      <c r="O39" s="45" t="s">
        <v>97</v>
      </c>
      <c r="P39" s="45">
        <f>HEX2DEC(RIGHT(Table132321[[#This Row],[h1]],8))</f>
        <v>0</v>
      </c>
      <c r="Q39" s="45" t="s">
        <v>97</v>
      </c>
      <c r="R39" s="45">
        <f>HEX2DEC(RIGHT(Table132321[[#This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5"/>
      <c r="J40" s="24">
        <v>50000</v>
      </c>
      <c r="K40" s="45"/>
      <c r="M40" s="24">
        <v>50000</v>
      </c>
      <c r="O40" s="45" t="s">
        <v>97</v>
      </c>
      <c r="P40" s="45">
        <f>HEX2DEC(RIGHT(Table132321[[#This Row],[h1]],8))</f>
        <v>0</v>
      </c>
      <c r="Q40" s="45" t="s">
        <v>97</v>
      </c>
      <c r="R40" s="45">
        <f>HEX2DEC(RIGHT(Table132321[[#This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185</v>
      </c>
      <c r="G41" s="33">
        <v>0</v>
      </c>
      <c r="H41" s="45"/>
      <c r="J41" s="24">
        <v>50000</v>
      </c>
      <c r="K41" s="45"/>
      <c r="M41" s="24">
        <v>50000</v>
      </c>
      <c r="O41" s="45" t="s">
        <v>97</v>
      </c>
      <c r="P41" s="45">
        <f>HEX2DEC(RIGHT(Table132321[[#This Row],[h1]],8))</f>
        <v>0</v>
      </c>
      <c r="Q41" s="45" t="s">
        <v>97</v>
      </c>
      <c r="R41" s="45">
        <f>HEX2DEC(RIGHT(Table132321[[#This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186</v>
      </c>
      <c r="G42" s="33">
        <v>0</v>
      </c>
      <c r="H42" s="45"/>
      <c r="J42" s="24">
        <v>50000</v>
      </c>
      <c r="K42" s="45"/>
      <c r="M42" s="24">
        <v>50000</v>
      </c>
      <c r="O42" s="45" t="s">
        <v>97</v>
      </c>
      <c r="P42" s="45">
        <f>HEX2DEC(RIGHT(Table132321[[#This Row],[h1]],8))</f>
        <v>0</v>
      </c>
      <c r="Q42" s="45" t="s">
        <v>97</v>
      </c>
      <c r="R42" s="45">
        <f>HEX2DEC(RIGHT(Table132321[[#This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187</v>
      </c>
      <c r="G43" s="33">
        <v>0</v>
      </c>
      <c r="H43" s="45"/>
      <c r="J43" s="24">
        <v>50000</v>
      </c>
      <c r="K43" s="45"/>
      <c r="M43" s="24">
        <v>50000</v>
      </c>
      <c r="O43" s="45" t="s">
        <v>97</v>
      </c>
      <c r="P43" s="45">
        <f>HEX2DEC(RIGHT(Table132321[[#This Row],[h1]],8))</f>
        <v>0</v>
      </c>
      <c r="Q43" s="45" t="s">
        <v>97</v>
      </c>
      <c r="R43" s="45">
        <f>HEX2DEC(RIGHT(Table132321[[#This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188</v>
      </c>
      <c r="G44" s="33">
        <v>0</v>
      </c>
      <c r="H44" s="45"/>
      <c r="J44" s="24">
        <v>50000</v>
      </c>
      <c r="K44" s="45"/>
      <c r="M44" s="24">
        <v>50000</v>
      </c>
      <c r="O44" s="45" t="s">
        <v>97</v>
      </c>
      <c r="P44" s="45">
        <f>HEX2DEC(RIGHT(Table132321[[#This Row],[h1]],8))</f>
        <v>0</v>
      </c>
      <c r="Q44" s="45" t="s">
        <v>97</v>
      </c>
      <c r="R44" s="45">
        <f>HEX2DEC(RIGHT(Table132321[[#This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189</v>
      </c>
      <c r="G45" s="33">
        <v>0</v>
      </c>
      <c r="H45" s="45"/>
      <c r="J45" s="24">
        <v>50000</v>
      </c>
      <c r="K45" s="45"/>
      <c r="M45" s="24">
        <v>50000</v>
      </c>
      <c r="O45" s="45" t="s">
        <v>97</v>
      </c>
      <c r="P45" s="45">
        <f>HEX2DEC(RIGHT(Table132321[[#This Row],[h1]],8))</f>
        <v>0</v>
      </c>
      <c r="Q45" s="45" t="s">
        <v>97</v>
      </c>
      <c r="R45" s="45">
        <f>HEX2DEC(RIGHT(Table132321[[#This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190</v>
      </c>
      <c r="G46" s="33">
        <v>0</v>
      </c>
      <c r="H46" s="45"/>
      <c r="I46" s="20" t="s">
        <v>88</v>
      </c>
      <c r="J46" s="24">
        <v>50000</v>
      </c>
      <c r="K46" s="45"/>
      <c r="M46" s="24">
        <v>50000</v>
      </c>
      <c r="O46" s="45" t="s">
        <v>97</v>
      </c>
      <c r="P46" s="45">
        <f>HEX2DEC(RIGHT(Table132321[[#This Row],[h1]],8))</f>
        <v>0</v>
      </c>
      <c r="Q46" s="45" t="s">
        <v>97</v>
      </c>
      <c r="R46" s="45">
        <f>HEX2DEC(RIGHT(Table132321[[#This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191</v>
      </c>
      <c r="G47" s="33">
        <v>0</v>
      </c>
      <c r="H47" s="45"/>
      <c r="J47" s="24">
        <v>50000</v>
      </c>
      <c r="K47" s="45"/>
      <c r="M47" s="24">
        <v>50000</v>
      </c>
      <c r="O47" s="45" t="s">
        <v>97</v>
      </c>
      <c r="P47" s="45">
        <f>HEX2DEC(RIGHT(Table132321[[#This Row],[h1]],8))</f>
        <v>0</v>
      </c>
      <c r="Q47" s="45" t="s">
        <v>97</v>
      </c>
      <c r="R47" s="45">
        <f>HEX2DEC(RIGHT(Table132321[[#This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192</v>
      </c>
      <c r="G48" s="33">
        <v>0</v>
      </c>
      <c r="H48" s="45"/>
      <c r="J48" s="24">
        <v>50000</v>
      </c>
      <c r="K48" s="45"/>
      <c r="M48" s="24">
        <v>50000</v>
      </c>
      <c r="O48" s="45" t="s">
        <v>97</v>
      </c>
      <c r="P48" s="45">
        <f>HEX2DEC(RIGHT(Table132321[[#This Row],[h1]],8))</f>
        <v>0</v>
      </c>
      <c r="Q48" s="45" t="s">
        <v>97</v>
      </c>
      <c r="R48" s="45">
        <f>HEX2DEC(RIGHT(Table132321[[#This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193</v>
      </c>
      <c r="G49" s="33">
        <v>0</v>
      </c>
      <c r="H49" s="45"/>
      <c r="J49" s="24">
        <v>50000</v>
      </c>
      <c r="K49" s="45"/>
      <c r="M49" s="24">
        <v>50000</v>
      </c>
      <c r="O49" s="45" t="s">
        <v>97</v>
      </c>
      <c r="P49" s="45">
        <f>HEX2DEC(RIGHT(Table132321[[#This Row],[h1]],8))</f>
        <v>0</v>
      </c>
      <c r="Q49" s="45" t="s">
        <v>97</v>
      </c>
      <c r="R49" s="45">
        <f>HEX2DEC(RIGHT(Table132321[[#This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194</v>
      </c>
      <c r="G50" s="33">
        <v>0</v>
      </c>
      <c r="H50" s="45"/>
      <c r="J50" s="24">
        <v>50000</v>
      </c>
      <c r="K50" s="45"/>
      <c r="M50" s="24">
        <v>50000</v>
      </c>
      <c r="O50" s="45" t="s">
        <v>97</v>
      </c>
      <c r="P50" s="45">
        <f>HEX2DEC(RIGHT(Table132321[[#This Row],[h1]],8))</f>
        <v>0</v>
      </c>
      <c r="Q50" s="45" t="s">
        <v>97</v>
      </c>
      <c r="R50" s="45">
        <f>HEX2DEC(RIGHT(Table132321[[#This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195</v>
      </c>
      <c r="G51" s="33">
        <v>0</v>
      </c>
      <c r="H51" s="45"/>
      <c r="J51" s="24">
        <v>50000</v>
      </c>
      <c r="K51" s="45"/>
      <c r="M51" s="24">
        <v>50000</v>
      </c>
      <c r="O51" s="45" t="s">
        <v>97</v>
      </c>
      <c r="P51" s="45">
        <f>HEX2DEC(RIGHT(Table132321[[#This Row],[h1]],8))</f>
        <v>0</v>
      </c>
      <c r="Q51" s="45" t="s">
        <v>97</v>
      </c>
      <c r="R51" s="45">
        <f>HEX2DEC(RIGHT(Table132321[[#This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196</v>
      </c>
      <c r="G52" s="33">
        <v>0</v>
      </c>
      <c r="H52" s="45"/>
      <c r="J52" s="24">
        <v>50000</v>
      </c>
      <c r="K52" s="45"/>
      <c r="M52" s="24">
        <v>50000</v>
      </c>
      <c r="O52" s="45" t="s">
        <v>97</v>
      </c>
      <c r="P52" s="45">
        <f>HEX2DEC(RIGHT(Table132321[[#This Row],[h1]],8))</f>
        <v>0</v>
      </c>
      <c r="Q52" s="45" t="s">
        <v>97</v>
      </c>
      <c r="R52" s="45">
        <f>HEX2DEC(RIGHT(Table132321[[#This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197</v>
      </c>
      <c r="G53" s="33">
        <v>0</v>
      </c>
      <c r="H53" s="45"/>
      <c r="J53" s="24">
        <v>50000</v>
      </c>
      <c r="K53" s="45"/>
      <c r="M53" s="24">
        <v>50000</v>
      </c>
      <c r="O53" s="45" t="s">
        <v>97</v>
      </c>
      <c r="P53" s="45">
        <f>HEX2DEC(RIGHT(Table132321[[#This Row],[h1]],8))</f>
        <v>0</v>
      </c>
      <c r="Q53" s="45" t="s">
        <v>97</v>
      </c>
      <c r="R53" s="45">
        <f>HEX2DEC(RIGHT(Table132321[[#This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198</v>
      </c>
      <c r="G54" s="33">
        <v>0</v>
      </c>
      <c r="H54" s="45"/>
      <c r="J54" s="24">
        <v>50000</v>
      </c>
      <c r="K54" s="45"/>
      <c r="M54" s="24">
        <v>50000</v>
      </c>
      <c r="O54" s="45" t="s">
        <v>97</v>
      </c>
      <c r="P54" s="45">
        <f>HEX2DEC(RIGHT(Table132321[[#This Row],[h1]],8))</f>
        <v>0</v>
      </c>
      <c r="Q54" s="45" t="s">
        <v>97</v>
      </c>
      <c r="R54" s="45">
        <f>HEX2DEC(RIGHT(Table132321[[#This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199</v>
      </c>
      <c r="G55" s="33">
        <v>0</v>
      </c>
      <c r="H55" s="45"/>
      <c r="J55" s="24">
        <v>50000</v>
      </c>
      <c r="K55" s="45"/>
      <c r="M55" s="24">
        <v>50000</v>
      </c>
      <c r="O55" s="45" t="s">
        <v>97</v>
      </c>
      <c r="P55" s="45">
        <f>HEX2DEC(RIGHT(Table132321[[#This Row],[h1]],8))</f>
        <v>0</v>
      </c>
      <c r="Q55" s="45" t="s">
        <v>97</v>
      </c>
      <c r="R55" s="45">
        <f>HEX2DEC(RIGHT(Table132321[[#This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200</v>
      </c>
      <c r="G56" s="33">
        <v>0</v>
      </c>
      <c r="H56" s="45"/>
      <c r="J56" s="24">
        <v>50000</v>
      </c>
      <c r="K56" s="45"/>
      <c r="M56" s="24">
        <v>50000</v>
      </c>
      <c r="O56" s="45" t="s">
        <v>97</v>
      </c>
      <c r="P56" s="45">
        <f>HEX2DEC(RIGHT(Table132321[[#This Row],[h1]],8))</f>
        <v>0</v>
      </c>
      <c r="Q56" s="45" t="s">
        <v>97</v>
      </c>
      <c r="R56" s="45">
        <f>HEX2DEC(RIGHT(Table132321[[#This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201</v>
      </c>
      <c r="G57" s="33">
        <v>0</v>
      </c>
      <c r="H57" s="45"/>
      <c r="J57" s="24">
        <v>50000</v>
      </c>
      <c r="K57" s="45"/>
      <c r="M57" s="24">
        <v>50000</v>
      </c>
      <c r="O57" s="45" t="s">
        <v>97</v>
      </c>
      <c r="P57" s="45">
        <f>HEX2DEC(RIGHT(Table132321[[#This Row],[h1]],8))</f>
        <v>0</v>
      </c>
      <c r="Q57" s="45" t="s">
        <v>97</v>
      </c>
      <c r="R57" s="45">
        <f>HEX2DEC(RIGHT(Table132321[[#This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202</v>
      </c>
      <c r="G58" s="33">
        <v>0</v>
      </c>
      <c r="H58" s="45"/>
      <c r="J58" s="24">
        <v>50000</v>
      </c>
      <c r="K58" s="45"/>
      <c r="M58" s="24">
        <v>50000</v>
      </c>
      <c r="O58" s="45" t="s">
        <v>97</v>
      </c>
      <c r="P58" s="45">
        <f>HEX2DEC(RIGHT(Table132321[[#This Row],[h1]],8))</f>
        <v>0</v>
      </c>
      <c r="Q58" s="45" t="s">
        <v>97</v>
      </c>
      <c r="R58" s="45">
        <f>HEX2DEC(RIGHT(Table132321[[#This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203</v>
      </c>
      <c r="G59" s="33">
        <v>0</v>
      </c>
      <c r="H59" s="45"/>
      <c r="J59" s="24">
        <v>50000</v>
      </c>
      <c r="K59" s="45"/>
      <c r="M59" s="24">
        <v>50000</v>
      </c>
      <c r="O59" s="45" t="s">
        <v>97</v>
      </c>
      <c r="P59" s="45">
        <f>HEX2DEC(RIGHT(Table132321[[#This Row],[h1]],8))</f>
        <v>0</v>
      </c>
      <c r="Q59" s="45" t="s">
        <v>97</v>
      </c>
      <c r="R59" s="45">
        <f>HEX2DEC(RIGHT(Table132321[[#This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204</v>
      </c>
      <c r="G60" s="33">
        <v>0</v>
      </c>
      <c r="H60" s="45"/>
      <c r="J60" s="24">
        <v>50000</v>
      </c>
      <c r="K60" s="45"/>
      <c r="M60" s="24">
        <v>50000</v>
      </c>
      <c r="O60" s="45" t="s">
        <v>97</v>
      </c>
      <c r="P60" s="45">
        <f>HEX2DEC(RIGHT(Table132321[[#This Row],[h1]],8))</f>
        <v>0</v>
      </c>
      <c r="Q60" s="45" t="s">
        <v>97</v>
      </c>
      <c r="R60" s="45">
        <f>HEX2DEC(RIGHT(Table132321[[#This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205</v>
      </c>
      <c r="G61" s="33">
        <v>0</v>
      </c>
      <c r="H61" s="45"/>
      <c r="J61" s="24">
        <v>50000</v>
      </c>
      <c r="K61" s="45"/>
      <c r="M61" s="24">
        <v>50000</v>
      </c>
      <c r="O61" s="45" t="s">
        <v>97</v>
      </c>
      <c r="P61" s="45">
        <f>HEX2DEC(RIGHT(Table132321[[#This Row],[h1]],8))</f>
        <v>0</v>
      </c>
      <c r="Q61" s="45" t="s">
        <v>97</v>
      </c>
      <c r="R61" s="45">
        <f>HEX2DEC(RIGHT(Table132321[[#This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206</v>
      </c>
      <c r="G62" s="33">
        <v>0</v>
      </c>
      <c r="J62" s="24">
        <v>50000</v>
      </c>
      <c r="M62" s="24">
        <v>50000</v>
      </c>
      <c r="O62" s="45" t="s">
        <v>97</v>
      </c>
      <c r="P62" s="45">
        <f>HEX2DEC(RIGHT(Table132321[[#This Row],[h1]],8))</f>
        <v>0</v>
      </c>
      <c r="Q62" s="45" t="s">
        <v>97</v>
      </c>
      <c r="R62" s="45">
        <f>HEX2DEC(RIGHT(Table132321[[#This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207</v>
      </c>
      <c r="G63" s="33">
        <v>0</v>
      </c>
      <c r="J63" s="24">
        <v>50000</v>
      </c>
      <c r="M63" s="24">
        <v>50000</v>
      </c>
      <c r="O63" s="45" t="s">
        <v>97</v>
      </c>
      <c r="P63" s="45">
        <f>HEX2DEC(RIGHT(Table132321[[#This Row],[h1]],8))</f>
        <v>0</v>
      </c>
      <c r="Q63" s="45" t="s">
        <v>97</v>
      </c>
      <c r="R63" s="45">
        <f>HEX2DEC(RIGHT(Table132321[[#This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208</v>
      </c>
      <c r="G64" s="33">
        <v>0</v>
      </c>
      <c r="J64" s="24">
        <v>50000</v>
      </c>
      <c r="M64" s="24">
        <v>50000</v>
      </c>
      <c r="O64" s="45" t="s">
        <v>97</v>
      </c>
      <c r="P64" s="45">
        <f>HEX2DEC(RIGHT(Table132321[[#This Row],[h1]],8))</f>
        <v>0</v>
      </c>
      <c r="Q64" s="45" t="s">
        <v>97</v>
      </c>
      <c r="R64" s="45">
        <f>HEX2DEC(RIGHT(Table132321[[#This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209</v>
      </c>
      <c r="G65" s="33">
        <v>0</v>
      </c>
      <c r="J65" s="24">
        <v>50000</v>
      </c>
      <c r="M65" s="24">
        <v>50000</v>
      </c>
      <c r="O65" s="45" t="s">
        <v>97</v>
      </c>
      <c r="P65" s="45">
        <f>HEX2DEC(RIGHT(Table132321[[#This Row],[h1]],8))</f>
        <v>0</v>
      </c>
      <c r="Q65" s="45" t="s">
        <v>97</v>
      </c>
      <c r="R65" s="45">
        <f>HEX2DEC(RIGHT(Table132321[[#This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210</v>
      </c>
      <c r="G66" s="33">
        <v>0</v>
      </c>
      <c r="J66" s="24">
        <v>50000</v>
      </c>
      <c r="M66" s="24">
        <v>50000</v>
      </c>
      <c r="O66" s="45" t="s">
        <v>97</v>
      </c>
      <c r="P66" s="45">
        <f>HEX2DEC(RIGHT(Table132321[[#This Row],[h1]],8))</f>
        <v>0</v>
      </c>
      <c r="Q66" s="45" t="s">
        <v>97</v>
      </c>
      <c r="R66" s="45">
        <f>HEX2DEC(RIGHT(Table132321[[#This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211</v>
      </c>
      <c r="G67" s="33">
        <v>0</v>
      </c>
      <c r="J67" s="24">
        <v>50000</v>
      </c>
      <c r="M67" s="24">
        <v>50000</v>
      </c>
      <c r="O67" s="45" t="s">
        <v>97</v>
      </c>
      <c r="P67" s="45">
        <f>HEX2DEC(RIGHT(Table132321[[#This Row],[h1]],8))</f>
        <v>0</v>
      </c>
      <c r="Q67" s="45" t="s">
        <v>97</v>
      </c>
      <c r="R67" s="45">
        <f>HEX2DEC(RIGHT(Table132321[[#This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212</v>
      </c>
      <c r="G68" s="33">
        <v>0</v>
      </c>
      <c r="J68" s="24">
        <v>50000</v>
      </c>
      <c r="M68" s="24">
        <v>50000</v>
      </c>
      <c r="O68" s="45" t="s">
        <v>97</v>
      </c>
      <c r="P68" s="45">
        <f>HEX2DEC(RIGHT(Table132321[[#This Row],[h1]],8))</f>
        <v>0</v>
      </c>
      <c r="Q68" s="45" t="s">
        <v>97</v>
      </c>
      <c r="R68" s="45">
        <f>HEX2DEC(RIGHT(Table132321[[#This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213</v>
      </c>
      <c r="G69" s="33">
        <v>0</v>
      </c>
      <c r="J69" s="24">
        <v>50000</v>
      </c>
      <c r="M69" s="24">
        <v>50000</v>
      </c>
      <c r="O69" s="45" t="s">
        <v>97</v>
      </c>
      <c r="P69" s="45">
        <f>HEX2DEC(RIGHT(Table132321[[#This Row],[h1]],8))</f>
        <v>0</v>
      </c>
      <c r="Q69" s="45" t="s">
        <v>97</v>
      </c>
      <c r="R69" s="45">
        <f>HEX2DEC(RIGHT(Table132321[[#This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214</v>
      </c>
      <c r="G70" s="33">
        <v>0</v>
      </c>
      <c r="J70" s="24">
        <v>50000</v>
      </c>
      <c r="M70" s="24">
        <v>50000</v>
      </c>
      <c r="O70" s="45" t="s">
        <v>97</v>
      </c>
      <c r="P70" s="45">
        <f>HEX2DEC(RIGHT(Table132321[[#This Row],[h1]],8))</f>
        <v>0</v>
      </c>
      <c r="Q70" s="45" t="s">
        <v>97</v>
      </c>
      <c r="R70" s="45">
        <f>HEX2DEC(RIGHT(Table132321[[#This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215</v>
      </c>
      <c r="G71" s="33">
        <v>0</v>
      </c>
      <c r="J71" s="24">
        <v>50000</v>
      </c>
      <c r="M71" s="24">
        <v>50000</v>
      </c>
      <c r="O71" s="45" t="s">
        <v>97</v>
      </c>
      <c r="P71" s="45">
        <f>HEX2DEC(RIGHT(Table132321[[#This Row],[h1]],8))</f>
        <v>0</v>
      </c>
      <c r="Q71" s="45" t="s">
        <v>97</v>
      </c>
      <c r="R71" s="45">
        <f>HEX2DEC(RIGHT(Table132321[[#This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216</v>
      </c>
      <c r="G72" s="33">
        <v>0</v>
      </c>
      <c r="J72" s="24">
        <v>50000</v>
      </c>
      <c r="M72" s="24">
        <v>50000</v>
      </c>
      <c r="O72" s="45" t="s">
        <v>97</v>
      </c>
      <c r="P72" s="45">
        <f>HEX2DEC(RIGHT(Table132321[[#This Row],[h1]],8))</f>
        <v>0</v>
      </c>
      <c r="Q72" s="45" t="s">
        <v>97</v>
      </c>
      <c r="R72" s="45">
        <f>HEX2DEC(RIGHT(Table132321[[#This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5" t="s">
        <v>97</v>
      </c>
      <c r="P73" s="45">
        <f>HEX2DEC(RIGHT(Table132321[[#This Row],[h1]],8))</f>
        <v>0</v>
      </c>
      <c r="Q73" s="45" t="s">
        <v>97</v>
      </c>
      <c r="R73" s="45">
        <f>HEX2DEC(RIGHT(Table132321[[#This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217</v>
      </c>
      <c r="G74" s="33">
        <v>10</v>
      </c>
      <c r="J74" s="24">
        <v>50000</v>
      </c>
      <c r="M74" s="24">
        <v>50000</v>
      </c>
      <c r="O74" s="45" t="s">
        <v>97</v>
      </c>
      <c r="P74" s="45">
        <f>HEX2DEC(RIGHT(Table132321[[#This Row],[h1]],8))</f>
        <v>0</v>
      </c>
      <c r="Q74" s="45" t="s">
        <v>97</v>
      </c>
      <c r="R74" s="45">
        <f>HEX2DEC(RIGHT(Table132321[[#This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218</v>
      </c>
      <c r="G75" s="33">
        <v>20</v>
      </c>
      <c r="J75" s="24">
        <v>50000</v>
      </c>
      <c r="M75" s="24">
        <v>50000</v>
      </c>
      <c r="O75" s="45" t="s">
        <v>97</v>
      </c>
      <c r="P75" s="45">
        <f>HEX2DEC(RIGHT(Table132321[[#This Row],[h1]],8))</f>
        <v>0</v>
      </c>
      <c r="Q75" s="45" t="s">
        <v>97</v>
      </c>
      <c r="R75" s="45">
        <f>HEX2DEC(RIGHT(Table132321[[#This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219</v>
      </c>
      <c r="G76" s="33">
        <v>50</v>
      </c>
      <c r="J76" s="24">
        <v>50000</v>
      </c>
      <c r="M76" s="24">
        <v>50000</v>
      </c>
      <c r="O76" s="45" t="s">
        <v>97</v>
      </c>
      <c r="P76" s="45">
        <f>HEX2DEC(RIGHT(Table132321[[#This Row],[h1]],8))</f>
        <v>0</v>
      </c>
      <c r="Q76" s="45" t="s">
        <v>97</v>
      </c>
      <c r="R76" s="45">
        <f>HEX2DEC(RIGHT(Table132321[[#This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220</v>
      </c>
      <c r="G77" s="33">
        <v>0</v>
      </c>
      <c r="J77" s="24">
        <v>50000</v>
      </c>
      <c r="M77" s="24">
        <v>50000</v>
      </c>
      <c r="O77" s="45" t="s">
        <v>97</v>
      </c>
      <c r="P77" s="45">
        <f>HEX2DEC(RIGHT(Table132321[[#This Row],[h1]],8))</f>
        <v>0</v>
      </c>
      <c r="Q77" s="45" t="s">
        <v>97</v>
      </c>
      <c r="R77" s="45">
        <f>HEX2DEC(RIGHT(Table132321[[#This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221</v>
      </c>
      <c r="G78" s="33">
        <v>0</v>
      </c>
      <c r="J78" s="24">
        <v>50000</v>
      </c>
      <c r="M78" s="24">
        <v>50000</v>
      </c>
      <c r="O78" s="45" t="s">
        <v>97</v>
      </c>
      <c r="P78" s="45">
        <f>HEX2DEC(RIGHT(Table132321[[#This Row],[h1]],8))</f>
        <v>0</v>
      </c>
      <c r="Q78" s="45" t="s">
        <v>97</v>
      </c>
      <c r="R78" s="45">
        <f>HEX2DEC(RIGHT(Table132321[[#This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222</v>
      </c>
      <c r="G79" s="33">
        <v>0</v>
      </c>
      <c r="J79" s="24">
        <v>50000</v>
      </c>
      <c r="M79" s="24">
        <v>50000</v>
      </c>
      <c r="O79" s="45" t="s">
        <v>97</v>
      </c>
      <c r="P79" s="45">
        <f>HEX2DEC(RIGHT(Table132321[[#This Row],[h1]],8))</f>
        <v>0</v>
      </c>
      <c r="Q79" s="45" t="s">
        <v>97</v>
      </c>
      <c r="R79" s="45">
        <f>HEX2DEC(RIGHT(Table132321[[#This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223</v>
      </c>
      <c r="G80" s="33">
        <v>0</v>
      </c>
      <c r="J80" s="24">
        <v>50000</v>
      </c>
      <c r="M80" s="24">
        <v>50000</v>
      </c>
      <c r="O80" s="45" t="s">
        <v>97</v>
      </c>
      <c r="P80" s="45">
        <f>HEX2DEC(RIGHT(Table132321[[#This Row],[h1]],8))</f>
        <v>0</v>
      </c>
      <c r="Q80" s="45" t="s">
        <v>97</v>
      </c>
      <c r="R80" s="45">
        <f>HEX2DEC(RIGHT(Table132321[[#This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224</v>
      </c>
      <c r="G81" s="33">
        <v>0</v>
      </c>
      <c r="J81" s="24">
        <v>50000</v>
      </c>
      <c r="M81" s="24">
        <v>50000</v>
      </c>
      <c r="O81" s="45" t="s">
        <v>97</v>
      </c>
      <c r="P81" s="45">
        <f>HEX2DEC(RIGHT(Table132321[[#This Row],[h1]],8))</f>
        <v>0</v>
      </c>
      <c r="Q81" s="45" t="s">
        <v>97</v>
      </c>
      <c r="R81" s="45">
        <f>HEX2DEC(RIGHT(Table132321[[#This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225</v>
      </c>
      <c r="G82" s="33">
        <v>0</v>
      </c>
      <c r="J82" s="24">
        <v>50000</v>
      </c>
      <c r="M82" s="24">
        <v>50000</v>
      </c>
      <c r="O82" s="45" t="s">
        <v>97</v>
      </c>
      <c r="P82" s="45">
        <f>HEX2DEC(RIGHT(Table132321[[#This Row],[h1]],8))</f>
        <v>0</v>
      </c>
      <c r="Q82" s="45" t="s">
        <v>97</v>
      </c>
      <c r="R82" s="45">
        <f>HEX2DEC(RIGHT(Table132321[[#This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226</v>
      </c>
      <c r="G83" s="33">
        <v>0</v>
      </c>
      <c r="J83" s="24">
        <v>50000</v>
      </c>
      <c r="M83" s="24">
        <v>50000</v>
      </c>
      <c r="O83" s="45" t="s">
        <v>97</v>
      </c>
      <c r="P83" s="45">
        <f>HEX2DEC(RIGHT(Table132321[[#This Row],[h1]],8))</f>
        <v>0</v>
      </c>
      <c r="Q83" s="45" t="s">
        <v>97</v>
      </c>
      <c r="R83" s="45">
        <f>HEX2DEC(RIGHT(Table132321[[#This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227</v>
      </c>
      <c r="G84" s="33">
        <v>0</v>
      </c>
      <c r="J84" s="24">
        <v>50000</v>
      </c>
      <c r="M84" s="24">
        <v>50000</v>
      </c>
      <c r="O84" s="45" t="s">
        <v>97</v>
      </c>
      <c r="P84" s="45">
        <f>HEX2DEC(RIGHT(Table132321[[#This Row],[h1]],8))</f>
        <v>0</v>
      </c>
      <c r="Q84" s="45" t="s">
        <v>97</v>
      </c>
      <c r="R84" s="45">
        <f>HEX2DEC(RIGHT(Table132321[[#This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228</v>
      </c>
      <c r="G85" s="33">
        <v>0</v>
      </c>
      <c r="J85" s="24">
        <v>50000</v>
      </c>
      <c r="M85" s="24">
        <v>50000</v>
      </c>
      <c r="O85" s="45" t="s">
        <v>97</v>
      </c>
      <c r="P85" s="45">
        <f>HEX2DEC(RIGHT(Table132321[[#This Row],[h1]],8))</f>
        <v>0</v>
      </c>
      <c r="Q85" s="45" t="s">
        <v>97</v>
      </c>
      <c r="R85" s="45">
        <f>HEX2DEC(RIGHT(Table132321[[#This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229</v>
      </c>
      <c r="G86" s="33">
        <v>0</v>
      </c>
      <c r="J86" s="24">
        <v>50000</v>
      </c>
      <c r="M86" s="24">
        <v>50000</v>
      </c>
      <c r="O86" s="45" t="s">
        <v>97</v>
      </c>
      <c r="P86" s="45">
        <f>HEX2DEC(RIGHT(Table132321[[#This Row],[h1]],8))</f>
        <v>0</v>
      </c>
      <c r="Q86" s="45" t="s">
        <v>97</v>
      </c>
      <c r="R86" s="45">
        <f>HEX2DEC(RIGHT(Table132321[[#This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230</v>
      </c>
      <c r="G87" s="33">
        <v>0</v>
      </c>
      <c r="J87" s="24">
        <v>50000</v>
      </c>
      <c r="M87" s="24">
        <v>50000</v>
      </c>
      <c r="O87" s="45" t="s">
        <v>97</v>
      </c>
      <c r="P87" s="45">
        <f>HEX2DEC(RIGHT(Table132321[[#This Row],[h1]],8))</f>
        <v>0</v>
      </c>
      <c r="Q87" s="45" t="s">
        <v>97</v>
      </c>
      <c r="R87" s="45">
        <f>HEX2DEC(RIGHT(Table132321[[#This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231</v>
      </c>
      <c r="G88" s="33">
        <v>0</v>
      </c>
      <c r="J88" s="24">
        <v>50000</v>
      </c>
      <c r="M88" s="24">
        <v>50000</v>
      </c>
      <c r="O88" s="45" t="s">
        <v>97</v>
      </c>
      <c r="P88" s="45">
        <f>HEX2DEC(RIGHT(Table132321[[#This Row],[h1]],8))</f>
        <v>0</v>
      </c>
      <c r="Q88" s="45" t="s">
        <v>97</v>
      </c>
      <c r="R88" s="45">
        <f>HEX2DEC(RIGHT(Table132321[[#This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232</v>
      </c>
      <c r="G89" s="33">
        <v>0</v>
      </c>
      <c r="J89" s="24">
        <v>50000</v>
      </c>
      <c r="M89" s="24">
        <v>50000</v>
      </c>
      <c r="O89" s="45" t="s">
        <v>97</v>
      </c>
      <c r="P89" s="45">
        <f>HEX2DEC(RIGHT(Table132321[[#This Row],[h1]],8))</f>
        <v>0</v>
      </c>
      <c r="Q89" s="45" t="s">
        <v>97</v>
      </c>
      <c r="R89" s="45">
        <f>HEX2DEC(RIGHT(Table132321[[#This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233</v>
      </c>
      <c r="G90" s="33">
        <v>0</v>
      </c>
      <c r="J90" s="24">
        <v>50000</v>
      </c>
      <c r="M90" s="24">
        <v>50000</v>
      </c>
      <c r="O90" s="45" t="s">
        <v>97</v>
      </c>
      <c r="P90" s="45">
        <f>HEX2DEC(RIGHT(Table132321[[#This Row],[h1]],8))</f>
        <v>0</v>
      </c>
      <c r="Q90" s="45" t="s">
        <v>97</v>
      </c>
      <c r="R90" s="45">
        <f>HEX2DEC(RIGHT(Table132321[[#This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234</v>
      </c>
      <c r="G91" s="33">
        <v>0</v>
      </c>
      <c r="J91" s="24">
        <v>50000</v>
      </c>
      <c r="M91" s="24">
        <v>50000</v>
      </c>
      <c r="O91" s="45" t="s">
        <v>97</v>
      </c>
      <c r="P91" s="45">
        <f>HEX2DEC(RIGHT(Table132321[[#This Row],[h1]],8))</f>
        <v>0</v>
      </c>
      <c r="Q91" s="45" t="s">
        <v>97</v>
      </c>
      <c r="R91" s="45">
        <f>HEX2DEC(RIGHT(Table132321[[#This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235</v>
      </c>
      <c r="G92" s="33">
        <v>0</v>
      </c>
      <c r="J92" s="24">
        <v>50000</v>
      </c>
      <c r="M92" s="24">
        <v>50000</v>
      </c>
      <c r="O92" s="45" t="s">
        <v>97</v>
      </c>
      <c r="P92" s="45">
        <f>HEX2DEC(RIGHT(Table132321[[#This Row],[h1]],8))</f>
        <v>0</v>
      </c>
      <c r="Q92" s="45" t="s">
        <v>97</v>
      </c>
      <c r="R92" s="45">
        <f>HEX2DEC(RIGHT(Table132321[[#This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236</v>
      </c>
      <c r="G93" s="33">
        <v>0</v>
      </c>
      <c r="J93" s="24">
        <v>50000</v>
      </c>
      <c r="M93" s="24">
        <v>50000</v>
      </c>
      <c r="O93" s="45" t="s">
        <v>97</v>
      </c>
      <c r="P93" s="45">
        <f>HEX2DEC(RIGHT(Table132321[[#This Row],[h1]],8))</f>
        <v>0</v>
      </c>
      <c r="Q93" s="45" t="s">
        <v>97</v>
      </c>
      <c r="R93" s="45">
        <f>HEX2DEC(RIGHT(Table132321[[#This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237</v>
      </c>
      <c r="G94" s="33">
        <v>0</v>
      </c>
      <c r="J94" s="24">
        <v>50000</v>
      </c>
      <c r="M94" s="24">
        <v>50000</v>
      </c>
      <c r="O94" s="45" t="s">
        <v>97</v>
      </c>
      <c r="P94" s="45">
        <f>HEX2DEC(RIGHT(Table132321[[#This Row],[h1]],8))</f>
        <v>0</v>
      </c>
      <c r="Q94" s="45" t="s">
        <v>97</v>
      </c>
      <c r="R94" s="45">
        <f>HEX2DEC(RIGHT(Table132321[[#This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238</v>
      </c>
      <c r="G95" s="33">
        <v>0</v>
      </c>
      <c r="J95" s="24">
        <v>50000</v>
      </c>
      <c r="M95" s="24">
        <v>50000</v>
      </c>
      <c r="O95" s="45" t="s">
        <v>97</v>
      </c>
      <c r="P95" s="45">
        <f>HEX2DEC(RIGHT(Table132321[[#This Row],[h1]],8))</f>
        <v>0</v>
      </c>
      <c r="Q95" s="45" t="s">
        <v>97</v>
      </c>
      <c r="R95" s="45">
        <f>HEX2DEC(RIGHT(Table132321[[#This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239</v>
      </c>
      <c r="G96" s="33">
        <v>0</v>
      </c>
      <c r="J96" s="24">
        <v>50000</v>
      </c>
      <c r="M96" s="24">
        <v>50000</v>
      </c>
      <c r="O96" s="45" t="s">
        <v>97</v>
      </c>
      <c r="P96" s="45">
        <f>HEX2DEC(RIGHT(Table132321[[#This Row],[h1]],8))</f>
        <v>0</v>
      </c>
      <c r="Q96" s="45" t="s">
        <v>97</v>
      </c>
      <c r="R96" s="45">
        <f>HEX2DEC(RIGHT(Table132321[[#This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240</v>
      </c>
      <c r="G97" s="33">
        <v>0</v>
      </c>
      <c r="J97" s="24">
        <v>50000</v>
      </c>
      <c r="M97" s="24">
        <v>50000</v>
      </c>
      <c r="O97" s="45" t="s">
        <v>97</v>
      </c>
      <c r="P97" s="45">
        <f>HEX2DEC(RIGHT(Table132321[[#This Row],[h1]],8))</f>
        <v>0</v>
      </c>
      <c r="Q97" s="45" t="s">
        <v>97</v>
      </c>
      <c r="R97" s="45">
        <f>HEX2DEC(RIGHT(Table132321[[#This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241</v>
      </c>
      <c r="G98" s="33">
        <v>0</v>
      </c>
      <c r="J98" s="24">
        <v>50000</v>
      </c>
      <c r="M98" s="24">
        <v>50000</v>
      </c>
      <c r="O98" s="45" t="s">
        <v>97</v>
      </c>
      <c r="P98" s="45">
        <f>HEX2DEC(RIGHT(Table132321[[#This Row],[h1]],8))</f>
        <v>0</v>
      </c>
      <c r="Q98" s="45" t="s">
        <v>97</v>
      </c>
      <c r="R98" s="45">
        <f>HEX2DEC(RIGHT(Table132321[[#This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242</v>
      </c>
      <c r="G99" s="33">
        <v>0</v>
      </c>
      <c r="J99" s="24">
        <v>50000</v>
      </c>
      <c r="M99" s="24">
        <v>50000</v>
      </c>
      <c r="O99" s="45" t="s">
        <v>97</v>
      </c>
      <c r="P99" s="45">
        <f>HEX2DEC(RIGHT(Table132321[[#This Row],[h1]],8))</f>
        <v>0</v>
      </c>
      <c r="Q99" s="45" t="s">
        <v>97</v>
      </c>
      <c r="R99" s="45">
        <f>HEX2DEC(RIGHT(Table132321[[#This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243</v>
      </c>
      <c r="G100" s="33">
        <v>0</v>
      </c>
      <c r="J100" s="24">
        <v>50000</v>
      </c>
      <c r="M100" s="24">
        <v>50000</v>
      </c>
      <c r="O100" s="45" t="s">
        <v>97</v>
      </c>
      <c r="P100" s="45">
        <f>HEX2DEC(RIGHT(Table132321[[#This Row],[h1]],8))</f>
        <v>0</v>
      </c>
      <c r="Q100" s="45" t="s">
        <v>97</v>
      </c>
      <c r="R100" s="45">
        <f>HEX2DEC(RIGHT(Table132321[[#This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244</v>
      </c>
      <c r="G101" s="33">
        <v>0</v>
      </c>
      <c r="J101" s="24">
        <v>50000</v>
      </c>
      <c r="M101" s="24">
        <v>50000</v>
      </c>
      <c r="O101" s="45" t="s">
        <v>97</v>
      </c>
      <c r="P101" s="45">
        <f>HEX2DEC(RIGHT(Table132321[[#This Row],[h1]],8))</f>
        <v>0</v>
      </c>
      <c r="Q101" s="45" t="s">
        <v>97</v>
      </c>
      <c r="R101" s="45">
        <f>HEX2DEC(RIGHT(Table132321[[#This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245</v>
      </c>
      <c r="G102" s="33">
        <v>0</v>
      </c>
      <c r="J102" s="24">
        <v>50000</v>
      </c>
      <c r="M102" s="24">
        <v>50000</v>
      </c>
      <c r="O102" s="45" t="s">
        <v>97</v>
      </c>
      <c r="P102" s="45">
        <f>HEX2DEC(RIGHT(Table132321[[#This Row],[h1]],8))</f>
        <v>0</v>
      </c>
      <c r="Q102" s="45" t="s">
        <v>97</v>
      </c>
      <c r="R102" s="45">
        <f>HEX2DEC(RIGHT(Table132321[[#This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246</v>
      </c>
      <c r="G103" s="33">
        <v>0</v>
      </c>
      <c r="J103" s="24">
        <v>50000</v>
      </c>
      <c r="M103" s="24">
        <v>50000</v>
      </c>
      <c r="O103" s="45" t="s">
        <v>97</v>
      </c>
      <c r="P103" s="45">
        <f>HEX2DEC(RIGHT(Table132321[[#This Row],[h1]],8))</f>
        <v>0</v>
      </c>
      <c r="Q103" s="45" t="s">
        <v>97</v>
      </c>
      <c r="R103" s="45">
        <f>HEX2DEC(RIGHT(Table132321[[#This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247</v>
      </c>
      <c r="G104" s="33">
        <v>0</v>
      </c>
      <c r="J104" s="24">
        <v>50000</v>
      </c>
      <c r="M104" s="24">
        <v>50000</v>
      </c>
      <c r="O104" s="45" t="s">
        <v>97</v>
      </c>
      <c r="P104" s="45">
        <f>HEX2DEC(RIGHT(Table132321[[#This Row],[h1]],8))</f>
        <v>0</v>
      </c>
      <c r="Q104" s="45" t="s">
        <v>97</v>
      </c>
      <c r="R104" s="45">
        <f>HEX2DEC(RIGHT(Table132321[[#This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248</v>
      </c>
      <c r="G105" s="33">
        <v>0</v>
      </c>
      <c r="J105" s="24">
        <v>50000</v>
      </c>
      <c r="M105" s="24">
        <v>50000</v>
      </c>
      <c r="O105" s="45" t="s">
        <v>97</v>
      </c>
      <c r="P105" s="45">
        <f>HEX2DEC(RIGHT(Table132321[[#This Row],[h1]],8))</f>
        <v>0</v>
      </c>
      <c r="Q105" s="45" t="s">
        <v>97</v>
      </c>
      <c r="R105" s="45">
        <f>HEX2DEC(RIGHT(Table132321[[#This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5" t="s">
        <v>97</v>
      </c>
      <c r="P106" s="45">
        <f>HEX2DEC(RIGHT(Table132321[[#This Row],[h1]],8))</f>
        <v>0</v>
      </c>
      <c r="Q106" s="45" t="s">
        <v>97</v>
      </c>
      <c r="R106" s="45">
        <f>HEX2DEC(RIGHT(Table132321[[#This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249</v>
      </c>
      <c r="G107" s="33">
        <v>100</v>
      </c>
      <c r="J107" s="24">
        <v>50000</v>
      </c>
      <c r="M107" s="24">
        <v>50000</v>
      </c>
      <c r="O107" s="45" t="s">
        <v>97</v>
      </c>
      <c r="P107" s="45">
        <f>HEX2DEC(RIGHT(Table132321[[#This Row],[h1]],8))</f>
        <v>0</v>
      </c>
      <c r="Q107" s="45" t="s">
        <v>97</v>
      </c>
      <c r="R107" s="45">
        <f>HEX2DEC(RIGHT(Table132321[[#This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250</v>
      </c>
      <c r="G108" s="33">
        <v>100</v>
      </c>
      <c r="J108" s="24">
        <v>50000</v>
      </c>
      <c r="M108" s="24">
        <v>50000</v>
      </c>
      <c r="O108" s="45" t="s">
        <v>97</v>
      </c>
      <c r="P108" s="45">
        <f>HEX2DEC(RIGHT(Table132321[[#This Row],[h1]],8))</f>
        <v>0</v>
      </c>
      <c r="Q108" s="45" t="s">
        <v>97</v>
      </c>
      <c r="R108" s="45">
        <f>HEX2DEC(RIGHT(Table132321[[#This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251</v>
      </c>
      <c r="G109" s="33">
        <v>100</v>
      </c>
      <c r="J109" s="24">
        <v>50000</v>
      </c>
      <c r="M109" s="24">
        <v>50000</v>
      </c>
      <c r="O109" s="45" t="s">
        <v>97</v>
      </c>
      <c r="P109" s="45">
        <f>HEX2DEC(RIGHT(Table132321[[#This Row],[h1]],8))</f>
        <v>0</v>
      </c>
      <c r="Q109" s="45" t="s">
        <v>97</v>
      </c>
      <c r="R109" s="45">
        <f>HEX2DEC(RIGHT(Table132321[[#This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252</v>
      </c>
      <c r="G110" s="33">
        <v>100</v>
      </c>
      <c r="J110" s="24">
        <v>50000</v>
      </c>
      <c r="M110" s="24">
        <v>50000</v>
      </c>
      <c r="O110" s="45" t="s">
        <v>97</v>
      </c>
      <c r="P110" s="45">
        <f>HEX2DEC(RIGHT(Table132321[[#This Row],[h1]],8))</f>
        <v>0</v>
      </c>
      <c r="Q110" s="45" t="s">
        <v>97</v>
      </c>
      <c r="R110" s="45">
        <f>HEX2DEC(RIGHT(Table132321[[#This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253</v>
      </c>
      <c r="G111" s="33">
        <v>100</v>
      </c>
      <c r="J111" s="24">
        <v>50000</v>
      </c>
      <c r="M111" s="24">
        <v>50000</v>
      </c>
      <c r="O111" s="45" t="s">
        <v>97</v>
      </c>
      <c r="P111" s="45">
        <f>HEX2DEC(RIGHT(Table132321[[#This Row],[h1]],8))</f>
        <v>0</v>
      </c>
      <c r="Q111" s="45" t="s">
        <v>97</v>
      </c>
      <c r="R111" s="45">
        <f>HEX2DEC(RIGHT(Table132321[[#This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254</v>
      </c>
      <c r="G112" s="33">
        <v>100</v>
      </c>
      <c r="J112" s="24">
        <v>50000</v>
      </c>
      <c r="M112" s="24">
        <v>50000</v>
      </c>
      <c r="O112" s="45" t="s">
        <v>97</v>
      </c>
      <c r="P112" s="45">
        <f>HEX2DEC(RIGHT(Table132321[[#This Row],[h1]],8))</f>
        <v>0</v>
      </c>
      <c r="Q112" s="45" t="s">
        <v>97</v>
      </c>
      <c r="R112" s="45">
        <f>HEX2DEC(RIGHT(Table132321[[#This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255</v>
      </c>
      <c r="G113" s="33">
        <v>100</v>
      </c>
      <c r="J113" s="24">
        <v>50000</v>
      </c>
      <c r="M113" s="24">
        <v>50000</v>
      </c>
      <c r="O113" s="45" t="s">
        <v>97</v>
      </c>
      <c r="P113" s="45">
        <f>HEX2DEC(RIGHT(Table132321[[#This Row],[h1]],8))</f>
        <v>0</v>
      </c>
      <c r="Q113" s="45" t="s">
        <v>97</v>
      </c>
      <c r="R113" s="45">
        <f>HEX2DEC(RIGHT(Table132321[[#This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256</v>
      </c>
      <c r="G114" s="33">
        <v>100</v>
      </c>
      <c r="J114" s="24">
        <v>50000</v>
      </c>
      <c r="M114" s="24">
        <v>50000</v>
      </c>
      <c r="O114" s="45" t="s">
        <v>97</v>
      </c>
      <c r="P114" s="45">
        <f>HEX2DEC(RIGHT(Table132321[[#This Row],[h1]],8))</f>
        <v>0</v>
      </c>
      <c r="Q114" s="45" t="s">
        <v>97</v>
      </c>
      <c r="R114" s="45">
        <f>HEX2DEC(RIGHT(Table132321[[#This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257</v>
      </c>
      <c r="G115" s="33">
        <v>100</v>
      </c>
      <c r="J115" s="24">
        <v>50000</v>
      </c>
      <c r="M115" s="24">
        <v>50000</v>
      </c>
      <c r="O115" s="45" t="s">
        <v>97</v>
      </c>
      <c r="P115" s="45">
        <f>HEX2DEC(RIGHT(Table132321[[#This Row],[h1]],8))</f>
        <v>0</v>
      </c>
      <c r="Q115" s="45" t="s">
        <v>97</v>
      </c>
      <c r="R115" s="45">
        <f>HEX2DEC(RIGHT(Table132321[[#This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258</v>
      </c>
      <c r="G116" s="33">
        <v>100</v>
      </c>
      <c r="J116" s="24">
        <v>50000</v>
      </c>
      <c r="M116" s="24">
        <v>50000</v>
      </c>
      <c r="O116" s="45" t="s">
        <v>97</v>
      </c>
      <c r="P116" s="45">
        <f>HEX2DEC(RIGHT(Table132321[[#This Row],[h1]],8))</f>
        <v>0</v>
      </c>
      <c r="Q116" s="45" t="s">
        <v>97</v>
      </c>
      <c r="R116" s="45">
        <f>HEX2DEC(RIGHT(Table132321[[#This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259</v>
      </c>
      <c r="G117" s="33">
        <v>100</v>
      </c>
      <c r="J117" s="24">
        <v>50000</v>
      </c>
      <c r="M117" s="24">
        <v>50000</v>
      </c>
      <c r="O117" s="45" t="s">
        <v>97</v>
      </c>
      <c r="P117" s="45">
        <f>HEX2DEC(RIGHT(Table132321[[#This Row],[h1]],8))</f>
        <v>0</v>
      </c>
      <c r="Q117" s="45" t="s">
        <v>97</v>
      </c>
      <c r="R117" s="45">
        <f>HEX2DEC(RIGHT(Table132321[[#This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260</v>
      </c>
      <c r="G118" s="33">
        <v>100</v>
      </c>
      <c r="J118" s="24">
        <v>50000</v>
      </c>
      <c r="M118" s="24">
        <v>50000</v>
      </c>
      <c r="O118" s="45" t="s">
        <v>97</v>
      </c>
      <c r="P118" s="45">
        <f>HEX2DEC(RIGHT(Table132321[[#This Row],[h1]],8))</f>
        <v>0</v>
      </c>
      <c r="Q118" s="45" t="s">
        <v>97</v>
      </c>
      <c r="R118" s="45">
        <f>HEX2DEC(RIGHT(Table132321[[#This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261</v>
      </c>
      <c r="G119" s="33">
        <v>100</v>
      </c>
      <c r="J119" s="24">
        <v>50000</v>
      </c>
      <c r="M119" s="24">
        <v>50000</v>
      </c>
      <c r="O119" s="45" t="s">
        <v>97</v>
      </c>
      <c r="P119" s="45">
        <f>HEX2DEC(RIGHT(Table132321[[#This Row],[h1]],8))</f>
        <v>0</v>
      </c>
      <c r="Q119" s="45" t="s">
        <v>97</v>
      </c>
      <c r="R119" s="45">
        <f>HEX2DEC(RIGHT(Table132321[[#This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262</v>
      </c>
      <c r="G120" s="33">
        <v>100</v>
      </c>
      <c r="J120" s="24">
        <v>50000</v>
      </c>
      <c r="M120" s="24">
        <v>50000</v>
      </c>
      <c r="O120" s="45" t="s">
        <v>97</v>
      </c>
      <c r="P120" s="45">
        <f>HEX2DEC(RIGHT(Table132321[[#This Row],[h1]],8))</f>
        <v>0</v>
      </c>
      <c r="Q120" s="45" t="s">
        <v>97</v>
      </c>
      <c r="R120" s="45">
        <f>HEX2DEC(RIGHT(Table132321[[#This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263</v>
      </c>
      <c r="G121" s="33">
        <v>100</v>
      </c>
      <c r="J121" s="24">
        <v>50000</v>
      </c>
      <c r="M121" s="24">
        <v>50000</v>
      </c>
      <c r="O121" s="45" t="s">
        <v>97</v>
      </c>
      <c r="P121" s="45">
        <f>HEX2DEC(RIGHT(Table132321[[#This Row],[h1]],8))</f>
        <v>0</v>
      </c>
      <c r="Q121" s="45" t="s">
        <v>97</v>
      </c>
      <c r="R121" s="45">
        <f>HEX2DEC(RIGHT(Table132321[[#This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264</v>
      </c>
      <c r="G122" s="33">
        <v>100</v>
      </c>
      <c r="J122" s="24">
        <v>50000</v>
      </c>
      <c r="M122" s="24">
        <v>50000</v>
      </c>
      <c r="O122" s="45" t="s">
        <v>97</v>
      </c>
      <c r="P122" s="45">
        <f>HEX2DEC(RIGHT(Table132321[[#This Row],[h1]],8))</f>
        <v>0</v>
      </c>
      <c r="Q122" s="45" t="s">
        <v>97</v>
      </c>
      <c r="R122" s="45">
        <f>HEX2DEC(RIGHT(Table132321[[#This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265</v>
      </c>
      <c r="G123" s="33">
        <v>100</v>
      </c>
      <c r="J123" s="24">
        <v>50000</v>
      </c>
      <c r="M123" s="24">
        <v>50000</v>
      </c>
      <c r="O123" s="45" t="s">
        <v>97</v>
      </c>
      <c r="P123" s="45">
        <f>HEX2DEC(RIGHT(Table132321[[#This Row],[h1]],8))</f>
        <v>0</v>
      </c>
      <c r="Q123" s="45" t="s">
        <v>97</v>
      </c>
      <c r="R123" s="45">
        <f>HEX2DEC(RIGHT(Table132321[[#This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266</v>
      </c>
      <c r="G124" s="33">
        <v>100</v>
      </c>
      <c r="J124" s="24">
        <v>50000</v>
      </c>
      <c r="M124" s="24">
        <v>50000</v>
      </c>
      <c r="O124" s="45" t="s">
        <v>97</v>
      </c>
      <c r="P124" s="45">
        <f>HEX2DEC(RIGHT(Table132321[[#This Row],[h1]],8))</f>
        <v>0</v>
      </c>
      <c r="Q124" s="45" t="s">
        <v>97</v>
      </c>
      <c r="R124" s="45">
        <f>HEX2DEC(RIGHT(Table132321[[#This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267</v>
      </c>
      <c r="G125" s="33">
        <v>100</v>
      </c>
      <c r="J125" s="24">
        <v>50000</v>
      </c>
      <c r="M125" s="24">
        <v>50000</v>
      </c>
      <c r="O125" s="45" t="s">
        <v>97</v>
      </c>
      <c r="P125" s="45">
        <f>HEX2DEC(RIGHT(Table132321[[#This Row],[h1]],8))</f>
        <v>0</v>
      </c>
      <c r="Q125" s="45" t="s">
        <v>97</v>
      </c>
      <c r="R125" s="45">
        <f>HEX2DEC(RIGHT(Table132321[[#This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268</v>
      </c>
      <c r="G126" s="33">
        <v>100</v>
      </c>
      <c r="J126" s="24">
        <v>50000</v>
      </c>
      <c r="M126" s="24">
        <v>50000</v>
      </c>
      <c r="O126" s="45" t="s">
        <v>97</v>
      </c>
      <c r="P126" s="45">
        <f>HEX2DEC(RIGHT(Table132321[[#This Row],[h1]],8))</f>
        <v>0</v>
      </c>
      <c r="Q126" s="45" t="s">
        <v>97</v>
      </c>
      <c r="R126" s="45">
        <f>HEX2DEC(RIGHT(Table132321[[#This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269</v>
      </c>
      <c r="G127" s="33">
        <v>100</v>
      </c>
      <c r="J127" s="24">
        <v>50000</v>
      </c>
      <c r="M127" s="24">
        <v>50000</v>
      </c>
      <c r="O127" s="45" t="s">
        <v>97</v>
      </c>
      <c r="P127" s="45">
        <f>HEX2DEC(RIGHT(Table132321[[#This Row],[h1]],8))</f>
        <v>0</v>
      </c>
      <c r="Q127" s="45" t="s">
        <v>97</v>
      </c>
      <c r="R127" s="45">
        <f>HEX2DEC(RIGHT(Table132321[[#This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270</v>
      </c>
      <c r="G128" s="33">
        <v>100</v>
      </c>
      <c r="J128" s="24">
        <v>50000</v>
      </c>
      <c r="M128" s="24">
        <v>50000</v>
      </c>
      <c r="O128" s="45" t="s">
        <v>97</v>
      </c>
      <c r="P128" s="45">
        <f>HEX2DEC(RIGHT(Table132321[[#This Row],[h1]],8))</f>
        <v>0</v>
      </c>
      <c r="Q128" s="45" t="s">
        <v>97</v>
      </c>
      <c r="R128" s="45">
        <f>HEX2DEC(RIGHT(Table132321[[#This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271</v>
      </c>
      <c r="G129" s="33">
        <v>100</v>
      </c>
      <c r="J129" s="24">
        <v>50000</v>
      </c>
      <c r="M129" s="24">
        <v>50000</v>
      </c>
      <c r="O129" s="45" t="s">
        <v>97</v>
      </c>
      <c r="P129" s="45">
        <f>HEX2DEC(RIGHT(Table132321[[#This Row],[h1]],8))</f>
        <v>0</v>
      </c>
      <c r="Q129" s="45" t="s">
        <v>97</v>
      </c>
      <c r="R129" s="45">
        <f>HEX2DEC(RIGHT(Table132321[[#This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272</v>
      </c>
      <c r="G130" s="33">
        <v>100</v>
      </c>
      <c r="J130" s="24">
        <v>50000</v>
      </c>
      <c r="M130" s="24">
        <v>50000</v>
      </c>
      <c r="O130" s="45" t="s">
        <v>97</v>
      </c>
      <c r="P130" s="45">
        <f>HEX2DEC(RIGHT(Table132321[[#This Row],[h1]],8))</f>
        <v>0</v>
      </c>
      <c r="Q130" s="45" t="s">
        <v>97</v>
      </c>
      <c r="R130" s="45">
        <f>HEX2DEC(RIGHT(Table132321[[#This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273</v>
      </c>
      <c r="G131" s="33">
        <v>100</v>
      </c>
      <c r="J131" s="24">
        <v>50000</v>
      </c>
      <c r="M131" s="24">
        <v>50000</v>
      </c>
      <c r="O131" s="45" t="s">
        <v>97</v>
      </c>
      <c r="P131" s="45">
        <f>HEX2DEC(RIGHT(Table132321[[#This Row],[h1]],8))</f>
        <v>0</v>
      </c>
      <c r="Q131" s="45" t="s">
        <v>97</v>
      </c>
      <c r="R131" s="45">
        <f>HEX2DEC(RIGHT(Table132321[[#This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274</v>
      </c>
      <c r="G132" s="33">
        <v>100</v>
      </c>
      <c r="J132" s="24">
        <v>50000</v>
      </c>
      <c r="M132" s="24">
        <v>50000</v>
      </c>
      <c r="O132" s="45" t="s">
        <v>97</v>
      </c>
      <c r="P132" s="45">
        <f>HEX2DEC(RIGHT(Table132321[[#This Row],[h1]],8))</f>
        <v>0</v>
      </c>
      <c r="Q132" s="45" t="s">
        <v>97</v>
      </c>
      <c r="R132" s="45">
        <f>HEX2DEC(RIGHT(Table132321[[#This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275</v>
      </c>
      <c r="G133" s="33">
        <v>100</v>
      </c>
      <c r="J133" s="24">
        <v>50000</v>
      </c>
      <c r="M133" s="24">
        <v>50000</v>
      </c>
      <c r="O133" s="45" t="s">
        <v>97</v>
      </c>
      <c r="P133" s="45">
        <f>HEX2DEC(RIGHT(Table132321[[#This Row],[h1]],8))</f>
        <v>0</v>
      </c>
      <c r="Q133" s="45" t="s">
        <v>97</v>
      </c>
      <c r="R133" s="45">
        <f>HEX2DEC(RIGHT(Table132321[[#This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276</v>
      </c>
      <c r="F134" s="22"/>
      <c r="G134" s="33">
        <v>100</v>
      </c>
      <c r="J134" s="24">
        <v>50000</v>
      </c>
      <c r="M134" s="24">
        <v>50000</v>
      </c>
      <c r="O134" s="45" t="s">
        <v>97</v>
      </c>
      <c r="P134" s="45">
        <f>HEX2DEC(RIGHT(Table132321[[#This Row],[h1]],8))</f>
        <v>0</v>
      </c>
      <c r="Q134" s="45" t="s">
        <v>97</v>
      </c>
      <c r="R134" s="45">
        <f>HEX2DEC(RIGHT(Table132321[[#This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277</v>
      </c>
      <c r="F135" s="22"/>
      <c r="G135" s="33">
        <v>100</v>
      </c>
      <c r="J135" s="24">
        <v>50000</v>
      </c>
      <c r="M135" s="24">
        <v>50000</v>
      </c>
      <c r="O135" s="45" t="s">
        <v>97</v>
      </c>
      <c r="P135" s="45">
        <f>HEX2DEC(RIGHT(Table132321[[#This Row],[h1]],8))</f>
        <v>0</v>
      </c>
      <c r="Q135" s="45" t="s">
        <v>97</v>
      </c>
      <c r="R135" s="45">
        <f>HEX2DEC(RIGHT(Table132321[[#This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278</v>
      </c>
      <c r="F136" s="22"/>
      <c r="G136" s="33">
        <v>100</v>
      </c>
      <c r="J136" s="24">
        <v>50000</v>
      </c>
      <c r="M136" s="24">
        <v>50000</v>
      </c>
      <c r="O136" s="45" t="s">
        <v>97</v>
      </c>
      <c r="P136" s="45">
        <f>HEX2DEC(RIGHT(Table132321[[#This Row],[h1]],8))</f>
        <v>0</v>
      </c>
      <c r="Q136" s="45" t="s">
        <v>97</v>
      </c>
      <c r="R136" s="45">
        <f>HEX2DEC(RIGHT(Table132321[[#This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279</v>
      </c>
      <c r="F137" s="22"/>
      <c r="G137" s="33">
        <v>100</v>
      </c>
      <c r="J137" s="24">
        <v>50000</v>
      </c>
      <c r="M137" s="24">
        <v>50000</v>
      </c>
      <c r="O137" s="45" t="s">
        <v>97</v>
      </c>
      <c r="P137" s="45">
        <f>HEX2DEC(RIGHT(Table132321[[#This Row],[h1]],8))</f>
        <v>0</v>
      </c>
      <c r="Q137" s="45" t="s">
        <v>97</v>
      </c>
      <c r="R137" s="45">
        <f>HEX2DEC(RIGHT(Table132321[[#This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280</v>
      </c>
      <c r="F138" s="22"/>
      <c r="G138" s="33">
        <v>100</v>
      </c>
      <c r="J138" s="24">
        <v>50000</v>
      </c>
      <c r="M138" s="24">
        <v>50000</v>
      </c>
      <c r="O138" s="45" t="s">
        <v>97</v>
      </c>
      <c r="P138" s="45">
        <f>HEX2DEC(RIGHT(Table132321[[#This Row],[h1]],8))</f>
        <v>0</v>
      </c>
      <c r="Q138" s="45" t="s">
        <v>97</v>
      </c>
      <c r="R138" s="45">
        <f>HEX2DEC(RIGHT(Table132321[[#This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5" t="s">
        <v>97</v>
      </c>
      <c r="P139" s="45">
        <f>HEX2DEC(RIGHT(Table132321[[#This Row],[h1]],8))</f>
        <v>0</v>
      </c>
      <c r="Q139" s="45" t="s">
        <v>97</v>
      </c>
      <c r="R139" s="45">
        <f>HEX2DEC(RIGHT(Table132321[[#This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281</v>
      </c>
      <c r="F140" s="22"/>
      <c r="G140" s="36">
        <v>1</v>
      </c>
      <c r="J140" s="24">
        <v>50000</v>
      </c>
      <c r="M140" s="24">
        <v>50000</v>
      </c>
      <c r="O140" s="45" t="s">
        <v>97</v>
      </c>
      <c r="P140" s="45">
        <f>HEX2DEC(RIGHT(Table132321[[#This Row],[h1]],8))</f>
        <v>0</v>
      </c>
      <c r="Q140" s="45" t="s">
        <v>97</v>
      </c>
      <c r="R140" s="45">
        <f>HEX2DEC(RIGHT(Table132321[[#This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281</v>
      </c>
      <c r="F141" s="22"/>
      <c r="G141" s="36">
        <v>0</v>
      </c>
      <c r="J141" s="24">
        <v>50000</v>
      </c>
      <c r="M141" s="24">
        <v>50000</v>
      </c>
      <c r="O141" s="45" t="s">
        <v>97</v>
      </c>
      <c r="P141" s="45">
        <f>HEX2DEC(RIGHT(Table132321[[#This Row],[h1]],8))</f>
        <v>0</v>
      </c>
      <c r="Q141" s="45" t="s">
        <v>97</v>
      </c>
      <c r="R141" s="45">
        <f>HEX2DEC(RIGHT(Table132321[[#This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5" t="s">
        <v>97</v>
      </c>
      <c r="P142" s="45">
        <f>HEX2DEC(RIGHT(Table132321[[#This Row],[h1]],8))</f>
        <v>0</v>
      </c>
      <c r="Q142" s="45" t="s">
        <v>97</v>
      </c>
      <c r="R142" s="45">
        <f>HEX2DEC(RIGHT(Table132321[[#This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282</v>
      </c>
      <c r="F143" s="22"/>
      <c r="G143" s="32">
        <v>0</v>
      </c>
      <c r="J143" s="24">
        <v>50000</v>
      </c>
      <c r="M143" s="24">
        <v>50000</v>
      </c>
      <c r="O143" s="45" t="s">
        <v>97</v>
      </c>
      <c r="P143" s="45">
        <f>HEX2DEC(RIGHT(Table132321[[#This Row],[h1]],8))</f>
        <v>0</v>
      </c>
      <c r="Q143" s="45" t="s">
        <v>97</v>
      </c>
      <c r="R143" s="45">
        <f>HEX2DEC(RIGHT(Table132321[[#This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283</v>
      </c>
      <c r="F144" s="22"/>
      <c r="G144" s="32">
        <v>0</v>
      </c>
      <c r="J144" s="24">
        <v>50000</v>
      </c>
      <c r="M144" s="24">
        <v>50000</v>
      </c>
      <c r="O144" s="45" t="s">
        <v>97</v>
      </c>
      <c r="P144" s="45">
        <f>HEX2DEC(RIGHT(Table132321[[#This Row],[h1]],8))</f>
        <v>0</v>
      </c>
      <c r="Q144" s="45" t="s">
        <v>97</v>
      </c>
      <c r="R144" s="45">
        <f>HEX2DEC(RIGHT(Table132321[[#This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284</v>
      </c>
      <c r="F145" s="22"/>
      <c r="G145" s="32">
        <v>0</v>
      </c>
      <c r="J145" s="24">
        <v>50000</v>
      </c>
      <c r="M145" s="24">
        <v>50000</v>
      </c>
      <c r="O145" s="45" t="s">
        <v>97</v>
      </c>
      <c r="P145" s="45">
        <f>HEX2DEC(RIGHT(Table132321[[#This Row],[h1]],8))</f>
        <v>0</v>
      </c>
      <c r="Q145" s="45" t="s">
        <v>97</v>
      </c>
      <c r="R145" s="45">
        <f>HEX2DEC(RIGHT(Table132321[[#This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5" t="s">
        <v>97</v>
      </c>
      <c r="P146" s="45">
        <f>HEX2DEC(RIGHT(Table132321[[#This Row],[h1]],8))</f>
        <v>0</v>
      </c>
      <c r="Q146" s="45" t="s">
        <v>97</v>
      </c>
      <c r="R146" s="45">
        <f>HEX2DEC(RIGHT(Table132321[[#This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285</v>
      </c>
      <c r="F147" s="22"/>
      <c r="G147" s="32">
        <v>1</v>
      </c>
      <c r="J147" s="24">
        <v>50000</v>
      </c>
      <c r="M147" s="24">
        <v>50000</v>
      </c>
      <c r="O147" s="45" t="s">
        <v>97</v>
      </c>
      <c r="P147" s="45">
        <f>HEX2DEC(RIGHT(Table132321[[#This Row],[h1]],8))</f>
        <v>0</v>
      </c>
      <c r="Q147" s="45" t="s">
        <v>97</v>
      </c>
      <c r="R147" s="45">
        <f>HEX2DEC(RIGHT(Table132321[[#This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286</v>
      </c>
      <c r="F148" s="22"/>
      <c r="G148" s="32">
        <v>1</v>
      </c>
      <c r="J148" s="24">
        <v>50000</v>
      </c>
      <c r="M148" s="24">
        <v>50000</v>
      </c>
      <c r="O148" s="45" t="s">
        <v>97</v>
      </c>
      <c r="P148" s="45">
        <f>HEX2DEC(RIGHT(Table132321[[#This Row],[h1]],8))</f>
        <v>0</v>
      </c>
      <c r="Q148" s="45" t="s">
        <v>97</v>
      </c>
      <c r="R148" s="45">
        <f>HEX2DEC(RIGHT(Table132321[[#This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287</v>
      </c>
      <c r="F149" s="22"/>
      <c r="G149" s="32">
        <v>1</v>
      </c>
      <c r="J149" s="24">
        <v>50000</v>
      </c>
      <c r="M149" s="24">
        <v>50000</v>
      </c>
      <c r="O149" s="45" t="s">
        <v>97</v>
      </c>
      <c r="P149" s="45">
        <f>HEX2DEC(RIGHT(Table132321[[#This Row],[h1]],8))</f>
        <v>0</v>
      </c>
      <c r="Q149" s="45" t="s">
        <v>97</v>
      </c>
      <c r="R149" s="45">
        <f>HEX2DEC(RIGHT(Table132321[[#This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D150" s="15" t="s">
        <v>647</v>
      </c>
      <c r="F150" s="22"/>
      <c r="G150" s="32">
        <v>1</v>
      </c>
      <c r="J150" s="24">
        <v>50000</v>
      </c>
      <c r="M150" s="24">
        <v>50000</v>
      </c>
      <c r="O150" s="45" t="s">
        <v>97</v>
      </c>
      <c r="P150" s="45">
        <f>HEX2DEC(RIGHT(Table132321[[#This Row],[h1]],8))</f>
        <v>0</v>
      </c>
      <c r="Q150" s="45" t="s">
        <v>97</v>
      </c>
      <c r="R150" s="45">
        <f>HEX2DEC(RIGHT(Table132321[[#This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E151" s="15">
        <v>125000000</v>
      </c>
      <c r="G151" s="33"/>
      <c r="J151" s="24">
        <v>50000</v>
      </c>
      <c r="M151" s="24">
        <v>50000</v>
      </c>
      <c r="O151" s="45" t="s">
        <v>97</v>
      </c>
      <c r="P151" s="45">
        <f>HEX2DEC(RIGHT(Table132321[[#This Row],[h1]],8))</f>
        <v>0</v>
      </c>
      <c r="Q151" s="45" t="s">
        <v>97</v>
      </c>
      <c r="R151" s="45">
        <f>HEX2DEC(RIGHT(Table132321[[#This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D152" s="15" t="s">
        <v>292</v>
      </c>
      <c r="E152" s="52">
        <v>1</v>
      </c>
      <c r="F152" s="53">
        <v>0</v>
      </c>
      <c r="G15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62499999</v>
      </c>
      <c r="J152" s="24">
        <v>50000</v>
      </c>
      <c r="M152" s="24">
        <v>50000</v>
      </c>
      <c r="O152" s="45" t="s">
        <v>97</v>
      </c>
      <c r="P152" s="45">
        <f>HEX2DEC(RIGHT(Table132321[[#This Row],[h1]],8))</f>
        <v>0</v>
      </c>
      <c r="Q152" s="45" t="s">
        <v>97</v>
      </c>
      <c r="R152" s="45">
        <f>HEX2DEC(RIGHT(Table132321[[#This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D153" s="15" t="s">
        <v>293</v>
      </c>
      <c r="E153" s="52">
        <v>10</v>
      </c>
      <c r="F153" s="53">
        <v>1</v>
      </c>
      <c r="G15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6249999</v>
      </c>
      <c r="J153" s="24">
        <v>50000</v>
      </c>
      <c r="M153" s="24">
        <v>50000</v>
      </c>
      <c r="O153" s="45" t="s">
        <v>97</v>
      </c>
      <c r="P153" s="45">
        <f>HEX2DEC(RIGHT(Table132321[[#This Row],[h1]],8))</f>
        <v>0</v>
      </c>
      <c r="Q153" s="45" t="s">
        <v>97</v>
      </c>
      <c r="R153" s="45">
        <f>HEX2DEC(RIGHT(Table132321[[#This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D154" s="15" t="s">
        <v>294</v>
      </c>
      <c r="E154" s="52">
        <v>100</v>
      </c>
      <c r="F154" s="53">
        <v>2</v>
      </c>
      <c r="G15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624999</v>
      </c>
      <c r="J154" s="24">
        <v>50000</v>
      </c>
      <c r="M154" s="24">
        <v>50000</v>
      </c>
      <c r="O154" s="45" t="s">
        <v>97</v>
      </c>
      <c r="P154" s="45">
        <f>HEX2DEC(RIGHT(Table132321[[#This Row],[h1]],8))</f>
        <v>0</v>
      </c>
      <c r="Q154" s="45" t="s">
        <v>97</v>
      </c>
      <c r="R154" s="45">
        <f>HEX2DEC(RIGHT(Table132321[[#This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D155" s="15" t="s">
        <v>295</v>
      </c>
      <c r="E155" s="52">
        <v>1000</v>
      </c>
      <c r="F155" s="53">
        <v>3</v>
      </c>
      <c r="G15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62499</v>
      </c>
      <c r="J155" s="24">
        <v>50000</v>
      </c>
      <c r="M155" s="24">
        <v>50000</v>
      </c>
      <c r="O155" s="45" t="s">
        <v>97</v>
      </c>
      <c r="P155" s="45">
        <f>HEX2DEC(RIGHT(Table132321[[#This Row],[h1]],8))</f>
        <v>0</v>
      </c>
      <c r="Q155" s="45" t="s">
        <v>97</v>
      </c>
      <c r="R155" s="45">
        <f>HEX2DEC(RIGHT(Table132321[[#This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296</v>
      </c>
      <c r="E156" s="52">
        <v>10000</v>
      </c>
      <c r="F156" s="53">
        <v>4</v>
      </c>
      <c r="G156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6249</v>
      </c>
      <c r="J156" s="24">
        <v>50000</v>
      </c>
      <c r="M156" s="24">
        <v>50000</v>
      </c>
      <c r="O156" s="45" t="s">
        <v>97</v>
      </c>
      <c r="P156" s="45">
        <f>HEX2DEC(RIGHT(Table132321[[#This Row],[h1]],8))</f>
        <v>0</v>
      </c>
      <c r="Q156" s="45" t="s">
        <v>97</v>
      </c>
      <c r="R156" s="45">
        <f>HEX2DEC(RIGHT(Table132321[[#This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297</v>
      </c>
      <c r="E157" s="52">
        <v>100000</v>
      </c>
      <c r="F157" s="53">
        <v>5</v>
      </c>
      <c r="G157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624</v>
      </c>
      <c r="J157" s="24">
        <v>50000</v>
      </c>
      <c r="M157" s="24">
        <v>50000</v>
      </c>
      <c r="O157" s="45" t="s">
        <v>97</v>
      </c>
      <c r="P157" s="45">
        <f>HEX2DEC(RIGHT(Table132321[[#This Row],[h1]],8))</f>
        <v>0</v>
      </c>
      <c r="Q157" s="45" t="s">
        <v>97</v>
      </c>
      <c r="R157" s="45">
        <f>HEX2DEC(RIGHT(Table132321[[#This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298</v>
      </c>
      <c r="E158" s="52">
        <v>200000</v>
      </c>
      <c r="F158" s="53">
        <v>6</v>
      </c>
      <c r="G158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311.5</v>
      </c>
      <c r="J158" s="24">
        <v>50000</v>
      </c>
      <c r="M158" s="24">
        <v>50000</v>
      </c>
      <c r="O158" s="45" t="s">
        <v>97</v>
      </c>
      <c r="P158" s="45">
        <f>HEX2DEC(RIGHT(Table132321[[#This Row],[h1]],8))</f>
        <v>0</v>
      </c>
      <c r="Q158" s="45" t="s">
        <v>97</v>
      </c>
      <c r="R158" s="45">
        <f>HEX2DEC(RIGHT(Table132321[[#This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299</v>
      </c>
      <c r="E159" s="52">
        <v>300000</v>
      </c>
      <c r="F159" s="53">
        <v>7</v>
      </c>
      <c r="G159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207.33333333333334</v>
      </c>
      <c r="J159" s="24">
        <v>50000</v>
      </c>
      <c r="M159" s="24">
        <v>50000</v>
      </c>
      <c r="O159" s="45" t="s">
        <v>97</v>
      </c>
      <c r="P159" s="45">
        <f>HEX2DEC(RIGHT(Table132321[[#This Row],[h1]],8))</f>
        <v>0</v>
      </c>
      <c r="Q159" s="45" t="s">
        <v>97</v>
      </c>
      <c r="R159" s="45">
        <f>HEX2DEC(RIGHT(Table132321[[#This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D160" s="15" t="s">
        <v>300</v>
      </c>
      <c r="E160" s="52">
        <v>400000</v>
      </c>
      <c r="F160" s="53">
        <v>8</v>
      </c>
      <c r="G160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155.25</v>
      </c>
      <c r="J160" s="24">
        <v>50000</v>
      </c>
      <c r="M160" s="24">
        <v>50000</v>
      </c>
      <c r="O160" s="45" t="s">
        <v>97</v>
      </c>
      <c r="P160" s="45">
        <f>HEX2DEC(RIGHT(Table132321[[#This Row],[h1]],8))</f>
        <v>0</v>
      </c>
      <c r="Q160" s="45" t="s">
        <v>97</v>
      </c>
      <c r="R160" s="45">
        <f>HEX2DEC(RIGHT(Table132321[[#This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D161" s="15" t="s">
        <v>301</v>
      </c>
      <c r="E161" s="52">
        <v>500000</v>
      </c>
      <c r="F161" s="53">
        <v>9</v>
      </c>
      <c r="G161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124</v>
      </c>
      <c r="J161" s="24">
        <v>50000</v>
      </c>
      <c r="M161" s="24">
        <v>50000</v>
      </c>
      <c r="O161" s="45" t="s">
        <v>97</v>
      </c>
      <c r="P161" s="45">
        <f>HEX2DEC(RIGHT(Table132321[[#This Row],[h1]],8))</f>
        <v>0</v>
      </c>
      <c r="Q161" s="45" t="s">
        <v>97</v>
      </c>
      <c r="R161" s="45">
        <f>HEX2DEC(RIGHT(Table132321[[#This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D162" s="15" t="s">
        <v>302</v>
      </c>
      <c r="E162" s="52">
        <v>600000</v>
      </c>
      <c r="F162" s="53">
        <v>10</v>
      </c>
      <c r="G162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103.16666666666667</v>
      </c>
      <c r="J162" s="24">
        <v>50000</v>
      </c>
      <c r="M162" s="24">
        <v>50000</v>
      </c>
      <c r="O162" s="45" t="s">
        <v>97</v>
      </c>
      <c r="P162" s="45">
        <f>HEX2DEC(RIGHT(Table132321[[#This Row],[h1]],8))</f>
        <v>0</v>
      </c>
      <c r="Q162" s="45" t="s">
        <v>97</v>
      </c>
      <c r="R162" s="45">
        <f>HEX2DEC(RIGHT(Table132321[[#This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2"/>
      <c r="D163" s="15" t="s">
        <v>303</v>
      </c>
      <c r="E163" s="52">
        <v>700000</v>
      </c>
      <c r="F163" s="53">
        <v>11</v>
      </c>
      <c r="G163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88.285714285714292</v>
      </c>
      <c r="J163" s="24">
        <v>50000</v>
      </c>
      <c r="M163" s="24">
        <v>50000</v>
      </c>
      <c r="O163" s="45" t="s">
        <v>97</v>
      </c>
      <c r="P163" s="45">
        <f>HEX2DEC(RIGHT(Table132321[[#This Row],[h1]],8))</f>
        <v>0</v>
      </c>
      <c r="Q163" s="45" t="s">
        <v>97</v>
      </c>
      <c r="R163" s="45">
        <f>HEX2DEC(RIGHT(Table132321[[#This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D164" s="15" t="s">
        <v>304</v>
      </c>
      <c r="E164" s="52">
        <v>800000</v>
      </c>
      <c r="F164" s="53">
        <v>12</v>
      </c>
      <c r="G164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77.125</v>
      </c>
      <c r="J164" s="24">
        <v>50000</v>
      </c>
      <c r="M164" s="24">
        <v>50000</v>
      </c>
      <c r="O164" s="45" t="s">
        <v>97</v>
      </c>
      <c r="P164" s="45">
        <f>HEX2DEC(RIGHT(Table132321[[#This Row],[h1]],8))</f>
        <v>0</v>
      </c>
      <c r="Q164" s="45" t="s">
        <v>97</v>
      </c>
      <c r="R164" s="45">
        <f>HEX2DEC(RIGHT(Table132321[[#This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305</v>
      </c>
      <c r="E165" s="52">
        <v>900000</v>
      </c>
      <c r="F165" s="53">
        <v>13</v>
      </c>
      <c r="G165" s="23">
        <f>IF(IF(Table1319[[#This Row],[value]]="",Table1319[[#This Row],[dec val]],1/(2*Table1319[[#This Row],[value]])*$E$151-1)&lt;0,0,IF(Table1319[[#This Row],[value]]="",Table1319[[#This Row],[dec val]],1/(2*Table1319[[#This Row],[value]])*$E$151-1))</f>
        <v>68.444444444444443</v>
      </c>
      <c r="J165" s="24">
        <v>50000</v>
      </c>
      <c r="M165" s="24">
        <v>50000</v>
      </c>
      <c r="O165" s="45" t="s">
        <v>97</v>
      </c>
      <c r="P165" s="45">
        <f>HEX2DEC(RIGHT(Table132321[[#This Row],[h1]],8))</f>
        <v>0</v>
      </c>
      <c r="Q165" s="45" t="s">
        <v>97</v>
      </c>
      <c r="R165" s="45">
        <f>HEX2DEC(RIGHT(Table132321[[#This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E166" s="25"/>
      <c r="F166" s="22"/>
      <c r="G166" s="23"/>
      <c r="J166" s="24">
        <v>50000</v>
      </c>
      <c r="M166" s="24">
        <v>50000</v>
      </c>
      <c r="O166" s="45" t="s">
        <v>97</v>
      </c>
      <c r="P166" s="45">
        <f>HEX2DEC(RIGHT(Table132321[[#This Row],[h1]],8))</f>
        <v>0</v>
      </c>
      <c r="Q166" s="45" t="s">
        <v>97</v>
      </c>
      <c r="R166" s="45">
        <f>HEX2DEC(RIGHT(Table132321[[#This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306</v>
      </c>
      <c r="G167" s="45" t="s">
        <v>42</v>
      </c>
      <c r="J167" s="24">
        <v>50000</v>
      </c>
      <c r="M167" s="24">
        <v>50000</v>
      </c>
      <c r="O167" s="45" t="s">
        <v>97</v>
      </c>
      <c r="P167" s="45">
        <f>HEX2DEC(RIGHT(Table132321[[#This Row],[h1]],8))</f>
        <v>0</v>
      </c>
      <c r="Q167" s="45" t="s">
        <v>97</v>
      </c>
      <c r="R167" s="45">
        <f>HEX2DEC(RIGHT(Table132321[[#This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307</v>
      </c>
      <c r="G168" s="45" t="s">
        <v>42</v>
      </c>
      <c r="J168" s="24">
        <v>50000</v>
      </c>
      <c r="M168" s="24">
        <v>50000</v>
      </c>
      <c r="O168" s="45" t="s">
        <v>97</v>
      </c>
      <c r="P168" s="45">
        <f>HEX2DEC(RIGHT(Table132321[[#This Row],[h1]],8))</f>
        <v>0</v>
      </c>
      <c r="Q168" s="45" t="s">
        <v>97</v>
      </c>
      <c r="R168" s="45">
        <f>HEX2DEC(RIGHT(Table132321[[#This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308</v>
      </c>
      <c r="G169" s="45" t="s">
        <v>42</v>
      </c>
      <c r="J169" s="24">
        <v>50000</v>
      </c>
      <c r="M169" s="24">
        <v>50000</v>
      </c>
      <c r="O169" s="45" t="s">
        <v>97</v>
      </c>
      <c r="P169" s="45">
        <f>HEX2DEC(RIGHT(Table132321[[#This Row],[h1]],8))</f>
        <v>0</v>
      </c>
      <c r="Q169" s="45" t="s">
        <v>97</v>
      </c>
      <c r="R169" s="45">
        <f>HEX2DEC(RIGHT(Table132321[[#This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309</v>
      </c>
      <c r="G170" s="45" t="s">
        <v>42</v>
      </c>
      <c r="J170" s="24">
        <v>50000</v>
      </c>
      <c r="M170" s="24">
        <v>50000</v>
      </c>
      <c r="O170" s="45" t="s">
        <v>97</v>
      </c>
      <c r="P170" s="45">
        <f>HEX2DEC(RIGHT(Table132321[[#This Row],[h1]],8))</f>
        <v>0</v>
      </c>
      <c r="Q170" s="45" t="s">
        <v>97</v>
      </c>
      <c r="R170" s="45">
        <f>HEX2DEC(RIGHT(Table132321[[#This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310</v>
      </c>
      <c r="G171" s="45" t="s">
        <v>42</v>
      </c>
      <c r="J171" s="24">
        <v>50000</v>
      </c>
      <c r="M171" s="24">
        <v>50000</v>
      </c>
      <c r="O171" s="45" t="s">
        <v>97</v>
      </c>
      <c r="P171" s="45">
        <f>HEX2DEC(RIGHT(Table132321[[#This Row],[h1]],8))</f>
        <v>0</v>
      </c>
      <c r="Q171" s="45" t="s">
        <v>97</v>
      </c>
      <c r="R171" s="45">
        <f>HEX2DEC(RIGHT(Table132321[[#This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311</v>
      </c>
      <c r="G172" s="45" t="s">
        <v>42</v>
      </c>
      <c r="J172" s="24">
        <v>50000</v>
      </c>
      <c r="M172" s="24">
        <v>50000</v>
      </c>
      <c r="O172" s="45" t="s">
        <v>97</v>
      </c>
      <c r="P172" s="45">
        <f>HEX2DEC(RIGHT(Table132321[[#This Row],[h1]],8))</f>
        <v>0</v>
      </c>
      <c r="Q172" s="45" t="s">
        <v>97</v>
      </c>
      <c r="R172" s="45">
        <f>HEX2DEC(RIGHT(Table132321[[#This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312</v>
      </c>
      <c r="G173" s="45" t="s">
        <v>42</v>
      </c>
      <c r="J173" s="24">
        <v>50000</v>
      </c>
      <c r="M173" s="24">
        <v>50000</v>
      </c>
      <c r="O173" s="45" t="s">
        <v>97</v>
      </c>
      <c r="P173" s="45">
        <f>HEX2DEC(RIGHT(Table132321[[#This Row],[h1]],8))</f>
        <v>0</v>
      </c>
      <c r="Q173" s="45" t="s">
        <v>97</v>
      </c>
      <c r="R173" s="45">
        <f>HEX2DEC(RIGHT(Table132321[[#This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313</v>
      </c>
      <c r="G174" s="45" t="s">
        <v>42</v>
      </c>
      <c r="J174" s="24">
        <v>50000</v>
      </c>
      <c r="M174" s="24">
        <v>50000</v>
      </c>
      <c r="O174" s="45" t="s">
        <v>97</v>
      </c>
      <c r="P174" s="45">
        <f>HEX2DEC(RIGHT(Table132321[[#This Row],[h1]],8))</f>
        <v>0</v>
      </c>
      <c r="Q174" s="45" t="s">
        <v>97</v>
      </c>
      <c r="R174" s="45">
        <f>HEX2DEC(RIGHT(Table132321[[#This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G175" s="45"/>
      <c r="J175" s="24">
        <v>50000</v>
      </c>
      <c r="M175" s="24">
        <v>50000</v>
      </c>
      <c r="O175" s="45" t="s">
        <v>97</v>
      </c>
      <c r="P175" s="45">
        <f>HEX2DEC(RIGHT(Table132321[[#This Row],[h1]],8))</f>
        <v>0</v>
      </c>
      <c r="Q175" s="45" t="s">
        <v>97</v>
      </c>
      <c r="R175" s="45">
        <f>HEX2DEC(RIGHT(Table132321[[#This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314</v>
      </c>
      <c r="G176" s="45" t="s">
        <v>42</v>
      </c>
      <c r="J176" s="24">
        <v>50000</v>
      </c>
      <c r="M176" s="24">
        <v>50000</v>
      </c>
      <c r="O176" s="45" t="s">
        <v>97</v>
      </c>
      <c r="P176" s="45">
        <f>HEX2DEC(RIGHT(Table132321[[#This Row],[h1]],8))</f>
        <v>0</v>
      </c>
      <c r="Q176" s="45" t="s">
        <v>97</v>
      </c>
      <c r="R176" s="45">
        <f>HEX2DEC(RIGHT(Table132321[[#This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315</v>
      </c>
      <c r="G177" s="45" t="s">
        <v>42</v>
      </c>
      <c r="J177" s="24">
        <v>50000</v>
      </c>
      <c r="M177" s="24">
        <v>50000</v>
      </c>
      <c r="O177" s="45" t="s">
        <v>97</v>
      </c>
      <c r="P177" s="45">
        <f>HEX2DEC(RIGHT(Table132321[[#This Row],[h1]],8))</f>
        <v>0</v>
      </c>
      <c r="Q177" s="45" t="s">
        <v>97</v>
      </c>
      <c r="R177" s="45">
        <f>HEX2DEC(RIGHT(Table132321[[#This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316</v>
      </c>
      <c r="G178" s="45" t="s">
        <v>42</v>
      </c>
      <c r="J178" s="24">
        <v>50000</v>
      </c>
      <c r="M178" s="24">
        <v>50000</v>
      </c>
      <c r="O178" s="45" t="s">
        <v>97</v>
      </c>
      <c r="P178" s="45">
        <f>HEX2DEC(RIGHT(Table132321[[#This Row],[h1]],8))</f>
        <v>0</v>
      </c>
      <c r="Q178" s="45" t="s">
        <v>97</v>
      </c>
      <c r="R178" s="45">
        <f>HEX2DEC(RIGHT(Table132321[[#This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D179" s="15" t="s">
        <v>317</v>
      </c>
      <c r="G179" s="45" t="s">
        <v>42</v>
      </c>
      <c r="J179" s="24">
        <v>50000</v>
      </c>
      <c r="M179" s="24">
        <v>50000</v>
      </c>
      <c r="O179" s="45" t="s">
        <v>97</v>
      </c>
      <c r="P179" s="45">
        <f>HEX2DEC(RIGHT(Table132321[[#This Row],[h1]],8))</f>
        <v>0</v>
      </c>
      <c r="Q179" s="45" t="s">
        <v>97</v>
      </c>
      <c r="R179" s="45">
        <f>HEX2DEC(RIGHT(Table132321[[#This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318</v>
      </c>
      <c r="G180" s="45" t="s">
        <v>42</v>
      </c>
      <c r="J180" s="24">
        <v>50000</v>
      </c>
      <c r="M180" s="24">
        <v>50000</v>
      </c>
      <c r="O180" s="45" t="s">
        <v>97</v>
      </c>
      <c r="P180" s="45">
        <f>HEX2DEC(RIGHT(Table132321[[#This Row],[h1]],8))</f>
        <v>0</v>
      </c>
      <c r="Q180" s="45" t="s">
        <v>97</v>
      </c>
      <c r="R180" s="45">
        <f>HEX2DEC(RIGHT(Table132321[[#This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319</v>
      </c>
      <c r="G181" s="45" t="s">
        <v>42</v>
      </c>
      <c r="J181" s="24">
        <v>50000</v>
      </c>
      <c r="M181" s="24">
        <v>50000</v>
      </c>
      <c r="O181" s="45" t="s">
        <v>97</v>
      </c>
      <c r="P181" s="45">
        <f>HEX2DEC(RIGHT(Table132321[[#This Row],[h1]],8))</f>
        <v>0</v>
      </c>
      <c r="Q181" s="45" t="s">
        <v>97</v>
      </c>
      <c r="R181" s="45">
        <f>HEX2DEC(RIGHT(Table132321[[#This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320</v>
      </c>
      <c r="G182" s="45" t="s">
        <v>42</v>
      </c>
      <c r="J182" s="24">
        <v>50000</v>
      </c>
      <c r="M182" s="24">
        <v>50000</v>
      </c>
      <c r="O182" s="45" t="s">
        <v>97</v>
      </c>
      <c r="P182" s="45">
        <f>HEX2DEC(RIGHT(Table132321[[#This Row],[h1]],8))</f>
        <v>0</v>
      </c>
      <c r="Q182" s="45" t="s">
        <v>97</v>
      </c>
      <c r="R182" s="45">
        <f>HEX2DEC(RIGHT(Table132321[[#This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321</v>
      </c>
      <c r="G183" s="45" t="s">
        <v>42</v>
      </c>
      <c r="J183" s="24">
        <v>50000</v>
      </c>
      <c r="M183" s="24">
        <v>50000</v>
      </c>
      <c r="O183" s="45" t="s">
        <v>97</v>
      </c>
      <c r="P183" s="45">
        <f>HEX2DEC(RIGHT(Table132321[[#This Row],[h1]],8))</f>
        <v>0</v>
      </c>
      <c r="Q183" s="45" t="s">
        <v>97</v>
      </c>
      <c r="R183" s="45">
        <f>HEX2DEC(RIGHT(Table132321[[#This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322</v>
      </c>
      <c r="G184" s="45" t="s">
        <v>42</v>
      </c>
      <c r="J184" s="24">
        <v>50000</v>
      </c>
      <c r="M184" s="24">
        <v>50000</v>
      </c>
      <c r="O184" s="45" t="s">
        <v>97</v>
      </c>
      <c r="P184" s="45">
        <f>HEX2DEC(RIGHT(Table132321[[#This Row],[h1]],8))</f>
        <v>0</v>
      </c>
      <c r="Q184" s="45" t="s">
        <v>97</v>
      </c>
      <c r="R184" s="45">
        <f>HEX2DEC(RIGHT(Table132321[[#This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323</v>
      </c>
      <c r="G185" s="45" t="s">
        <v>42</v>
      </c>
      <c r="J185" s="24">
        <v>50000</v>
      </c>
      <c r="M185" s="24">
        <v>50000</v>
      </c>
      <c r="O185" s="45" t="s">
        <v>97</v>
      </c>
      <c r="P185" s="45">
        <f>HEX2DEC(RIGHT(Table132321[[#This Row],[h1]],8))</f>
        <v>0</v>
      </c>
      <c r="Q185" s="45" t="s">
        <v>97</v>
      </c>
      <c r="R185" s="45">
        <f>HEX2DEC(RIGHT(Table132321[[#This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324</v>
      </c>
      <c r="G186" s="45" t="s">
        <v>42</v>
      </c>
      <c r="J186" s="24">
        <v>50000</v>
      </c>
      <c r="M186" s="24">
        <v>50000</v>
      </c>
      <c r="O186" s="45" t="s">
        <v>97</v>
      </c>
      <c r="P186" s="45">
        <f>HEX2DEC(RIGHT(Table132321[[#This Row],[h1]],8))</f>
        <v>0</v>
      </c>
      <c r="Q186" s="45" t="s">
        <v>97</v>
      </c>
      <c r="R186" s="45">
        <f>HEX2DEC(RIGHT(Table132321[[#This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325</v>
      </c>
      <c r="G187" s="45" t="s">
        <v>42</v>
      </c>
      <c r="J187" s="24">
        <v>50000</v>
      </c>
      <c r="M187" s="24">
        <v>50000</v>
      </c>
      <c r="O187" s="45" t="s">
        <v>97</v>
      </c>
      <c r="P187" s="45">
        <f>HEX2DEC(RIGHT(Table132321[[#This Row],[h1]],8))</f>
        <v>0</v>
      </c>
      <c r="Q187" s="45" t="s">
        <v>97</v>
      </c>
      <c r="R187" s="45">
        <f>HEX2DEC(RIGHT(Table132321[[#This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D188" s="15" t="s">
        <v>326</v>
      </c>
      <c r="G188" s="45" t="s">
        <v>42</v>
      </c>
      <c r="J188" s="24">
        <v>50000</v>
      </c>
      <c r="M188" s="24">
        <v>50000</v>
      </c>
      <c r="O188" s="45" t="s">
        <v>97</v>
      </c>
      <c r="P188" s="45">
        <f>HEX2DEC(RIGHT(Table132321[[#This Row],[h1]],8))</f>
        <v>0</v>
      </c>
      <c r="Q188" s="45" t="s">
        <v>97</v>
      </c>
      <c r="R188" s="45">
        <f>HEX2DEC(RIGHT(Table132321[[#This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327</v>
      </c>
      <c r="G189" s="45" t="s">
        <v>42</v>
      </c>
      <c r="J189" s="24">
        <v>50000</v>
      </c>
      <c r="M189" s="24">
        <v>50000</v>
      </c>
      <c r="O189" s="45" t="s">
        <v>97</v>
      </c>
      <c r="P189" s="45">
        <f>HEX2DEC(RIGHT(Table132321[[#This Row],[h1]],8))</f>
        <v>0</v>
      </c>
      <c r="Q189" s="45" t="s">
        <v>97</v>
      </c>
      <c r="R189" s="45">
        <f>HEX2DEC(RIGHT(Table132321[[#This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328</v>
      </c>
      <c r="G190" s="45" t="s">
        <v>42</v>
      </c>
      <c r="J190" s="24">
        <v>50000</v>
      </c>
      <c r="M190" s="24">
        <v>50000</v>
      </c>
      <c r="O190" s="45" t="s">
        <v>97</v>
      </c>
      <c r="P190" s="45">
        <f>HEX2DEC(RIGHT(Table132321[[#This Row],[h1]],8))</f>
        <v>0</v>
      </c>
      <c r="Q190" s="45" t="s">
        <v>97</v>
      </c>
      <c r="R190" s="45">
        <f>HEX2DEC(RIGHT(Table132321[[#This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27" t="s">
        <v>329</v>
      </c>
      <c r="E191" s="27"/>
      <c r="F191" s="27"/>
      <c r="G191" s="45" t="s">
        <v>42</v>
      </c>
      <c r="J191" s="24">
        <v>50000</v>
      </c>
      <c r="M191" s="24">
        <v>50000</v>
      </c>
      <c r="O191" s="45" t="s">
        <v>97</v>
      </c>
      <c r="P191" s="45">
        <f>HEX2DEC(RIGHT(Table132321[[#This Row],[h1]],8))</f>
        <v>0</v>
      </c>
      <c r="Q191" s="45" t="s">
        <v>97</v>
      </c>
      <c r="R191" s="45">
        <f>HEX2DEC(RIGHT(Table132321[[#This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330</v>
      </c>
      <c r="G192" s="45" t="s">
        <v>42</v>
      </c>
      <c r="J192" s="24">
        <v>50000</v>
      </c>
      <c r="M192" s="24">
        <v>50000</v>
      </c>
      <c r="O192" s="45" t="s">
        <v>97</v>
      </c>
      <c r="P192" s="45">
        <f>HEX2DEC(RIGHT(Table132321[[#This Row],[h1]],8))</f>
        <v>0</v>
      </c>
      <c r="Q192" s="45" t="s">
        <v>97</v>
      </c>
      <c r="R192" s="45">
        <f>HEX2DEC(RIGHT(Table132321[[#This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331</v>
      </c>
      <c r="G193" s="45" t="s">
        <v>42</v>
      </c>
      <c r="J193" s="24">
        <v>50000</v>
      </c>
      <c r="M193" s="24">
        <v>50000</v>
      </c>
      <c r="O193" s="45" t="s">
        <v>97</v>
      </c>
      <c r="P193" s="45">
        <f>HEX2DEC(RIGHT(Table132321[[#This Row],[h1]],8))</f>
        <v>0</v>
      </c>
      <c r="Q193" s="45" t="s">
        <v>97</v>
      </c>
      <c r="R193" s="45">
        <f>HEX2DEC(RIGHT(Table132321[[#This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332</v>
      </c>
      <c r="G194" s="45" t="s">
        <v>42</v>
      </c>
      <c r="J194" s="24">
        <v>50000</v>
      </c>
      <c r="M194" s="24">
        <v>50000</v>
      </c>
      <c r="O194" s="45" t="s">
        <v>97</v>
      </c>
      <c r="P194" s="45">
        <f>HEX2DEC(RIGHT(Table132321[[#This Row],[h1]],8))</f>
        <v>0</v>
      </c>
      <c r="Q194" s="45" t="s">
        <v>97</v>
      </c>
      <c r="R194" s="45">
        <f>HEX2DEC(RIGHT(Table132321[[#This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333</v>
      </c>
      <c r="G195" s="45" t="s">
        <v>42</v>
      </c>
      <c r="J195" s="24">
        <v>50000</v>
      </c>
      <c r="M195" s="24">
        <v>50000</v>
      </c>
      <c r="O195" s="45" t="s">
        <v>97</v>
      </c>
      <c r="P195" s="45">
        <f>HEX2DEC(RIGHT(Table132321[[#This Row],[h1]],8))</f>
        <v>0</v>
      </c>
      <c r="Q195" s="45" t="s">
        <v>97</v>
      </c>
      <c r="R195" s="45">
        <f>HEX2DEC(RIGHT(Table132321[[#This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334</v>
      </c>
      <c r="G196" s="45" t="s">
        <v>42</v>
      </c>
      <c r="J196" s="24">
        <v>50000</v>
      </c>
      <c r="M196" s="24">
        <v>50000</v>
      </c>
      <c r="O196" s="45" t="s">
        <v>97</v>
      </c>
      <c r="P196" s="45">
        <f>HEX2DEC(RIGHT(Table132321[[#This Row],[h1]],8))</f>
        <v>0</v>
      </c>
      <c r="Q196" s="45" t="s">
        <v>97</v>
      </c>
      <c r="R196" s="45">
        <f>HEX2DEC(RIGHT(Table132321[[#This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335</v>
      </c>
      <c r="G197" s="45" t="s">
        <v>42</v>
      </c>
      <c r="J197" s="24">
        <v>50000</v>
      </c>
      <c r="M197" s="24">
        <v>50000</v>
      </c>
      <c r="O197" s="45" t="s">
        <v>97</v>
      </c>
      <c r="P197" s="45">
        <f>HEX2DEC(RIGHT(Table132321[[#This Row],[h1]],8))</f>
        <v>0</v>
      </c>
      <c r="Q197" s="45" t="s">
        <v>97</v>
      </c>
      <c r="R197" s="45">
        <f>HEX2DEC(RIGHT(Table132321[[#This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336</v>
      </c>
      <c r="G198" s="45" t="s">
        <v>42</v>
      </c>
      <c r="J198" s="24">
        <v>50000</v>
      </c>
      <c r="M198" s="24">
        <v>50000</v>
      </c>
      <c r="O198" s="45" t="s">
        <v>97</v>
      </c>
      <c r="P198" s="45">
        <f>HEX2DEC(RIGHT(Table132321[[#This Row],[h1]],8))</f>
        <v>0</v>
      </c>
      <c r="Q198" s="45" t="s">
        <v>97</v>
      </c>
      <c r="R198" s="45">
        <f>HEX2DEC(RIGHT(Table132321[[#This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337</v>
      </c>
      <c r="G199" s="45" t="s">
        <v>42</v>
      </c>
      <c r="J199" s="24">
        <v>50000</v>
      </c>
      <c r="M199" s="24">
        <v>50000</v>
      </c>
      <c r="O199" s="45" t="s">
        <v>97</v>
      </c>
      <c r="P199" s="45">
        <f>HEX2DEC(RIGHT(Table132321[[#This Row],[h1]],8))</f>
        <v>0</v>
      </c>
      <c r="Q199" s="45" t="s">
        <v>97</v>
      </c>
      <c r="R199" s="45">
        <f>HEX2DEC(RIGHT(Table132321[[#This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338</v>
      </c>
      <c r="G200" s="45" t="s">
        <v>42</v>
      </c>
      <c r="J200" s="24">
        <v>50000</v>
      </c>
      <c r="M200" s="24">
        <v>50000</v>
      </c>
      <c r="O200" s="45" t="s">
        <v>97</v>
      </c>
      <c r="P200" s="45">
        <f>HEX2DEC(RIGHT(Table132321[[#This Row],[h1]],8))</f>
        <v>0</v>
      </c>
      <c r="Q200" s="45" t="s">
        <v>97</v>
      </c>
      <c r="R200" s="45">
        <f>HEX2DEC(RIGHT(Table132321[[#This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339</v>
      </c>
      <c r="G201" s="45" t="s">
        <v>42</v>
      </c>
      <c r="J201" s="24">
        <v>50000</v>
      </c>
      <c r="M201" s="24">
        <v>50000</v>
      </c>
      <c r="O201" s="45" t="s">
        <v>97</v>
      </c>
      <c r="P201" s="45">
        <f>HEX2DEC(RIGHT(Table132321[[#This Row],[h1]],8))</f>
        <v>0</v>
      </c>
      <c r="Q201" s="45" t="s">
        <v>97</v>
      </c>
      <c r="R201" s="45">
        <f>HEX2DEC(RIGHT(Table132321[[#This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340</v>
      </c>
      <c r="G202" s="45" t="s">
        <v>42</v>
      </c>
      <c r="J202" s="24">
        <v>50000</v>
      </c>
      <c r="M202" s="24">
        <v>50000</v>
      </c>
      <c r="O202" s="45" t="s">
        <v>97</v>
      </c>
      <c r="P202" s="45">
        <f>HEX2DEC(RIGHT(Table132321[[#This Row],[h1]],8))</f>
        <v>0</v>
      </c>
      <c r="Q202" s="45" t="s">
        <v>97</v>
      </c>
      <c r="R202" s="45">
        <f>HEX2DEC(RIGHT(Table132321[[#This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341</v>
      </c>
      <c r="G203" s="45" t="s">
        <v>42</v>
      </c>
      <c r="J203" s="24">
        <v>50000</v>
      </c>
      <c r="M203" s="24">
        <v>50000</v>
      </c>
      <c r="O203" s="45" t="s">
        <v>97</v>
      </c>
      <c r="P203" s="45">
        <f>HEX2DEC(RIGHT(Table132321[[#This Row],[h1]],8))</f>
        <v>0</v>
      </c>
      <c r="Q203" s="45" t="s">
        <v>97</v>
      </c>
      <c r="R203" s="45">
        <f>HEX2DEC(RIGHT(Table132321[[#This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15" t="s">
        <v>342</v>
      </c>
      <c r="G204" s="45" t="s">
        <v>42</v>
      </c>
      <c r="J204" s="24">
        <v>50000</v>
      </c>
      <c r="M204" s="24">
        <v>50000</v>
      </c>
      <c r="O204" s="45" t="s">
        <v>97</v>
      </c>
      <c r="P204" s="45">
        <f>HEX2DEC(RIGHT(Table132321[[#This Row],[h1]],8))</f>
        <v>0</v>
      </c>
      <c r="Q204" s="45" t="s">
        <v>97</v>
      </c>
      <c r="R204" s="45">
        <f>HEX2DEC(RIGHT(Table132321[[#This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343</v>
      </c>
      <c r="G205" s="45" t="s">
        <v>42</v>
      </c>
      <c r="J205" s="24">
        <v>50000</v>
      </c>
      <c r="M205" s="24">
        <v>50000</v>
      </c>
      <c r="O205" s="45" t="s">
        <v>97</v>
      </c>
      <c r="P205" s="45">
        <f>HEX2DEC(RIGHT(Table132321[[#This Row],[h1]],8))</f>
        <v>0</v>
      </c>
      <c r="Q205" s="45" t="s">
        <v>97</v>
      </c>
      <c r="R205" s="45">
        <f>HEX2DEC(RIGHT(Table132321[[#This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344</v>
      </c>
      <c r="G206" s="45" t="s">
        <v>42</v>
      </c>
      <c r="J206" s="24">
        <v>50000</v>
      </c>
      <c r="M206" s="24">
        <v>50000</v>
      </c>
      <c r="O206" s="45" t="s">
        <v>97</v>
      </c>
      <c r="P206" s="45">
        <f>HEX2DEC(RIGHT(Table132321[[#This Row],[h1]],8))</f>
        <v>0</v>
      </c>
      <c r="Q206" s="45" t="s">
        <v>97</v>
      </c>
      <c r="R206" s="45">
        <f>HEX2DEC(RIGHT(Table132321[[#This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J207" s="24">
        <v>50000</v>
      </c>
      <c r="M207" s="24">
        <v>50000</v>
      </c>
      <c r="O207" s="45" t="s">
        <v>97</v>
      </c>
      <c r="P207" s="45">
        <f>HEX2DEC(RIGHT(Table132321[[#This Row],[h1]],8))</f>
        <v>0</v>
      </c>
      <c r="Q207" s="45" t="s">
        <v>97</v>
      </c>
      <c r="R207" s="45">
        <f>HEX2DEC(RIGHT(Table132321[[#This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345</v>
      </c>
      <c r="G208" s="45">
        <v>1</v>
      </c>
      <c r="J208" s="24">
        <v>50000</v>
      </c>
      <c r="M208" s="24">
        <v>50000</v>
      </c>
      <c r="O208" s="45" t="s">
        <v>97</v>
      </c>
      <c r="P208" s="45">
        <f>HEX2DEC(RIGHT(Table132321[[#This Row],[h1]],8))</f>
        <v>0</v>
      </c>
      <c r="Q208" s="45" t="s">
        <v>97</v>
      </c>
      <c r="R208" s="45">
        <f>HEX2DEC(RIGHT(Table132321[[#This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346</v>
      </c>
      <c r="G209" s="45">
        <v>0</v>
      </c>
      <c r="J209" s="24">
        <v>50000</v>
      </c>
      <c r="M209" s="24">
        <v>50000</v>
      </c>
      <c r="O209" s="45" t="s">
        <v>97</v>
      </c>
      <c r="P209" s="45">
        <f>HEX2DEC(RIGHT(Table132321[[#This Row],[h1]],8))</f>
        <v>0</v>
      </c>
      <c r="Q209" s="45" t="s">
        <v>97</v>
      </c>
      <c r="R209" s="45">
        <f>HEX2DEC(RIGHT(Table132321[[#This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347</v>
      </c>
      <c r="G210" s="45">
        <v>0</v>
      </c>
      <c r="J210" s="24">
        <v>50000</v>
      </c>
      <c r="M210" s="24">
        <v>50000</v>
      </c>
      <c r="O210" s="45" t="s">
        <v>97</v>
      </c>
      <c r="P210" s="45">
        <f>HEX2DEC(RIGHT(Table132321[[#This Row],[h1]],8))</f>
        <v>0</v>
      </c>
      <c r="Q210" s="45" t="s">
        <v>97</v>
      </c>
      <c r="R210" s="45">
        <f>HEX2DEC(RIGHT(Table132321[[#This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348</v>
      </c>
      <c r="G211" s="45">
        <v>0</v>
      </c>
      <c r="J211" s="24">
        <v>50000</v>
      </c>
      <c r="M211" s="24">
        <v>50000</v>
      </c>
      <c r="O211" s="45" t="s">
        <v>97</v>
      </c>
      <c r="P211" s="45">
        <f>HEX2DEC(RIGHT(Table132321[[#This Row],[h1]],8))</f>
        <v>0</v>
      </c>
      <c r="Q211" s="45" t="s">
        <v>97</v>
      </c>
      <c r="R211" s="45">
        <f>HEX2DEC(RIGHT(Table132321[[#This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349</v>
      </c>
      <c r="G212" s="45">
        <v>0</v>
      </c>
      <c r="J212" s="24">
        <v>50000</v>
      </c>
      <c r="M212" s="24">
        <v>50000</v>
      </c>
      <c r="O212" s="45" t="s">
        <v>97</v>
      </c>
      <c r="P212" s="45">
        <f>HEX2DEC(RIGHT(Table132321[[#This Row],[h1]],8))</f>
        <v>0</v>
      </c>
      <c r="Q212" s="45" t="s">
        <v>97</v>
      </c>
      <c r="R212" s="45">
        <f>HEX2DEC(RIGHT(Table132321[[#This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350</v>
      </c>
      <c r="G213" s="45">
        <v>0</v>
      </c>
      <c r="J213" s="24">
        <v>50000</v>
      </c>
      <c r="M213" s="24">
        <v>50000</v>
      </c>
      <c r="O213" s="45" t="s">
        <v>97</v>
      </c>
      <c r="P213" s="45">
        <f>HEX2DEC(RIGHT(Table132321[[#This Row],[h1]],8))</f>
        <v>0</v>
      </c>
      <c r="Q213" s="45" t="s">
        <v>97</v>
      </c>
      <c r="R213" s="45">
        <f>HEX2DEC(RIGHT(Table132321[[#This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351</v>
      </c>
      <c r="G214" s="45">
        <v>0</v>
      </c>
      <c r="J214" s="24">
        <v>50000</v>
      </c>
      <c r="M214" s="24">
        <v>50000</v>
      </c>
      <c r="O214" s="45" t="s">
        <v>97</v>
      </c>
      <c r="P214" s="45">
        <f>HEX2DEC(RIGHT(Table132321[[#This Row],[h1]],8))</f>
        <v>0</v>
      </c>
      <c r="Q214" s="45" t="s">
        <v>97</v>
      </c>
      <c r="R214" s="45">
        <f>HEX2DEC(RIGHT(Table132321[[#This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352</v>
      </c>
      <c r="G215" s="45">
        <v>0</v>
      </c>
      <c r="J215" s="24">
        <v>50000</v>
      </c>
      <c r="M215" s="24">
        <v>50000</v>
      </c>
      <c r="O215" s="45" t="s">
        <v>97</v>
      </c>
      <c r="P215" s="45">
        <f>HEX2DEC(RIGHT(Table132321[[#This Row],[h1]],8))</f>
        <v>0</v>
      </c>
      <c r="Q215" s="45" t="s">
        <v>97</v>
      </c>
      <c r="R215" s="45">
        <f>HEX2DEC(RIGHT(Table132321[[#This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353</v>
      </c>
      <c r="G216" s="45">
        <v>0</v>
      </c>
      <c r="J216" s="24">
        <v>50000</v>
      </c>
      <c r="M216" s="24">
        <v>50000</v>
      </c>
      <c r="O216" s="45" t="s">
        <v>97</v>
      </c>
      <c r="P216" s="45">
        <f>HEX2DEC(RIGHT(Table132321[[#This Row],[h1]],8))</f>
        <v>0</v>
      </c>
      <c r="Q216" s="45" t="s">
        <v>97</v>
      </c>
      <c r="R216" s="45">
        <f>HEX2DEC(RIGHT(Table132321[[#This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354</v>
      </c>
      <c r="G217" s="45">
        <v>0</v>
      </c>
      <c r="J217" s="24">
        <v>50000</v>
      </c>
      <c r="M217" s="24">
        <v>50000</v>
      </c>
      <c r="O217" s="45" t="s">
        <v>97</v>
      </c>
      <c r="P217" s="45">
        <f>HEX2DEC(RIGHT(Table132321[[#This Row],[h1]],8))</f>
        <v>0</v>
      </c>
      <c r="Q217" s="45" t="s">
        <v>97</v>
      </c>
      <c r="R217" s="45">
        <f>HEX2DEC(RIGHT(Table132321[[#This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355</v>
      </c>
      <c r="G218" s="45">
        <v>0</v>
      </c>
      <c r="J218" s="24">
        <v>50000</v>
      </c>
      <c r="M218" s="24">
        <v>50000</v>
      </c>
      <c r="O218" s="45" t="s">
        <v>97</v>
      </c>
      <c r="P218" s="45">
        <f>HEX2DEC(RIGHT(Table132321[[#This Row],[h1]],8))</f>
        <v>0</v>
      </c>
      <c r="Q218" s="45" t="s">
        <v>97</v>
      </c>
      <c r="R218" s="45">
        <f>HEX2DEC(RIGHT(Table132321[[#This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356</v>
      </c>
      <c r="G219" s="45">
        <v>0</v>
      </c>
      <c r="J219" s="24">
        <v>50000</v>
      </c>
      <c r="M219" s="24">
        <v>50000</v>
      </c>
      <c r="O219" s="45" t="s">
        <v>97</v>
      </c>
      <c r="P219" s="45">
        <f>HEX2DEC(RIGHT(Table132321[[#This Row],[h1]],8))</f>
        <v>0</v>
      </c>
      <c r="Q219" s="45" t="s">
        <v>97</v>
      </c>
      <c r="R219" s="45">
        <f>HEX2DEC(RIGHT(Table132321[[#This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D220" s="15" t="s">
        <v>357</v>
      </c>
      <c r="G220" s="45">
        <v>0</v>
      </c>
      <c r="J220" s="24">
        <v>50000</v>
      </c>
      <c r="M220" s="24">
        <v>50000</v>
      </c>
      <c r="O220" s="45" t="s">
        <v>97</v>
      </c>
      <c r="P220" s="45">
        <f>HEX2DEC(RIGHT(Table132321[[#This Row],[h1]],8))</f>
        <v>0</v>
      </c>
      <c r="Q220" s="45" t="s">
        <v>97</v>
      </c>
      <c r="R220" s="45">
        <f>HEX2DEC(RIGHT(Table132321[[#This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358</v>
      </c>
      <c r="G221" s="45">
        <v>0</v>
      </c>
      <c r="J221" s="24">
        <v>50000</v>
      </c>
      <c r="M221" s="24">
        <v>50000</v>
      </c>
      <c r="O221" s="45" t="s">
        <v>97</v>
      </c>
      <c r="P221" s="45">
        <f>HEX2DEC(RIGHT(Table132321[[#This Row],[h1]],8))</f>
        <v>0</v>
      </c>
      <c r="Q221" s="45" t="s">
        <v>97</v>
      </c>
      <c r="R221" s="45">
        <f>HEX2DEC(RIGHT(Table132321[[#This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359</v>
      </c>
      <c r="G222" s="45">
        <v>0</v>
      </c>
      <c r="J222" s="24">
        <v>50000</v>
      </c>
      <c r="M222" s="24">
        <v>50000</v>
      </c>
      <c r="O222" s="45" t="s">
        <v>97</v>
      </c>
      <c r="P222" s="45">
        <f>HEX2DEC(RIGHT(Table132321[[#This Row],[h1]],8))</f>
        <v>0</v>
      </c>
      <c r="Q222" s="45" t="s">
        <v>97</v>
      </c>
      <c r="R222" s="45">
        <f>HEX2DEC(RIGHT(Table132321[[#This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360</v>
      </c>
      <c r="G223" s="45">
        <v>0</v>
      </c>
      <c r="J223" s="24">
        <v>50000</v>
      </c>
      <c r="M223" s="24">
        <v>50000</v>
      </c>
      <c r="O223" s="45" t="s">
        <v>97</v>
      </c>
      <c r="P223" s="45">
        <f>HEX2DEC(RIGHT(Table132321[[#This Row],[h1]],8))</f>
        <v>0</v>
      </c>
      <c r="Q223" s="45" t="s">
        <v>97</v>
      </c>
      <c r="R223" s="45">
        <f>HEX2DEC(RIGHT(Table132321[[#This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361</v>
      </c>
      <c r="G224" s="45">
        <v>0</v>
      </c>
      <c r="J224" s="24">
        <v>50000</v>
      </c>
      <c r="M224" s="24">
        <v>50000</v>
      </c>
      <c r="O224" s="45" t="s">
        <v>97</v>
      </c>
      <c r="P224" s="45">
        <f>HEX2DEC(RIGHT(Table132321[[#This Row],[h1]],8))</f>
        <v>0</v>
      </c>
      <c r="Q224" s="45" t="s">
        <v>97</v>
      </c>
      <c r="R224" s="45">
        <f>HEX2DEC(RIGHT(Table132321[[#This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362</v>
      </c>
      <c r="G225" s="45">
        <v>0</v>
      </c>
      <c r="J225" s="24">
        <v>50000</v>
      </c>
      <c r="M225" s="24">
        <v>50000</v>
      </c>
      <c r="O225" s="45" t="s">
        <v>97</v>
      </c>
      <c r="P225" s="45">
        <f>HEX2DEC(RIGHT(Table132321[[#This Row],[h1]],8))</f>
        <v>0</v>
      </c>
      <c r="Q225" s="45" t="s">
        <v>97</v>
      </c>
      <c r="R225" s="45">
        <f>HEX2DEC(RIGHT(Table132321[[#This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363</v>
      </c>
      <c r="G226" s="45">
        <v>0</v>
      </c>
      <c r="J226" s="24">
        <v>50000</v>
      </c>
      <c r="M226" s="24">
        <v>50000</v>
      </c>
      <c r="O226" s="45" t="s">
        <v>97</v>
      </c>
      <c r="P226" s="45">
        <f>HEX2DEC(RIGHT(Table132321[[#This Row],[h1]],8))</f>
        <v>0</v>
      </c>
      <c r="Q226" s="45" t="s">
        <v>97</v>
      </c>
      <c r="R226" s="45">
        <f>HEX2DEC(RIGHT(Table132321[[#This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364</v>
      </c>
      <c r="G227" s="45">
        <v>0</v>
      </c>
      <c r="J227" s="24">
        <v>50000</v>
      </c>
      <c r="M227" s="24">
        <v>50000</v>
      </c>
      <c r="O227" s="45" t="s">
        <v>97</v>
      </c>
      <c r="P227" s="45">
        <f>HEX2DEC(RIGHT(Table132321[[#This Row],[h1]],8))</f>
        <v>0</v>
      </c>
      <c r="Q227" s="45" t="s">
        <v>97</v>
      </c>
      <c r="R227" s="45">
        <f>HEX2DEC(RIGHT(Table132321[[#This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365</v>
      </c>
      <c r="G228" s="45">
        <v>0</v>
      </c>
      <c r="J228" s="24">
        <v>50000</v>
      </c>
      <c r="M228" s="24">
        <v>50000</v>
      </c>
      <c r="O228" s="45" t="s">
        <v>97</v>
      </c>
      <c r="P228" s="45">
        <f>HEX2DEC(RIGHT(Table132321[[#This Row],[h1]],8))</f>
        <v>0</v>
      </c>
      <c r="Q228" s="45" t="s">
        <v>97</v>
      </c>
      <c r="R228" s="45">
        <f>HEX2DEC(RIGHT(Table132321[[#This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366</v>
      </c>
      <c r="G229" s="45">
        <v>0</v>
      </c>
      <c r="J229" s="24">
        <v>50000</v>
      </c>
      <c r="M229" s="24">
        <v>50000</v>
      </c>
      <c r="O229" s="45" t="s">
        <v>97</v>
      </c>
      <c r="P229" s="45">
        <f>HEX2DEC(RIGHT(Table132321[[#This Row],[h1]],8))</f>
        <v>0</v>
      </c>
      <c r="Q229" s="45" t="s">
        <v>97</v>
      </c>
      <c r="R229" s="45">
        <f>HEX2DEC(RIGHT(Table132321[[#This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367</v>
      </c>
      <c r="G230" s="45">
        <v>0</v>
      </c>
      <c r="J230" s="24">
        <v>50000</v>
      </c>
      <c r="M230" s="24">
        <v>50000</v>
      </c>
      <c r="O230" s="45" t="s">
        <v>97</v>
      </c>
      <c r="P230" s="45">
        <f>HEX2DEC(RIGHT(Table132321[[#This Row],[h1]],8))</f>
        <v>0</v>
      </c>
      <c r="Q230" s="45" t="s">
        <v>97</v>
      </c>
      <c r="R230" s="45">
        <f>HEX2DEC(RIGHT(Table132321[[#This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368</v>
      </c>
      <c r="G231" s="45">
        <v>0</v>
      </c>
      <c r="J231" s="24">
        <v>50000</v>
      </c>
      <c r="M231" s="24">
        <v>50000</v>
      </c>
      <c r="O231" s="45" t="s">
        <v>97</v>
      </c>
      <c r="P231" s="45">
        <f>HEX2DEC(RIGHT(Table132321[[#This Row],[h1]],8))</f>
        <v>0</v>
      </c>
      <c r="Q231" s="45" t="s">
        <v>97</v>
      </c>
      <c r="R231" s="45">
        <f>HEX2DEC(RIGHT(Table132321[[#This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369</v>
      </c>
      <c r="G232" s="45">
        <v>0</v>
      </c>
      <c r="J232" s="24">
        <v>50000</v>
      </c>
      <c r="M232" s="24">
        <v>50000</v>
      </c>
      <c r="O232" s="45" t="s">
        <v>97</v>
      </c>
      <c r="P232" s="45">
        <f>HEX2DEC(RIGHT(Table132321[[#This Row],[h1]],8))</f>
        <v>0</v>
      </c>
      <c r="Q232" s="45" t="s">
        <v>97</v>
      </c>
      <c r="R232" s="45">
        <f>HEX2DEC(RIGHT(Table132321[[#This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370</v>
      </c>
      <c r="G233" s="45">
        <v>0</v>
      </c>
      <c r="J233" s="24">
        <v>50000</v>
      </c>
      <c r="M233" s="24">
        <v>50000</v>
      </c>
      <c r="O233" s="45" t="s">
        <v>97</v>
      </c>
      <c r="P233" s="45">
        <f>HEX2DEC(RIGHT(Table132321[[#This Row],[h1]],8))</f>
        <v>0</v>
      </c>
      <c r="Q233" s="45" t="s">
        <v>97</v>
      </c>
      <c r="R233" s="45">
        <f>HEX2DEC(RIGHT(Table132321[[#This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371</v>
      </c>
      <c r="G234" s="45">
        <v>0</v>
      </c>
      <c r="J234" s="24">
        <v>50000</v>
      </c>
      <c r="M234" s="24">
        <v>50000</v>
      </c>
      <c r="O234" s="45" t="s">
        <v>97</v>
      </c>
      <c r="P234" s="45">
        <f>HEX2DEC(RIGHT(Table132321[[#This Row],[h1]],8))</f>
        <v>0</v>
      </c>
      <c r="Q234" s="45" t="s">
        <v>97</v>
      </c>
      <c r="R234" s="45">
        <f>HEX2DEC(RIGHT(Table132321[[#This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372</v>
      </c>
      <c r="G235" s="45">
        <v>0</v>
      </c>
      <c r="J235" s="24">
        <v>50000</v>
      </c>
      <c r="M235" s="24">
        <v>50000</v>
      </c>
      <c r="O235" s="45" t="s">
        <v>97</v>
      </c>
      <c r="P235" s="45">
        <f>HEX2DEC(RIGHT(Table132321[[#This Row],[h1]],8))</f>
        <v>0</v>
      </c>
      <c r="Q235" s="45" t="s">
        <v>97</v>
      </c>
      <c r="R235" s="45">
        <f>HEX2DEC(RIGHT(Table132321[[#This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373</v>
      </c>
      <c r="G236" s="45">
        <v>0</v>
      </c>
      <c r="J236" s="24">
        <v>50000</v>
      </c>
      <c r="M236" s="24">
        <v>50000</v>
      </c>
      <c r="O236" s="45" t="s">
        <v>97</v>
      </c>
      <c r="P236" s="45">
        <f>HEX2DEC(RIGHT(Table132321[[#This Row],[h1]],8))</f>
        <v>0</v>
      </c>
      <c r="Q236" s="45" t="s">
        <v>97</v>
      </c>
      <c r="R236" s="45">
        <f>HEX2DEC(RIGHT(Table132321[[#This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374</v>
      </c>
      <c r="G237" s="45">
        <v>0</v>
      </c>
      <c r="J237" s="24">
        <v>50000</v>
      </c>
      <c r="M237" s="24">
        <v>50000</v>
      </c>
      <c r="O237" s="45" t="s">
        <v>97</v>
      </c>
      <c r="P237" s="45">
        <f>HEX2DEC(RIGHT(Table132321[[#This Row],[h1]],8))</f>
        <v>0</v>
      </c>
      <c r="Q237" s="45" t="s">
        <v>97</v>
      </c>
      <c r="R237" s="45">
        <f>HEX2DEC(RIGHT(Table132321[[#This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375</v>
      </c>
      <c r="G238" s="45">
        <v>0</v>
      </c>
      <c r="J238" s="24">
        <v>50000</v>
      </c>
      <c r="M238" s="24">
        <v>50000</v>
      </c>
      <c r="O238" s="45" t="s">
        <v>97</v>
      </c>
      <c r="P238" s="45">
        <f>HEX2DEC(RIGHT(Table132321[[#This Row],[h1]],8))</f>
        <v>0</v>
      </c>
      <c r="Q238" s="45" t="s">
        <v>97</v>
      </c>
      <c r="R238" s="45">
        <f>HEX2DEC(RIGHT(Table132321[[#This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J239" s="24">
        <v>50000</v>
      </c>
      <c r="M239" s="24">
        <v>50000</v>
      </c>
      <c r="O239" s="45" t="s">
        <v>97</v>
      </c>
      <c r="P239" s="45">
        <f>HEX2DEC(RIGHT(Table132321[[#This Row],[h1]],8))</f>
        <v>0</v>
      </c>
      <c r="Q239" s="45" t="s">
        <v>97</v>
      </c>
      <c r="R239" s="45">
        <f>HEX2DEC(RIGHT(Table132321[[#This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J240" s="24">
        <v>50000</v>
      </c>
      <c r="M240" s="24">
        <v>50000</v>
      </c>
      <c r="O240" s="45" t="s">
        <v>97</v>
      </c>
      <c r="P240" s="45">
        <f>HEX2DEC(RIGHT(Table132321[[#This Row],[h1]],8))</f>
        <v>0</v>
      </c>
      <c r="Q240" s="45" t="s">
        <v>97</v>
      </c>
      <c r="R240" s="45">
        <f>HEX2DEC(RIGHT(Table132321[[#This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G241" s="35" t="s">
        <v>25</v>
      </c>
      <c r="J241" s="24">
        <v>50000</v>
      </c>
      <c r="M241" s="24">
        <v>50000</v>
      </c>
      <c r="O241" s="45" t="s">
        <v>97</v>
      </c>
      <c r="P241" s="45">
        <f>HEX2DEC(RIGHT(Table132321[[#This Row],[h1]],8))</f>
        <v>0</v>
      </c>
      <c r="Q241" s="45" t="s">
        <v>97</v>
      </c>
      <c r="R241" s="45">
        <f>HEX2DEC(RIGHT(Table132321[[#This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F242" s="26"/>
      <c r="G242" s="37" t="s">
        <v>49</v>
      </c>
      <c r="J242" s="24">
        <v>50000</v>
      </c>
      <c r="M242" s="24">
        <v>50000</v>
      </c>
      <c r="O242" s="45" t="s">
        <v>97</v>
      </c>
      <c r="P242" s="45">
        <f>HEX2DEC(RIGHT(Table132321[[#This Row],[h1]],8))</f>
        <v>0</v>
      </c>
      <c r="Q242" s="45" t="s">
        <v>97</v>
      </c>
      <c r="R242" s="45">
        <f>HEX2DEC(RIGHT(Table132321[[#This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376</v>
      </c>
      <c r="F243" s="26"/>
      <c r="G243" s="15">
        <v>-1</v>
      </c>
      <c r="J243" s="24">
        <v>50000</v>
      </c>
      <c r="M243" s="24">
        <v>50000</v>
      </c>
      <c r="O243" s="45" t="s">
        <v>97</v>
      </c>
      <c r="P243" s="45">
        <f>HEX2DEC(RIGHT(Table132321[[#This Row],[h1]],8))</f>
        <v>0</v>
      </c>
      <c r="Q243" s="45" t="s">
        <v>97</v>
      </c>
      <c r="R243" s="45">
        <f>HEX2DEC(RIGHT(Table132321[[#This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377</v>
      </c>
      <c r="G244" s="15">
        <v>1000</v>
      </c>
      <c r="J244" s="24">
        <v>50000</v>
      </c>
      <c r="M244" s="24">
        <v>50000</v>
      </c>
      <c r="O244" s="45" t="s">
        <v>97</v>
      </c>
      <c r="P244" s="45">
        <f>HEX2DEC(RIGHT(Table132321[[#This Row],[h1]],8))</f>
        <v>0</v>
      </c>
      <c r="Q244" s="45" t="s">
        <v>97</v>
      </c>
      <c r="R244" s="45">
        <f>HEX2DEC(RIGHT(Table132321[[#This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J245" s="24">
        <v>50000</v>
      </c>
      <c r="M245" s="24">
        <v>50000</v>
      </c>
      <c r="O245" s="45" t="s">
        <v>97</v>
      </c>
      <c r="P245" s="45">
        <f>HEX2DEC(RIGHT(Table132321[[#This Row],[h1]],8))</f>
        <v>0</v>
      </c>
      <c r="Q245" s="45" t="s">
        <v>97</v>
      </c>
      <c r="R245" s="45">
        <f>HEX2DEC(RIGHT(Table132321[[#This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J246" s="24">
        <v>50000</v>
      </c>
      <c r="M246" s="24">
        <v>50000</v>
      </c>
      <c r="O246" s="45" t="s">
        <v>97</v>
      </c>
      <c r="P246" s="45">
        <f>HEX2DEC(RIGHT(Table132321[[#This Row],[h1]],8))</f>
        <v>0</v>
      </c>
      <c r="Q246" s="45" t="s">
        <v>97</v>
      </c>
      <c r="R246" s="45">
        <f>HEX2DEC(RIGHT(Table132321[[#This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378</v>
      </c>
      <c r="G247" s="15" t="s">
        <v>102</v>
      </c>
      <c r="J247" s="24">
        <v>50000</v>
      </c>
      <c r="M247" s="24">
        <v>50000</v>
      </c>
      <c r="O247" s="45" t="s">
        <v>97</v>
      </c>
      <c r="P247" s="45">
        <f>HEX2DEC(RIGHT(Table132321[[#This Row],[h1]],8))</f>
        <v>0</v>
      </c>
      <c r="Q247" s="45" t="s">
        <v>97</v>
      </c>
      <c r="R247" s="45">
        <f>HEX2DEC(RIGHT(Table132321[[#This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379</v>
      </c>
      <c r="G248" s="15" t="s">
        <v>94</v>
      </c>
      <c r="J248" s="24">
        <v>50000</v>
      </c>
      <c r="M248" s="24">
        <v>50000</v>
      </c>
      <c r="O248" s="45" t="s">
        <v>97</v>
      </c>
      <c r="P248" s="45">
        <f>HEX2DEC(RIGHT(Table132321[[#This Row],[h1]],8))</f>
        <v>0</v>
      </c>
      <c r="Q248" s="45" t="s">
        <v>97</v>
      </c>
      <c r="R248" s="45">
        <f>HEX2DEC(RIGHT(Table132321[[#This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J249" s="24">
        <v>50000</v>
      </c>
      <c r="M249" s="24">
        <v>50000</v>
      </c>
      <c r="O249" s="45" t="s">
        <v>97</v>
      </c>
      <c r="P249" s="45">
        <f>HEX2DEC(RIGHT(Table132321[[#This Row],[h1]],8))</f>
        <v>0</v>
      </c>
      <c r="Q249" s="45" t="s">
        <v>97</v>
      </c>
      <c r="R249" s="45">
        <f>HEX2DEC(RIGHT(Table132321[[#This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J250" s="24">
        <v>50000</v>
      </c>
      <c r="M250" s="24">
        <v>50000</v>
      </c>
      <c r="O250" s="45" t="s">
        <v>97</v>
      </c>
      <c r="P250" s="45">
        <f>HEX2DEC(RIGHT(Table132321[[#This Row],[h1]],8))</f>
        <v>0</v>
      </c>
      <c r="Q250" s="45" t="s">
        <v>97</v>
      </c>
      <c r="R250" s="45">
        <f>HEX2DEC(RIGHT(Table132321[[#This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F251" s="35" t="s">
        <v>24</v>
      </c>
      <c r="J251" s="24">
        <v>50000</v>
      </c>
      <c r="M251" s="24">
        <v>50000</v>
      </c>
      <c r="O251" s="45" t="s">
        <v>97</v>
      </c>
      <c r="P251" s="45">
        <f>HEX2DEC(RIGHT(Table132321[[#This Row],[h1]],8))</f>
        <v>0</v>
      </c>
      <c r="Q251" s="45" t="s">
        <v>97</v>
      </c>
      <c r="R251" s="45">
        <f>HEX2DEC(RIGHT(Table132321[[#This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D252" s="15" t="s">
        <v>380</v>
      </c>
      <c r="E252" s="15" t="s">
        <v>54</v>
      </c>
      <c r="G252" s="15">
        <f>IF(Table1319[[#This Row],[dec val]]="",0,1)</f>
        <v>0</v>
      </c>
      <c r="J252" s="24">
        <v>50000</v>
      </c>
      <c r="M252" s="24">
        <v>50000</v>
      </c>
      <c r="O252" s="45" t="s">
        <v>97</v>
      </c>
      <c r="P252" s="45">
        <f>HEX2DEC(RIGHT(Table132321[[#This Row],[h1]],8))</f>
        <v>0</v>
      </c>
      <c r="Q252" s="45" t="s">
        <v>97</v>
      </c>
      <c r="R252" s="45">
        <f>HEX2DEC(RIGHT(Table132321[[#This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D253" s="15" t="s">
        <v>381</v>
      </c>
      <c r="E253" s="15" t="s">
        <v>55</v>
      </c>
      <c r="G253" s="15">
        <f>IF(Table1319[[#This Row],[dec val]]="",0,1)</f>
        <v>0</v>
      </c>
      <c r="J253" s="24">
        <v>50000</v>
      </c>
      <c r="M253" s="24">
        <v>50000</v>
      </c>
      <c r="O253" s="45" t="s">
        <v>97</v>
      </c>
      <c r="P253" s="45">
        <f>HEX2DEC(RIGHT(Table132321[[#This Row],[h1]],8))</f>
        <v>0</v>
      </c>
      <c r="Q253" s="45" t="s">
        <v>97</v>
      </c>
      <c r="R253" s="45">
        <f>HEX2DEC(RIGHT(Table132321[[#This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D254" s="15" t="s">
        <v>382</v>
      </c>
      <c r="E254" s="15" t="s">
        <v>56</v>
      </c>
      <c r="G254" s="15">
        <f>IF(Table1319[[#This Row],[dec val]]="",0,1)</f>
        <v>0</v>
      </c>
      <c r="J254" s="24">
        <v>50000</v>
      </c>
      <c r="M254" s="24">
        <v>50000</v>
      </c>
      <c r="O254" s="45" t="s">
        <v>97</v>
      </c>
      <c r="P254" s="45">
        <f>HEX2DEC(RIGHT(Table132321[[#This Row],[h1]],8))</f>
        <v>0</v>
      </c>
      <c r="Q254" s="45" t="s">
        <v>97</v>
      </c>
      <c r="R254" s="45">
        <f>HEX2DEC(RIGHT(Table132321[[#This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D255" s="15" t="s">
        <v>383</v>
      </c>
      <c r="E255" s="15" t="s">
        <v>57</v>
      </c>
      <c r="G255" s="15">
        <f>IF(Table1319[[#This Row],[dec val]]="",0,1)</f>
        <v>0</v>
      </c>
      <c r="J255" s="24">
        <v>50000</v>
      </c>
      <c r="M255" s="24">
        <v>50000</v>
      </c>
      <c r="O255" s="45" t="s">
        <v>97</v>
      </c>
      <c r="P255" s="45">
        <f>HEX2DEC(RIGHT(Table132321[[#This Row],[h1]],8))</f>
        <v>0</v>
      </c>
      <c r="Q255" s="45" t="s">
        <v>97</v>
      </c>
      <c r="R255" s="45">
        <f>HEX2DEC(RIGHT(Table132321[[#This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384</v>
      </c>
      <c r="E256" s="15" t="s">
        <v>58</v>
      </c>
      <c r="G256" s="15">
        <f>IF(Table1319[[#This Row],[dec val]]="",0,1)</f>
        <v>0</v>
      </c>
      <c r="J256" s="24">
        <v>50000</v>
      </c>
      <c r="M256" s="24">
        <v>50000</v>
      </c>
      <c r="O256" s="45" t="s">
        <v>97</v>
      </c>
      <c r="P256" s="45">
        <f>HEX2DEC(RIGHT(Table132321[[#This Row],[h1]],8))</f>
        <v>0</v>
      </c>
      <c r="Q256" s="45" t="s">
        <v>97</v>
      </c>
      <c r="R256" s="45">
        <f>HEX2DEC(RIGHT(Table132321[[#This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385</v>
      </c>
      <c r="E257" s="15" t="s">
        <v>59</v>
      </c>
      <c r="G257" s="15">
        <f>IF(Table1319[[#This Row],[dec val]]="",0,1)</f>
        <v>0</v>
      </c>
      <c r="J257" s="24">
        <v>50000</v>
      </c>
      <c r="M257" s="24">
        <v>50000</v>
      </c>
      <c r="O257" s="45" t="s">
        <v>97</v>
      </c>
      <c r="P257" s="45">
        <f>HEX2DEC(RIGHT(Table132321[[#This Row],[h1]],8))</f>
        <v>0</v>
      </c>
      <c r="Q257" s="45" t="s">
        <v>97</v>
      </c>
      <c r="R257" s="45">
        <f>HEX2DEC(RIGHT(Table132321[[#This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D258" s="15" t="s">
        <v>386</v>
      </c>
      <c r="E258" s="15" t="s">
        <v>60</v>
      </c>
      <c r="G258" s="15">
        <f>IF(Table1319[[#This Row],[dec val]]="",0,1)</f>
        <v>0</v>
      </c>
      <c r="J258" s="24">
        <v>50000</v>
      </c>
      <c r="M258" s="24">
        <v>50000</v>
      </c>
      <c r="O258" s="45" t="s">
        <v>97</v>
      </c>
      <c r="P258" s="45">
        <f>HEX2DEC(RIGHT(Table132321[[#This Row],[h1]],8))</f>
        <v>0</v>
      </c>
      <c r="Q258" s="45" t="s">
        <v>97</v>
      </c>
      <c r="R258" s="45">
        <f>HEX2DEC(RIGHT(Table132321[[#This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D259" s="15" t="s">
        <v>387</v>
      </c>
      <c r="E259" s="15" t="s">
        <v>61</v>
      </c>
      <c r="G259" s="15">
        <f>IF(Table1319[[#This Row],[dec val]]="",0,1)</f>
        <v>0</v>
      </c>
      <c r="J259" s="24">
        <v>50000</v>
      </c>
      <c r="M259" s="24">
        <v>50000</v>
      </c>
      <c r="O259" s="45" t="s">
        <v>97</v>
      </c>
      <c r="P259" s="45">
        <f>HEX2DEC(RIGHT(Table132321[[#This Row],[h1]],8))</f>
        <v>0</v>
      </c>
      <c r="Q259" s="45" t="s">
        <v>97</v>
      </c>
      <c r="R259" s="45">
        <f>HEX2DEC(RIGHT(Table132321[[#This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388</v>
      </c>
      <c r="E260" s="15" t="s">
        <v>62</v>
      </c>
      <c r="G260" s="15">
        <f>IF(Table1319[[#This Row],[dec val]]="",0,1)</f>
        <v>0</v>
      </c>
      <c r="J260" s="24">
        <v>50000</v>
      </c>
      <c r="M260" s="24">
        <v>50000</v>
      </c>
      <c r="O260" s="45" t="s">
        <v>97</v>
      </c>
      <c r="P260" s="45">
        <f>HEX2DEC(RIGHT(Table132321[[#This Row],[h1]],8))</f>
        <v>0</v>
      </c>
      <c r="Q260" s="45" t="s">
        <v>97</v>
      </c>
      <c r="R260" s="45">
        <f>HEX2DEC(RIGHT(Table132321[[#This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389</v>
      </c>
      <c r="E261" s="15" t="s">
        <v>63</v>
      </c>
      <c r="G261" s="15">
        <f>IF(Table1319[[#This Row],[dec val]]="",0,1)</f>
        <v>0</v>
      </c>
      <c r="J261" s="24">
        <v>50000</v>
      </c>
      <c r="M261" s="24">
        <v>50000</v>
      </c>
      <c r="O261" s="45" t="s">
        <v>97</v>
      </c>
      <c r="P261" s="45">
        <f>HEX2DEC(RIGHT(Table132321[[#This Row],[h1]],8))</f>
        <v>0</v>
      </c>
      <c r="Q261" s="45" t="s">
        <v>97</v>
      </c>
      <c r="R261" s="45">
        <f>HEX2DEC(RIGHT(Table132321[[#This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D262" s="15" t="s">
        <v>390</v>
      </c>
      <c r="E262" s="15" t="s">
        <v>64</v>
      </c>
      <c r="G262" s="15">
        <f>IF(Table1319[[#This Row],[dec val]]="",0,1)</f>
        <v>0</v>
      </c>
      <c r="J262" s="24">
        <v>50000</v>
      </c>
      <c r="M262" s="24">
        <v>50000</v>
      </c>
      <c r="O262" s="45" t="s">
        <v>97</v>
      </c>
      <c r="P262" s="45">
        <f>HEX2DEC(RIGHT(Table132321[[#This Row],[h1]],8))</f>
        <v>0</v>
      </c>
      <c r="Q262" s="45" t="s">
        <v>97</v>
      </c>
      <c r="R262" s="45">
        <f>HEX2DEC(RIGHT(Table132321[[#This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D263" s="15" t="s">
        <v>391</v>
      </c>
      <c r="E263" s="15" t="s">
        <v>65</v>
      </c>
      <c r="G263" s="15">
        <f>IF(Table1319[[#This Row],[dec val]]="",0,1)</f>
        <v>0</v>
      </c>
      <c r="J263" s="24">
        <v>50000</v>
      </c>
      <c r="M263" s="24">
        <v>50000</v>
      </c>
      <c r="O263" s="45" t="s">
        <v>97</v>
      </c>
      <c r="P263" s="45">
        <f>HEX2DEC(RIGHT(Table132321[[#This Row],[h1]],8))</f>
        <v>0</v>
      </c>
      <c r="Q263" s="45" t="s">
        <v>97</v>
      </c>
      <c r="R263" s="45">
        <f>HEX2DEC(RIGHT(Table132321[[#This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D264" s="15" t="s">
        <v>392</v>
      </c>
      <c r="E264" s="15" t="s">
        <v>66</v>
      </c>
      <c r="G264" s="15">
        <f>IF(Table1319[[#This Row],[dec val]]="",0,1)</f>
        <v>0</v>
      </c>
      <c r="J264" s="24">
        <v>50000</v>
      </c>
      <c r="M264" s="24">
        <v>50000</v>
      </c>
      <c r="O264" s="45" t="s">
        <v>97</v>
      </c>
      <c r="P264" s="45">
        <f>HEX2DEC(RIGHT(Table132321[[#This Row],[h1]],8))</f>
        <v>0</v>
      </c>
      <c r="Q264" s="45" t="s">
        <v>97</v>
      </c>
      <c r="R264" s="45">
        <f>HEX2DEC(RIGHT(Table132321[[#This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393</v>
      </c>
      <c r="E265" s="15" t="s">
        <v>67</v>
      </c>
      <c r="G265" s="15">
        <f>IF(Table1319[[#This Row],[dec val]]="",0,1)</f>
        <v>0</v>
      </c>
      <c r="J265" s="24">
        <v>50000</v>
      </c>
      <c r="M265" s="24">
        <v>50000</v>
      </c>
      <c r="O265" s="45" t="s">
        <v>97</v>
      </c>
      <c r="P265" s="45">
        <f>HEX2DEC(RIGHT(Table132321[[#This Row],[h1]],8))</f>
        <v>0</v>
      </c>
      <c r="Q265" s="45" t="s">
        <v>97</v>
      </c>
      <c r="R265" s="45">
        <f>HEX2DEC(RIGHT(Table132321[[#This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394</v>
      </c>
      <c r="E266" s="15" t="s">
        <v>68</v>
      </c>
      <c r="G266" s="15">
        <f>IF(Table1319[[#This Row],[dec val]]="",0,1)</f>
        <v>0</v>
      </c>
      <c r="J266" s="24">
        <v>50000</v>
      </c>
      <c r="M266" s="24">
        <v>50000</v>
      </c>
      <c r="O266" s="45" t="s">
        <v>97</v>
      </c>
      <c r="P266" s="45">
        <f>HEX2DEC(RIGHT(Table132321[[#This Row],[h1]],8))</f>
        <v>0</v>
      </c>
      <c r="Q266" s="45" t="s">
        <v>97</v>
      </c>
      <c r="R266" s="45">
        <f>HEX2DEC(RIGHT(Table132321[[#This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395</v>
      </c>
      <c r="E267" s="15" t="s">
        <v>69</v>
      </c>
      <c r="G267" s="15">
        <f>IF(Table1319[[#This Row],[dec val]]="",0,1)</f>
        <v>0</v>
      </c>
      <c r="J267" s="24">
        <v>50000</v>
      </c>
      <c r="M267" s="24">
        <v>50000</v>
      </c>
      <c r="O267" s="45" t="s">
        <v>97</v>
      </c>
      <c r="P267" s="45">
        <f>HEX2DEC(RIGHT(Table132321[[#This Row],[h1]],8))</f>
        <v>0</v>
      </c>
      <c r="Q267" s="45" t="s">
        <v>97</v>
      </c>
      <c r="R267" s="45">
        <f>HEX2DEC(RIGHT(Table132321[[#This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396</v>
      </c>
      <c r="E268" s="15" t="s">
        <v>70</v>
      </c>
      <c r="G268" s="15">
        <f>IF(Table1319[[#This Row],[dec val]]="",0,1)</f>
        <v>0</v>
      </c>
      <c r="J268" s="24">
        <v>50000</v>
      </c>
      <c r="M268" s="24">
        <v>50000</v>
      </c>
      <c r="O268" s="45" t="s">
        <v>97</v>
      </c>
      <c r="P268" s="45">
        <f>HEX2DEC(RIGHT(Table132321[[#This Row],[h1]],8))</f>
        <v>0</v>
      </c>
      <c r="Q268" s="45" t="s">
        <v>97</v>
      </c>
      <c r="R268" s="45">
        <f>HEX2DEC(RIGHT(Table132321[[#This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397</v>
      </c>
      <c r="E269" s="15" t="s">
        <v>71</v>
      </c>
      <c r="G269" s="15">
        <f>IF(Table1319[[#This Row],[dec val]]="",0,1)</f>
        <v>0</v>
      </c>
      <c r="J269" s="24">
        <v>50000</v>
      </c>
      <c r="M269" s="24">
        <v>50000</v>
      </c>
      <c r="O269" s="45" t="s">
        <v>97</v>
      </c>
      <c r="P269" s="45">
        <f>HEX2DEC(RIGHT(Table132321[[#This Row],[h1]],8))</f>
        <v>0</v>
      </c>
      <c r="Q269" s="45" t="s">
        <v>97</v>
      </c>
      <c r="R269" s="45">
        <f>HEX2DEC(RIGHT(Table132321[[#This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398</v>
      </c>
      <c r="E270" s="15" t="s">
        <v>72</v>
      </c>
      <c r="G270" s="15">
        <f>IF(Table1319[[#This Row],[dec val]]="",0,1)</f>
        <v>0</v>
      </c>
      <c r="J270" s="24">
        <v>50000</v>
      </c>
      <c r="M270" s="24">
        <v>50000</v>
      </c>
      <c r="O270" s="45" t="s">
        <v>97</v>
      </c>
      <c r="P270" s="45">
        <f>HEX2DEC(RIGHT(Table132321[[#This Row],[h1]],8))</f>
        <v>0</v>
      </c>
      <c r="Q270" s="45" t="s">
        <v>97</v>
      </c>
      <c r="R270" s="45">
        <f>HEX2DEC(RIGHT(Table132321[[#This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399</v>
      </c>
      <c r="E271" s="15" t="s">
        <v>73</v>
      </c>
      <c r="G271" s="15">
        <f>IF(Table1319[[#This Row],[dec val]]="",0,1)</f>
        <v>0</v>
      </c>
      <c r="J271" s="24">
        <v>50000</v>
      </c>
      <c r="M271" s="24">
        <v>50000</v>
      </c>
      <c r="O271" s="45" t="s">
        <v>97</v>
      </c>
      <c r="P271" s="45">
        <f>HEX2DEC(RIGHT(Table132321[[#This Row],[h1]],8))</f>
        <v>0</v>
      </c>
      <c r="Q271" s="45" t="s">
        <v>97</v>
      </c>
      <c r="R271" s="45">
        <f>HEX2DEC(RIGHT(Table132321[[#This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400</v>
      </c>
      <c r="E272" s="15" t="s">
        <v>74</v>
      </c>
      <c r="G272" s="15">
        <f>IF(Table1319[[#This Row],[dec val]]="",0,1)</f>
        <v>0</v>
      </c>
      <c r="J272" s="24">
        <v>50000</v>
      </c>
      <c r="M272" s="24">
        <v>50000</v>
      </c>
      <c r="O272" s="45" t="s">
        <v>97</v>
      </c>
      <c r="P272" s="45">
        <f>HEX2DEC(RIGHT(Table132321[[#This Row],[h1]],8))</f>
        <v>0</v>
      </c>
      <c r="Q272" s="45" t="s">
        <v>97</v>
      </c>
      <c r="R272" s="45">
        <f>HEX2DEC(RIGHT(Table132321[[#This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401</v>
      </c>
      <c r="E273" s="15" t="s">
        <v>75</v>
      </c>
      <c r="G273" s="15">
        <f>IF(Table1319[[#This Row],[dec val]]="",0,1)</f>
        <v>0</v>
      </c>
      <c r="J273" s="24">
        <v>50000</v>
      </c>
      <c r="M273" s="24">
        <v>50000</v>
      </c>
      <c r="O273" s="45" t="s">
        <v>97</v>
      </c>
      <c r="P273" s="45">
        <f>HEX2DEC(RIGHT(Table132321[[#This Row],[h1]],8))</f>
        <v>0</v>
      </c>
      <c r="Q273" s="45" t="s">
        <v>97</v>
      </c>
      <c r="R273" s="45">
        <f>HEX2DEC(RIGHT(Table132321[[#This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402</v>
      </c>
      <c r="E274" s="15" t="s">
        <v>76</v>
      </c>
      <c r="G274" s="15">
        <f>IF(Table1319[[#This Row],[dec val]]="",0,1)</f>
        <v>0</v>
      </c>
      <c r="J274" s="24">
        <v>50000</v>
      </c>
      <c r="M274" s="24">
        <v>50000</v>
      </c>
      <c r="O274" s="45" t="s">
        <v>97</v>
      </c>
      <c r="P274" s="45">
        <f>HEX2DEC(RIGHT(Table132321[[#This Row],[h1]],8))</f>
        <v>0</v>
      </c>
      <c r="Q274" s="45" t="s">
        <v>97</v>
      </c>
      <c r="R274" s="45">
        <f>HEX2DEC(RIGHT(Table132321[[#This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403</v>
      </c>
      <c r="E275" s="15" t="s">
        <v>77</v>
      </c>
      <c r="G275" s="15">
        <f>IF(Table1319[[#This Row],[dec val]]="",0,1)</f>
        <v>0</v>
      </c>
      <c r="J275" s="24">
        <v>50000</v>
      </c>
      <c r="M275" s="24">
        <v>50000</v>
      </c>
      <c r="O275" s="45" t="s">
        <v>97</v>
      </c>
      <c r="P275" s="45">
        <f>HEX2DEC(RIGHT(Table132321[[#This Row],[h1]],8))</f>
        <v>0</v>
      </c>
      <c r="Q275" s="45" t="s">
        <v>97</v>
      </c>
      <c r="R275" s="45">
        <f>HEX2DEC(RIGHT(Table132321[[#This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404</v>
      </c>
      <c r="E276" s="15" t="s">
        <v>78</v>
      </c>
      <c r="G276" s="15">
        <f>IF(Table1319[[#This Row],[dec val]]="",0,1)</f>
        <v>0</v>
      </c>
      <c r="J276" s="24">
        <v>50000</v>
      </c>
      <c r="M276" s="24">
        <v>50000</v>
      </c>
      <c r="O276" s="45" t="s">
        <v>97</v>
      </c>
      <c r="P276" s="45">
        <f>HEX2DEC(RIGHT(Table132321[[#This Row],[h1]],8))</f>
        <v>0</v>
      </c>
      <c r="Q276" s="45" t="s">
        <v>97</v>
      </c>
      <c r="R276" s="45">
        <f>HEX2DEC(RIGHT(Table132321[[#This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405</v>
      </c>
      <c r="E277" s="15" t="s">
        <v>79</v>
      </c>
      <c r="G277" s="15">
        <f>IF(Table1319[[#This Row],[dec val]]="",0,1)</f>
        <v>0</v>
      </c>
      <c r="J277" s="24">
        <v>50000</v>
      </c>
      <c r="M277" s="24">
        <v>50000</v>
      </c>
      <c r="O277" s="45" t="s">
        <v>97</v>
      </c>
      <c r="P277" s="45">
        <f>HEX2DEC(RIGHT(Table132321[[#This Row],[h1]],8))</f>
        <v>0</v>
      </c>
      <c r="Q277" s="45" t="s">
        <v>97</v>
      </c>
      <c r="R277" s="45">
        <f>HEX2DEC(RIGHT(Table132321[[#This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406</v>
      </c>
      <c r="E278" s="15" t="s">
        <v>80</v>
      </c>
      <c r="G278" s="15">
        <f>IF(Table1319[[#This Row],[dec val]]="",0,1)</f>
        <v>0</v>
      </c>
      <c r="J278" s="24">
        <v>50000</v>
      </c>
      <c r="M278" s="24">
        <v>50000</v>
      </c>
      <c r="O278" s="45" t="s">
        <v>97</v>
      </c>
      <c r="P278" s="45">
        <f>HEX2DEC(RIGHT(Table132321[[#This Row],[h1]],8))</f>
        <v>0</v>
      </c>
      <c r="Q278" s="45" t="s">
        <v>97</v>
      </c>
      <c r="R278" s="45">
        <f>HEX2DEC(RIGHT(Table132321[[#This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407</v>
      </c>
      <c r="E279" s="15" t="s">
        <v>81</v>
      </c>
      <c r="G279" s="15">
        <f>IF(Table1319[[#This Row],[dec val]]="",0,1)</f>
        <v>0</v>
      </c>
      <c r="J279" s="24">
        <v>50000</v>
      </c>
      <c r="M279" s="24">
        <v>50000</v>
      </c>
      <c r="O279" s="45" t="s">
        <v>97</v>
      </c>
      <c r="P279" s="45">
        <f>HEX2DEC(RIGHT(Table132321[[#This Row],[h1]],8))</f>
        <v>0</v>
      </c>
      <c r="Q279" s="45" t="s">
        <v>97</v>
      </c>
      <c r="R279" s="45">
        <f>HEX2DEC(RIGHT(Table132321[[#This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408</v>
      </c>
      <c r="E280" s="15" t="s">
        <v>82</v>
      </c>
      <c r="G280" s="15">
        <f>IF(Table1319[[#This Row],[dec val]]="",0,1)</f>
        <v>0</v>
      </c>
      <c r="J280" s="24">
        <v>50000</v>
      </c>
      <c r="M280" s="24">
        <v>50000</v>
      </c>
      <c r="O280" s="45" t="s">
        <v>97</v>
      </c>
      <c r="P280" s="45">
        <f>HEX2DEC(RIGHT(Table132321[[#This Row],[h1]],8))</f>
        <v>0</v>
      </c>
      <c r="Q280" s="45" t="s">
        <v>97</v>
      </c>
      <c r="R280" s="45">
        <f>HEX2DEC(RIGHT(Table132321[[#This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409</v>
      </c>
      <c r="E281" s="15" t="s">
        <v>83</v>
      </c>
      <c r="G281" s="15">
        <f>IF(Table1319[[#This Row],[dec val]]="",0,1)</f>
        <v>0</v>
      </c>
      <c r="J281" s="24">
        <v>50000</v>
      </c>
      <c r="M281" s="24">
        <v>50000</v>
      </c>
      <c r="O281" s="45" t="s">
        <v>97</v>
      </c>
      <c r="P281" s="45">
        <f>HEX2DEC(RIGHT(Table132321[[#This Row],[h1]],8))</f>
        <v>0</v>
      </c>
      <c r="Q281" s="45" t="s">
        <v>97</v>
      </c>
      <c r="R281" s="45">
        <f>HEX2DEC(RIGHT(Table132321[[#This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410</v>
      </c>
      <c r="E282" s="15" t="s">
        <v>84</v>
      </c>
      <c r="G282" s="15">
        <f>IF(Table1319[[#This Row],[dec val]]="",0,1)</f>
        <v>0</v>
      </c>
      <c r="J282" s="24">
        <v>50000</v>
      </c>
      <c r="M282" s="24">
        <v>50000</v>
      </c>
      <c r="O282" s="45" t="s">
        <v>97</v>
      </c>
      <c r="P282" s="45">
        <f>HEX2DEC(RIGHT(Table132321[[#This Row],[h1]],8))</f>
        <v>0</v>
      </c>
      <c r="Q282" s="45" t="s">
        <v>97</v>
      </c>
      <c r="R282" s="45">
        <f>HEX2DEC(RIGHT(Table132321[[#This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J283" s="24">
        <v>50000</v>
      </c>
      <c r="M283" s="24">
        <v>50000</v>
      </c>
      <c r="O283" s="45" t="s">
        <v>97</v>
      </c>
      <c r="P283" s="45">
        <f>HEX2DEC(RIGHT(Table132321[[#This Row],[h1]],8))</f>
        <v>0</v>
      </c>
      <c r="Q283" s="45" t="s">
        <v>97</v>
      </c>
      <c r="R283" s="45">
        <f>HEX2DEC(RIGHT(Table132321[[#This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411</v>
      </c>
      <c r="E284" s="15" t="s">
        <v>54</v>
      </c>
      <c r="G284" s="15">
        <f>IF(Table1319[[#This Row],[dec val]]="",0,1)</f>
        <v>0</v>
      </c>
      <c r="J284" s="24">
        <v>50000</v>
      </c>
      <c r="M284" s="24">
        <v>50000</v>
      </c>
      <c r="O284" s="45" t="s">
        <v>97</v>
      </c>
      <c r="P284" s="45">
        <f>HEX2DEC(RIGHT(Table132321[[#This Row],[h1]],8))</f>
        <v>0</v>
      </c>
      <c r="Q284" s="45" t="s">
        <v>97</v>
      </c>
      <c r="R284" s="45">
        <f>HEX2DEC(RIGHT(Table132321[[#This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412</v>
      </c>
      <c r="E285" s="15" t="s">
        <v>55</v>
      </c>
      <c r="G285" s="15">
        <f>IF(Table1319[[#This Row],[dec val]]="",0,1)</f>
        <v>0</v>
      </c>
      <c r="J285" s="24">
        <v>50000</v>
      </c>
      <c r="M285" s="24">
        <v>50000</v>
      </c>
      <c r="O285" s="45" t="s">
        <v>97</v>
      </c>
      <c r="P285" s="45">
        <f>HEX2DEC(RIGHT(Table132321[[#This Row],[h1]],8))</f>
        <v>0</v>
      </c>
      <c r="Q285" s="45" t="s">
        <v>97</v>
      </c>
      <c r="R285" s="45">
        <f>HEX2DEC(RIGHT(Table132321[[#This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413</v>
      </c>
      <c r="E286" s="15" t="s">
        <v>56</v>
      </c>
      <c r="G286" s="15">
        <f>IF(Table1319[[#This Row],[dec val]]="",0,1)</f>
        <v>0</v>
      </c>
      <c r="J286" s="24">
        <v>50000</v>
      </c>
      <c r="M286" s="24">
        <v>50000</v>
      </c>
      <c r="O286" s="45" t="s">
        <v>97</v>
      </c>
      <c r="P286" s="45">
        <f>HEX2DEC(RIGHT(Table132321[[#This Row],[h1]],8))</f>
        <v>0</v>
      </c>
      <c r="Q286" s="45" t="s">
        <v>97</v>
      </c>
      <c r="R286" s="45">
        <f>HEX2DEC(RIGHT(Table132321[[#This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414</v>
      </c>
      <c r="E287" s="15" t="s">
        <v>57</v>
      </c>
      <c r="G287" s="15">
        <f>IF(Table1319[[#This Row],[dec val]]="",0,1)</f>
        <v>0</v>
      </c>
      <c r="J287" s="24">
        <v>50000</v>
      </c>
      <c r="M287" s="24">
        <v>50000</v>
      </c>
      <c r="O287" s="45" t="s">
        <v>97</v>
      </c>
      <c r="P287" s="45">
        <f>HEX2DEC(RIGHT(Table132321[[#This Row],[h1]],8))</f>
        <v>0</v>
      </c>
      <c r="Q287" s="45" t="s">
        <v>97</v>
      </c>
      <c r="R287" s="45">
        <f>HEX2DEC(RIGHT(Table132321[[#This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415</v>
      </c>
      <c r="E288" s="15" t="s">
        <v>58</v>
      </c>
      <c r="G288" s="15">
        <f>IF(Table1319[[#This Row],[dec val]]="",0,1)</f>
        <v>0</v>
      </c>
      <c r="J288" s="24">
        <v>50000</v>
      </c>
      <c r="M288" s="24">
        <v>50000</v>
      </c>
      <c r="O288" s="45" t="s">
        <v>97</v>
      </c>
      <c r="P288" s="45">
        <f>HEX2DEC(RIGHT(Table132321[[#This Row],[h1]],8))</f>
        <v>0</v>
      </c>
      <c r="Q288" s="45" t="s">
        <v>97</v>
      </c>
      <c r="R288" s="45">
        <f>HEX2DEC(RIGHT(Table132321[[#This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416</v>
      </c>
      <c r="E289" s="15" t="s">
        <v>59</v>
      </c>
      <c r="G289" s="15">
        <f>IF(Table1319[[#This Row],[dec val]]="",0,1)</f>
        <v>0</v>
      </c>
      <c r="J289" s="24">
        <v>50000</v>
      </c>
      <c r="M289" s="24">
        <v>50000</v>
      </c>
      <c r="O289" s="45" t="s">
        <v>97</v>
      </c>
      <c r="P289" s="45">
        <f>HEX2DEC(RIGHT(Table132321[[#This Row],[h1]],8))</f>
        <v>0</v>
      </c>
      <c r="Q289" s="45" t="s">
        <v>97</v>
      </c>
      <c r="R289" s="45">
        <f>HEX2DEC(RIGHT(Table132321[[#This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417</v>
      </c>
      <c r="E290" s="15" t="s">
        <v>60</v>
      </c>
      <c r="G290" s="15">
        <f>IF(Table1319[[#This Row],[dec val]]="",0,1)</f>
        <v>0</v>
      </c>
      <c r="J290" s="24">
        <v>50000</v>
      </c>
      <c r="M290" s="24">
        <v>50000</v>
      </c>
      <c r="O290" s="45" t="s">
        <v>97</v>
      </c>
      <c r="P290" s="45">
        <f>HEX2DEC(RIGHT(Table132321[[#This Row],[h1]],8))</f>
        <v>0</v>
      </c>
      <c r="Q290" s="45" t="s">
        <v>97</v>
      </c>
      <c r="R290" s="45">
        <f>HEX2DEC(RIGHT(Table132321[[#This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418</v>
      </c>
      <c r="E291" s="15" t="s">
        <v>61</v>
      </c>
      <c r="G291" s="15">
        <f>IF(Table1319[[#This Row],[dec val]]="",0,1)</f>
        <v>0</v>
      </c>
      <c r="J291" s="24">
        <v>50000</v>
      </c>
      <c r="M291" s="24">
        <v>50000</v>
      </c>
      <c r="O291" s="45" t="s">
        <v>97</v>
      </c>
      <c r="P291" s="45">
        <f>HEX2DEC(RIGHT(Table132321[[#This Row],[h1]],8))</f>
        <v>0</v>
      </c>
      <c r="Q291" s="45" t="s">
        <v>97</v>
      </c>
      <c r="R291" s="45">
        <f>HEX2DEC(RIGHT(Table132321[[#This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419</v>
      </c>
      <c r="E292" s="15" t="s">
        <v>62</v>
      </c>
      <c r="G292" s="15">
        <f>IF(Table1319[[#This Row],[dec val]]="",0,1)</f>
        <v>0</v>
      </c>
      <c r="J292" s="24">
        <v>50000</v>
      </c>
      <c r="M292" s="24">
        <v>50000</v>
      </c>
      <c r="O292" s="45" t="s">
        <v>97</v>
      </c>
      <c r="P292" s="45">
        <f>HEX2DEC(RIGHT(Table132321[[#This Row],[h1]],8))</f>
        <v>0</v>
      </c>
      <c r="Q292" s="45" t="s">
        <v>97</v>
      </c>
      <c r="R292" s="45">
        <f>HEX2DEC(RIGHT(Table132321[[#This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420</v>
      </c>
      <c r="E293" s="15" t="s">
        <v>63</v>
      </c>
      <c r="G293" s="15">
        <f>IF(Table1319[[#This Row],[dec val]]="",0,1)</f>
        <v>0</v>
      </c>
      <c r="J293" s="24">
        <v>50000</v>
      </c>
      <c r="M293" s="24">
        <v>50000</v>
      </c>
      <c r="O293" s="45" t="s">
        <v>97</v>
      </c>
      <c r="P293" s="45">
        <f>HEX2DEC(RIGHT(Table132321[[#This Row],[h1]],8))</f>
        <v>0</v>
      </c>
      <c r="Q293" s="45" t="s">
        <v>97</v>
      </c>
      <c r="R293" s="45">
        <f>HEX2DEC(RIGHT(Table132321[[#This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421</v>
      </c>
      <c r="E294" s="15" t="s">
        <v>64</v>
      </c>
      <c r="G294" s="15">
        <f>IF(Table1319[[#This Row],[dec val]]="",0,1)</f>
        <v>0</v>
      </c>
      <c r="J294" s="24">
        <v>50000</v>
      </c>
      <c r="M294" s="24">
        <v>50000</v>
      </c>
      <c r="O294" s="45" t="s">
        <v>97</v>
      </c>
      <c r="P294" s="45">
        <f>HEX2DEC(RIGHT(Table132321[[#This Row],[h1]],8))</f>
        <v>0</v>
      </c>
      <c r="Q294" s="45" t="s">
        <v>97</v>
      </c>
      <c r="R294" s="45">
        <f>HEX2DEC(RIGHT(Table132321[[#This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422</v>
      </c>
      <c r="E295" s="15" t="s">
        <v>65</v>
      </c>
      <c r="G295" s="15">
        <f>IF(Table1319[[#This Row],[dec val]]="",0,1)</f>
        <v>0</v>
      </c>
      <c r="J295" s="24">
        <v>50000</v>
      </c>
      <c r="M295" s="24">
        <v>50000</v>
      </c>
      <c r="O295" s="45" t="s">
        <v>97</v>
      </c>
      <c r="P295" s="45">
        <f>HEX2DEC(RIGHT(Table132321[[#This Row],[h1]],8))</f>
        <v>0</v>
      </c>
      <c r="Q295" s="45" t="s">
        <v>97</v>
      </c>
      <c r="R295" s="45">
        <f>HEX2DEC(RIGHT(Table132321[[#This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D296" s="15" t="s">
        <v>423</v>
      </c>
      <c r="E296" s="15" t="s">
        <v>66</v>
      </c>
      <c r="G296" s="15">
        <f>IF(Table1319[[#This Row],[dec val]]="",0,1)</f>
        <v>0</v>
      </c>
      <c r="J296" s="24">
        <v>50000</v>
      </c>
      <c r="M296" s="24">
        <v>50000</v>
      </c>
      <c r="O296" s="45" t="s">
        <v>97</v>
      </c>
      <c r="P296" s="45">
        <f>HEX2DEC(RIGHT(Table132321[[#This Row],[h1]],8))</f>
        <v>0</v>
      </c>
      <c r="Q296" s="45" t="s">
        <v>97</v>
      </c>
      <c r="R296" s="45">
        <f>HEX2DEC(RIGHT(Table132321[[#This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424</v>
      </c>
      <c r="E297" s="15" t="s">
        <v>67</v>
      </c>
      <c r="G297" s="15">
        <f>IF(Table1319[[#This Row],[dec val]]="",0,1)</f>
        <v>0</v>
      </c>
      <c r="J297" s="24">
        <v>50000</v>
      </c>
      <c r="M297" s="24">
        <v>50000</v>
      </c>
      <c r="O297" s="45" t="s">
        <v>97</v>
      </c>
      <c r="P297" s="45">
        <f>HEX2DEC(RIGHT(Table132321[[#This Row],[h1]],8))</f>
        <v>0</v>
      </c>
      <c r="Q297" s="45" t="s">
        <v>97</v>
      </c>
      <c r="R297" s="45">
        <f>HEX2DEC(RIGHT(Table132321[[#This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425</v>
      </c>
      <c r="E298" s="15" t="s">
        <v>68</v>
      </c>
      <c r="G298" s="15">
        <f>IF(Table1319[[#This Row],[dec val]]="",0,1)</f>
        <v>0</v>
      </c>
      <c r="J298" s="24">
        <v>50000</v>
      </c>
      <c r="M298" s="24">
        <v>50000</v>
      </c>
      <c r="O298" s="45" t="s">
        <v>97</v>
      </c>
      <c r="P298" s="45">
        <f>HEX2DEC(RIGHT(Table132321[[#This Row],[h1]],8))</f>
        <v>0</v>
      </c>
      <c r="Q298" s="45" t="s">
        <v>97</v>
      </c>
      <c r="R298" s="45">
        <f>HEX2DEC(RIGHT(Table132321[[#This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426</v>
      </c>
      <c r="E299" s="15" t="s">
        <v>69</v>
      </c>
      <c r="G299" s="15">
        <f>IF(Table1319[[#This Row],[dec val]]="",0,1)</f>
        <v>0</v>
      </c>
      <c r="J299" s="24">
        <v>50000</v>
      </c>
      <c r="M299" s="24">
        <v>50000</v>
      </c>
      <c r="O299" s="45" t="s">
        <v>97</v>
      </c>
      <c r="P299" s="45">
        <f>HEX2DEC(RIGHT(Table132321[[#This Row],[h1]],8))</f>
        <v>0</v>
      </c>
      <c r="Q299" s="45" t="s">
        <v>97</v>
      </c>
      <c r="R299" s="45">
        <f>HEX2DEC(RIGHT(Table132321[[#This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427</v>
      </c>
      <c r="E300" s="15" t="s">
        <v>70</v>
      </c>
      <c r="G300" s="15">
        <f>IF(Table1319[[#This Row],[dec val]]="",0,1)</f>
        <v>0</v>
      </c>
      <c r="J300" s="24">
        <v>50000</v>
      </c>
      <c r="M300" s="24">
        <v>50000</v>
      </c>
      <c r="O300" s="45" t="s">
        <v>97</v>
      </c>
      <c r="P300" s="45">
        <f>HEX2DEC(RIGHT(Table132321[[#This Row],[h1]],8))</f>
        <v>0</v>
      </c>
      <c r="Q300" s="45" t="s">
        <v>97</v>
      </c>
      <c r="R300" s="45">
        <f>HEX2DEC(RIGHT(Table132321[[#This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428</v>
      </c>
      <c r="E301" s="15" t="s">
        <v>71</v>
      </c>
      <c r="G301" s="15">
        <f>IF(Table1319[[#This Row],[dec val]]="",0,1)</f>
        <v>0</v>
      </c>
      <c r="J301" s="24">
        <v>50000</v>
      </c>
      <c r="M301" s="24">
        <v>50000</v>
      </c>
      <c r="O301" s="45" t="s">
        <v>97</v>
      </c>
      <c r="P301" s="45">
        <f>HEX2DEC(RIGHT(Table132321[[#This Row],[h1]],8))</f>
        <v>0</v>
      </c>
      <c r="Q301" s="45" t="s">
        <v>97</v>
      </c>
      <c r="R301" s="45">
        <f>HEX2DEC(RIGHT(Table132321[[#This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429</v>
      </c>
      <c r="E302" s="15" t="s">
        <v>72</v>
      </c>
      <c r="G302" s="15">
        <f>IF(Table1319[[#This Row],[dec val]]="",0,1)</f>
        <v>0</v>
      </c>
      <c r="J302" s="24">
        <v>50000</v>
      </c>
      <c r="M302" s="24">
        <v>50000</v>
      </c>
      <c r="O302" s="45" t="s">
        <v>97</v>
      </c>
      <c r="P302" s="45">
        <f>HEX2DEC(RIGHT(Table132321[[#This Row],[h1]],8))</f>
        <v>0</v>
      </c>
      <c r="Q302" s="45" t="s">
        <v>97</v>
      </c>
      <c r="R302" s="45">
        <f>HEX2DEC(RIGHT(Table132321[[#This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430</v>
      </c>
      <c r="E303" s="15" t="s">
        <v>73</v>
      </c>
      <c r="G303" s="15">
        <f>IF(Table1319[[#This Row],[dec val]]="",0,1)</f>
        <v>0</v>
      </c>
      <c r="J303" s="24">
        <v>50000</v>
      </c>
      <c r="M303" s="24">
        <v>50000</v>
      </c>
      <c r="O303" s="45" t="s">
        <v>97</v>
      </c>
      <c r="P303" s="45">
        <f>HEX2DEC(RIGHT(Table132321[[#This Row],[h1]],8))</f>
        <v>0</v>
      </c>
      <c r="Q303" s="45" t="s">
        <v>97</v>
      </c>
      <c r="R303" s="45">
        <f>HEX2DEC(RIGHT(Table132321[[#This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431</v>
      </c>
      <c r="E304" s="15" t="s">
        <v>74</v>
      </c>
      <c r="G304" s="15">
        <f>IF(Table1319[[#This Row],[dec val]]="",0,1)</f>
        <v>0</v>
      </c>
      <c r="J304" s="24">
        <v>50000</v>
      </c>
      <c r="M304" s="24">
        <v>50000</v>
      </c>
      <c r="O304" s="45" t="s">
        <v>97</v>
      </c>
      <c r="P304" s="45">
        <f>HEX2DEC(RIGHT(Table132321[[#This Row],[h1]],8))</f>
        <v>0</v>
      </c>
      <c r="Q304" s="45" t="s">
        <v>97</v>
      </c>
      <c r="R304" s="45">
        <f>HEX2DEC(RIGHT(Table132321[[#This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432</v>
      </c>
      <c r="E305" s="15" t="s">
        <v>75</v>
      </c>
      <c r="G305" s="15">
        <f>IF(Table1319[[#This Row],[dec val]]="",0,1)</f>
        <v>0</v>
      </c>
      <c r="J305" s="24">
        <v>50000</v>
      </c>
      <c r="M305" s="24">
        <v>50000</v>
      </c>
      <c r="O305" s="45" t="s">
        <v>97</v>
      </c>
      <c r="P305" s="45">
        <f>HEX2DEC(RIGHT(Table132321[[#This Row],[h1]],8))</f>
        <v>0</v>
      </c>
      <c r="Q305" s="45" t="s">
        <v>97</v>
      </c>
      <c r="R305" s="45">
        <f>HEX2DEC(RIGHT(Table132321[[#This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433</v>
      </c>
      <c r="E306" s="15" t="s">
        <v>76</v>
      </c>
      <c r="G306" s="15">
        <f>IF(Table1319[[#This Row],[dec val]]="",0,1)</f>
        <v>0</v>
      </c>
      <c r="J306" s="24">
        <v>50000</v>
      </c>
      <c r="M306" s="24">
        <v>50000</v>
      </c>
      <c r="O306" s="45" t="s">
        <v>97</v>
      </c>
      <c r="P306" s="45">
        <f>HEX2DEC(RIGHT(Table132321[[#This Row],[h1]],8))</f>
        <v>0</v>
      </c>
      <c r="Q306" s="45" t="s">
        <v>97</v>
      </c>
      <c r="R306" s="45">
        <f>HEX2DEC(RIGHT(Table132321[[#This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434</v>
      </c>
      <c r="E307" s="15" t="s">
        <v>77</v>
      </c>
      <c r="G307" s="15">
        <f>IF(Table1319[[#This Row],[dec val]]="",0,1)</f>
        <v>0</v>
      </c>
      <c r="J307" s="24">
        <v>50000</v>
      </c>
      <c r="M307" s="24">
        <v>50000</v>
      </c>
      <c r="O307" s="45" t="s">
        <v>97</v>
      </c>
      <c r="P307" s="45">
        <f>HEX2DEC(RIGHT(Table132321[[#This Row],[h1]],8))</f>
        <v>0</v>
      </c>
      <c r="Q307" s="45" t="s">
        <v>97</v>
      </c>
      <c r="R307" s="45">
        <f>HEX2DEC(RIGHT(Table132321[[#This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435</v>
      </c>
      <c r="E308" s="15" t="s">
        <v>78</v>
      </c>
      <c r="G308" s="15">
        <f>IF(Table1319[[#This Row],[dec val]]="",0,1)</f>
        <v>0</v>
      </c>
      <c r="J308" s="24">
        <v>50000</v>
      </c>
      <c r="M308" s="24">
        <v>50000</v>
      </c>
      <c r="O308" s="45" t="s">
        <v>97</v>
      </c>
      <c r="P308" s="45">
        <f>HEX2DEC(RIGHT(Table132321[[#This Row],[h1]],8))</f>
        <v>0</v>
      </c>
      <c r="Q308" s="45" t="s">
        <v>97</v>
      </c>
      <c r="R308" s="45">
        <f>HEX2DEC(RIGHT(Table132321[[#This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436</v>
      </c>
      <c r="E309" s="15" t="s">
        <v>79</v>
      </c>
      <c r="G309" s="15">
        <f>IF(Table1319[[#This Row],[dec val]]="",0,1)</f>
        <v>0</v>
      </c>
      <c r="J309" s="24">
        <v>50000</v>
      </c>
      <c r="M309" s="24">
        <v>50000</v>
      </c>
      <c r="O309" s="45" t="s">
        <v>97</v>
      </c>
      <c r="P309" s="45">
        <f>HEX2DEC(RIGHT(Table132321[[#This Row],[h1]],8))</f>
        <v>0</v>
      </c>
      <c r="Q309" s="45" t="s">
        <v>97</v>
      </c>
      <c r="R309" s="45">
        <f>HEX2DEC(RIGHT(Table132321[[#This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437</v>
      </c>
      <c r="E310" s="15" t="s">
        <v>80</v>
      </c>
      <c r="G310" s="15">
        <f>IF(Table1319[[#This Row],[dec val]]="",0,1)</f>
        <v>0</v>
      </c>
      <c r="J310" s="24">
        <v>50000</v>
      </c>
      <c r="M310" s="24">
        <v>50000</v>
      </c>
      <c r="O310" s="45" t="s">
        <v>97</v>
      </c>
      <c r="P310" s="45">
        <f>HEX2DEC(RIGHT(Table132321[[#This Row],[h1]],8))</f>
        <v>0</v>
      </c>
      <c r="Q310" s="45" t="s">
        <v>97</v>
      </c>
      <c r="R310" s="45">
        <f>HEX2DEC(RIGHT(Table132321[[#This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438</v>
      </c>
      <c r="E311" s="15" t="s">
        <v>81</v>
      </c>
      <c r="G311" s="15">
        <f>IF(Table1319[[#This Row],[dec val]]="",0,1)</f>
        <v>0</v>
      </c>
      <c r="J311" s="24">
        <v>50000</v>
      </c>
      <c r="M311" s="24">
        <v>50000</v>
      </c>
      <c r="O311" s="45" t="s">
        <v>97</v>
      </c>
      <c r="P311" s="45">
        <f>HEX2DEC(RIGHT(Table132321[[#This Row],[h1]],8))</f>
        <v>0</v>
      </c>
      <c r="Q311" s="45" t="s">
        <v>97</v>
      </c>
      <c r="R311" s="45">
        <f>HEX2DEC(RIGHT(Table132321[[#This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439</v>
      </c>
      <c r="E312" s="15" t="s">
        <v>82</v>
      </c>
      <c r="G312" s="15">
        <f>IF(Table1319[[#This Row],[dec val]]="",0,1)</f>
        <v>0</v>
      </c>
      <c r="J312" s="24">
        <v>50000</v>
      </c>
      <c r="M312" s="24">
        <v>50000</v>
      </c>
      <c r="O312" s="45" t="s">
        <v>97</v>
      </c>
      <c r="P312" s="45">
        <f>HEX2DEC(RIGHT(Table132321[[#This Row],[h1]],8))</f>
        <v>0</v>
      </c>
      <c r="Q312" s="45" t="s">
        <v>97</v>
      </c>
      <c r="R312" s="45">
        <f>HEX2DEC(RIGHT(Table132321[[#This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440</v>
      </c>
      <c r="E313" s="15" t="s">
        <v>83</v>
      </c>
      <c r="G313" s="15">
        <f>IF(Table1319[[#This Row],[dec val]]="",0,1)</f>
        <v>0</v>
      </c>
      <c r="J313" s="24">
        <v>50000</v>
      </c>
      <c r="M313" s="24">
        <v>50000</v>
      </c>
      <c r="O313" s="45" t="s">
        <v>97</v>
      </c>
      <c r="P313" s="45">
        <f>HEX2DEC(RIGHT(Table132321[[#This Row],[h1]],8))</f>
        <v>0</v>
      </c>
      <c r="Q313" s="45" t="s">
        <v>97</v>
      </c>
      <c r="R313" s="45">
        <f>HEX2DEC(RIGHT(Table132321[[#This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441</v>
      </c>
      <c r="E314" s="15" t="s">
        <v>84</v>
      </c>
      <c r="G314" s="15">
        <f>IF(Table1319[[#This Row],[dec val]]="",0,1)</f>
        <v>0</v>
      </c>
      <c r="J314" s="24">
        <v>50000</v>
      </c>
      <c r="M314" s="24">
        <v>50000</v>
      </c>
      <c r="O314" s="45" t="s">
        <v>97</v>
      </c>
      <c r="P314" s="45">
        <f>HEX2DEC(RIGHT(Table132321[[#This Row],[h1]],8))</f>
        <v>0</v>
      </c>
      <c r="Q314" s="45" t="s">
        <v>97</v>
      </c>
      <c r="R314" s="45">
        <f>HEX2DEC(RIGHT(Table132321[[#This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J315" s="24">
        <v>50000</v>
      </c>
      <c r="M315" s="24">
        <v>50000</v>
      </c>
      <c r="O315" s="45" t="s">
        <v>97</v>
      </c>
      <c r="P315" s="45">
        <f>HEX2DEC(RIGHT(Table132321[[#This Row],[h1]],8))</f>
        <v>0</v>
      </c>
      <c r="Q315" s="45" t="s">
        <v>97</v>
      </c>
      <c r="R315" s="45">
        <f>HEX2DEC(RIGHT(Table132321[[#This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442</v>
      </c>
      <c r="E316" s="15" t="s">
        <v>54</v>
      </c>
      <c r="G316" s="15">
        <f>IF(Table1319[[#This Row],[dec val]]="",0,1)</f>
        <v>0</v>
      </c>
      <c r="J316" s="24">
        <v>50000</v>
      </c>
      <c r="M316" s="24">
        <v>50000</v>
      </c>
      <c r="O316" s="45" t="s">
        <v>97</v>
      </c>
      <c r="P316" s="45">
        <f>HEX2DEC(RIGHT(Table132321[[#This Row],[h1]],8))</f>
        <v>0</v>
      </c>
      <c r="Q316" s="45" t="s">
        <v>97</v>
      </c>
      <c r="R316" s="45">
        <f>HEX2DEC(RIGHT(Table132321[[#This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443</v>
      </c>
      <c r="E317" s="15" t="s">
        <v>55</v>
      </c>
      <c r="G317" s="15">
        <f>IF(Table1319[[#This Row],[dec val]]="",0,1)</f>
        <v>0</v>
      </c>
      <c r="J317" s="24">
        <v>50000</v>
      </c>
      <c r="M317" s="24">
        <v>50000</v>
      </c>
      <c r="O317" s="45" t="s">
        <v>97</v>
      </c>
      <c r="P317" s="45">
        <f>HEX2DEC(RIGHT(Table132321[[#This Row],[h1]],8))</f>
        <v>0</v>
      </c>
      <c r="Q317" s="45" t="s">
        <v>97</v>
      </c>
      <c r="R317" s="45">
        <f>HEX2DEC(RIGHT(Table132321[[#This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444</v>
      </c>
      <c r="E318" s="15" t="s">
        <v>56</v>
      </c>
      <c r="G318" s="15">
        <f>IF(Table1319[[#This Row],[dec val]]="",0,1)</f>
        <v>0</v>
      </c>
      <c r="J318" s="24">
        <v>50000</v>
      </c>
      <c r="M318" s="24">
        <v>50000</v>
      </c>
      <c r="O318" s="45" t="s">
        <v>97</v>
      </c>
      <c r="P318" s="45">
        <f>HEX2DEC(RIGHT(Table132321[[#This Row],[h1]],8))</f>
        <v>0</v>
      </c>
      <c r="Q318" s="45" t="s">
        <v>97</v>
      </c>
      <c r="R318" s="45">
        <f>HEX2DEC(RIGHT(Table132321[[#This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445</v>
      </c>
      <c r="E319" s="15" t="s">
        <v>57</v>
      </c>
      <c r="G319" s="15">
        <f>IF(Table1319[[#This Row],[dec val]]="",0,1)</f>
        <v>0</v>
      </c>
      <c r="J319" s="24">
        <v>50000</v>
      </c>
      <c r="M319" s="24">
        <v>50000</v>
      </c>
      <c r="O319" s="45" t="s">
        <v>97</v>
      </c>
      <c r="P319" s="45">
        <f>HEX2DEC(RIGHT(Table132321[[#This Row],[h1]],8))</f>
        <v>0</v>
      </c>
      <c r="Q319" s="45" t="s">
        <v>97</v>
      </c>
      <c r="R319" s="45">
        <f>HEX2DEC(RIGHT(Table132321[[#This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446</v>
      </c>
      <c r="E320" s="15" t="s">
        <v>58</v>
      </c>
      <c r="G320" s="15">
        <f>IF(Table1319[[#This Row],[dec val]]="",0,1)</f>
        <v>0</v>
      </c>
      <c r="J320" s="24">
        <v>50000</v>
      </c>
      <c r="M320" s="24">
        <v>50000</v>
      </c>
      <c r="O320" s="45" t="s">
        <v>97</v>
      </c>
      <c r="P320" s="45">
        <f>HEX2DEC(RIGHT(Table132321[[#This Row],[h1]],8))</f>
        <v>0</v>
      </c>
      <c r="Q320" s="45" t="s">
        <v>97</v>
      </c>
      <c r="R320" s="45">
        <f>HEX2DEC(RIGHT(Table132321[[#This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447</v>
      </c>
      <c r="E321" s="15" t="s">
        <v>59</v>
      </c>
      <c r="G321" s="15">
        <f>IF(Table1319[[#This Row],[dec val]]="",0,1)</f>
        <v>0</v>
      </c>
      <c r="J321" s="24">
        <v>50000</v>
      </c>
      <c r="M321" s="24">
        <v>50000</v>
      </c>
      <c r="O321" s="45" t="s">
        <v>97</v>
      </c>
      <c r="P321" s="45">
        <f>HEX2DEC(RIGHT(Table132321[[#This Row],[h1]],8))</f>
        <v>0</v>
      </c>
      <c r="Q321" s="45" t="s">
        <v>97</v>
      </c>
      <c r="R321" s="45">
        <f>HEX2DEC(RIGHT(Table132321[[#This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448</v>
      </c>
      <c r="E322" s="15" t="s">
        <v>60</v>
      </c>
      <c r="G322" s="15">
        <f>IF(Table1319[[#This Row],[dec val]]="",0,1)</f>
        <v>0</v>
      </c>
      <c r="J322" s="24">
        <v>50000</v>
      </c>
      <c r="M322" s="24">
        <v>50000</v>
      </c>
      <c r="O322" s="45" t="s">
        <v>97</v>
      </c>
      <c r="P322" s="45">
        <f>HEX2DEC(RIGHT(Table132321[[#This Row],[h1]],8))</f>
        <v>0</v>
      </c>
      <c r="Q322" s="45" t="s">
        <v>97</v>
      </c>
      <c r="R322" s="45">
        <f>HEX2DEC(RIGHT(Table132321[[#This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449</v>
      </c>
      <c r="E323" s="15" t="s">
        <v>61</v>
      </c>
      <c r="G323" s="15">
        <f>IF(Table1319[[#This Row],[dec val]]="",0,1)</f>
        <v>0</v>
      </c>
      <c r="J323" s="24">
        <v>50000</v>
      </c>
      <c r="M323" s="24">
        <v>50000</v>
      </c>
      <c r="O323" s="45" t="s">
        <v>97</v>
      </c>
      <c r="P323" s="45">
        <f>HEX2DEC(RIGHT(Table132321[[#This Row],[h1]],8))</f>
        <v>0</v>
      </c>
      <c r="Q323" s="45" t="s">
        <v>97</v>
      </c>
      <c r="R323" s="45">
        <f>HEX2DEC(RIGHT(Table132321[[#This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450</v>
      </c>
      <c r="E324" s="15" t="s">
        <v>62</v>
      </c>
      <c r="G324" s="15">
        <f>IF(Table1319[[#This Row],[dec val]]="",0,1)</f>
        <v>0</v>
      </c>
      <c r="J324" s="24">
        <v>50000</v>
      </c>
      <c r="M324" s="24">
        <v>50000</v>
      </c>
      <c r="O324" s="45" t="s">
        <v>97</v>
      </c>
      <c r="P324" s="45">
        <f>HEX2DEC(RIGHT(Table132321[[#This Row],[h1]],8))</f>
        <v>0</v>
      </c>
      <c r="Q324" s="45" t="s">
        <v>97</v>
      </c>
      <c r="R324" s="45">
        <f>HEX2DEC(RIGHT(Table132321[[#This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451</v>
      </c>
      <c r="E325" s="15" t="s">
        <v>63</v>
      </c>
      <c r="G325" s="15">
        <f>IF(Table1319[[#This Row],[dec val]]="",0,1)</f>
        <v>0</v>
      </c>
      <c r="J325" s="24">
        <v>50000</v>
      </c>
      <c r="M325" s="24">
        <v>50000</v>
      </c>
      <c r="O325" s="45" t="s">
        <v>97</v>
      </c>
      <c r="P325" s="45">
        <f>HEX2DEC(RIGHT(Table132321[[#This Row],[h1]],8))</f>
        <v>0</v>
      </c>
      <c r="Q325" s="45" t="s">
        <v>97</v>
      </c>
      <c r="R325" s="45">
        <f>HEX2DEC(RIGHT(Table132321[[#This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452</v>
      </c>
      <c r="E326" s="15" t="s">
        <v>64</v>
      </c>
      <c r="G326" s="15">
        <f>IF(Table1319[[#This Row],[dec val]]="",0,1)</f>
        <v>0</v>
      </c>
      <c r="J326" s="24">
        <v>50000</v>
      </c>
      <c r="M326" s="24">
        <v>50000</v>
      </c>
      <c r="O326" s="45" t="s">
        <v>97</v>
      </c>
      <c r="P326" s="45">
        <f>HEX2DEC(RIGHT(Table132321[[#This Row],[h1]],8))</f>
        <v>0</v>
      </c>
      <c r="Q326" s="45" t="s">
        <v>97</v>
      </c>
      <c r="R326" s="45">
        <f>HEX2DEC(RIGHT(Table132321[[#This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453</v>
      </c>
      <c r="E327" s="15" t="s">
        <v>65</v>
      </c>
      <c r="G327" s="15">
        <f>IF(Table1319[[#This Row],[dec val]]="",0,1)</f>
        <v>0</v>
      </c>
      <c r="J327" s="24">
        <v>50000</v>
      </c>
      <c r="M327" s="24">
        <v>50000</v>
      </c>
      <c r="O327" s="45" t="s">
        <v>97</v>
      </c>
      <c r="P327" s="45">
        <f>HEX2DEC(RIGHT(Table132321[[#This Row],[h1]],8))</f>
        <v>0</v>
      </c>
      <c r="Q327" s="45" t="s">
        <v>97</v>
      </c>
      <c r="R327" s="45">
        <f>HEX2DEC(RIGHT(Table132321[[#This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D328" s="15" t="s">
        <v>454</v>
      </c>
      <c r="E328" s="15" t="s">
        <v>66</v>
      </c>
      <c r="G328" s="15">
        <f>IF(Table1319[[#This Row],[dec val]]="",0,1)</f>
        <v>0</v>
      </c>
      <c r="J328" s="24">
        <v>50000</v>
      </c>
      <c r="M328" s="24">
        <v>50000</v>
      </c>
      <c r="O328" s="45" t="s">
        <v>97</v>
      </c>
      <c r="P328" s="45">
        <f>HEX2DEC(RIGHT(Table132321[[#This Row],[h1]],8))</f>
        <v>0</v>
      </c>
      <c r="Q328" s="45" t="s">
        <v>97</v>
      </c>
      <c r="R328" s="45">
        <f>HEX2DEC(RIGHT(Table132321[[#This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455</v>
      </c>
      <c r="E329" s="15" t="s">
        <v>67</v>
      </c>
      <c r="G329" s="15">
        <f>IF(Table1319[[#This Row],[dec val]]="",0,1)</f>
        <v>0</v>
      </c>
      <c r="J329" s="24">
        <v>50000</v>
      </c>
      <c r="M329" s="24">
        <v>50000</v>
      </c>
      <c r="O329" s="45" t="s">
        <v>97</v>
      </c>
      <c r="P329" s="45">
        <f>HEX2DEC(RIGHT(Table132321[[#This Row],[h1]],8))</f>
        <v>0</v>
      </c>
      <c r="Q329" s="45" t="s">
        <v>97</v>
      </c>
      <c r="R329" s="45">
        <f>HEX2DEC(RIGHT(Table132321[[#This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456</v>
      </c>
      <c r="E330" s="15" t="s">
        <v>68</v>
      </c>
      <c r="G330" s="15">
        <f>IF(Table1319[[#This Row],[dec val]]="",0,1)</f>
        <v>0</v>
      </c>
      <c r="J330" s="24">
        <v>50000</v>
      </c>
      <c r="M330" s="24">
        <v>50000</v>
      </c>
      <c r="O330" s="45" t="s">
        <v>97</v>
      </c>
      <c r="P330" s="45">
        <f>HEX2DEC(RIGHT(Table132321[[#This Row],[h1]],8))</f>
        <v>0</v>
      </c>
      <c r="Q330" s="45" t="s">
        <v>97</v>
      </c>
      <c r="R330" s="45">
        <f>HEX2DEC(RIGHT(Table132321[[#This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457</v>
      </c>
      <c r="E331" s="15" t="s">
        <v>69</v>
      </c>
      <c r="G331" s="15">
        <f>IF(Table1319[[#This Row],[dec val]]="",0,1)</f>
        <v>0</v>
      </c>
      <c r="J331" s="24">
        <v>50000</v>
      </c>
      <c r="M331" s="24">
        <v>50000</v>
      </c>
      <c r="O331" s="45" t="s">
        <v>97</v>
      </c>
      <c r="P331" s="45">
        <f>HEX2DEC(RIGHT(Table132321[[#This Row],[h1]],8))</f>
        <v>0</v>
      </c>
      <c r="Q331" s="45" t="s">
        <v>97</v>
      </c>
      <c r="R331" s="45">
        <f>HEX2DEC(RIGHT(Table132321[[#This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458</v>
      </c>
      <c r="E332" s="15" t="s">
        <v>70</v>
      </c>
      <c r="G332" s="15">
        <f>IF(Table1319[[#This Row],[dec val]]="",0,1)</f>
        <v>0</v>
      </c>
      <c r="J332" s="24">
        <v>50000</v>
      </c>
      <c r="M332" s="24">
        <v>50000</v>
      </c>
      <c r="O332" s="45" t="s">
        <v>97</v>
      </c>
      <c r="P332" s="45">
        <f>HEX2DEC(RIGHT(Table132321[[#This Row],[h1]],8))</f>
        <v>0</v>
      </c>
      <c r="Q332" s="45" t="s">
        <v>97</v>
      </c>
      <c r="R332" s="45">
        <f>HEX2DEC(RIGHT(Table132321[[#This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459</v>
      </c>
      <c r="E333" s="15" t="s">
        <v>71</v>
      </c>
      <c r="G333" s="15">
        <f>IF(Table1319[[#This Row],[dec val]]="",0,1)</f>
        <v>0</v>
      </c>
      <c r="J333" s="24">
        <v>50000</v>
      </c>
      <c r="M333" s="24">
        <v>50000</v>
      </c>
      <c r="O333" s="45" t="s">
        <v>97</v>
      </c>
      <c r="P333" s="45">
        <f>HEX2DEC(RIGHT(Table132321[[#This Row],[h1]],8))</f>
        <v>0</v>
      </c>
      <c r="Q333" s="45" t="s">
        <v>97</v>
      </c>
      <c r="R333" s="45">
        <f>HEX2DEC(RIGHT(Table132321[[#This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460</v>
      </c>
      <c r="E334" s="15" t="s">
        <v>72</v>
      </c>
      <c r="G334" s="15">
        <f>IF(Table1319[[#This Row],[dec val]]="",0,1)</f>
        <v>0</v>
      </c>
      <c r="J334" s="24">
        <v>50000</v>
      </c>
      <c r="M334" s="24">
        <v>50000</v>
      </c>
      <c r="O334" s="45" t="s">
        <v>97</v>
      </c>
      <c r="P334" s="45">
        <f>HEX2DEC(RIGHT(Table132321[[#This Row],[h1]],8))</f>
        <v>0</v>
      </c>
      <c r="Q334" s="45" t="s">
        <v>97</v>
      </c>
      <c r="R334" s="45">
        <f>HEX2DEC(RIGHT(Table132321[[#This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461</v>
      </c>
      <c r="E335" s="15" t="s">
        <v>73</v>
      </c>
      <c r="G335" s="15">
        <f>IF(Table1319[[#This Row],[dec val]]="",0,1)</f>
        <v>0</v>
      </c>
      <c r="J335" s="24">
        <v>50000</v>
      </c>
      <c r="M335" s="24">
        <v>50000</v>
      </c>
      <c r="O335" s="45" t="s">
        <v>97</v>
      </c>
      <c r="P335" s="45">
        <f>HEX2DEC(RIGHT(Table132321[[#This Row],[h1]],8))</f>
        <v>0</v>
      </c>
      <c r="Q335" s="45" t="s">
        <v>97</v>
      </c>
      <c r="R335" s="45">
        <f>HEX2DEC(RIGHT(Table132321[[#This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462</v>
      </c>
      <c r="E336" s="15" t="s">
        <v>74</v>
      </c>
      <c r="G336" s="15">
        <f>IF(Table1319[[#This Row],[dec val]]="",0,1)</f>
        <v>0</v>
      </c>
      <c r="J336" s="24">
        <v>50000</v>
      </c>
      <c r="M336" s="24">
        <v>50000</v>
      </c>
      <c r="O336" s="45" t="s">
        <v>97</v>
      </c>
      <c r="P336" s="45">
        <f>HEX2DEC(RIGHT(Table132321[[#This Row],[h1]],8))</f>
        <v>0</v>
      </c>
      <c r="Q336" s="45" t="s">
        <v>97</v>
      </c>
      <c r="R336" s="45">
        <f>HEX2DEC(RIGHT(Table132321[[#This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463</v>
      </c>
      <c r="E337" s="15" t="s">
        <v>75</v>
      </c>
      <c r="G337" s="15">
        <f>IF(Table1319[[#This Row],[dec val]]="",0,1)</f>
        <v>0</v>
      </c>
      <c r="J337" s="24">
        <v>50000</v>
      </c>
      <c r="M337" s="24">
        <v>50000</v>
      </c>
      <c r="O337" s="45" t="s">
        <v>97</v>
      </c>
      <c r="P337" s="45">
        <f>HEX2DEC(RIGHT(Table132321[[#This Row],[h1]],8))</f>
        <v>0</v>
      </c>
      <c r="Q337" s="45" t="s">
        <v>97</v>
      </c>
      <c r="R337" s="45">
        <f>HEX2DEC(RIGHT(Table132321[[#This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464</v>
      </c>
      <c r="E338" s="15" t="s">
        <v>76</v>
      </c>
      <c r="G338" s="15">
        <f>IF(Table1319[[#This Row],[dec val]]="",0,1)</f>
        <v>0</v>
      </c>
      <c r="J338" s="24">
        <v>50000</v>
      </c>
      <c r="M338" s="24">
        <v>50000</v>
      </c>
      <c r="O338" s="45" t="s">
        <v>97</v>
      </c>
      <c r="P338" s="45">
        <f>HEX2DEC(RIGHT(Table132321[[#This Row],[h1]],8))</f>
        <v>0</v>
      </c>
      <c r="Q338" s="45" t="s">
        <v>97</v>
      </c>
      <c r="R338" s="45">
        <f>HEX2DEC(RIGHT(Table132321[[#This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465</v>
      </c>
      <c r="E339" s="15" t="s">
        <v>77</v>
      </c>
      <c r="G339" s="15">
        <f>IF(Table1319[[#This Row],[dec val]]="",0,1)</f>
        <v>0</v>
      </c>
      <c r="J339" s="24">
        <v>50000</v>
      </c>
      <c r="M339" s="24">
        <v>50000</v>
      </c>
      <c r="O339" s="45" t="s">
        <v>97</v>
      </c>
      <c r="P339" s="45">
        <f>HEX2DEC(RIGHT(Table132321[[#This Row],[h1]],8))</f>
        <v>0</v>
      </c>
      <c r="Q339" s="45" t="s">
        <v>97</v>
      </c>
      <c r="R339" s="45">
        <f>HEX2DEC(RIGHT(Table132321[[#This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466</v>
      </c>
      <c r="E340" s="15" t="s">
        <v>78</v>
      </c>
      <c r="G340" s="15">
        <f>IF(Table1319[[#This Row],[dec val]]="",0,1)</f>
        <v>0</v>
      </c>
      <c r="J340" s="24">
        <v>50000</v>
      </c>
      <c r="M340" s="24">
        <v>50000</v>
      </c>
      <c r="O340" s="45" t="s">
        <v>97</v>
      </c>
      <c r="P340" s="45">
        <f>HEX2DEC(RIGHT(Table132321[[#This Row],[h1]],8))</f>
        <v>0</v>
      </c>
      <c r="Q340" s="45" t="s">
        <v>97</v>
      </c>
      <c r="R340" s="45">
        <f>HEX2DEC(RIGHT(Table132321[[#This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467</v>
      </c>
      <c r="E341" s="15" t="s">
        <v>79</v>
      </c>
      <c r="G341" s="15">
        <f>IF(Table1319[[#This Row],[dec val]]="",0,1)</f>
        <v>0</v>
      </c>
      <c r="J341" s="24">
        <v>50000</v>
      </c>
      <c r="M341" s="24">
        <v>50000</v>
      </c>
      <c r="O341" s="45" t="s">
        <v>97</v>
      </c>
      <c r="P341" s="45">
        <f>HEX2DEC(RIGHT(Table132321[[#This Row],[h1]],8))</f>
        <v>0</v>
      </c>
      <c r="Q341" s="45" t="s">
        <v>97</v>
      </c>
      <c r="R341" s="45">
        <f>HEX2DEC(RIGHT(Table132321[[#This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468</v>
      </c>
      <c r="E342" s="15" t="s">
        <v>80</v>
      </c>
      <c r="G342" s="15">
        <f>IF(Table1319[[#This Row],[dec val]]="",0,1)</f>
        <v>0</v>
      </c>
      <c r="J342" s="24">
        <v>50000</v>
      </c>
      <c r="M342" s="24">
        <v>50000</v>
      </c>
      <c r="O342" s="45" t="s">
        <v>97</v>
      </c>
      <c r="P342" s="45">
        <f>HEX2DEC(RIGHT(Table132321[[#This Row],[h1]],8))</f>
        <v>0</v>
      </c>
      <c r="Q342" s="45" t="s">
        <v>97</v>
      </c>
      <c r="R342" s="45">
        <f>HEX2DEC(RIGHT(Table132321[[#This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469</v>
      </c>
      <c r="E343" s="15" t="s">
        <v>81</v>
      </c>
      <c r="G343" s="15">
        <f>IF(Table1319[[#This Row],[dec val]]="",0,1)</f>
        <v>0</v>
      </c>
      <c r="J343" s="24">
        <v>50000</v>
      </c>
      <c r="M343" s="24">
        <v>50000</v>
      </c>
      <c r="O343" s="45" t="s">
        <v>97</v>
      </c>
      <c r="P343" s="45">
        <f>HEX2DEC(RIGHT(Table132321[[#This Row],[h1]],8))</f>
        <v>0</v>
      </c>
      <c r="Q343" s="45" t="s">
        <v>97</v>
      </c>
      <c r="R343" s="45">
        <f>HEX2DEC(RIGHT(Table132321[[#This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470</v>
      </c>
      <c r="E344" s="15" t="s">
        <v>82</v>
      </c>
      <c r="G344" s="15">
        <f>IF(Table1319[[#This Row],[dec val]]="",0,1)</f>
        <v>0</v>
      </c>
      <c r="J344" s="24">
        <v>50000</v>
      </c>
      <c r="M344" s="24">
        <v>50000</v>
      </c>
      <c r="O344" s="45" t="s">
        <v>97</v>
      </c>
      <c r="P344" s="45">
        <f>HEX2DEC(RIGHT(Table132321[[#This Row],[h1]],8))</f>
        <v>0</v>
      </c>
      <c r="Q344" s="45" t="s">
        <v>97</v>
      </c>
      <c r="R344" s="45">
        <f>HEX2DEC(RIGHT(Table132321[[#This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471</v>
      </c>
      <c r="E345" s="15" t="s">
        <v>83</v>
      </c>
      <c r="G345" s="15">
        <f>IF(Table1319[[#This Row],[dec val]]="",0,1)</f>
        <v>0</v>
      </c>
      <c r="J345" s="24">
        <v>50000</v>
      </c>
      <c r="M345" s="24">
        <v>50000</v>
      </c>
      <c r="O345" s="45" t="s">
        <v>97</v>
      </c>
      <c r="P345" s="45">
        <f>HEX2DEC(RIGHT(Table132321[[#This Row],[h1]],8))</f>
        <v>0</v>
      </c>
      <c r="Q345" s="45" t="s">
        <v>97</v>
      </c>
      <c r="R345" s="45">
        <f>HEX2DEC(RIGHT(Table132321[[#This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472</v>
      </c>
      <c r="E346" s="15" t="s">
        <v>84</v>
      </c>
      <c r="G346" s="15">
        <f>IF(Table1319[[#This Row],[dec val]]="",0,1)</f>
        <v>0</v>
      </c>
      <c r="J346" s="24">
        <v>50000</v>
      </c>
      <c r="M346" s="24">
        <v>50000</v>
      </c>
      <c r="O346" s="45" t="s">
        <v>97</v>
      </c>
      <c r="P346" s="45">
        <f>HEX2DEC(RIGHT(Table132321[[#This Row],[h1]],8))</f>
        <v>0</v>
      </c>
      <c r="Q346" s="45" t="s">
        <v>97</v>
      </c>
      <c r="R346" s="45">
        <f>HEX2DEC(RIGHT(Table132321[[#This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J347" s="24">
        <v>50000</v>
      </c>
      <c r="M347" s="24">
        <v>50000</v>
      </c>
      <c r="O347" s="45" t="s">
        <v>97</v>
      </c>
      <c r="P347" s="45">
        <f>HEX2DEC(RIGHT(Table132321[[#This Row],[h1]],8))</f>
        <v>0</v>
      </c>
      <c r="Q347" s="45" t="s">
        <v>97</v>
      </c>
      <c r="R347" s="45">
        <f>HEX2DEC(RIGHT(Table132321[[#This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473</v>
      </c>
      <c r="E348" s="15" t="s">
        <v>54</v>
      </c>
      <c r="G348" s="15">
        <f>IF(Table1319[[#This Row],[dec val]]="",0,1)</f>
        <v>0</v>
      </c>
      <c r="J348" s="24">
        <v>50000</v>
      </c>
      <c r="M348" s="24">
        <v>50000</v>
      </c>
      <c r="O348" s="45" t="s">
        <v>97</v>
      </c>
      <c r="P348" s="45">
        <f>HEX2DEC(RIGHT(Table132321[[#This Row],[h1]],8))</f>
        <v>0</v>
      </c>
      <c r="Q348" s="45" t="s">
        <v>97</v>
      </c>
      <c r="R348" s="45">
        <f>HEX2DEC(RIGHT(Table132321[[#This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474</v>
      </c>
      <c r="E349" s="15" t="s">
        <v>55</v>
      </c>
      <c r="G349" s="15">
        <f>IF(Table1319[[#This Row],[dec val]]="",0,1)</f>
        <v>0</v>
      </c>
      <c r="J349" s="24">
        <v>50000</v>
      </c>
      <c r="M349" s="24">
        <v>50000</v>
      </c>
      <c r="O349" s="45" t="s">
        <v>97</v>
      </c>
      <c r="P349" s="45">
        <f>HEX2DEC(RIGHT(Table132321[[#This Row],[h1]],8))</f>
        <v>0</v>
      </c>
      <c r="Q349" s="45" t="s">
        <v>97</v>
      </c>
      <c r="R349" s="45">
        <f>HEX2DEC(RIGHT(Table132321[[#This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475</v>
      </c>
      <c r="E350" s="15" t="s">
        <v>56</v>
      </c>
      <c r="G350" s="15">
        <f>IF(Table1319[[#This Row],[dec val]]="",0,1)</f>
        <v>0</v>
      </c>
      <c r="J350" s="24">
        <v>50000</v>
      </c>
      <c r="M350" s="24">
        <v>50000</v>
      </c>
      <c r="O350" s="45" t="s">
        <v>97</v>
      </c>
      <c r="P350" s="45">
        <f>HEX2DEC(RIGHT(Table132321[[#This Row],[h1]],8))</f>
        <v>0</v>
      </c>
      <c r="Q350" s="45" t="s">
        <v>97</v>
      </c>
      <c r="R350" s="45">
        <f>HEX2DEC(RIGHT(Table132321[[#This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476</v>
      </c>
      <c r="E351" s="15" t="s">
        <v>57</v>
      </c>
      <c r="G351" s="15">
        <f>IF(Table1319[[#This Row],[dec val]]="",0,1)</f>
        <v>0</v>
      </c>
      <c r="J351" s="24">
        <v>50000</v>
      </c>
      <c r="M351" s="24">
        <v>50000</v>
      </c>
      <c r="O351" s="45" t="s">
        <v>97</v>
      </c>
      <c r="P351" s="45">
        <f>HEX2DEC(RIGHT(Table132321[[#This Row],[h1]],8))</f>
        <v>0</v>
      </c>
      <c r="Q351" s="45" t="s">
        <v>97</v>
      </c>
      <c r="R351" s="45">
        <f>HEX2DEC(RIGHT(Table132321[[#This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477</v>
      </c>
      <c r="E352" s="15" t="s">
        <v>58</v>
      </c>
      <c r="G352" s="15">
        <f>IF(Table1319[[#This Row],[dec val]]="",0,1)</f>
        <v>0</v>
      </c>
      <c r="J352" s="24">
        <v>50000</v>
      </c>
      <c r="M352" s="24">
        <v>50000</v>
      </c>
      <c r="O352" s="45" t="s">
        <v>97</v>
      </c>
      <c r="P352" s="45">
        <f>HEX2DEC(RIGHT(Table132321[[#This Row],[h1]],8))</f>
        <v>0</v>
      </c>
      <c r="Q352" s="45" t="s">
        <v>97</v>
      </c>
      <c r="R352" s="45">
        <f>HEX2DEC(RIGHT(Table132321[[#This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478</v>
      </c>
      <c r="E353" s="15" t="s">
        <v>59</v>
      </c>
      <c r="G353" s="15">
        <f>IF(Table1319[[#This Row],[dec val]]="",0,1)</f>
        <v>0</v>
      </c>
      <c r="J353" s="24">
        <v>50000</v>
      </c>
      <c r="M353" s="24">
        <v>50000</v>
      </c>
      <c r="O353" s="45" t="s">
        <v>97</v>
      </c>
      <c r="P353" s="45">
        <f>HEX2DEC(RIGHT(Table132321[[#This Row],[h1]],8))</f>
        <v>0</v>
      </c>
      <c r="Q353" s="45" t="s">
        <v>97</v>
      </c>
      <c r="R353" s="45">
        <f>HEX2DEC(RIGHT(Table132321[[#This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479</v>
      </c>
      <c r="E354" s="15" t="s">
        <v>60</v>
      </c>
      <c r="G354" s="15">
        <f>IF(Table1319[[#This Row],[dec val]]="",0,1)</f>
        <v>0</v>
      </c>
      <c r="J354" s="24">
        <v>50000</v>
      </c>
      <c r="M354" s="24">
        <v>50000</v>
      </c>
      <c r="O354" s="45" t="s">
        <v>97</v>
      </c>
      <c r="P354" s="45">
        <f>HEX2DEC(RIGHT(Table132321[[#This Row],[h1]],8))</f>
        <v>0</v>
      </c>
      <c r="Q354" s="45" t="s">
        <v>97</v>
      </c>
      <c r="R354" s="45">
        <f>HEX2DEC(RIGHT(Table132321[[#This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480</v>
      </c>
      <c r="E355" s="15" t="s">
        <v>61</v>
      </c>
      <c r="G355" s="15">
        <f>IF(Table1319[[#This Row],[dec val]]="",0,1)</f>
        <v>0</v>
      </c>
      <c r="J355" s="24">
        <v>50000</v>
      </c>
      <c r="M355" s="24">
        <v>50000</v>
      </c>
      <c r="O355" s="45" t="s">
        <v>97</v>
      </c>
      <c r="P355" s="45">
        <f>HEX2DEC(RIGHT(Table132321[[#This Row],[h1]],8))</f>
        <v>0</v>
      </c>
      <c r="Q355" s="45" t="s">
        <v>97</v>
      </c>
      <c r="R355" s="45">
        <f>HEX2DEC(RIGHT(Table132321[[#This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481</v>
      </c>
      <c r="E356" s="15" t="s">
        <v>62</v>
      </c>
      <c r="G356" s="15">
        <f>IF(Table1319[[#This Row],[dec val]]="",0,1)</f>
        <v>0</v>
      </c>
      <c r="J356" s="24">
        <v>50000</v>
      </c>
      <c r="M356" s="24">
        <v>50000</v>
      </c>
      <c r="O356" s="45" t="s">
        <v>97</v>
      </c>
      <c r="P356" s="45">
        <f>HEX2DEC(RIGHT(Table132321[[#This Row],[h1]],8))</f>
        <v>0</v>
      </c>
      <c r="Q356" s="45" t="s">
        <v>97</v>
      </c>
      <c r="R356" s="45">
        <f>HEX2DEC(RIGHT(Table132321[[#This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482</v>
      </c>
      <c r="E357" s="15" t="s">
        <v>63</v>
      </c>
      <c r="G357" s="15">
        <f>IF(Table1319[[#This Row],[dec val]]="",0,1)</f>
        <v>0</v>
      </c>
      <c r="J357" s="24">
        <v>50000</v>
      </c>
      <c r="M357" s="24">
        <v>50000</v>
      </c>
      <c r="O357" s="45" t="s">
        <v>97</v>
      </c>
      <c r="P357" s="45">
        <f>HEX2DEC(RIGHT(Table132321[[#This Row],[h1]],8))</f>
        <v>0</v>
      </c>
      <c r="Q357" s="45" t="s">
        <v>97</v>
      </c>
      <c r="R357" s="45">
        <f>HEX2DEC(RIGHT(Table132321[[#This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483</v>
      </c>
      <c r="E358" s="15" t="s">
        <v>64</v>
      </c>
      <c r="G358" s="15">
        <f>IF(Table1319[[#This Row],[dec val]]="",0,1)</f>
        <v>0</v>
      </c>
      <c r="J358" s="24">
        <v>50000</v>
      </c>
      <c r="M358" s="24">
        <v>50000</v>
      </c>
      <c r="O358" s="45" t="s">
        <v>97</v>
      </c>
      <c r="P358" s="45">
        <f>HEX2DEC(RIGHT(Table132321[[#This Row],[h1]],8))</f>
        <v>0</v>
      </c>
      <c r="Q358" s="45" t="s">
        <v>97</v>
      </c>
      <c r="R358" s="45">
        <f>HEX2DEC(RIGHT(Table132321[[#This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484</v>
      </c>
      <c r="E359" s="15" t="s">
        <v>65</v>
      </c>
      <c r="G359" s="15">
        <f>IF(Table1319[[#This Row],[dec val]]="",0,1)</f>
        <v>0</v>
      </c>
      <c r="J359" s="24">
        <v>50000</v>
      </c>
      <c r="M359" s="24">
        <v>50000</v>
      </c>
      <c r="O359" s="45" t="s">
        <v>97</v>
      </c>
      <c r="P359" s="45">
        <f>HEX2DEC(RIGHT(Table132321[[#This Row],[h1]],8))</f>
        <v>0</v>
      </c>
      <c r="Q359" s="45" t="s">
        <v>97</v>
      </c>
      <c r="R359" s="45">
        <f>HEX2DEC(RIGHT(Table132321[[#This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D360" s="15" t="s">
        <v>485</v>
      </c>
      <c r="E360" s="15" t="s">
        <v>66</v>
      </c>
      <c r="G360" s="15">
        <f>IF(Table1319[[#This Row],[dec val]]="",0,1)</f>
        <v>0</v>
      </c>
      <c r="J360" s="24">
        <v>50000</v>
      </c>
      <c r="M360" s="24">
        <v>50000</v>
      </c>
      <c r="O360" s="45" t="s">
        <v>97</v>
      </c>
      <c r="P360" s="45">
        <f>HEX2DEC(RIGHT(Table132321[[#This Row],[h1]],8))</f>
        <v>0</v>
      </c>
      <c r="Q360" s="45" t="s">
        <v>97</v>
      </c>
      <c r="R360" s="45">
        <f>HEX2DEC(RIGHT(Table132321[[#This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486</v>
      </c>
      <c r="E361" s="15" t="s">
        <v>67</v>
      </c>
      <c r="G361" s="15">
        <f>IF(Table1319[[#This Row],[dec val]]="",0,1)</f>
        <v>0</v>
      </c>
      <c r="J361" s="24">
        <v>50000</v>
      </c>
      <c r="M361" s="24">
        <v>50000</v>
      </c>
      <c r="O361" s="45" t="s">
        <v>97</v>
      </c>
      <c r="P361" s="45">
        <f>HEX2DEC(RIGHT(Table132321[[#This Row],[h1]],8))</f>
        <v>0</v>
      </c>
      <c r="Q361" s="45" t="s">
        <v>97</v>
      </c>
      <c r="R361" s="45">
        <f>HEX2DEC(RIGHT(Table132321[[#This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487</v>
      </c>
      <c r="E362" s="15" t="s">
        <v>68</v>
      </c>
      <c r="G362" s="15">
        <f>IF(Table1319[[#This Row],[dec val]]="",0,1)</f>
        <v>0</v>
      </c>
      <c r="J362" s="24">
        <v>50000</v>
      </c>
      <c r="M362" s="24">
        <v>50000</v>
      </c>
      <c r="O362" s="45" t="s">
        <v>97</v>
      </c>
      <c r="P362" s="45">
        <f>HEX2DEC(RIGHT(Table132321[[#This Row],[h1]],8))</f>
        <v>0</v>
      </c>
      <c r="Q362" s="45" t="s">
        <v>97</v>
      </c>
      <c r="R362" s="45">
        <f>HEX2DEC(RIGHT(Table132321[[#This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488</v>
      </c>
      <c r="E363" s="15" t="s">
        <v>69</v>
      </c>
      <c r="G363" s="15">
        <f>IF(Table1319[[#This Row],[dec val]]="",0,1)</f>
        <v>0</v>
      </c>
      <c r="J363" s="24">
        <v>50000</v>
      </c>
      <c r="M363" s="24">
        <v>50000</v>
      </c>
      <c r="O363" s="45" t="s">
        <v>97</v>
      </c>
      <c r="P363" s="45">
        <f>HEX2DEC(RIGHT(Table132321[[#This Row],[h1]],8))</f>
        <v>0</v>
      </c>
      <c r="Q363" s="45" t="s">
        <v>97</v>
      </c>
      <c r="R363" s="45">
        <f>HEX2DEC(RIGHT(Table132321[[#This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489</v>
      </c>
      <c r="E364" s="15" t="s">
        <v>70</v>
      </c>
      <c r="G364" s="15">
        <f>IF(Table1319[[#This Row],[dec val]]="",0,1)</f>
        <v>0</v>
      </c>
      <c r="J364" s="24">
        <v>50000</v>
      </c>
      <c r="M364" s="24">
        <v>50000</v>
      </c>
      <c r="O364" s="45" t="s">
        <v>97</v>
      </c>
      <c r="P364" s="45">
        <f>HEX2DEC(RIGHT(Table132321[[#This Row],[h1]],8))</f>
        <v>0</v>
      </c>
      <c r="Q364" s="45" t="s">
        <v>97</v>
      </c>
      <c r="R364" s="45">
        <f>HEX2DEC(RIGHT(Table132321[[#This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490</v>
      </c>
      <c r="E365" s="15" t="s">
        <v>71</v>
      </c>
      <c r="G365" s="15">
        <f>IF(Table1319[[#This Row],[dec val]]="",0,1)</f>
        <v>0</v>
      </c>
      <c r="J365" s="24">
        <v>50000</v>
      </c>
      <c r="M365" s="24">
        <v>50000</v>
      </c>
      <c r="O365" s="45" t="s">
        <v>97</v>
      </c>
      <c r="P365" s="45">
        <f>HEX2DEC(RIGHT(Table132321[[#This Row],[h1]],8))</f>
        <v>0</v>
      </c>
      <c r="Q365" s="45" t="s">
        <v>97</v>
      </c>
      <c r="R365" s="45">
        <f>HEX2DEC(RIGHT(Table132321[[#This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491</v>
      </c>
      <c r="E366" s="15" t="s">
        <v>72</v>
      </c>
      <c r="G366" s="15">
        <f>IF(Table1319[[#This Row],[dec val]]="",0,1)</f>
        <v>0</v>
      </c>
      <c r="J366" s="24">
        <v>50000</v>
      </c>
      <c r="M366" s="24">
        <v>50000</v>
      </c>
      <c r="O366" s="45" t="s">
        <v>97</v>
      </c>
      <c r="P366" s="45">
        <f>HEX2DEC(RIGHT(Table132321[[#This Row],[h1]],8))</f>
        <v>0</v>
      </c>
      <c r="Q366" s="45" t="s">
        <v>97</v>
      </c>
      <c r="R366" s="45">
        <f>HEX2DEC(RIGHT(Table132321[[#This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492</v>
      </c>
      <c r="E367" s="15" t="s">
        <v>73</v>
      </c>
      <c r="G367" s="15">
        <f>IF(Table1319[[#This Row],[dec val]]="",0,1)</f>
        <v>0</v>
      </c>
      <c r="J367" s="24">
        <v>50000</v>
      </c>
      <c r="M367" s="24">
        <v>50000</v>
      </c>
      <c r="O367" s="45" t="s">
        <v>97</v>
      </c>
      <c r="P367" s="45">
        <f>HEX2DEC(RIGHT(Table132321[[#This Row],[h1]],8))</f>
        <v>0</v>
      </c>
      <c r="Q367" s="45" t="s">
        <v>97</v>
      </c>
      <c r="R367" s="45">
        <f>HEX2DEC(RIGHT(Table132321[[#This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493</v>
      </c>
      <c r="E368" s="15" t="s">
        <v>74</v>
      </c>
      <c r="G368" s="15">
        <f>IF(Table1319[[#This Row],[dec val]]="",0,1)</f>
        <v>0</v>
      </c>
      <c r="J368" s="24">
        <v>50000</v>
      </c>
      <c r="M368" s="24">
        <v>50000</v>
      </c>
      <c r="O368" s="45" t="s">
        <v>97</v>
      </c>
      <c r="P368" s="45">
        <f>HEX2DEC(RIGHT(Table132321[[#This Row],[h1]],8))</f>
        <v>0</v>
      </c>
      <c r="Q368" s="45" t="s">
        <v>97</v>
      </c>
      <c r="R368" s="45">
        <f>HEX2DEC(RIGHT(Table132321[[#This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494</v>
      </c>
      <c r="E369" s="15" t="s">
        <v>75</v>
      </c>
      <c r="G369" s="15">
        <f>IF(Table1319[[#This Row],[dec val]]="",0,1)</f>
        <v>0</v>
      </c>
      <c r="J369" s="24">
        <v>50000</v>
      </c>
      <c r="M369" s="24">
        <v>50000</v>
      </c>
      <c r="O369" s="45" t="s">
        <v>97</v>
      </c>
      <c r="P369" s="45">
        <f>HEX2DEC(RIGHT(Table132321[[#This Row],[h1]],8))</f>
        <v>0</v>
      </c>
      <c r="Q369" s="45" t="s">
        <v>97</v>
      </c>
      <c r="R369" s="45">
        <f>HEX2DEC(RIGHT(Table132321[[#This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495</v>
      </c>
      <c r="E370" s="15" t="s">
        <v>76</v>
      </c>
      <c r="G370" s="15">
        <f>IF(Table1319[[#This Row],[dec val]]="",0,1)</f>
        <v>0</v>
      </c>
      <c r="J370" s="24">
        <v>50000</v>
      </c>
      <c r="M370" s="24">
        <v>50000</v>
      </c>
      <c r="O370" s="45" t="s">
        <v>97</v>
      </c>
      <c r="P370" s="45">
        <f>HEX2DEC(RIGHT(Table132321[[#This Row],[h1]],8))</f>
        <v>0</v>
      </c>
      <c r="Q370" s="45" t="s">
        <v>97</v>
      </c>
      <c r="R370" s="45">
        <f>HEX2DEC(RIGHT(Table132321[[#This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496</v>
      </c>
      <c r="E371" s="15" t="s">
        <v>77</v>
      </c>
      <c r="G371" s="15">
        <f>IF(Table1319[[#This Row],[dec val]]="",0,1)</f>
        <v>0</v>
      </c>
      <c r="J371" s="24">
        <v>50000</v>
      </c>
      <c r="M371" s="24">
        <v>50000</v>
      </c>
      <c r="O371" s="45" t="s">
        <v>97</v>
      </c>
      <c r="P371" s="45">
        <f>HEX2DEC(RIGHT(Table132321[[#This Row],[h1]],8))</f>
        <v>0</v>
      </c>
      <c r="Q371" s="45" t="s">
        <v>97</v>
      </c>
      <c r="R371" s="45">
        <f>HEX2DEC(RIGHT(Table132321[[#This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497</v>
      </c>
      <c r="E372" s="15" t="s">
        <v>78</v>
      </c>
      <c r="G372" s="15">
        <f>IF(Table1319[[#This Row],[dec val]]="",0,1)</f>
        <v>0</v>
      </c>
      <c r="J372" s="24">
        <v>50000</v>
      </c>
      <c r="M372" s="24">
        <v>50000</v>
      </c>
      <c r="O372" s="45" t="s">
        <v>97</v>
      </c>
      <c r="P372" s="45">
        <f>HEX2DEC(RIGHT(Table132321[[#This Row],[h1]],8))</f>
        <v>0</v>
      </c>
      <c r="Q372" s="45" t="s">
        <v>97</v>
      </c>
      <c r="R372" s="45">
        <f>HEX2DEC(RIGHT(Table132321[[#This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498</v>
      </c>
      <c r="E373" s="15" t="s">
        <v>79</v>
      </c>
      <c r="G373" s="15">
        <f>IF(Table1319[[#This Row],[dec val]]="",0,1)</f>
        <v>0</v>
      </c>
      <c r="J373" s="24">
        <v>50000</v>
      </c>
      <c r="M373" s="24">
        <v>50000</v>
      </c>
      <c r="O373" s="45" t="s">
        <v>97</v>
      </c>
      <c r="P373" s="45">
        <f>HEX2DEC(RIGHT(Table132321[[#This Row],[h1]],8))</f>
        <v>0</v>
      </c>
      <c r="Q373" s="45" t="s">
        <v>97</v>
      </c>
      <c r="R373" s="45">
        <f>HEX2DEC(RIGHT(Table132321[[#This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499</v>
      </c>
      <c r="E374" s="15" t="s">
        <v>80</v>
      </c>
      <c r="G374" s="15">
        <f>IF(Table1319[[#This Row],[dec val]]="",0,1)</f>
        <v>0</v>
      </c>
      <c r="J374" s="24">
        <v>50000</v>
      </c>
      <c r="M374" s="24">
        <v>50000</v>
      </c>
      <c r="O374" s="45" t="s">
        <v>97</v>
      </c>
      <c r="P374" s="45">
        <f>HEX2DEC(RIGHT(Table132321[[#This Row],[h1]],8))</f>
        <v>0</v>
      </c>
      <c r="Q374" s="45" t="s">
        <v>97</v>
      </c>
      <c r="R374" s="45">
        <f>HEX2DEC(RIGHT(Table132321[[#This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500</v>
      </c>
      <c r="E375" s="15" t="s">
        <v>81</v>
      </c>
      <c r="G375" s="15">
        <f>IF(Table1319[[#This Row],[dec val]]="",0,1)</f>
        <v>0</v>
      </c>
      <c r="J375" s="24">
        <v>50000</v>
      </c>
      <c r="M375" s="24">
        <v>50000</v>
      </c>
      <c r="O375" s="45" t="s">
        <v>97</v>
      </c>
      <c r="P375" s="45">
        <f>HEX2DEC(RIGHT(Table132321[[#This Row],[h1]],8))</f>
        <v>0</v>
      </c>
      <c r="Q375" s="45" t="s">
        <v>97</v>
      </c>
      <c r="R375" s="45">
        <f>HEX2DEC(RIGHT(Table132321[[#This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501</v>
      </c>
      <c r="E376" s="15" t="s">
        <v>82</v>
      </c>
      <c r="G376" s="15">
        <f>IF(Table1319[[#This Row],[dec val]]="",0,1)</f>
        <v>0</v>
      </c>
      <c r="J376" s="24">
        <v>50000</v>
      </c>
      <c r="M376" s="24">
        <v>50000</v>
      </c>
      <c r="O376" s="45" t="s">
        <v>97</v>
      </c>
      <c r="P376" s="45">
        <f>HEX2DEC(RIGHT(Table132321[[#This Row],[h1]],8))</f>
        <v>0</v>
      </c>
      <c r="Q376" s="45" t="s">
        <v>97</v>
      </c>
      <c r="R376" s="45">
        <f>HEX2DEC(RIGHT(Table132321[[#This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502</v>
      </c>
      <c r="E377" s="15" t="s">
        <v>83</v>
      </c>
      <c r="G377" s="15">
        <f>IF(Table1319[[#This Row],[dec val]]="",0,1)</f>
        <v>0</v>
      </c>
      <c r="J377" s="24">
        <v>50000</v>
      </c>
      <c r="M377" s="24">
        <v>50000</v>
      </c>
      <c r="O377" s="45" t="s">
        <v>97</v>
      </c>
      <c r="P377" s="45">
        <f>HEX2DEC(RIGHT(Table132321[[#This Row],[h1]],8))</f>
        <v>0</v>
      </c>
      <c r="Q377" s="45" t="s">
        <v>97</v>
      </c>
      <c r="R377" s="45">
        <f>HEX2DEC(RIGHT(Table132321[[#This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503</v>
      </c>
      <c r="E378" s="15" t="s">
        <v>84</v>
      </c>
      <c r="G378" s="15">
        <f>IF(Table1319[[#This Row],[dec val]]="",0,1)</f>
        <v>0</v>
      </c>
      <c r="J378" s="24">
        <v>50000</v>
      </c>
      <c r="M378" s="24">
        <v>50000</v>
      </c>
      <c r="O378" s="45" t="s">
        <v>97</v>
      </c>
      <c r="P378" s="45">
        <f>HEX2DEC(RIGHT(Table132321[[#This Row],[h1]],8))</f>
        <v>0</v>
      </c>
      <c r="Q378" s="45" t="s">
        <v>97</v>
      </c>
      <c r="R378" s="45">
        <f>HEX2DEC(RIGHT(Table132321[[#This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J379" s="24">
        <v>50000</v>
      </c>
      <c r="M379" s="24">
        <v>50000</v>
      </c>
      <c r="O379" s="45" t="s">
        <v>97</v>
      </c>
      <c r="P379" s="45">
        <f>HEX2DEC(RIGHT(Table132321[[#This Row],[h1]],8))</f>
        <v>0</v>
      </c>
      <c r="Q379" s="45" t="s">
        <v>97</v>
      </c>
      <c r="R379" s="45">
        <f>HEX2DEC(RIGHT(Table132321[[#This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504</v>
      </c>
      <c r="G380" s="15">
        <v>0</v>
      </c>
      <c r="J380" s="24">
        <v>50000</v>
      </c>
      <c r="M380" s="24">
        <v>50000</v>
      </c>
      <c r="O380" s="45" t="s">
        <v>97</v>
      </c>
      <c r="P380" s="45">
        <f>HEX2DEC(RIGHT(Table132321[[#This Row],[h1]],8))</f>
        <v>0</v>
      </c>
      <c r="Q380" s="45" t="s">
        <v>97</v>
      </c>
      <c r="R380" s="45">
        <f>HEX2DEC(RIGHT(Table132321[[#This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505</v>
      </c>
      <c r="G381" s="15">
        <v>0</v>
      </c>
      <c r="J381" s="24">
        <v>50000</v>
      </c>
      <c r="M381" s="24">
        <v>50000</v>
      </c>
      <c r="O381" s="45" t="s">
        <v>97</v>
      </c>
      <c r="P381" s="45">
        <f>HEX2DEC(RIGHT(Table132321[[#This Row],[h1]],8))</f>
        <v>0</v>
      </c>
      <c r="Q381" s="45" t="s">
        <v>97</v>
      </c>
      <c r="R381" s="45">
        <f>HEX2DEC(RIGHT(Table132321[[#This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506</v>
      </c>
      <c r="G382" s="15">
        <v>0</v>
      </c>
      <c r="J382" s="24">
        <v>50000</v>
      </c>
      <c r="M382" s="24">
        <v>50000</v>
      </c>
      <c r="O382" s="45" t="s">
        <v>97</v>
      </c>
      <c r="P382" s="45">
        <f>HEX2DEC(RIGHT(Table132321[[#This Row],[h1]],8))</f>
        <v>0</v>
      </c>
      <c r="Q382" s="45" t="s">
        <v>97</v>
      </c>
      <c r="R382" s="45">
        <f>HEX2DEC(RIGHT(Table132321[[#This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507</v>
      </c>
      <c r="G383" s="15">
        <v>0</v>
      </c>
      <c r="J383" s="24">
        <v>50000</v>
      </c>
      <c r="M383" s="24">
        <v>50000</v>
      </c>
      <c r="O383" s="45" t="s">
        <v>97</v>
      </c>
      <c r="P383" s="45">
        <f>HEX2DEC(RIGHT(Table132321[[#This Row],[h1]],8))</f>
        <v>0</v>
      </c>
      <c r="Q383" s="45" t="s">
        <v>97</v>
      </c>
      <c r="R383" s="45">
        <f>HEX2DEC(RIGHT(Table132321[[#This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508</v>
      </c>
      <c r="G384" s="15">
        <v>0</v>
      </c>
      <c r="J384" s="24">
        <v>50000</v>
      </c>
      <c r="M384" s="24">
        <v>50000</v>
      </c>
      <c r="O384" s="45" t="s">
        <v>97</v>
      </c>
      <c r="P384" s="45">
        <f>HEX2DEC(RIGHT(Table132321[[#This Row],[h1]],8))</f>
        <v>0</v>
      </c>
      <c r="Q384" s="45" t="s">
        <v>97</v>
      </c>
      <c r="R384" s="45">
        <f>HEX2DEC(RIGHT(Table132321[[#This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509</v>
      </c>
      <c r="G385" s="15">
        <v>0</v>
      </c>
      <c r="J385" s="24">
        <v>50000</v>
      </c>
      <c r="M385" s="24">
        <v>50000</v>
      </c>
      <c r="O385" s="45" t="s">
        <v>97</v>
      </c>
      <c r="P385" s="45">
        <f>HEX2DEC(RIGHT(Table132321[[#This Row],[h1]],8))</f>
        <v>0</v>
      </c>
      <c r="Q385" s="45" t="s">
        <v>97</v>
      </c>
      <c r="R385" s="45">
        <f>HEX2DEC(RIGHT(Table132321[[#This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510</v>
      </c>
      <c r="G386" s="15">
        <v>0</v>
      </c>
      <c r="J386" s="24">
        <v>50000</v>
      </c>
      <c r="M386" s="24">
        <v>50000</v>
      </c>
      <c r="O386" s="45" t="s">
        <v>97</v>
      </c>
      <c r="P386" s="45">
        <f>HEX2DEC(RIGHT(Table132321[[#This Row],[h1]],8))</f>
        <v>0</v>
      </c>
      <c r="Q386" s="45" t="s">
        <v>97</v>
      </c>
      <c r="R386" s="45">
        <f>HEX2DEC(RIGHT(Table132321[[#This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G387" s="33"/>
      <c r="J387" s="24">
        <v>50000</v>
      </c>
      <c r="M387" s="24">
        <v>50000</v>
      </c>
      <c r="O387" s="45" t="s">
        <v>97</v>
      </c>
      <c r="P387" s="45">
        <f>HEX2DEC(RIGHT(Table132321[[#This Row],[h1]],8))</f>
        <v>0</v>
      </c>
      <c r="Q387" s="45" t="s">
        <v>97</v>
      </c>
      <c r="R387" s="45">
        <f>HEX2DEC(RIGHT(Table132321[[#This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113</v>
      </c>
      <c r="G388" s="55" t="s">
        <v>672</v>
      </c>
      <c r="J388" s="24">
        <v>50000</v>
      </c>
      <c r="M388" s="24">
        <v>50000</v>
      </c>
      <c r="O388" s="45" t="s">
        <v>97</v>
      </c>
      <c r="P388" s="45">
        <f>HEX2DEC(RIGHT(Table132321[[#This Row],[h1]],8))</f>
        <v>0</v>
      </c>
      <c r="Q388" s="45" t="s">
        <v>97</v>
      </c>
      <c r="R388" s="45">
        <f>HEX2DEC(RIGHT(Table132321[[#This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114</v>
      </c>
      <c r="G389" s="55" t="s">
        <v>156</v>
      </c>
      <c r="J389" s="24">
        <v>50000</v>
      </c>
      <c r="M389" s="24">
        <v>50000</v>
      </c>
      <c r="O389" s="45" t="s">
        <v>97</v>
      </c>
      <c r="P389" s="45">
        <f>HEX2DEC(RIGHT(Table132321[[#This Row],[h1]],8))</f>
        <v>0</v>
      </c>
      <c r="Q389" s="45" t="s">
        <v>97</v>
      </c>
      <c r="R389" s="45">
        <f>HEX2DEC(RIGHT(Table132321[[#This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115</v>
      </c>
      <c r="G390" s="55" t="s">
        <v>673</v>
      </c>
      <c r="J390" s="24">
        <v>50000</v>
      </c>
      <c r="M390" s="24">
        <v>50000</v>
      </c>
      <c r="O390" s="45" t="s">
        <v>97</v>
      </c>
      <c r="P390" s="45">
        <f>HEX2DEC(RIGHT(Table132321[[#This Row],[h1]],8))</f>
        <v>0</v>
      </c>
      <c r="Q390" s="45" t="s">
        <v>97</v>
      </c>
      <c r="R390" s="45">
        <f>HEX2DEC(RIGHT(Table132321[[#This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116</v>
      </c>
      <c r="G391" s="55" t="s">
        <v>156</v>
      </c>
      <c r="J391" s="24">
        <v>50000</v>
      </c>
      <c r="M391" s="24">
        <v>50000</v>
      </c>
      <c r="O391" s="45" t="s">
        <v>97</v>
      </c>
      <c r="P391" s="45">
        <f>HEX2DEC(RIGHT(Table132321[[#This Row],[h1]],8))</f>
        <v>0</v>
      </c>
      <c r="Q391" s="45" t="s">
        <v>97</v>
      </c>
      <c r="R391" s="45">
        <f>HEX2DEC(RIGHT(Table132321[[#This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D392" s="15" t="s">
        <v>117</v>
      </c>
      <c r="G392" s="55" t="s">
        <v>156</v>
      </c>
      <c r="J392" s="24">
        <v>50000</v>
      </c>
      <c r="M392" s="24">
        <v>50000</v>
      </c>
      <c r="O392" s="45" t="s">
        <v>97</v>
      </c>
      <c r="P392" s="45">
        <f>HEX2DEC(RIGHT(Table132321[[#This Row],[h1]],8))</f>
        <v>0</v>
      </c>
      <c r="Q392" s="45" t="s">
        <v>97</v>
      </c>
      <c r="R392" s="45">
        <f>HEX2DEC(RIGHT(Table132321[[#This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118</v>
      </c>
      <c r="G393" s="55" t="s">
        <v>156</v>
      </c>
      <c r="J393" s="24">
        <v>50000</v>
      </c>
      <c r="M393" s="24">
        <v>50000</v>
      </c>
      <c r="O393" s="45" t="s">
        <v>97</v>
      </c>
      <c r="P393" s="45">
        <f>HEX2DEC(RIGHT(Table132321[[#This Row],[h1]],8))</f>
        <v>0</v>
      </c>
      <c r="Q393" s="45" t="s">
        <v>97</v>
      </c>
      <c r="R393" s="45">
        <f>HEX2DEC(RIGHT(Table132321[[#This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119</v>
      </c>
      <c r="G394" s="55" t="s">
        <v>156</v>
      </c>
      <c r="J394" s="24">
        <v>50000</v>
      </c>
      <c r="M394" s="24">
        <v>50000</v>
      </c>
      <c r="O394" s="45" t="s">
        <v>97</v>
      </c>
      <c r="P394" s="45">
        <f>HEX2DEC(RIGHT(Table132321[[#This Row],[h1]],8))</f>
        <v>0</v>
      </c>
      <c r="Q394" s="45" t="s">
        <v>97</v>
      </c>
      <c r="R394" s="45">
        <f>HEX2DEC(RIGHT(Table132321[[#This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120</v>
      </c>
      <c r="G395" s="55" t="s">
        <v>152</v>
      </c>
      <c r="J395" s="24">
        <v>50000</v>
      </c>
      <c r="M395" s="24">
        <v>50000</v>
      </c>
      <c r="O395" s="45" t="s">
        <v>97</v>
      </c>
      <c r="P395" s="45">
        <f>HEX2DEC(RIGHT(Table132321[[#This Row],[h1]],8))</f>
        <v>0</v>
      </c>
      <c r="Q395" s="45" t="s">
        <v>97</v>
      </c>
      <c r="R395" s="45">
        <f>HEX2DEC(RIGHT(Table132321[[#This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121</v>
      </c>
      <c r="G396" s="55" t="s">
        <v>152</v>
      </c>
      <c r="J396" s="24">
        <v>50000</v>
      </c>
      <c r="M396" s="24">
        <v>50000</v>
      </c>
      <c r="O396" s="45" t="s">
        <v>97</v>
      </c>
      <c r="P396" s="45">
        <f>HEX2DEC(RIGHT(Table132321[[#This Row],[h1]],8))</f>
        <v>0</v>
      </c>
      <c r="Q396" s="45" t="s">
        <v>97</v>
      </c>
      <c r="R396" s="45">
        <f>HEX2DEC(RIGHT(Table132321[[#This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122</v>
      </c>
      <c r="G397" s="55" t="s">
        <v>152</v>
      </c>
      <c r="J397" s="24">
        <v>50000</v>
      </c>
      <c r="M397" s="24">
        <v>50000</v>
      </c>
      <c r="O397" s="45" t="s">
        <v>97</v>
      </c>
      <c r="P397" s="45">
        <f>HEX2DEC(RIGHT(Table132321[[#This Row],[h1]],8))</f>
        <v>0</v>
      </c>
      <c r="Q397" s="45" t="s">
        <v>97</v>
      </c>
      <c r="R397" s="45">
        <f>HEX2DEC(RIGHT(Table132321[[#This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123</v>
      </c>
      <c r="G398" s="55" t="s">
        <v>152</v>
      </c>
      <c r="J398" s="24">
        <v>50000</v>
      </c>
      <c r="M398" s="24">
        <v>50000</v>
      </c>
      <c r="O398" s="45" t="s">
        <v>97</v>
      </c>
      <c r="P398" s="45">
        <f>HEX2DEC(RIGHT(Table132321[[#This Row],[h1]],8))</f>
        <v>0</v>
      </c>
      <c r="Q398" s="45" t="s">
        <v>97</v>
      </c>
      <c r="R398" s="45">
        <f>HEX2DEC(RIGHT(Table132321[[#This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124</v>
      </c>
      <c r="G399" s="55" t="s">
        <v>152</v>
      </c>
      <c r="J399" s="24">
        <v>50000</v>
      </c>
      <c r="M399" s="24">
        <v>50000</v>
      </c>
      <c r="O399" s="45" t="s">
        <v>97</v>
      </c>
      <c r="P399" s="45">
        <f>HEX2DEC(RIGHT(Table132321[[#This Row],[h1]],8))</f>
        <v>0</v>
      </c>
      <c r="Q399" s="45" t="s">
        <v>97</v>
      </c>
      <c r="R399" s="45">
        <f>HEX2DEC(RIGHT(Table132321[[#This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D400" s="15" t="s">
        <v>125</v>
      </c>
      <c r="G400" s="55" t="s">
        <v>152</v>
      </c>
      <c r="J400" s="24">
        <v>50000</v>
      </c>
      <c r="M400" s="24">
        <v>50000</v>
      </c>
      <c r="O400" s="45" t="s">
        <v>97</v>
      </c>
      <c r="P400" s="45">
        <f>HEX2DEC(RIGHT(Table132321[[#This Row],[h1]],8))</f>
        <v>0</v>
      </c>
      <c r="Q400" s="45" t="s">
        <v>97</v>
      </c>
      <c r="R400" s="45">
        <f>HEX2DEC(RIGHT(Table132321[[#This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126</v>
      </c>
      <c r="G401" s="55" t="s">
        <v>152</v>
      </c>
      <c r="J401" s="24">
        <v>50000</v>
      </c>
      <c r="M401" s="24">
        <v>50000</v>
      </c>
      <c r="O401" s="45" t="s">
        <v>97</v>
      </c>
      <c r="P401" s="45">
        <f>HEX2DEC(RIGHT(Table132321[[#This Row],[h1]],8))</f>
        <v>0</v>
      </c>
      <c r="Q401" s="45" t="s">
        <v>97</v>
      </c>
      <c r="R401" s="45">
        <f>HEX2DEC(RIGHT(Table132321[[#This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127</v>
      </c>
      <c r="G402" s="55" t="s">
        <v>152</v>
      </c>
      <c r="J402" s="24">
        <v>50000</v>
      </c>
      <c r="M402" s="24">
        <v>50000</v>
      </c>
      <c r="O402" s="45" t="s">
        <v>97</v>
      </c>
      <c r="P402" s="45">
        <f>HEX2DEC(RIGHT(Table132321[[#This Row],[h1]],8))</f>
        <v>0</v>
      </c>
      <c r="Q402" s="45" t="s">
        <v>97</v>
      </c>
      <c r="R402" s="45">
        <f>HEX2DEC(RIGHT(Table132321[[#This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128</v>
      </c>
      <c r="G403" s="55" t="s">
        <v>152</v>
      </c>
      <c r="J403" s="24">
        <v>50000</v>
      </c>
      <c r="M403" s="24">
        <v>50000</v>
      </c>
      <c r="O403" s="45" t="s">
        <v>97</v>
      </c>
      <c r="P403" s="45">
        <f>HEX2DEC(RIGHT(Table132321[[#This Row],[h1]],8))</f>
        <v>0</v>
      </c>
      <c r="Q403" s="45" t="s">
        <v>97</v>
      </c>
      <c r="R403" s="45">
        <f>HEX2DEC(RIGHT(Table132321[[#This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129</v>
      </c>
      <c r="G404" s="55" t="s">
        <v>152</v>
      </c>
      <c r="J404" s="24">
        <v>50000</v>
      </c>
      <c r="M404" s="24">
        <v>50000</v>
      </c>
      <c r="O404" s="45" t="s">
        <v>97</v>
      </c>
      <c r="P404" s="45">
        <f>HEX2DEC(RIGHT(Table132321[[#This Row],[h1]],8))</f>
        <v>0</v>
      </c>
      <c r="Q404" s="45" t="s">
        <v>97</v>
      </c>
      <c r="R404" s="45">
        <f>HEX2DEC(RIGHT(Table132321[[#This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130</v>
      </c>
      <c r="G405" s="55" t="s">
        <v>152</v>
      </c>
      <c r="J405" s="24">
        <v>50000</v>
      </c>
      <c r="M405" s="24">
        <v>50000</v>
      </c>
      <c r="O405" s="45" t="s">
        <v>97</v>
      </c>
      <c r="P405" s="45">
        <f>HEX2DEC(RIGHT(Table132321[[#This Row],[h1]],8))</f>
        <v>0</v>
      </c>
      <c r="Q405" s="45" t="s">
        <v>97</v>
      </c>
      <c r="R405" s="45">
        <f>HEX2DEC(RIGHT(Table132321[[#This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131</v>
      </c>
      <c r="G406" s="55" t="s">
        <v>152</v>
      </c>
      <c r="J406" s="24">
        <v>50000</v>
      </c>
      <c r="M406" s="24">
        <v>50000</v>
      </c>
      <c r="O406" s="45" t="s">
        <v>97</v>
      </c>
      <c r="P406" s="45">
        <f>HEX2DEC(RIGHT(Table132321[[#This Row],[h1]],8))</f>
        <v>0</v>
      </c>
      <c r="Q406" s="45" t="s">
        <v>97</v>
      </c>
      <c r="R406" s="45">
        <f>HEX2DEC(RIGHT(Table132321[[#This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132</v>
      </c>
      <c r="G407" s="55" t="s">
        <v>152</v>
      </c>
      <c r="J407" s="24">
        <v>50000</v>
      </c>
      <c r="M407" s="24">
        <v>50000</v>
      </c>
      <c r="O407" s="45" t="s">
        <v>97</v>
      </c>
      <c r="P407" s="45">
        <f>HEX2DEC(RIGHT(Table132321[[#This Row],[h1]],8))</f>
        <v>0</v>
      </c>
      <c r="Q407" s="45" t="s">
        <v>97</v>
      </c>
      <c r="R407" s="45">
        <f>HEX2DEC(RIGHT(Table132321[[#This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133</v>
      </c>
      <c r="G408" s="55" t="s">
        <v>152</v>
      </c>
      <c r="J408" s="24">
        <v>50000</v>
      </c>
      <c r="M408" s="24">
        <v>50000</v>
      </c>
      <c r="O408" s="45" t="s">
        <v>97</v>
      </c>
      <c r="P408" s="45">
        <f>HEX2DEC(RIGHT(Table132321[[#This Row],[h1]],8))</f>
        <v>0</v>
      </c>
      <c r="Q408" s="45" t="s">
        <v>97</v>
      </c>
      <c r="R408" s="45">
        <f>HEX2DEC(RIGHT(Table132321[[#This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134</v>
      </c>
      <c r="G409" s="55" t="s">
        <v>152</v>
      </c>
      <c r="J409" s="24">
        <v>50000</v>
      </c>
      <c r="M409" s="24">
        <v>50000</v>
      </c>
      <c r="O409" s="45" t="s">
        <v>97</v>
      </c>
      <c r="P409" s="45">
        <f>HEX2DEC(RIGHT(Table132321[[#This Row],[h1]],8))</f>
        <v>0</v>
      </c>
      <c r="Q409" s="45" t="s">
        <v>97</v>
      </c>
      <c r="R409" s="45">
        <f>HEX2DEC(RIGHT(Table132321[[#This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135</v>
      </c>
      <c r="G410" s="55" t="s">
        <v>152</v>
      </c>
      <c r="J410" s="24">
        <v>50000</v>
      </c>
      <c r="M410" s="24">
        <v>50000</v>
      </c>
      <c r="O410" s="45" t="s">
        <v>97</v>
      </c>
      <c r="P410" s="45">
        <f>HEX2DEC(RIGHT(Table132321[[#This Row],[h1]],8))</f>
        <v>0</v>
      </c>
      <c r="Q410" s="45" t="s">
        <v>97</v>
      </c>
      <c r="R410" s="45">
        <f>HEX2DEC(RIGHT(Table132321[[#This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136</v>
      </c>
      <c r="G411" s="55" t="s">
        <v>674</v>
      </c>
      <c r="J411" s="24">
        <v>50000</v>
      </c>
      <c r="M411" s="24">
        <v>50000</v>
      </c>
      <c r="O411" s="45" t="s">
        <v>97</v>
      </c>
      <c r="P411" s="45">
        <f>HEX2DEC(RIGHT(Table132321[[#This Row],[h1]],8))</f>
        <v>0</v>
      </c>
      <c r="Q411" s="45" t="s">
        <v>97</v>
      </c>
      <c r="R411" s="45">
        <f>HEX2DEC(RIGHT(Table132321[[#This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137</v>
      </c>
      <c r="G412" s="55" t="s">
        <v>152</v>
      </c>
      <c r="J412" s="24">
        <v>50000</v>
      </c>
      <c r="M412" s="24">
        <v>50000</v>
      </c>
      <c r="O412" s="45" t="s">
        <v>97</v>
      </c>
      <c r="P412" s="45">
        <f>HEX2DEC(RIGHT(Table132321[[#This Row],[h1]],8))</f>
        <v>0</v>
      </c>
      <c r="Q412" s="45" t="s">
        <v>97</v>
      </c>
      <c r="R412" s="45">
        <f>HEX2DEC(RIGHT(Table132321[[#This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138</v>
      </c>
      <c r="G413" s="55" t="s">
        <v>152</v>
      </c>
      <c r="J413" s="24">
        <v>50000</v>
      </c>
      <c r="M413" s="24">
        <v>50000</v>
      </c>
      <c r="O413" s="45" t="s">
        <v>97</v>
      </c>
      <c r="P413" s="45">
        <f>HEX2DEC(RIGHT(Table132321[[#This Row],[h1]],8))</f>
        <v>0</v>
      </c>
      <c r="Q413" s="45" t="s">
        <v>97</v>
      </c>
      <c r="R413" s="45">
        <f>HEX2DEC(RIGHT(Table132321[[#This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139</v>
      </c>
      <c r="G414" s="55" t="s">
        <v>152</v>
      </c>
      <c r="J414" s="24">
        <v>50000</v>
      </c>
      <c r="M414" s="24">
        <v>50000</v>
      </c>
      <c r="O414" s="45" t="s">
        <v>97</v>
      </c>
      <c r="P414" s="45">
        <f>HEX2DEC(RIGHT(Table132321[[#This Row],[h1]],8))</f>
        <v>0</v>
      </c>
      <c r="Q414" s="45" t="s">
        <v>97</v>
      </c>
      <c r="R414" s="45">
        <f>HEX2DEC(RIGHT(Table132321[[#This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140</v>
      </c>
      <c r="G415" s="55" t="s">
        <v>152</v>
      </c>
      <c r="J415" s="24">
        <v>50000</v>
      </c>
      <c r="M415" s="24">
        <v>50000</v>
      </c>
      <c r="O415" s="45" t="s">
        <v>97</v>
      </c>
      <c r="P415" s="45">
        <f>HEX2DEC(RIGHT(Table132321[[#This Row],[h1]],8))</f>
        <v>0</v>
      </c>
      <c r="Q415" s="45" t="s">
        <v>97</v>
      </c>
      <c r="R415" s="45">
        <f>HEX2DEC(RIGHT(Table132321[[#This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141</v>
      </c>
      <c r="G416" s="55" t="s">
        <v>152</v>
      </c>
      <c r="J416" s="24">
        <v>50000</v>
      </c>
      <c r="M416" s="24">
        <v>50000</v>
      </c>
      <c r="O416" s="45" t="s">
        <v>97</v>
      </c>
      <c r="P416" s="45">
        <f>HEX2DEC(RIGHT(Table132321[[#This Row],[h1]],8))</f>
        <v>0</v>
      </c>
      <c r="Q416" s="45" t="s">
        <v>97</v>
      </c>
      <c r="R416" s="45">
        <f>HEX2DEC(RIGHT(Table132321[[#This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142</v>
      </c>
      <c r="G417" s="55" t="s">
        <v>152</v>
      </c>
      <c r="J417" s="24">
        <v>50000</v>
      </c>
      <c r="M417" s="24">
        <v>50000</v>
      </c>
      <c r="O417" s="45" t="s">
        <v>97</v>
      </c>
      <c r="P417" s="45">
        <f>HEX2DEC(RIGHT(Table132321[[#This Row],[h1]],8))</f>
        <v>0</v>
      </c>
      <c r="Q417" s="45" t="s">
        <v>97</v>
      </c>
      <c r="R417" s="45">
        <f>HEX2DEC(RIGHT(Table132321[[#This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143</v>
      </c>
      <c r="G418" s="55" t="s">
        <v>152</v>
      </c>
      <c r="J418" s="24">
        <v>50000</v>
      </c>
      <c r="M418" s="24">
        <v>50000</v>
      </c>
      <c r="O418" s="45" t="s">
        <v>97</v>
      </c>
      <c r="P418" s="45">
        <f>HEX2DEC(RIGHT(Table132321[[#This Row],[h1]],8))</f>
        <v>0</v>
      </c>
      <c r="Q418" s="45" t="s">
        <v>97</v>
      </c>
      <c r="R418" s="45">
        <f>HEX2DEC(RIGHT(Table132321[[#This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144</v>
      </c>
      <c r="G419" s="55" t="s">
        <v>152</v>
      </c>
      <c r="J419" s="24">
        <v>50000</v>
      </c>
      <c r="M419" s="24">
        <v>50000</v>
      </c>
      <c r="O419" s="45" t="s">
        <v>97</v>
      </c>
      <c r="P419" s="45">
        <f>HEX2DEC(RIGHT(Table132321[[#This Row],[h1]],8))</f>
        <v>0</v>
      </c>
      <c r="Q419" s="45" t="s">
        <v>97</v>
      </c>
      <c r="R419" s="45">
        <f>HEX2DEC(RIGHT(Table132321[[#This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145</v>
      </c>
      <c r="G420" s="55" t="s">
        <v>152</v>
      </c>
      <c r="J420" s="24">
        <v>50000</v>
      </c>
      <c r="M420" s="24">
        <v>50000</v>
      </c>
      <c r="O420" s="45" t="s">
        <v>97</v>
      </c>
      <c r="P420" s="45">
        <f>HEX2DEC(RIGHT(Table132321[[#This Row],[h1]],8))</f>
        <v>0</v>
      </c>
      <c r="Q420" s="45" t="s">
        <v>97</v>
      </c>
      <c r="R420" s="45">
        <f>HEX2DEC(RIGHT(Table132321[[#This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146</v>
      </c>
      <c r="G421" s="55" t="s">
        <v>152</v>
      </c>
      <c r="J421" s="24">
        <v>50000</v>
      </c>
      <c r="M421" s="24">
        <v>50000</v>
      </c>
      <c r="O421" s="45" t="s">
        <v>97</v>
      </c>
      <c r="P421" s="45">
        <f>HEX2DEC(RIGHT(Table132321[[#This Row],[h1]],8))</f>
        <v>0</v>
      </c>
      <c r="Q421" s="45" t="s">
        <v>97</v>
      </c>
      <c r="R421" s="45">
        <f>HEX2DEC(RIGHT(Table132321[[#This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147</v>
      </c>
      <c r="G422" s="55" t="s">
        <v>152</v>
      </c>
      <c r="J422" s="24">
        <v>50000</v>
      </c>
      <c r="M422" s="24">
        <v>50000</v>
      </c>
      <c r="O422" s="45" t="s">
        <v>97</v>
      </c>
      <c r="P422" s="45">
        <f>HEX2DEC(RIGHT(Table132321[[#This Row],[h1]],8))</f>
        <v>0</v>
      </c>
      <c r="Q422" s="45" t="s">
        <v>97</v>
      </c>
      <c r="R422" s="45">
        <f>HEX2DEC(RIGHT(Table132321[[#This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148</v>
      </c>
      <c r="G423" s="55" t="s">
        <v>152</v>
      </c>
      <c r="J423" s="24">
        <v>50000</v>
      </c>
      <c r="M423" s="24">
        <v>50000</v>
      </c>
      <c r="O423" s="45" t="s">
        <v>97</v>
      </c>
      <c r="P423" s="45">
        <f>HEX2DEC(RIGHT(Table132321[[#This Row],[h1]],8))</f>
        <v>0</v>
      </c>
      <c r="Q423" s="45" t="s">
        <v>97</v>
      </c>
      <c r="R423" s="45">
        <f>HEX2DEC(RIGHT(Table132321[[#This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149</v>
      </c>
      <c r="G424" s="55" t="s">
        <v>152</v>
      </c>
      <c r="J424" s="24">
        <v>50000</v>
      </c>
      <c r="M424" s="24">
        <v>50000</v>
      </c>
      <c r="O424" s="45" t="s">
        <v>97</v>
      </c>
      <c r="P424" s="45">
        <f>HEX2DEC(RIGHT(Table132321[[#This Row],[h1]],8))</f>
        <v>0</v>
      </c>
      <c r="Q424" s="45" t="s">
        <v>97</v>
      </c>
      <c r="R424" s="45">
        <f>HEX2DEC(RIGHT(Table132321[[#This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150</v>
      </c>
      <c r="G425" s="55" t="s">
        <v>152</v>
      </c>
      <c r="J425" s="24">
        <v>50000</v>
      </c>
      <c r="M425" s="24">
        <v>50000</v>
      </c>
      <c r="O425" s="45" t="s">
        <v>97</v>
      </c>
      <c r="P425" s="45">
        <f>HEX2DEC(RIGHT(Table132321[[#This Row],[h1]],8))</f>
        <v>0</v>
      </c>
      <c r="Q425" s="45" t="s">
        <v>97</v>
      </c>
      <c r="R425" s="45">
        <f>HEX2DEC(RIGHT(Table132321[[#This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151</v>
      </c>
      <c r="G426" s="55" t="s">
        <v>152</v>
      </c>
      <c r="J426" s="24">
        <v>50000</v>
      </c>
      <c r="M426" s="24">
        <v>50000</v>
      </c>
      <c r="O426" s="45" t="s">
        <v>97</v>
      </c>
      <c r="P426" s="45">
        <f>HEX2DEC(RIGHT(Table132321[[#This Row],[h1]],8))</f>
        <v>0</v>
      </c>
      <c r="Q426" s="45" t="s">
        <v>97</v>
      </c>
      <c r="R426" s="45">
        <f>HEX2DEC(RIGHT(Table132321[[#This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153</v>
      </c>
      <c r="G427" s="15">
        <v>1</v>
      </c>
      <c r="J427" s="24">
        <v>50000</v>
      </c>
      <c r="M427" s="24">
        <v>50000</v>
      </c>
      <c r="O427" s="45" t="s">
        <v>97</v>
      </c>
      <c r="P427" s="45">
        <f>HEX2DEC(RIGHT(Table132321[[#This Row],[h1]],8))</f>
        <v>0</v>
      </c>
      <c r="Q427" s="45" t="s">
        <v>97</v>
      </c>
      <c r="R427" s="45">
        <f>HEX2DEC(RIGHT(Table132321[[#This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153</v>
      </c>
      <c r="G428" s="15">
        <v>0</v>
      </c>
      <c r="J428" s="24">
        <v>50000</v>
      </c>
      <c r="M428" s="24">
        <v>50000</v>
      </c>
      <c r="O428" s="45" t="s">
        <v>97</v>
      </c>
      <c r="P428" s="45">
        <f>HEX2DEC(RIGHT(Table132321[[#This Row],[h1]],8))</f>
        <v>0</v>
      </c>
      <c r="Q428" s="45" t="s">
        <v>97</v>
      </c>
      <c r="R428" s="45">
        <f>HEX2DEC(RIGHT(Table132321[[#This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J429" s="24">
        <v>50000</v>
      </c>
      <c r="M429" s="24">
        <v>50000</v>
      </c>
      <c r="O429" s="45" t="s">
        <v>97</v>
      </c>
      <c r="P429" s="45">
        <f>HEX2DEC(RIGHT(Table132321[[#This Row],[h1]],8))</f>
        <v>0</v>
      </c>
      <c r="Q429" s="45" t="s">
        <v>97</v>
      </c>
      <c r="R429" s="45">
        <f>HEX2DEC(RIGHT(Table132321[[#This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J430" s="24">
        <v>50000</v>
      </c>
      <c r="M430" s="24">
        <v>50000</v>
      </c>
      <c r="O430" s="45" t="s">
        <v>97</v>
      </c>
      <c r="P430" s="45">
        <f>HEX2DEC(RIGHT(Table132321[[#This Row],[h1]],8))</f>
        <v>0</v>
      </c>
      <c r="Q430" s="45" t="s">
        <v>97</v>
      </c>
      <c r="R430" s="45">
        <f>HEX2DEC(RIGHT(Table132321[[#This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J431" s="24">
        <v>50000</v>
      </c>
      <c r="M431" s="24">
        <v>50000</v>
      </c>
      <c r="O431" s="45" t="s">
        <v>97</v>
      </c>
      <c r="P431" s="45">
        <f>HEX2DEC(RIGHT(Table132321[[#This Row],[h1]],8))</f>
        <v>0</v>
      </c>
      <c r="Q431" s="45" t="s">
        <v>97</v>
      </c>
      <c r="R431" s="45">
        <f>HEX2DEC(RIGHT(Table132321[[#This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J432" s="24">
        <v>50000</v>
      </c>
      <c r="M432" s="24">
        <v>50000</v>
      </c>
      <c r="O432" s="45" t="s">
        <v>97</v>
      </c>
      <c r="P432" s="45">
        <f>HEX2DEC(RIGHT(Table132321[[#This Row],[h1]],8))</f>
        <v>0</v>
      </c>
      <c r="Q432" s="45" t="s">
        <v>97</v>
      </c>
      <c r="R432" s="45">
        <f>HEX2DEC(RIGHT(Table132321[[#This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J433" s="24">
        <v>50000</v>
      </c>
      <c r="M433" s="24">
        <v>50000</v>
      </c>
      <c r="O433" s="45" t="s">
        <v>97</v>
      </c>
      <c r="P433" s="45">
        <f>HEX2DEC(RIGHT(Table132321[[#This Row],[h1]],8))</f>
        <v>0</v>
      </c>
      <c r="Q433" s="45" t="s">
        <v>97</v>
      </c>
      <c r="R433" s="45">
        <f>HEX2DEC(RIGHT(Table132321[[#This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F434" s="22"/>
      <c r="G434" s="22"/>
      <c r="J434" s="24">
        <v>50000</v>
      </c>
      <c r="M434" s="24">
        <v>50000</v>
      </c>
      <c r="O434" s="45" t="s">
        <v>97</v>
      </c>
      <c r="P434" s="45">
        <f>HEX2DEC(RIGHT(Table132321[[#This Row],[h1]],8))</f>
        <v>0</v>
      </c>
      <c r="Q434" s="45" t="s">
        <v>97</v>
      </c>
      <c r="R434" s="45">
        <f>HEX2DEC(RIGHT(Table132321[[#This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F435" s="22"/>
      <c r="G435" s="22"/>
      <c r="J435" s="24">
        <v>50000</v>
      </c>
      <c r="M435" s="24">
        <v>50000</v>
      </c>
      <c r="O435" s="45" t="s">
        <v>97</v>
      </c>
      <c r="P435" s="45">
        <f>HEX2DEC(RIGHT(Table132321[[#This Row],[h1]],8))</f>
        <v>0</v>
      </c>
      <c r="Q435" s="45" t="s">
        <v>97</v>
      </c>
      <c r="R435" s="45">
        <f>HEX2DEC(RIGHT(Table132321[[#This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F436" s="22"/>
      <c r="G436" s="22"/>
      <c r="J436" s="24">
        <v>50000</v>
      </c>
      <c r="M436" s="24">
        <v>50000</v>
      </c>
      <c r="O436" s="45" t="s">
        <v>97</v>
      </c>
      <c r="P436" s="45">
        <f>HEX2DEC(RIGHT(Table132321[[#This Row],[h1]],8))</f>
        <v>0</v>
      </c>
      <c r="Q436" s="45" t="s">
        <v>97</v>
      </c>
      <c r="R436" s="45">
        <f>HEX2DEC(RIGHT(Table132321[[#This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F437" s="22"/>
      <c r="G437" s="22"/>
      <c r="J437" s="24">
        <v>50000</v>
      </c>
      <c r="M437" s="24">
        <v>50000</v>
      </c>
      <c r="O437" s="45" t="s">
        <v>97</v>
      </c>
      <c r="P437" s="45">
        <f>HEX2DEC(RIGHT(Table132321[[#This Row],[h1]],8))</f>
        <v>0</v>
      </c>
      <c r="Q437" s="45" t="s">
        <v>97</v>
      </c>
      <c r="R437" s="45">
        <f>HEX2DEC(RIGHT(Table132321[[#This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F438" s="22"/>
      <c r="G438" s="22"/>
      <c r="J438" s="24">
        <v>50000</v>
      </c>
      <c r="M438" s="24">
        <v>50000</v>
      </c>
      <c r="O438" s="45" t="s">
        <v>97</v>
      </c>
      <c r="P438" s="45">
        <f>HEX2DEC(RIGHT(Table132321[[#This Row],[h1]],8))</f>
        <v>0</v>
      </c>
      <c r="Q438" s="45" t="s">
        <v>97</v>
      </c>
      <c r="R438" s="45">
        <f>HEX2DEC(RIGHT(Table132321[[#This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F439" s="22"/>
      <c r="G439" s="22"/>
      <c r="J439" s="24">
        <v>50000</v>
      </c>
      <c r="M439" s="24">
        <v>50000</v>
      </c>
      <c r="O439" s="45" t="s">
        <v>97</v>
      </c>
      <c r="P439" s="45">
        <f>HEX2DEC(RIGHT(Table132321[[#This Row],[h1]],8))</f>
        <v>0</v>
      </c>
      <c r="Q439" s="45" t="s">
        <v>97</v>
      </c>
      <c r="R439" s="45">
        <f>HEX2DEC(RIGHT(Table132321[[#This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F440" s="22"/>
      <c r="G440" s="22"/>
      <c r="J440" s="24">
        <v>50000</v>
      </c>
      <c r="M440" s="24">
        <v>50000</v>
      </c>
      <c r="O440" s="45" t="s">
        <v>97</v>
      </c>
      <c r="P440" s="45">
        <f>HEX2DEC(RIGHT(Table132321[[#This Row],[h1]],8))</f>
        <v>0</v>
      </c>
      <c r="Q440" s="45" t="s">
        <v>97</v>
      </c>
      <c r="R440" s="45">
        <f>HEX2DEC(RIGHT(Table132321[[#This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F441" s="22"/>
      <c r="G441" s="22"/>
      <c r="J441" s="24">
        <v>50000</v>
      </c>
      <c r="M441" s="24">
        <v>50000</v>
      </c>
      <c r="O441" s="45" t="s">
        <v>97</v>
      </c>
      <c r="P441" s="45">
        <f>HEX2DEC(RIGHT(Table132321[[#This Row],[h1]],8))</f>
        <v>0</v>
      </c>
      <c r="Q441" s="45" t="s">
        <v>97</v>
      </c>
      <c r="R441" s="45">
        <f>HEX2DEC(RIGHT(Table132321[[#This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F442" s="22"/>
      <c r="G442" s="22"/>
      <c r="J442" s="24">
        <v>50000</v>
      </c>
      <c r="M442" s="24">
        <v>50000</v>
      </c>
      <c r="O442" s="45" t="s">
        <v>97</v>
      </c>
      <c r="P442" s="45">
        <f>HEX2DEC(RIGHT(Table132321[[#This Row],[h1]],8))</f>
        <v>0</v>
      </c>
      <c r="Q442" s="45" t="s">
        <v>97</v>
      </c>
      <c r="R442" s="45">
        <f>HEX2DEC(RIGHT(Table132321[[#This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F443" s="22"/>
      <c r="G443" s="22"/>
      <c r="J443" s="24">
        <v>50000</v>
      </c>
      <c r="M443" s="24">
        <v>50000</v>
      </c>
      <c r="O443" s="45" t="s">
        <v>97</v>
      </c>
      <c r="P443" s="45">
        <f>HEX2DEC(RIGHT(Table132321[[#This Row],[h1]],8))</f>
        <v>0</v>
      </c>
      <c r="Q443" s="45" t="s">
        <v>97</v>
      </c>
      <c r="R443" s="45">
        <f>HEX2DEC(RIGHT(Table132321[[#This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F444" s="22"/>
      <c r="G444" s="22"/>
      <c r="J444" s="24">
        <v>50000</v>
      </c>
      <c r="M444" s="24">
        <v>50000</v>
      </c>
      <c r="O444" s="45" t="s">
        <v>97</v>
      </c>
      <c r="P444" s="45">
        <f>HEX2DEC(RIGHT(Table132321[[#This Row],[h1]],8))</f>
        <v>0</v>
      </c>
      <c r="Q444" s="45" t="s">
        <v>97</v>
      </c>
      <c r="R444" s="45">
        <f>HEX2DEC(RIGHT(Table132321[[#This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F445" s="22"/>
      <c r="G445" s="22"/>
      <c r="J445" s="24">
        <v>50000</v>
      </c>
      <c r="M445" s="24">
        <v>50000</v>
      </c>
      <c r="O445" s="45" t="s">
        <v>97</v>
      </c>
      <c r="P445" s="45">
        <f>HEX2DEC(RIGHT(Table132321[[#This Row],[h1]],8))</f>
        <v>0</v>
      </c>
      <c r="Q445" s="45" t="s">
        <v>97</v>
      </c>
      <c r="R445" s="45">
        <f>HEX2DEC(RIGHT(Table132321[[#This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F446" s="22"/>
      <c r="G446" s="22"/>
      <c r="J446" s="24">
        <v>50000</v>
      </c>
      <c r="M446" s="24">
        <v>50000</v>
      </c>
      <c r="O446" s="45" t="s">
        <v>97</v>
      </c>
      <c r="P446" s="45">
        <f>HEX2DEC(RIGHT(Table132321[[#This Row],[h1]],8))</f>
        <v>0</v>
      </c>
      <c r="Q446" s="45" t="s">
        <v>97</v>
      </c>
      <c r="R446" s="45">
        <f>HEX2DEC(RIGHT(Table132321[[#This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5" t="s">
        <v>97</v>
      </c>
      <c r="P447" s="45">
        <f>HEX2DEC(RIGHT(Table132321[[#This Row],[h1]],8))</f>
        <v>0</v>
      </c>
      <c r="Q447" s="45" t="s">
        <v>97</v>
      </c>
      <c r="R447" s="45">
        <f>HEX2DEC(RIGHT(Table132321[[#This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5" t="s">
        <v>97</v>
      </c>
      <c r="P448" s="45">
        <f>HEX2DEC(RIGHT(Table132321[[#This Row],[h1]],8))</f>
        <v>0</v>
      </c>
      <c r="Q448" s="45" t="s">
        <v>97</v>
      </c>
      <c r="R448" s="45">
        <f>HEX2DEC(RIGHT(Table132321[[#This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5" t="s">
        <v>97</v>
      </c>
      <c r="P449" s="45">
        <f>HEX2DEC(RIGHT(Table132321[[#This Row],[h1]],8))</f>
        <v>0</v>
      </c>
      <c r="Q449" s="45" t="s">
        <v>97</v>
      </c>
      <c r="R449" s="45">
        <f>HEX2DEC(RIGHT(Table132321[[#This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5" t="s">
        <v>97</v>
      </c>
      <c r="P450" s="45">
        <f>HEX2DEC(RIGHT(Table132321[[#This Row],[h1]],8))</f>
        <v>0</v>
      </c>
      <c r="Q450" s="45" t="s">
        <v>97</v>
      </c>
      <c r="R450" s="45">
        <f>HEX2DEC(RIGHT(Table132321[[#This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5" t="s">
        <v>97</v>
      </c>
      <c r="P451" s="45">
        <f>HEX2DEC(RIGHT(Table132321[[#This Row],[h1]],8))</f>
        <v>0</v>
      </c>
      <c r="Q451" s="45" t="s">
        <v>97</v>
      </c>
      <c r="R451" s="45">
        <f>HEX2DEC(RIGHT(Table132321[[#This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5" t="s">
        <v>97</v>
      </c>
      <c r="P452" s="45">
        <f>HEX2DEC(RIGHT(Table132321[[#This Row],[h1]],8))</f>
        <v>0</v>
      </c>
      <c r="Q452" s="45" t="s">
        <v>97</v>
      </c>
      <c r="R452" s="45">
        <f>HEX2DEC(RIGHT(Table132321[[#This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5" t="s">
        <v>97</v>
      </c>
      <c r="P453" s="45">
        <f>HEX2DEC(RIGHT(Table132321[[#This Row],[h1]],8))</f>
        <v>0</v>
      </c>
      <c r="Q453" s="45" t="s">
        <v>97</v>
      </c>
      <c r="R453" s="45">
        <f>HEX2DEC(RIGHT(Table132321[[#This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5" t="s">
        <v>97</v>
      </c>
      <c r="P454" s="45">
        <f>HEX2DEC(RIGHT(Table132321[[#This Row],[h1]],8))</f>
        <v>0</v>
      </c>
      <c r="Q454" s="45" t="s">
        <v>97</v>
      </c>
      <c r="R454" s="45">
        <f>HEX2DEC(RIGHT(Table132321[[#This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5" t="s">
        <v>97</v>
      </c>
      <c r="P455" s="45">
        <f>HEX2DEC(RIGHT(Table132321[[#This Row],[h1]],8))</f>
        <v>0</v>
      </c>
      <c r="Q455" s="45" t="s">
        <v>97</v>
      </c>
      <c r="R455" s="45">
        <f>HEX2DEC(RIGHT(Table132321[[#This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5" t="s">
        <v>97</v>
      </c>
      <c r="P456" s="45">
        <f>HEX2DEC(RIGHT(Table132321[[#This Row],[h1]],8))</f>
        <v>0</v>
      </c>
      <c r="Q456" s="45" t="s">
        <v>97</v>
      </c>
      <c r="R456" s="45">
        <f>HEX2DEC(RIGHT(Table132321[[#This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5" t="s">
        <v>97</v>
      </c>
      <c r="P457" s="45">
        <f>HEX2DEC(RIGHT(Table132321[[#This Row],[h1]],8))</f>
        <v>0</v>
      </c>
      <c r="Q457" s="45" t="s">
        <v>97</v>
      </c>
      <c r="R457" s="45">
        <f>HEX2DEC(RIGHT(Table132321[[#This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5" t="s">
        <v>97</v>
      </c>
      <c r="P458" s="45">
        <f>HEX2DEC(RIGHT(Table132321[[#This Row],[h1]],8))</f>
        <v>0</v>
      </c>
      <c r="Q458" s="45" t="s">
        <v>97</v>
      </c>
      <c r="R458" s="45">
        <f>HEX2DEC(RIGHT(Table132321[[#This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5" t="s">
        <v>97</v>
      </c>
      <c r="P459" s="45">
        <f>HEX2DEC(RIGHT(Table132321[[#This Row],[h1]],8))</f>
        <v>0</v>
      </c>
      <c r="Q459" s="45" t="s">
        <v>97</v>
      </c>
      <c r="R459" s="45">
        <f>HEX2DEC(RIGHT(Table132321[[#This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5" t="s">
        <v>97</v>
      </c>
      <c r="P460" s="45">
        <f>HEX2DEC(RIGHT(Table132321[[#This Row],[h1]],8))</f>
        <v>0</v>
      </c>
      <c r="Q460" s="45" t="s">
        <v>97</v>
      </c>
      <c r="R460" s="45">
        <f>HEX2DEC(RIGHT(Table132321[[#This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0" t="s">
        <v>35</v>
      </c>
      <c r="D461" s="43" t="s">
        <v>27</v>
      </c>
      <c r="E461" s="43"/>
      <c r="F461" s="43"/>
      <c r="G461" s="44"/>
      <c r="J461" s="24">
        <v>50000</v>
      </c>
      <c r="M461" s="24">
        <v>50000</v>
      </c>
      <c r="O461" s="45" t="s">
        <v>97</v>
      </c>
      <c r="P461" s="45">
        <f>HEX2DEC(RIGHT(Table132321[[#This Row],[h1]],8))</f>
        <v>0</v>
      </c>
      <c r="Q461" s="45" t="s">
        <v>97</v>
      </c>
      <c r="R461" s="45">
        <f>HEX2DEC(RIGHT(Table132321[[#This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G462" s="33"/>
      <c r="J462" s="24">
        <v>50000</v>
      </c>
      <c r="M462" s="24">
        <v>50000</v>
      </c>
      <c r="O462" s="45" t="s">
        <v>97</v>
      </c>
      <c r="P462" s="45">
        <f>HEX2DEC(RIGHT(Table132321[[#This Row],[h1]],8))</f>
        <v>0</v>
      </c>
      <c r="Q462" s="45" t="s">
        <v>97</v>
      </c>
      <c r="R462" s="45">
        <f>HEX2DEC(RIGHT(Table132321[[#This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G463" s="33"/>
      <c r="J463" s="24">
        <v>50000</v>
      </c>
      <c r="M463" s="24">
        <v>50000</v>
      </c>
      <c r="O463" s="45" t="s">
        <v>97</v>
      </c>
      <c r="P463" s="45">
        <f>HEX2DEC(RIGHT(Table132321[[#This Row],[h1]],8))</f>
        <v>0</v>
      </c>
      <c r="Q463" s="45" t="s">
        <v>97</v>
      </c>
      <c r="R463" s="45">
        <f>HEX2DEC(RIGHT(Table132321[[#This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G464" s="33"/>
      <c r="J464" s="24">
        <v>50000</v>
      </c>
      <c r="M464" s="24">
        <v>50000</v>
      </c>
      <c r="O464" s="45" t="s">
        <v>97</v>
      </c>
      <c r="P464" s="45">
        <f>HEX2DEC(RIGHT(Table132321[[#This Row],[h1]],8))</f>
        <v>0</v>
      </c>
      <c r="Q464" s="45" t="s">
        <v>97</v>
      </c>
      <c r="R464" s="45">
        <f>HEX2DEC(RIGHT(Table132321[[#This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G465" s="33"/>
      <c r="J465" s="24">
        <v>50000</v>
      </c>
      <c r="M465" s="24">
        <v>50000</v>
      </c>
      <c r="O465" s="45" t="s">
        <v>97</v>
      </c>
      <c r="P465" s="45">
        <f>HEX2DEC(RIGHT(Table132321[[#This Row],[h1]],8))</f>
        <v>0</v>
      </c>
      <c r="Q465" s="45" t="s">
        <v>97</v>
      </c>
      <c r="R465" s="45">
        <f>HEX2DEC(RIGHT(Table132321[[#This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D466" s="15" t="s">
        <v>108</v>
      </c>
      <c r="G466" s="33">
        <v>0</v>
      </c>
      <c r="J466" s="24">
        <v>50000</v>
      </c>
      <c r="M466" s="24">
        <v>50000</v>
      </c>
      <c r="O466" s="45" t="s">
        <v>97</v>
      </c>
      <c r="P466" s="45">
        <f>HEX2DEC(RIGHT(Table132321[[#This Row],[h1]],8))</f>
        <v>0</v>
      </c>
      <c r="Q466" s="45" t="s">
        <v>97</v>
      </c>
      <c r="R466" s="45">
        <f>HEX2DEC(RIGHT(Table132321[[#This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D467" s="15" t="s">
        <v>109</v>
      </c>
      <c r="G467" s="33">
        <v>1</v>
      </c>
      <c r="J467" s="24">
        <v>50000</v>
      </c>
      <c r="M467" s="24">
        <v>50000</v>
      </c>
      <c r="O467" s="45" t="s">
        <v>97</v>
      </c>
      <c r="P467" s="45">
        <f>HEX2DEC(RIGHT(Table132321[[#This Row],[h1]],8))</f>
        <v>0</v>
      </c>
      <c r="Q467" s="45" t="s">
        <v>97</v>
      </c>
      <c r="R467" s="45">
        <f>HEX2DEC(RIGHT(Table132321[[#This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D468" s="15" t="s">
        <v>110</v>
      </c>
      <c r="G468" s="33">
        <v>1</v>
      </c>
      <c r="J468" s="24">
        <v>50000</v>
      </c>
      <c r="M468" s="24">
        <v>50000</v>
      </c>
      <c r="O468" s="45" t="s">
        <v>97</v>
      </c>
      <c r="P468" s="45">
        <f>HEX2DEC(RIGHT(Table132321[[#This Row],[h1]],8))</f>
        <v>0</v>
      </c>
      <c r="Q468" s="45" t="s">
        <v>97</v>
      </c>
      <c r="R468" s="45">
        <f>HEX2DEC(RIGHT(Table132321[[#This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D469" s="15" t="s">
        <v>111</v>
      </c>
      <c r="G469" s="33">
        <v>1</v>
      </c>
      <c r="J469" s="24">
        <v>50000</v>
      </c>
      <c r="M469" s="24">
        <v>50000</v>
      </c>
      <c r="O469" s="45" t="s">
        <v>97</v>
      </c>
      <c r="P469" s="45">
        <f>HEX2DEC(RIGHT(Table132321[[#This Row],[h1]],8))</f>
        <v>0</v>
      </c>
      <c r="Q469" s="45" t="s">
        <v>97</v>
      </c>
      <c r="R469" s="45">
        <f>HEX2DEC(RIGHT(Table132321[[#This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E470" s="16"/>
      <c r="F470" s="16"/>
      <c r="G470" s="39" t="s">
        <v>106</v>
      </c>
      <c r="J470" s="24">
        <v>50000</v>
      </c>
      <c r="M470" s="24">
        <v>50000</v>
      </c>
      <c r="O470" s="45" t="s">
        <v>97</v>
      </c>
      <c r="P470" s="45">
        <f>HEX2DEC(RIGHT(Table132321[[#This Row],[h1]],8))</f>
        <v>0</v>
      </c>
      <c r="Q470" s="45" t="s">
        <v>97</v>
      </c>
      <c r="R470" s="45">
        <f>HEX2DEC(RIGHT(Table132321[[#This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J471" s="24">
        <v>50000</v>
      </c>
      <c r="M471" s="24">
        <v>50000</v>
      </c>
      <c r="O471" s="45" t="s">
        <v>97</v>
      </c>
      <c r="P471" s="45">
        <f>HEX2DEC(RIGHT(Table132321[[#This Row],[h1]],8))</f>
        <v>0</v>
      </c>
      <c r="Q471" s="45" t="s">
        <v>97</v>
      </c>
      <c r="R471" s="45">
        <f>HEX2DEC(RIGHT(Table132321[[#This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D472" s="15" t="s">
        <v>27</v>
      </c>
      <c r="J472" s="24">
        <v>50000</v>
      </c>
      <c r="M472" s="24">
        <v>50000</v>
      </c>
      <c r="O472" s="45" t="s">
        <v>97</v>
      </c>
      <c r="P472" s="45">
        <f>HEX2DEC(RIGHT(Table132321[[#This Row],[h1]],8))</f>
        <v>0</v>
      </c>
      <c r="Q472" s="45" t="s">
        <v>97</v>
      </c>
      <c r="R472" s="45">
        <f>HEX2DEC(RIGHT(Table132321[[#This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0"/>
      <c r="D473" s="38"/>
      <c r="E473" s="38"/>
      <c r="F473" s="38"/>
      <c r="G473" s="38"/>
      <c r="J473" s="24">
        <v>50000</v>
      </c>
      <c r="M473" s="24">
        <v>50000</v>
      </c>
      <c r="O473" s="45" t="s">
        <v>97</v>
      </c>
      <c r="P473" s="45">
        <f>HEX2DEC(RIGHT(Table132321[[#This Row],[h1]],8))</f>
        <v>0</v>
      </c>
      <c r="Q473" s="45" t="s">
        <v>97</v>
      </c>
      <c r="R473" s="45">
        <f>HEX2DEC(RIGHT(Table132321[[#This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2"/>
      <c r="F474" s="22"/>
      <c r="G474" s="22"/>
      <c r="J474" s="24">
        <v>50000</v>
      </c>
      <c r="M474" s="24">
        <v>50000</v>
      </c>
      <c r="O474" s="45" t="s">
        <v>97</v>
      </c>
      <c r="P474" s="45">
        <f>HEX2DEC(RIGHT(Table132321[[#This Row],[h1]],8))</f>
        <v>0</v>
      </c>
      <c r="Q474" s="45" t="s">
        <v>97</v>
      </c>
      <c r="R474" s="45">
        <f>HEX2DEC(RIGHT(Table132321[[#This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5" t="s">
        <v>97</v>
      </c>
      <c r="P475" s="45">
        <f>HEX2DEC(RIGHT(Table132321[[#This Row],[h1]],8))</f>
        <v>0</v>
      </c>
      <c r="Q475" s="45" t="s">
        <v>97</v>
      </c>
      <c r="R475" s="45">
        <f>HEX2DEC(RIGHT(Table132321[[#This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5" t="s">
        <v>97</v>
      </c>
      <c r="P476" s="45">
        <f>HEX2DEC(RIGHT(Table132321[[#This Row],[h1]],8))</f>
        <v>0</v>
      </c>
      <c r="Q476" s="45" t="s">
        <v>97</v>
      </c>
      <c r="R476" s="45">
        <f>HEX2DEC(RIGHT(Table132321[[#This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5" t="s">
        <v>97</v>
      </c>
      <c r="P477" s="45">
        <f>HEX2DEC(RIGHT(Table132321[[#This Row],[h1]],8))</f>
        <v>0</v>
      </c>
      <c r="Q477" s="45" t="s">
        <v>97</v>
      </c>
      <c r="R477" s="45">
        <f>HEX2DEC(RIGHT(Table132321[[#This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5" t="s">
        <v>97</v>
      </c>
      <c r="P478" s="45">
        <f>HEX2DEC(RIGHT(Table132321[[#This Row],[h1]],8))</f>
        <v>0</v>
      </c>
      <c r="Q478" s="45" t="s">
        <v>97</v>
      </c>
      <c r="R478" s="45">
        <f>HEX2DEC(RIGHT(Table132321[[#This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5" t="s">
        <v>97</v>
      </c>
      <c r="P479" s="45">
        <f>HEX2DEC(RIGHT(Table132321[[#This Row],[h1]],8))</f>
        <v>0</v>
      </c>
      <c r="Q479" s="45" t="s">
        <v>97</v>
      </c>
      <c r="R479" s="45">
        <f>HEX2DEC(RIGHT(Table132321[[#This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5" t="s">
        <v>97</v>
      </c>
      <c r="P480" s="45">
        <f>HEX2DEC(RIGHT(Table132321[[#This Row],[h1]],8))</f>
        <v>0</v>
      </c>
      <c r="Q480" s="45" t="s">
        <v>97</v>
      </c>
      <c r="R480" s="45">
        <f>HEX2DEC(RIGHT(Table132321[[#This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5" t="s">
        <v>97</v>
      </c>
      <c r="P481" s="45">
        <f>HEX2DEC(RIGHT(Table132321[[#This Row],[h1]],8))</f>
        <v>0</v>
      </c>
      <c r="Q481" s="45" t="s">
        <v>97</v>
      </c>
      <c r="R481" s="45">
        <f>HEX2DEC(RIGHT(Table132321[[#This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5" t="s">
        <v>97</v>
      </c>
      <c r="P482" s="45">
        <f>HEX2DEC(RIGHT(Table132321[[#This Row],[h1]],8))</f>
        <v>0</v>
      </c>
      <c r="Q482" s="45" t="s">
        <v>97</v>
      </c>
      <c r="R482" s="45">
        <f>HEX2DEC(RIGHT(Table132321[[#This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5" t="s">
        <v>97</v>
      </c>
      <c r="P483" s="45">
        <f>HEX2DEC(RIGHT(Table132321[[#This Row],[h1]],8))</f>
        <v>0</v>
      </c>
      <c r="Q483" s="45" t="s">
        <v>97</v>
      </c>
      <c r="R483" s="45">
        <f>HEX2DEC(RIGHT(Table132321[[#This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5" t="s">
        <v>97</v>
      </c>
      <c r="P484" s="45">
        <f>HEX2DEC(RIGHT(Table132321[[#This Row],[h1]],8))</f>
        <v>0</v>
      </c>
      <c r="Q484" s="45" t="s">
        <v>97</v>
      </c>
      <c r="R484" s="45">
        <f>HEX2DEC(RIGHT(Table132321[[#This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5" t="s">
        <v>97</v>
      </c>
      <c r="P485" s="45">
        <f>HEX2DEC(RIGHT(Table132321[[#This Row],[h1]],8))</f>
        <v>0</v>
      </c>
      <c r="Q485" s="45" t="s">
        <v>97</v>
      </c>
      <c r="R485" s="45">
        <f>HEX2DEC(RIGHT(Table132321[[#This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5" t="s">
        <v>97</v>
      </c>
      <c r="P486" s="45">
        <f>HEX2DEC(RIGHT(Table132321[[#This Row],[h1]],8))</f>
        <v>0</v>
      </c>
      <c r="Q486" s="45" t="s">
        <v>97</v>
      </c>
      <c r="R486" s="45">
        <f>HEX2DEC(RIGHT(Table132321[[#This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5" t="s">
        <v>97</v>
      </c>
      <c r="P487" s="45">
        <f>HEX2DEC(RIGHT(Table132321[[#This Row],[h1]],8))</f>
        <v>0</v>
      </c>
      <c r="Q487" s="45" t="s">
        <v>97</v>
      </c>
      <c r="R487" s="45">
        <f>HEX2DEC(RIGHT(Table132321[[#This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5" t="s">
        <v>97</v>
      </c>
      <c r="P488" s="45">
        <f>HEX2DEC(RIGHT(Table132321[[#This Row],[h1]],8))</f>
        <v>0</v>
      </c>
      <c r="Q488" s="45" t="s">
        <v>97</v>
      </c>
      <c r="R488" s="45">
        <f>HEX2DEC(RIGHT(Table132321[[#This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5" t="s">
        <v>97</v>
      </c>
      <c r="P489" s="45">
        <f>HEX2DEC(RIGHT(Table132321[[#This Row],[h1]],8))</f>
        <v>0</v>
      </c>
      <c r="Q489" s="45" t="s">
        <v>97</v>
      </c>
      <c r="R489" s="45">
        <f>HEX2DEC(RIGHT(Table132321[[#This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5" t="s">
        <v>97</v>
      </c>
      <c r="P490" s="45">
        <f>HEX2DEC(RIGHT(Table132321[[#This Row],[h1]],8))</f>
        <v>0</v>
      </c>
      <c r="Q490" s="45" t="s">
        <v>97</v>
      </c>
      <c r="R490" s="45">
        <f>HEX2DEC(RIGHT(Table132321[[#This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5" t="s">
        <v>97</v>
      </c>
      <c r="P491" s="45">
        <f>HEX2DEC(RIGHT(Table132321[[#This Row],[h1]],8))</f>
        <v>0</v>
      </c>
      <c r="Q491" s="45" t="s">
        <v>97</v>
      </c>
      <c r="R491" s="45">
        <f>HEX2DEC(RIGHT(Table132321[[#This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5" t="s">
        <v>97</v>
      </c>
      <c r="P492" s="45">
        <f>HEX2DEC(RIGHT(Table132321[[#This Row],[h1]],8))</f>
        <v>0</v>
      </c>
      <c r="Q492" s="45" t="s">
        <v>97</v>
      </c>
      <c r="R492" s="45">
        <f>HEX2DEC(RIGHT(Table132321[[#This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5" t="s">
        <v>97</v>
      </c>
      <c r="P493" s="45">
        <f>HEX2DEC(RIGHT(Table132321[[#This Row],[h1]],8))</f>
        <v>0</v>
      </c>
      <c r="Q493" s="45" t="s">
        <v>97</v>
      </c>
      <c r="R493" s="45">
        <f>HEX2DEC(RIGHT(Table132321[[#This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5" t="s">
        <v>97</v>
      </c>
      <c r="P494" s="45">
        <f>HEX2DEC(RIGHT(Table132321[[#This Row],[h1]],8))</f>
        <v>0</v>
      </c>
      <c r="Q494" s="45" t="s">
        <v>97</v>
      </c>
      <c r="R494" s="45">
        <f>HEX2DEC(RIGHT(Table132321[[#This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5" t="s">
        <v>97</v>
      </c>
      <c r="P495" s="45">
        <f>HEX2DEC(RIGHT(Table132321[[#This Row],[h1]],8))</f>
        <v>0</v>
      </c>
      <c r="Q495" s="45" t="s">
        <v>97</v>
      </c>
      <c r="R495" s="45">
        <f>HEX2DEC(RIGHT(Table132321[[#This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5" t="s">
        <v>97</v>
      </c>
      <c r="P496" s="45">
        <f>HEX2DEC(RIGHT(Table132321[[#This Row],[h1]],8))</f>
        <v>0</v>
      </c>
      <c r="Q496" s="45" t="s">
        <v>97</v>
      </c>
      <c r="R496" s="45">
        <f>HEX2DEC(RIGHT(Table132321[[#This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5" t="s">
        <v>97</v>
      </c>
      <c r="P497" s="45">
        <f>HEX2DEC(RIGHT(Table132321[[#This Row],[h1]],8))</f>
        <v>0</v>
      </c>
      <c r="Q497" s="45" t="s">
        <v>97</v>
      </c>
      <c r="R497" s="45">
        <f>HEX2DEC(RIGHT(Table132321[[#This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5" t="s">
        <v>97</v>
      </c>
      <c r="P498" s="45">
        <f>HEX2DEC(RIGHT(Table132321[[#This Row],[h1]],8))</f>
        <v>0</v>
      </c>
      <c r="Q498" s="45" t="s">
        <v>97</v>
      </c>
      <c r="R498" s="45">
        <f>HEX2DEC(RIGHT(Table132321[[#This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5" t="s">
        <v>97</v>
      </c>
      <c r="P499" s="45">
        <f>HEX2DEC(RIGHT(Table132321[[#This Row],[h1]],8))</f>
        <v>0</v>
      </c>
      <c r="Q499" s="45" t="s">
        <v>97</v>
      </c>
      <c r="R499" s="45">
        <f>HEX2DEC(RIGHT(Table132321[[#This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5" t="s">
        <v>97</v>
      </c>
      <c r="P500" s="45">
        <f>HEX2DEC(RIGHT(Table132321[[#This Row],[h1]],8))</f>
        <v>0</v>
      </c>
      <c r="Q500" s="45" t="s">
        <v>97</v>
      </c>
      <c r="R500" s="45">
        <f>HEX2DEC(RIGHT(Table132321[[#This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5" t="s">
        <v>97</v>
      </c>
      <c r="P501" s="45">
        <f>HEX2DEC(RIGHT(Table132321[[#This Row],[h1]],8))</f>
        <v>0</v>
      </c>
      <c r="Q501" s="45" t="s">
        <v>97</v>
      </c>
      <c r="R501" s="45">
        <f>HEX2DEC(RIGHT(Table132321[[#This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5" t="s">
        <v>97</v>
      </c>
      <c r="P502" s="45">
        <f>HEX2DEC(RIGHT(Table132321[[#This Row],[h1]],8))</f>
        <v>0</v>
      </c>
      <c r="Q502" s="45" t="s">
        <v>97</v>
      </c>
      <c r="R502" s="45">
        <f>HEX2DEC(RIGHT(Table132321[[#This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5" t="s">
        <v>97</v>
      </c>
      <c r="P503" s="45">
        <f>HEX2DEC(RIGHT(Table132321[[#This Row],[h1]],8))</f>
        <v>0</v>
      </c>
      <c r="Q503" s="45" t="s">
        <v>97</v>
      </c>
      <c r="R503" s="45">
        <f>HEX2DEC(RIGHT(Table132321[[#This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5" t="s">
        <v>97</v>
      </c>
      <c r="P504" s="45">
        <f>HEX2DEC(RIGHT(Table132321[[#This Row],[h1]],8))</f>
        <v>0</v>
      </c>
      <c r="Q504" s="45" t="s">
        <v>97</v>
      </c>
      <c r="R504" s="45">
        <f>HEX2DEC(RIGHT(Table132321[[#This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5" t="s">
        <v>97</v>
      </c>
      <c r="P505" s="45">
        <f>HEX2DEC(RIGHT(Table132321[[#This Row],[h1]],8))</f>
        <v>0</v>
      </c>
      <c r="Q505" s="45" t="s">
        <v>97</v>
      </c>
      <c r="R505" s="45">
        <f>HEX2DEC(RIGHT(Table132321[[#This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5" t="s">
        <v>97</v>
      </c>
      <c r="P506" s="45">
        <f>HEX2DEC(RIGHT(Table132321[[#This Row],[h1]],8))</f>
        <v>0</v>
      </c>
      <c r="Q506" s="45" t="s">
        <v>97</v>
      </c>
      <c r="R506" s="45">
        <f>HEX2DEC(RIGHT(Table132321[[#This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5" t="s">
        <v>97</v>
      </c>
      <c r="P507" s="45">
        <f>HEX2DEC(RIGHT(Table132321[[#This Row],[h1]],8))</f>
        <v>0</v>
      </c>
      <c r="Q507" s="45" t="s">
        <v>97</v>
      </c>
      <c r="R507" s="45">
        <f>HEX2DEC(RIGHT(Table132321[[#This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5" t="s">
        <v>97</v>
      </c>
      <c r="P508" s="45">
        <f>HEX2DEC(RIGHT(Table132321[[#This Row],[h1]],8))</f>
        <v>0</v>
      </c>
      <c r="Q508" s="45" t="s">
        <v>97</v>
      </c>
      <c r="R508" s="45">
        <f>HEX2DEC(RIGHT(Table132321[[#This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5" t="s">
        <v>97</v>
      </c>
      <c r="P509" s="45">
        <f>HEX2DEC(RIGHT(Table132321[[#This Row],[h1]],8))</f>
        <v>0</v>
      </c>
      <c r="Q509" s="45" t="s">
        <v>97</v>
      </c>
      <c r="R509" s="45">
        <f>HEX2DEC(RIGHT(Table132321[[#This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5" t="s">
        <v>97</v>
      </c>
      <c r="P510" s="45">
        <f>HEX2DEC(RIGHT(Table132321[[#This Row],[h1]],8))</f>
        <v>0</v>
      </c>
      <c r="Q510" s="45" t="s">
        <v>97</v>
      </c>
      <c r="R510" s="45">
        <f>HEX2DEC(RIGHT(Table132321[[#This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5" t="s">
        <v>97</v>
      </c>
      <c r="P511" s="45">
        <f>HEX2DEC(RIGHT(Table132321[[#This Row],[h1]],8))</f>
        <v>0</v>
      </c>
      <c r="Q511" s="45" t="s">
        <v>97</v>
      </c>
      <c r="R511" s="45">
        <f>HEX2DEC(RIGHT(Table132321[[#This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5" t="s">
        <v>97</v>
      </c>
      <c r="P512" s="45">
        <f>HEX2DEC(RIGHT(Table132321[[#This Row],[h1]],8))</f>
        <v>0</v>
      </c>
      <c r="Q512" s="45" t="s">
        <v>97</v>
      </c>
      <c r="R512" s="45">
        <f>HEX2DEC(RIGHT(Table132321[[#This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5" t="s">
        <v>97</v>
      </c>
      <c r="P513" s="45">
        <f>HEX2DEC(RIGHT(Table132321[[#This Row],[h1]],8))</f>
        <v>0</v>
      </c>
      <c r="Q513" s="45" t="s">
        <v>97</v>
      </c>
      <c r="R513" s="45">
        <f>HEX2DEC(RIGHT(Table132321[[#This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5" t="s">
        <v>97</v>
      </c>
      <c r="P514" s="45">
        <f>HEX2DEC(RIGHT(Table132321[[#This Row],[h1]],8))</f>
        <v>0</v>
      </c>
      <c r="Q514" s="45" t="s">
        <v>97</v>
      </c>
      <c r="R514" s="45">
        <f>HEX2DEC(RIGHT(Table132321[[#This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5" t="s">
        <v>97</v>
      </c>
      <c r="P515" s="45">
        <f>HEX2DEC(RIGHT(Table132321[[#This Row],[h1]],8))</f>
        <v>0</v>
      </c>
      <c r="Q515" s="45" t="s">
        <v>97</v>
      </c>
      <c r="R515" s="45">
        <f>HEX2DEC(RIGHT(Table132321[[#This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5" t="s">
        <v>97</v>
      </c>
      <c r="P516" s="45">
        <f>HEX2DEC(RIGHT(Table132321[[#This Row],[h1]],8))</f>
        <v>0</v>
      </c>
      <c r="Q516" s="45" t="s">
        <v>97</v>
      </c>
      <c r="R516" s="45">
        <f>HEX2DEC(RIGHT(Table132321[[#This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5" t="s">
        <v>97</v>
      </c>
      <c r="P517" s="45">
        <f>HEX2DEC(RIGHT(Table132321[[#This Row],[h1]],8))</f>
        <v>0</v>
      </c>
      <c r="Q517" s="45" t="s">
        <v>97</v>
      </c>
      <c r="R517" s="45">
        <f>HEX2DEC(RIGHT(Table132321[[#This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5" t="s">
        <v>97</v>
      </c>
      <c r="P518" s="45">
        <f>HEX2DEC(RIGHT(Table132321[[#This Row],[h1]],8))</f>
        <v>0</v>
      </c>
      <c r="Q518" s="45" t="s">
        <v>97</v>
      </c>
      <c r="R518" s="45">
        <f>HEX2DEC(RIGHT(Table132321[[#This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5" t="s">
        <v>97</v>
      </c>
      <c r="P519" s="45">
        <f>HEX2DEC(RIGHT(Table132321[[#This Row],[h1]],8))</f>
        <v>0</v>
      </c>
      <c r="Q519" s="45" t="s">
        <v>97</v>
      </c>
      <c r="R519" s="45">
        <f>HEX2DEC(RIGHT(Table132321[[#This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5" t="s">
        <v>97</v>
      </c>
      <c r="P520" s="45">
        <f>HEX2DEC(RIGHT(Table132321[[#This Row],[h1]],8))</f>
        <v>0</v>
      </c>
      <c r="Q520" s="45" t="s">
        <v>97</v>
      </c>
      <c r="R520" s="45">
        <f>HEX2DEC(RIGHT(Table132321[[#This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5" t="s">
        <v>97</v>
      </c>
      <c r="P521" s="45">
        <f>HEX2DEC(RIGHT(Table132321[[#This Row],[h1]],8))</f>
        <v>0</v>
      </c>
      <c r="Q521" s="45" t="s">
        <v>97</v>
      </c>
      <c r="R521" s="45">
        <f>HEX2DEC(RIGHT(Table132321[[#This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5" t="s">
        <v>97</v>
      </c>
      <c r="P522" s="45">
        <f>HEX2DEC(RIGHT(Table132321[[#This Row],[h1]],8))</f>
        <v>0</v>
      </c>
      <c r="Q522" s="45" t="s">
        <v>97</v>
      </c>
      <c r="R522" s="45">
        <f>HEX2DEC(RIGHT(Table132321[[#This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5" t="s">
        <v>97</v>
      </c>
      <c r="P523" s="45">
        <f>HEX2DEC(RIGHT(Table132321[[#This Row],[h1]],8))</f>
        <v>0</v>
      </c>
      <c r="Q523" s="45" t="s">
        <v>97</v>
      </c>
      <c r="R523" s="45">
        <f>HEX2DEC(RIGHT(Table132321[[#This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5" t="s">
        <v>97</v>
      </c>
      <c r="P524" s="45">
        <f>HEX2DEC(RIGHT(Table132321[[#This Row],[h1]],8))</f>
        <v>0</v>
      </c>
      <c r="Q524" s="45" t="s">
        <v>97</v>
      </c>
      <c r="R524" s="45">
        <f>HEX2DEC(RIGHT(Table132321[[#This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5" t="s">
        <v>97</v>
      </c>
      <c r="P525" s="45">
        <f>HEX2DEC(RIGHT(Table132321[[#This Row],[h1]],8))</f>
        <v>0</v>
      </c>
      <c r="Q525" s="45" t="s">
        <v>97</v>
      </c>
      <c r="R525" s="45">
        <f>HEX2DEC(RIGHT(Table132321[[#This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5" t="s">
        <v>97</v>
      </c>
      <c r="P526" s="45">
        <f>HEX2DEC(RIGHT(Table132321[[#This Row],[h1]],8))</f>
        <v>0</v>
      </c>
      <c r="Q526" s="45" t="s">
        <v>97</v>
      </c>
      <c r="R526" s="45">
        <f>HEX2DEC(RIGHT(Table132321[[#This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5" t="s">
        <v>97</v>
      </c>
      <c r="P527" s="45">
        <f>HEX2DEC(RIGHT(Table132321[[#This Row],[h1]],8))</f>
        <v>0</v>
      </c>
      <c r="Q527" s="45" t="s">
        <v>97</v>
      </c>
      <c r="R527" s="45">
        <f>HEX2DEC(RIGHT(Table132321[[#This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5" t="s">
        <v>97</v>
      </c>
      <c r="P528" s="45">
        <f>HEX2DEC(RIGHT(Table132321[[#This Row],[h1]],8))</f>
        <v>0</v>
      </c>
      <c r="Q528" s="45" t="s">
        <v>97</v>
      </c>
      <c r="R528" s="45">
        <f>HEX2DEC(RIGHT(Table132321[[#This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5" t="s">
        <v>97</v>
      </c>
      <c r="P529" s="45">
        <f>HEX2DEC(RIGHT(Table132321[[#This Row],[h1]],8))</f>
        <v>0</v>
      </c>
      <c r="Q529" s="45" t="s">
        <v>97</v>
      </c>
      <c r="R529" s="45">
        <f>HEX2DEC(RIGHT(Table132321[[#This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5" t="s">
        <v>97</v>
      </c>
      <c r="P530" s="45">
        <f>HEX2DEC(RIGHT(Table132321[[#This Row],[h1]],8))</f>
        <v>0</v>
      </c>
      <c r="Q530" s="45" t="s">
        <v>97</v>
      </c>
      <c r="R530" s="45">
        <f>HEX2DEC(RIGHT(Table132321[[#This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5" t="s">
        <v>97</v>
      </c>
      <c r="P531" s="45">
        <f>HEX2DEC(RIGHT(Table132321[[#This Row],[h1]],8))</f>
        <v>0</v>
      </c>
      <c r="Q531" s="45" t="s">
        <v>97</v>
      </c>
      <c r="R531" s="45">
        <f>HEX2DEC(RIGHT(Table132321[[#This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5" t="s">
        <v>97</v>
      </c>
      <c r="P532" s="45">
        <f>HEX2DEC(RIGHT(Table132321[[#This Row],[h1]],8))</f>
        <v>0</v>
      </c>
      <c r="Q532" s="45" t="s">
        <v>97</v>
      </c>
      <c r="R532" s="45">
        <f>HEX2DEC(RIGHT(Table132321[[#This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5" t="s">
        <v>97</v>
      </c>
      <c r="P533" s="45">
        <f>HEX2DEC(RIGHT(Table132321[[#This Row],[h1]],8))</f>
        <v>0</v>
      </c>
      <c r="Q533" s="45" t="s">
        <v>97</v>
      </c>
      <c r="R533" s="45">
        <f>HEX2DEC(RIGHT(Table132321[[#This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5" t="s">
        <v>97</v>
      </c>
      <c r="P534" s="45">
        <f>HEX2DEC(RIGHT(Table132321[[#This Row],[h1]],8))</f>
        <v>0</v>
      </c>
      <c r="Q534" s="45" t="s">
        <v>97</v>
      </c>
      <c r="R534" s="45">
        <f>HEX2DEC(RIGHT(Table132321[[#This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5" t="s">
        <v>97</v>
      </c>
      <c r="P535" s="45">
        <f>HEX2DEC(RIGHT(Table132321[[#This Row],[h1]],8))</f>
        <v>0</v>
      </c>
      <c r="Q535" s="45" t="s">
        <v>97</v>
      </c>
      <c r="R535" s="45">
        <f>HEX2DEC(RIGHT(Table132321[[#This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5" t="s">
        <v>97</v>
      </c>
      <c r="P536" s="45">
        <f>HEX2DEC(RIGHT(Table132321[[#This Row],[h1]],8))</f>
        <v>0</v>
      </c>
      <c r="Q536" s="45" t="s">
        <v>97</v>
      </c>
      <c r="R536" s="45">
        <f>HEX2DEC(RIGHT(Table132321[[#This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5" t="s">
        <v>97</v>
      </c>
      <c r="P537" s="45">
        <f>HEX2DEC(RIGHT(Table132321[[#This Row],[h1]],8))</f>
        <v>0</v>
      </c>
      <c r="Q537" s="45" t="s">
        <v>97</v>
      </c>
      <c r="R537" s="45">
        <f>HEX2DEC(RIGHT(Table132321[[#This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5" t="s">
        <v>97</v>
      </c>
      <c r="P538" s="45">
        <f>HEX2DEC(RIGHT(Table132321[[#This Row],[h1]],8))</f>
        <v>0</v>
      </c>
      <c r="Q538" s="45" t="s">
        <v>97</v>
      </c>
      <c r="R538" s="45">
        <f>HEX2DEC(RIGHT(Table132321[[#This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5" t="s">
        <v>97</v>
      </c>
      <c r="P539" s="45">
        <f>HEX2DEC(RIGHT(Table132321[[#This Row],[h1]],8))</f>
        <v>0</v>
      </c>
      <c r="Q539" s="45" t="s">
        <v>97</v>
      </c>
      <c r="R539" s="45">
        <f>HEX2DEC(RIGHT(Table132321[[#This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5" t="s">
        <v>97</v>
      </c>
      <c r="P540" s="45">
        <f>HEX2DEC(RIGHT(Table132321[[#This Row],[h1]],8))</f>
        <v>0</v>
      </c>
      <c r="Q540" s="45" t="s">
        <v>97</v>
      </c>
      <c r="R540" s="45">
        <f>HEX2DEC(RIGHT(Table132321[[#This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5" t="s">
        <v>97</v>
      </c>
      <c r="P541" s="45">
        <f>HEX2DEC(RIGHT(Table132321[[#This Row],[h1]],8))</f>
        <v>0</v>
      </c>
      <c r="Q541" s="45" t="s">
        <v>97</v>
      </c>
      <c r="R541" s="45">
        <f>HEX2DEC(RIGHT(Table132321[[#This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5" t="s">
        <v>97</v>
      </c>
      <c r="P542" s="45">
        <f>HEX2DEC(RIGHT(Table132321[[#This Row],[h1]],8))</f>
        <v>0</v>
      </c>
      <c r="Q542" s="45" t="s">
        <v>97</v>
      </c>
      <c r="R542" s="45">
        <f>HEX2DEC(RIGHT(Table132321[[#This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5" t="s">
        <v>97</v>
      </c>
      <c r="P543" s="45">
        <f>HEX2DEC(RIGHT(Table132321[[#This Row],[h1]],8))</f>
        <v>0</v>
      </c>
      <c r="Q543" s="45" t="s">
        <v>97</v>
      </c>
      <c r="R543" s="45">
        <f>HEX2DEC(RIGHT(Table132321[[#This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5" t="s">
        <v>97</v>
      </c>
      <c r="P544" s="45">
        <f>HEX2DEC(RIGHT(Table132321[[#This Row],[h1]],8))</f>
        <v>0</v>
      </c>
      <c r="Q544" s="45" t="s">
        <v>97</v>
      </c>
      <c r="R544" s="45">
        <f>HEX2DEC(RIGHT(Table132321[[#This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5" t="s">
        <v>97</v>
      </c>
      <c r="P545" s="45">
        <f>HEX2DEC(RIGHT(Table132321[[#This Row],[h1]],8))</f>
        <v>0</v>
      </c>
      <c r="Q545" s="45" t="s">
        <v>97</v>
      </c>
      <c r="R545" s="45">
        <f>HEX2DEC(RIGHT(Table132321[[#This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5" t="s">
        <v>97</v>
      </c>
      <c r="P546" s="45">
        <f>HEX2DEC(RIGHT(Table132321[[#This Row],[h1]],8))</f>
        <v>0</v>
      </c>
      <c r="Q546" s="45" t="s">
        <v>97</v>
      </c>
      <c r="R546" s="45">
        <f>HEX2DEC(RIGHT(Table132321[[#This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5" t="s">
        <v>97</v>
      </c>
      <c r="P547" s="45">
        <f>HEX2DEC(RIGHT(Table132321[[#This Row],[h1]],8))</f>
        <v>0</v>
      </c>
      <c r="Q547" s="45" t="s">
        <v>97</v>
      </c>
      <c r="R547" s="45">
        <f>HEX2DEC(RIGHT(Table132321[[#This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5" t="s">
        <v>97</v>
      </c>
      <c r="P548" s="45">
        <f>HEX2DEC(RIGHT(Table132321[[#This Row],[h1]],8))</f>
        <v>0</v>
      </c>
      <c r="Q548" s="45" t="s">
        <v>97</v>
      </c>
      <c r="R548" s="45">
        <f>HEX2DEC(RIGHT(Table132321[[#This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5" t="s">
        <v>97</v>
      </c>
      <c r="P549" s="45">
        <f>HEX2DEC(RIGHT(Table132321[[#This Row],[h1]],8))</f>
        <v>0</v>
      </c>
      <c r="Q549" s="45" t="s">
        <v>97</v>
      </c>
      <c r="R549" s="45">
        <f>HEX2DEC(RIGHT(Table132321[[#This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5" t="s">
        <v>97</v>
      </c>
      <c r="P550" s="45">
        <f>HEX2DEC(RIGHT(Table132321[[#This Row],[h1]],8))</f>
        <v>0</v>
      </c>
      <c r="Q550" s="45" t="s">
        <v>97</v>
      </c>
      <c r="R550" s="45">
        <f>HEX2DEC(RIGHT(Table132321[[#This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5" t="s">
        <v>97</v>
      </c>
      <c r="P551" s="45">
        <f>HEX2DEC(RIGHT(Table132321[[#This Row],[h1]],8))</f>
        <v>0</v>
      </c>
      <c r="Q551" s="45" t="s">
        <v>97</v>
      </c>
      <c r="R551" s="45">
        <f>HEX2DEC(RIGHT(Table132321[[#This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5" t="s">
        <v>97</v>
      </c>
      <c r="P552" s="45">
        <f>HEX2DEC(RIGHT(Table132321[[#This Row],[h1]],8))</f>
        <v>0</v>
      </c>
      <c r="Q552" s="45" t="s">
        <v>97</v>
      </c>
      <c r="R552" s="45">
        <f>HEX2DEC(RIGHT(Table132321[[#This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5" t="s">
        <v>97</v>
      </c>
      <c r="P553" s="45">
        <f>HEX2DEC(RIGHT(Table132321[[#This Row],[h1]],8))</f>
        <v>0</v>
      </c>
      <c r="Q553" s="45" t="s">
        <v>97</v>
      </c>
      <c r="R553" s="45">
        <f>HEX2DEC(RIGHT(Table132321[[#This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5" t="s">
        <v>97</v>
      </c>
      <c r="P554" s="45">
        <f>HEX2DEC(RIGHT(Table132321[[#This Row],[h1]],8))</f>
        <v>0</v>
      </c>
      <c r="Q554" s="45" t="s">
        <v>97</v>
      </c>
      <c r="R554" s="45">
        <f>HEX2DEC(RIGHT(Table132321[[#This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5" t="s">
        <v>97</v>
      </c>
      <c r="P555" s="45">
        <f>HEX2DEC(RIGHT(Table132321[[#This Row],[h1]],8))</f>
        <v>0</v>
      </c>
      <c r="Q555" s="45" t="s">
        <v>97</v>
      </c>
      <c r="R555" s="45">
        <f>HEX2DEC(RIGHT(Table132321[[#This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5" t="s">
        <v>97</v>
      </c>
      <c r="P556" s="45">
        <f>HEX2DEC(RIGHT(Table132321[[#This Row],[h1]],8))</f>
        <v>0</v>
      </c>
      <c r="Q556" s="45" t="s">
        <v>97</v>
      </c>
      <c r="R556" s="45">
        <f>HEX2DEC(RIGHT(Table132321[[#This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5" t="s">
        <v>97</v>
      </c>
      <c r="P557" s="45">
        <f>HEX2DEC(RIGHT(Table132321[[#This Row],[h1]],8))</f>
        <v>0</v>
      </c>
      <c r="Q557" s="45" t="s">
        <v>97</v>
      </c>
      <c r="R557" s="45">
        <f>HEX2DEC(RIGHT(Table132321[[#This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5" t="s">
        <v>97</v>
      </c>
      <c r="P558" s="45">
        <f>HEX2DEC(RIGHT(Table132321[[#This Row],[h1]],8))</f>
        <v>0</v>
      </c>
      <c r="Q558" s="45" t="s">
        <v>97</v>
      </c>
      <c r="R558" s="45">
        <f>HEX2DEC(RIGHT(Table132321[[#This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5" t="s">
        <v>97</v>
      </c>
      <c r="P559" s="45">
        <f>HEX2DEC(RIGHT(Table132321[[#This Row],[h1]],8))</f>
        <v>0</v>
      </c>
      <c r="Q559" s="45" t="s">
        <v>97</v>
      </c>
      <c r="R559" s="45">
        <f>HEX2DEC(RIGHT(Table132321[[#This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5" t="s">
        <v>97</v>
      </c>
      <c r="P560" s="45">
        <f>HEX2DEC(RIGHT(Table132321[[#This Row],[h1]],8))</f>
        <v>0</v>
      </c>
      <c r="Q560" s="45" t="s">
        <v>97</v>
      </c>
      <c r="R560" s="45">
        <f>HEX2DEC(RIGHT(Table132321[[#This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5" t="s">
        <v>97</v>
      </c>
      <c r="P561" s="45">
        <f>HEX2DEC(RIGHT(Table132321[[#This Row],[h1]],8))</f>
        <v>0</v>
      </c>
      <c r="Q561" s="45" t="s">
        <v>97</v>
      </c>
      <c r="R561" s="45">
        <f>HEX2DEC(RIGHT(Table132321[[#This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5" t="s">
        <v>97</v>
      </c>
      <c r="P562" s="45">
        <f>HEX2DEC(RIGHT(Table132321[[#This Row],[h1]],8))</f>
        <v>0</v>
      </c>
      <c r="Q562" s="45" t="s">
        <v>97</v>
      </c>
      <c r="R562" s="45">
        <f>HEX2DEC(RIGHT(Table132321[[#This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5" t="s">
        <v>97</v>
      </c>
      <c r="P563" s="45">
        <f>HEX2DEC(RIGHT(Table132321[[#This Row],[h1]],8))</f>
        <v>0</v>
      </c>
      <c r="Q563" s="45" t="s">
        <v>97</v>
      </c>
      <c r="R563" s="45">
        <f>HEX2DEC(RIGHT(Table132321[[#This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5" t="s">
        <v>97</v>
      </c>
      <c r="P564" s="45">
        <f>HEX2DEC(RIGHT(Table132321[[#This Row],[h1]],8))</f>
        <v>0</v>
      </c>
      <c r="Q564" s="45" t="s">
        <v>97</v>
      </c>
      <c r="R564" s="45">
        <f>HEX2DEC(RIGHT(Table132321[[#This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5" t="s">
        <v>97</v>
      </c>
      <c r="P565" s="45">
        <f>HEX2DEC(RIGHT(Table132321[[#This Row],[h1]],8))</f>
        <v>0</v>
      </c>
      <c r="Q565" s="45" t="s">
        <v>97</v>
      </c>
      <c r="R565" s="45">
        <f>HEX2DEC(RIGHT(Table132321[[#This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5" t="s">
        <v>97</v>
      </c>
      <c r="P566" s="45">
        <f>HEX2DEC(RIGHT(Table132321[[#This Row],[h1]],8))</f>
        <v>0</v>
      </c>
      <c r="Q566" s="45" t="s">
        <v>97</v>
      </c>
      <c r="R566" s="45">
        <f>HEX2DEC(RIGHT(Table132321[[#This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5" t="s">
        <v>97</v>
      </c>
      <c r="P567" s="45">
        <f>HEX2DEC(RIGHT(Table132321[[#This Row],[h1]],8))</f>
        <v>0</v>
      </c>
      <c r="Q567" s="45" t="s">
        <v>97</v>
      </c>
      <c r="R567" s="45">
        <f>HEX2DEC(RIGHT(Table132321[[#This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5" t="s">
        <v>97</v>
      </c>
      <c r="P568" s="45">
        <f>HEX2DEC(RIGHT(Table132321[[#This Row],[h1]],8))</f>
        <v>0</v>
      </c>
      <c r="Q568" s="45" t="s">
        <v>97</v>
      </c>
      <c r="R568" s="45">
        <f>HEX2DEC(RIGHT(Table132321[[#This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5" t="s">
        <v>97</v>
      </c>
      <c r="P569" s="45">
        <f>HEX2DEC(RIGHT(Table132321[[#This Row],[h1]],8))</f>
        <v>0</v>
      </c>
      <c r="Q569" s="45" t="s">
        <v>97</v>
      </c>
      <c r="R569" s="45">
        <f>HEX2DEC(RIGHT(Table132321[[#This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5" t="s">
        <v>97</v>
      </c>
      <c r="P570" s="45">
        <f>HEX2DEC(RIGHT(Table132321[[#This Row],[h1]],8))</f>
        <v>0</v>
      </c>
      <c r="Q570" s="45" t="s">
        <v>97</v>
      </c>
      <c r="R570" s="45">
        <f>HEX2DEC(RIGHT(Table132321[[#This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5" t="s">
        <v>97</v>
      </c>
      <c r="P571" s="45">
        <f>HEX2DEC(RIGHT(Table132321[[#This Row],[h1]],8))</f>
        <v>0</v>
      </c>
      <c r="Q571" s="45" t="s">
        <v>97</v>
      </c>
      <c r="R571" s="45">
        <f>HEX2DEC(RIGHT(Table132321[[#This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5" t="s">
        <v>97</v>
      </c>
      <c r="P572" s="45">
        <f>HEX2DEC(RIGHT(Table132321[[#This Row],[h1]],8))</f>
        <v>0</v>
      </c>
      <c r="Q572" s="45" t="s">
        <v>97</v>
      </c>
      <c r="R572" s="45">
        <f>HEX2DEC(RIGHT(Table132321[[#This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5" t="s">
        <v>97</v>
      </c>
      <c r="P573" s="45">
        <f>HEX2DEC(RIGHT(Table132321[[#This Row],[h1]],8))</f>
        <v>0</v>
      </c>
      <c r="Q573" s="45" t="s">
        <v>97</v>
      </c>
      <c r="R573" s="45">
        <f>HEX2DEC(RIGHT(Table132321[[#This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5" t="s">
        <v>97</v>
      </c>
      <c r="P574" s="45">
        <f>HEX2DEC(RIGHT(Table132321[[#This Row],[h1]],8))</f>
        <v>0</v>
      </c>
      <c r="Q574" s="45" t="s">
        <v>97</v>
      </c>
      <c r="R574" s="45">
        <f>HEX2DEC(RIGHT(Table132321[[#This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5" t="s">
        <v>97</v>
      </c>
      <c r="P575" s="45">
        <f>HEX2DEC(RIGHT(Table132321[[#This Row],[h1]],8))</f>
        <v>0</v>
      </c>
      <c r="Q575" s="45" t="s">
        <v>97</v>
      </c>
      <c r="R575" s="45">
        <f>HEX2DEC(RIGHT(Table132321[[#This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5" t="s">
        <v>97</v>
      </c>
      <c r="P576" s="45">
        <f>HEX2DEC(RIGHT(Table132321[[#This Row],[h1]],8))</f>
        <v>0</v>
      </c>
      <c r="Q576" s="45" t="s">
        <v>97</v>
      </c>
      <c r="R576" s="45">
        <f>HEX2DEC(RIGHT(Table132321[[#This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5" t="s">
        <v>97</v>
      </c>
      <c r="P577" s="45">
        <f>HEX2DEC(RIGHT(Table132321[[#This Row],[h1]],8))</f>
        <v>0</v>
      </c>
      <c r="Q577" s="45" t="s">
        <v>97</v>
      </c>
      <c r="R577" s="45">
        <f>HEX2DEC(RIGHT(Table132321[[#This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5" t="s">
        <v>97</v>
      </c>
      <c r="P578" s="45">
        <f>HEX2DEC(RIGHT(Table132321[[#This Row],[h1]],8))</f>
        <v>0</v>
      </c>
      <c r="Q578" s="45" t="s">
        <v>97</v>
      </c>
      <c r="R578" s="45">
        <f>HEX2DEC(RIGHT(Table132321[[#This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5" t="s">
        <v>97</v>
      </c>
      <c r="P579" s="45">
        <f>HEX2DEC(RIGHT(Table132321[[#This Row],[h1]],8))</f>
        <v>0</v>
      </c>
      <c r="Q579" s="45" t="s">
        <v>97</v>
      </c>
      <c r="R579" s="45">
        <f>HEX2DEC(RIGHT(Table132321[[#This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5" t="s">
        <v>97</v>
      </c>
      <c r="P580" s="45">
        <f>HEX2DEC(RIGHT(Table132321[[#This Row],[h1]],8))</f>
        <v>0</v>
      </c>
      <c r="Q580" s="45" t="s">
        <v>97</v>
      </c>
      <c r="R580" s="45">
        <f>HEX2DEC(RIGHT(Table132321[[#This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5" t="s">
        <v>97</v>
      </c>
      <c r="P581" s="45">
        <f>HEX2DEC(RIGHT(Table132321[[#This Row],[h1]],8))</f>
        <v>0</v>
      </c>
      <c r="Q581" s="45" t="s">
        <v>97</v>
      </c>
      <c r="R581" s="45">
        <f>HEX2DEC(RIGHT(Table132321[[#This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5" t="s">
        <v>97</v>
      </c>
      <c r="P582" s="45">
        <f>HEX2DEC(RIGHT(Table132321[[#This Row],[h1]],8))</f>
        <v>0</v>
      </c>
      <c r="Q582" s="45" t="s">
        <v>97</v>
      </c>
      <c r="R582" s="45">
        <f>HEX2DEC(RIGHT(Table132321[[#This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5" t="s">
        <v>97</v>
      </c>
      <c r="P583" s="45">
        <f>HEX2DEC(RIGHT(Table132321[[#This Row],[h1]],8))</f>
        <v>0</v>
      </c>
      <c r="Q583" s="45" t="s">
        <v>97</v>
      </c>
      <c r="R583" s="45">
        <f>HEX2DEC(RIGHT(Table132321[[#This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5" t="s">
        <v>97</v>
      </c>
      <c r="P584" s="45">
        <f>HEX2DEC(RIGHT(Table132321[[#This Row],[h1]],8))</f>
        <v>0</v>
      </c>
      <c r="Q584" s="45" t="s">
        <v>97</v>
      </c>
      <c r="R584" s="45">
        <f>HEX2DEC(RIGHT(Table132321[[#This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5" t="s">
        <v>97</v>
      </c>
      <c r="P585" s="45">
        <f>HEX2DEC(RIGHT(Table132321[[#This Row],[h1]],8))</f>
        <v>0</v>
      </c>
      <c r="Q585" s="45" t="s">
        <v>97</v>
      </c>
      <c r="R585" s="45">
        <f>HEX2DEC(RIGHT(Table132321[[#This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5" t="s">
        <v>97</v>
      </c>
      <c r="P586" s="45">
        <f>HEX2DEC(RIGHT(Table132321[[#This Row],[h1]],8))</f>
        <v>0</v>
      </c>
      <c r="Q586" s="45" t="s">
        <v>97</v>
      </c>
      <c r="R586" s="45">
        <f>HEX2DEC(RIGHT(Table132321[[#This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5" t="s">
        <v>97</v>
      </c>
      <c r="P587" s="45">
        <f>HEX2DEC(RIGHT(Table132321[[#This Row],[h1]],8))</f>
        <v>0</v>
      </c>
      <c r="Q587" s="45" t="s">
        <v>97</v>
      </c>
      <c r="R587" s="45">
        <f>HEX2DEC(RIGHT(Table132321[[#This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5" t="s">
        <v>97</v>
      </c>
      <c r="P588" s="45">
        <f>HEX2DEC(RIGHT(Table132321[[#This Row],[h1]],8))</f>
        <v>0</v>
      </c>
      <c r="Q588" s="45" t="s">
        <v>97</v>
      </c>
      <c r="R588" s="45">
        <f>HEX2DEC(RIGHT(Table132321[[#This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5" t="s">
        <v>97</v>
      </c>
      <c r="P589" s="45">
        <f>HEX2DEC(RIGHT(Table132321[[#This Row],[h1]],8))</f>
        <v>0</v>
      </c>
      <c r="Q589" s="45" t="s">
        <v>97</v>
      </c>
      <c r="R589" s="45">
        <f>HEX2DEC(RIGHT(Table132321[[#This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5" t="s">
        <v>97</v>
      </c>
      <c r="P590" s="45">
        <f>HEX2DEC(RIGHT(Table132321[[#This Row],[h1]],8))</f>
        <v>0</v>
      </c>
      <c r="Q590" s="45" t="s">
        <v>97</v>
      </c>
      <c r="R590" s="45">
        <f>HEX2DEC(RIGHT(Table132321[[#This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5" t="s">
        <v>97</v>
      </c>
      <c r="P591" s="45">
        <f>HEX2DEC(RIGHT(Table132321[[#This Row],[h1]],8))</f>
        <v>0</v>
      </c>
      <c r="Q591" s="45" t="s">
        <v>97</v>
      </c>
      <c r="R591" s="45">
        <f>HEX2DEC(RIGHT(Table132321[[#This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5" t="s">
        <v>97</v>
      </c>
      <c r="P592" s="45">
        <f>HEX2DEC(RIGHT(Table132321[[#This Row],[h1]],8))</f>
        <v>0</v>
      </c>
      <c r="Q592" s="45" t="s">
        <v>97</v>
      </c>
      <c r="R592" s="45">
        <f>HEX2DEC(RIGHT(Table132321[[#This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5" t="s">
        <v>97</v>
      </c>
      <c r="P593" s="45">
        <f>HEX2DEC(RIGHT(Table132321[[#This Row],[h1]],8))</f>
        <v>0</v>
      </c>
      <c r="Q593" s="45" t="s">
        <v>97</v>
      </c>
      <c r="R593" s="45">
        <f>HEX2DEC(RIGHT(Table132321[[#This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5" t="s">
        <v>97</v>
      </c>
      <c r="P594" s="45">
        <f>HEX2DEC(RIGHT(Table132321[[#This Row],[h1]],8))</f>
        <v>0</v>
      </c>
      <c r="Q594" s="45" t="s">
        <v>97</v>
      </c>
      <c r="R594" s="45">
        <f>HEX2DEC(RIGHT(Table132321[[#This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5" t="s">
        <v>97</v>
      </c>
      <c r="P595" s="45">
        <f>HEX2DEC(RIGHT(Table132321[[#This Row],[h1]],8))</f>
        <v>0</v>
      </c>
      <c r="Q595" s="45" t="s">
        <v>97</v>
      </c>
      <c r="R595" s="45">
        <f>HEX2DEC(RIGHT(Table132321[[#This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5" t="s">
        <v>97</v>
      </c>
      <c r="P596" s="45">
        <f>HEX2DEC(RIGHT(Table132321[[#This Row],[h1]],8))</f>
        <v>0</v>
      </c>
      <c r="Q596" s="45" t="s">
        <v>97</v>
      </c>
      <c r="R596" s="45">
        <f>HEX2DEC(RIGHT(Table132321[[#This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5" t="s">
        <v>97</v>
      </c>
      <c r="P597" s="45">
        <f>HEX2DEC(RIGHT(Table132321[[#This Row],[h1]],8))</f>
        <v>0</v>
      </c>
      <c r="Q597" s="45" t="s">
        <v>97</v>
      </c>
      <c r="R597" s="45">
        <f>HEX2DEC(RIGHT(Table132321[[#This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5" t="s">
        <v>97</v>
      </c>
      <c r="P598" s="45">
        <f>HEX2DEC(RIGHT(Table132321[[#This Row],[h1]],8))</f>
        <v>0</v>
      </c>
      <c r="Q598" s="45" t="s">
        <v>97</v>
      </c>
      <c r="R598" s="45">
        <f>HEX2DEC(RIGHT(Table132321[[#This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5" t="s">
        <v>97</v>
      </c>
      <c r="P599" s="45">
        <f>HEX2DEC(RIGHT(Table132321[[#This Row],[h1]],8))</f>
        <v>0</v>
      </c>
      <c r="Q599" s="45" t="s">
        <v>97</v>
      </c>
      <c r="R599" s="45">
        <f>HEX2DEC(RIGHT(Table132321[[#This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5" t="s">
        <v>97</v>
      </c>
      <c r="P600" s="45">
        <f>HEX2DEC(RIGHT(Table132321[[#This Row],[h1]],8))</f>
        <v>0</v>
      </c>
      <c r="Q600" s="45" t="s">
        <v>97</v>
      </c>
      <c r="R600" s="45">
        <f>HEX2DEC(RIGHT(Table132321[[#This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5" t="s">
        <v>97</v>
      </c>
      <c r="P601" s="45">
        <f>HEX2DEC(RIGHT(Table132321[[#This Row],[h1]],8))</f>
        <v>0</v>
      </c>
      <c r="Q601" s="45" t="s">
        <v>97</v>
      </c>
      <c r="R601" s="45">
        <f>HEX2DEC(RIGHT(Table132321[[#This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5" t="s">
        <v>97</v>
      </c>
      <c r="P602" s="45">
        <f>HEX2DEC(RIGHT(Table132321[[#This Row],[h1]],8))</f>
        <v>0</v>
      </c>
      <c r="Q602" s="45" t="s">
        <v>97</v>
      </c>
      <c r="R602" s="45">
        <f>HEX2DEC(RIGHT(Table132321[[#This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5" t="s">
        <v>97</v>
      </c>
      <c r="P603" s="45">
        <f>HEX2DEC(RIGHT(Table132321[[#This Row],[h1]],8))</f>
        <v>0</v>
      </c>
      <c r="Q603" s="45" t="s">
        <v>97</v>
      </c>
      <c r="R603" s="45">
        <f>HEX2DEC(RIGHT(Table132321[[#This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5" t="s">
        <v>97</v>
      </c>
      <c r="P604" s="45">
        <f>HEX2DEC(RIGHT(Table132321[[#This Row],[h1]],8))</f>
        <v>0</v>
      </c>
      <c r="Q604" s="45" t="s">
        <v>97</v>
      </c>
      <c r="R604" s="45">
        <f>HEX2DEC(RIGHT(Table132321[[#This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5" t="s">
        <v>97</v>
      </c>
      <c r="P605" s="45">
        <f>HEX2DEC(RIGHT(Table132321[[#This Row],[h1]],8))</f>
        <v>0</v>
      </c>
      <c r="Q605" s="45" t="s">
        <v>97</v>
      </c>
      <c r="R605" s="45">
        <f>HEX2DEC(RIGHT(Table132321[[#This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5" t="s">
        <v>97</v>
      </c>
      <c r="P606" s="45">
        <f>HEX2DEC(RIGHT(Table132321[[#This Row],[h1]],8))</f>
        <v>0</v>
      </c>
      <c r="Q606" s="45" t="s">
        <v>97</v>
      </c>
      <c r="R606" s="45">
        <f>HEX2DEC(RIGHT(Table132321[[#This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5" t="s">
        <v>97</v>
      </c>
      <c r="P607" s="45">
        <f>HEX2DEC(RIGHT(Table132321[[#This Row],[h1]],8))</f>
        <v>0</v>
      </c>
      <c r="Q607" s="45" t="s">
        <v>97</v>
      </c>
      <c r="R607" s="45">
        <f>HEX2DEC(RIGHT(Table132321[[#This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5" t="s">
        <v>97</v>
      </c>
      <c r="P608" s="45">
        <f>HEX2DEC(RIGHT(Table132321[[#This Row],[h1]],8))</f>
        <v>0</v>
      </c>
      <c r="Q608" s="45" t="s">
        <v>97</v>
      </c>
      <c r="R608" s="45">
        <f>HEX2DEC(RIGHT(Table132321[[#This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5" t="s">
        <v>97</v>
      </c>
      <c r="P609" s="45">
        <f>HEX2DEC(RIGHT(Table132321[[#This Row],[h1]],8))</f>
        <v>0</v>
      </c>
      <c r="Q609" s="45" t="s">
        <v>97</v>
      </c>
      <c r="R609" s="45">
        <f>HEX2DEC(RIGHT(Table132321[[#This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5" t="s">
        <v>97</v>
      </c>
      <c r="P610" s="45">
        <f>HEX2DEC(RIGHT(Table132321[[#This Row],[h1]],8))</f>
        <v>0</v>
      </c>
      <c r="Q610" s="45" t="s">
        <v>97</v>
      </c>
      <c r="R610" s="45">
        <f>HEX2DEC(RIGHT(Table132321[[#This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5" t="s">
        <v>97</v>
      </c>
      <c r="P611" s="45">
        <f>HEX2DEC(RIGHT(Table132321[[#This Row],[h1]],8))</f>
        <v>0</v>
      </c>
      <c r="Q611" s="45" t="s">
        <v>97</v>
      </c>
      <c r="R611" s="45">
        <f>HEX2DEC(RIGHT(Table132321[[#This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5" t="s">
        <v>97</v>
      </c>
      <c r="P612" s="45">
        <f>HEX2DEC(RIGHT(Table132321[[#This Row],[h1]],8))</f>
        <v>0</v>
      </c>
      <c r="Q612" s="45" t="s">
        <v>97</v>
      </c>
      <c r="R612" s="45">
        <f>HEX2DEC(RIGHT(Table132321[[#This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5" t="s">
        <v>97</v>
      </c>
      <c r="P613" s="45">
        <f>HEX2DEC(RIGHT(Table132321[[#This Row],[h1]],8))</f>
        <v>0</v>
      </c>
      <c r="Q613" s="45" t="s">
        <v>97</v>
      </c>
      <c r="R613" s="45">
        <f>HEX2DEC(RIGHT(Table132321[[#This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5" t="s">
        <v>97</v>
      </c>
      <c r="P614" s="45">
        <f>HEX2DEC(RIGHT(Table132321[[#This Row],[h1]],8))</f>
        <v>0</v>
      </c>
      <c r="Q614" s="45" t="s">
        <v>97</v>
      </c>
      <c r="R614" s="45">
        <f>HEX2DEC(RIGHT(Table132321[[#This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5" t="s">
        <v>97</v>
      </c>
      <c r="P615" s="45">
        <f>HEX2DEC(RIGHT(Table132321[[#This Row],[h1]],8))</f>
        <v>0</v>
      </c>
      <c r="Q615" s="45" t="s">
        <v>97</v>
      </c>
      <c r="R615" s="45">
        <f>HEX2DEC(RIGHT(Table132321[[#This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5" t="s">
        <v>97</v>
      </c>
      <c r="P616" s="45">
        <f>HEX2DEC(RIGHT(Table132321[[#This Row],[h1]],8))</f>
        <v>0</v>
      </c>
      <c r="Q616" s="45" t="s">
        <v>97</v>
      </c>
      <c r="R616" s="45">
        <f>HEX2DEC(RIGHT(Table132321[[#This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5" t="s">
        <v>97</v>
      </c>
      <c r="P617" s="45">
        <f>HEX2DEC(RIGHT(Table132321[[#This Row],[h1]],8))</f>
        <v>0</v>
      </c>
      <c r="Q617" s="45" t="s">
        <v>97</v>
      </c>
      <c r="R617" s="45">
        <f>HEX2DEC(RIGHT(Table132321[[#This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5" t="s">
        <v>97</v>
      </c>
      <c r="P618" s="45">
        <f>HEX2DEC(RIGHT(Table132321[[#This Row],[h1]],8))</f>
        <v>0</v>
      </c>
      <c r="Q618" s="45" t="s">
        <v>97</v>
      </c>
      <c r="R618" s="45">
        <f>HEX2DEC(RIGHT(Table132321[[#This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5" t="s">
        <v>97</v>
      </c>
      <c r="P619" s="45">
        <f>HEX2DEC(RIGHT(Table132321[[#This Row],[h1]],8))</f>
        <v>0</v>
      </c>
      <c r="Q619" s="45" t="s">
        <v>97</v>
      </c>
      <c r="R619" s="45">
        <f>HEX2DEC(RIGHT(Table132321[[#This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5" t="s">
        <v>97</v>
      </c>
      <c r="P620" s="45">
        <f>HEX2DEC(RIGHT(Table132321[[#This Row],[h1]],8))</f>
        <v>0</v>
      </c>
      <c r="Q620" s="45" t="s">
        <v>97</v>
      </c>
      <c r="R620" s="45">
        <f>HEX2DEC(RIGHT(Table132321[[#This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5" t="s">
        <v>97</v>
      </c>
      <c r="P621" s="45">
        <f>HEX2DEC(RIGHT(Table132321[[#This Row],[h1]],8))</f>
        <v>0</v>
      </c>
      <c r="Q621" s="45" t="s">
        <v>97</v>
      </c>
      <c r="R621" s="45">
        <f>HEX2DEC(RIGHT(Table132321[[#This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5" t="s">
        <v>97</v>
      </c>
      <c r="P622" s="45">
        <f>HEX2DEC(RIGHT(Table132321[[#This Row],[h1]],8))</f>
        <v>0</v>
      </c>
      <c r="Q622" s="45" t="s">
        <v>97</v>
      </c>
      <c r="R622" s="45">
        <f>HEX2DEC(RIGHT(Table132321[[#This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5" t="s">
        <v>97</v>
      </c>
      <c r="P623" s="45">
        <f>HEX2DEC(RIGHT(Table132321[[#This Row],[h1]],8))</f>
        <v>0</v>
      </c>
      <c r="Q623" s="45" t="s">
        <v>97</v>
      </c>
      <c r="R623" s="45">
        <f>HEX2DEC(RIGHT(Table132321[[#This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5" t="s">
        <v>97</v>
      </c>
      <c r="P624" s="45">
        <f>HEX2DEC(RIGHT(Table132321[[#This Row],[h1]],8))</f>
        <v>0</v>
      </c>
      <c r="Q624" s="45" t="s">
        <v>97</v>
      </c>
      <c r="R624" s="45">
        <f>HEX2DEC(RIGHT(Table132321[[#This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5" t="s">
        <v>97</v>
      </c>
      <c r="P625" s="45">
        <f>HEX2DEC(RIGHT(Table132321[[#This Row],[h1]],8))</f>
        <v>0</v>
      </c>
      <c r="Q625" s="45" t="s">
        <v>97</v>
      </c>
      <c r="R625" s="45">
        <f>HEX2DEC(RIGHT(Table132321[[#This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5" t="s">
        <v>97</v>
      </c>
      <c r="P626" s="45">
        <f>HEX2DEC(RIGHT(Table132321[[#This Row],[h1]],8))</f>
        <v>0</v>
      </c>
      <c r="Q626" s="45" t="s">
        <v>97</v>
      </c>
      <c r="R626" s="45">
        <f>HEX2DEC(RIGHT(Table132321[[#This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5" t="s">
        <v>97</v>
      </c>
      <c r="P627" s="45">
        <f>HEX2DEC(RIGHT(Table132321[[#This Row],[h1]],8))</f>
        <v>0</v>
      </c>
      <c r="Q627" s="45" t="s">
        <v>97</v>
      </c>
      <c r="R627" s="45">
        <f>HEX2DEC(RIGHT(Table132321[[#This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5" t="s">
        <v>97</v>
      </c>
      <c r="P628" s="45">
        <f>HEX2DEC(RIGHT(Table132321[[#This Row],[h1]],8))</f>
        <v>0</v>
      </c>
      <c r="Q628" s="45" t="s">
        <v>97</v>
      </c>
      <c r="R628" s="45">
        <f>HEX2DEC(RIGHT(Table132321[[#This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5" t="s">
        <v>97</v>
      </c>
      <c r="P629" s="45">
        <f>HEX2DEC(RIGHT(Table132321[[#This Row],[h1]],8))</f>
        <v>0</v>
      </c>
      <c r="Q629" s="45" t="s">
        <v>97</v>
      </c>
      <c r="R629" s="45">
        <f>HEX2DEC(RIGHT(Table132321[[#This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5" t="s">
        <v>97</v>
      </c>
      <c r="P630" s="45">
        <f>HEX2DEC(RIGHT(Table132321[[#This Row],[h1]],8))</f>
        <v>0</v>
      </c>
      <c r="Q630" s="45" t="s">
        <v>97</v>
      </c>
      <c r="R630" s="45">
        <f>HEX2DEC(RIGHT(Table132321[[#This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5" t="s">
        <v>97</v>
      </c>
      <c r="P631" s="45">
        <f>HEX2DEC(RIGHT(Table132321[[#This Row],[h1]],8))</f>
        <v>0</v>
      </c>
      <c r="Q631" s="45" t="s">
        <v>97</v>
      </c>
      <c r="R631" s="45">
        <f>HEX2DEC(RIGHT(Table132321[[#This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5" t="s">
        <v>97</v>
      </c>
      <c r="P632" s="45">
        <f>HEX2DEC(RIGHT(Table132321[[#This Row],[h1]],8))</f>
        <v>0</v>
      </c>
      <c r="Q632" s="45" t="s">
        <v>97</v>
      </c>
      <c r="R632" s="45">
        <f>HEX2DEC(RIGHT(Table132321[[#This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5" t="s">
        <v>97</v>
      </c>
      <c r="P633" s="45">
        <f>HEX2DEC(RIGHT(Table132321[[#This Row],[h1]],8))</f>
        <v>0</v>
      </c>
      <c r="Q633" s="45" t="s">
        <v>97</v>
      </c>
      <c r="R633" s="45">
        <f>HEX2DEC(RIGHT(Table132321[[#This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5" t="s">
        <v>97</v>
      </c>
      <c r="P634" s="45">
        <f>HEX2DEC(RIGHT(Table132321[[#This Row],[h1]],8))</f>
        <v>0</v>
      </c>
      <c r="Q634" s="45" t="s">
        <v>97</v>
      </c>
      <c r="R634" s="45">
        <f>HEX2DEC(RIGHT(Table132321[[#This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5" t="s">
        <v>97</v>
      </c>
      <c r="P635" s="45">
        <f>HEX2DEC(RIGHT(Table132321[[#This Row],[h1]],8))</f>
        <v>0</v>
      </c>
      <c r="Q635" s="45" t="s">
        <v>97</v>
      </c>
      <c r="R635" s="45">
        <f>HEX2DEC(RIGHT(Table132321[[#This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5" t="s">
        <v>97</v>
      </c>
      <c r="P636" s="45">
        <f>HEX2DEC(RIGHT(Table132321[[#This Row],[h1]],8))</f>
        <v>0</v>
      </c>
      <c r="Q636" s="45" t="s">
        <v>97</v>
      </c>
      <c r="R636" s="45">
        <f>HEX2DEC(RIGHT(Table132321[[#This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5" t="s">
        <v>97</v>
      </c>
      <c r="P637" s="45">
        <f>HEX2DEC(RIGHT(Table132321[[#This Row],[h1]],8))</f>
        <v>0</v>
      </c>
      <c r="Q637" s="45" t="s">
        <v>97</v>
      </c>
      <c r="R637" s="45">
        <f>HEX2DEC(RIGHT(Table132321[[#This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5" t="s">
        <v>97</v>
      </c>
      <c r="P638" s="45">
        <f>HEX2DEC(RIGHT(Table132321[[#This Row],[h1]],8))</f>
        <v>0</v>
      </c>
      <c r="Q638" s="45" t="s">
        <v>97</v>
      </c>
      <c r="R638" s="45">
        <f>HEX2DEC(RIGHT(Table132321[[#This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5" t="s">
        <v>97</v>
      </c>
      <c r="P639" s="45">
        <f>HEX2DEC(RIGHT(Table132321[[#This Row],[h1]],8))</f>
        <v>0</v>
      </c>
      <c r="Q639" s="45" t="s">
        <v>97</v>
      </c>
      <c r="R639" s="45">
        <f>HEX2DEC(RIGHT(Table132321[[#This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5" t="s">
        <v>97</v>
      </c>
      <c r="P640" s="45">
        <f>HEX2DEC(RIGHT(Table132321[[#This Row],[h1]],8))</f>
        <v>0</v>
      </c>
      <c r="Q640" s="45" t="s">
        <v>97</v>
      </c>
      <c r="R640" s="45">
        <f>HEX2DEC(RIGHT(Table132321[[#This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5" t="s">
        <v>97</v>
      </c>
      <c r="P641" s="45">
        <f>HEX2DEC(RIGHT(Table132321[[#This Row],[h1]],8))</f>
        <v>0</v>
      </c>
      <c r="Q641" s="45" t="s">
        <v>97</v>
      </c>
      <c r="R641" s="45">
        <f>HEX2DEC(RIGHT(Table132321[[#This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5" t="s">
        <v>97</v>
      </c>
      <c r="P642" s="45">
        <f>HEX2DEC(RIGHT(Table132321[[#This Row],[h1]],8))</f>
        <v>0</v>
      </c>
      <c r="Q642" s="45" t="s">
        <v>97</v>
      </c>
      <c r="R642" s="45">
        <f>HEX2DEC(RIGHT(Table132321[[#This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5" t="s">
        <v>97</v>
      </c>
      <c r="P643" s="45">
        <f>HEX2DEC(RIGHT(Table132321[[#This Row],[h1]],8))</f>
        <v>0</v>
      </c>
      <c r="Q643" s="45" t="s">
        <v>97</v>
      </c>
      <c r="R643" s="45">
        <f>HEX2DEC(RIGHT(Table132321[[#This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5" t="s">
        <v>97</v>
      </c>
      <c r="P644" s="45">
        <f>HEX2DEC(RIGHT(Table132321[[#This Row],[h1]],8))</f>
        <v>0</v>
      </c>
      <c r="Q644" s="45" t="s">
        <v>97</v>
      </c>
      <c r="R644" s="45">
        <f>HEX2DEC(RIGHT(Table132321[[#This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5" t="s">
        <v>97</v>
      </c>
      <c r="P645" s="45">
        <f>HEX2DEC(RIGHT(Table132321[[#This Row],[h1]],8))</f>
        <v>0</v>
      </c>
      <c r="Q645" s="45" t="s">
        <v>97</v>
      </c>
      <c r="R645" s="45">
        <f>HEX2DEC(RIGHT(Table132321[[#This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5" t="s">
        <v>97</v>
      </c>
      <c r="P646" s="45">
        <f>HEX2DEC(RIGHT(Table132321[[#This Row],[h1]],8))</f>
        <v>0</v>
      </c>
      <c r="Q646" s="45" t="s">
        <v>97</v>
      </c>
      <c r="R646" s="45">
        <f>HEX2DEC(RIGHT(Table132321[[#This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5" t="s">
        <v>97</v>
      </c>
      <c r="P647" s="45">
        <f>HEX2DEC(RIGHT(Table132321[[#This Row],[h1]],8))</f>
        <v>0</v>
      </c>
      <c r="Q647" s="45" t="s">
        <v>97</v>
      </c>
      <c r="R647" s="45">
        <f>HEX2DEC(RIGHT(Table132321[[#This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5" t="s">
        <v>97</v>
      </c>
      <c r="P648" s="45">
        <f>HEX2DEC(RIGHT(Table132321[[#This Row],[h1]],8))</f>
        <v>0</v>
      </c>
      <c r="Q648" s="45" t="s">
        <v>97</v>
      </c>
      <c r="R648" s="45">
        <f>HEX2DEC(RIGHT(Table132321[[#This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5" t="s">
        <v>97</v>
      </c>
      <c r="P649" s="45">
        <f>HEX2DEC(RIGHT(Table132321[[#This Row],[h1]],8))</f>
        <v>0</v>
      </c>
      <c r="Q649" s="45" t="s">
        <v>97</v>
      </c>
      <c r="R649" s="45">
        <f>HEX2DEC(RIGHT(Table132321[[#This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5" t="s">
        <v>97</v>
      </c>
      <c r="P650" s="45">
        <f>HEX2DEC(RIGHT(Table132321[[#This Row],[h1]],8))</f>
        <v>0</v>
      </c>
      <c r="Q650" s="45" t="s">
        <v>97</v>
      </c>
      <c r="R650" s="45">
        <f>HEX2DEC(RIGHT(Table132321[[#This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5" t="s">
        <v>97</v>
      </c>
      <c r="P651" s="45">
        <f>HEX2DEC(RIGHT(Table132321[[#This Row],[h1]],8))</f>
        <v>0</v>
      </c>
      <c r="Q651" s="45" t="s">
        <v>97</v>
      </c>
      <c r="R651" s="45">
        <f>HEX2DEC(RIGHT(Table132321[[#This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5" t="s">
        <v>97</v>
      </c>
      <c r="P652" s="45">
        <f>HEX2DEC(RIGHT(Table132321[[#This Row],[h1]],8))</f>
        <v>0</v>
      </c>
      <c r="Q652" s="45" t="s">
        <v>97</v>
      </c>
      <c r="R652" s="45">
        <f>HEX2DEC(RIGHT(Table132321[[#This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5" t="s">
        <v>97</v>
      </c>
      <c r="P653" s="45">
        <f>HEX2DEC(RIGHT(Table132321[[#This Row],[h1]],8))</f>
        <v>0</v>
      </c>
      <c r="Q653" s="45" t="s">
        <v>97</v>
      </c>
      <c r="R653" s="45">
        <f>HEX2DEC(RIGHT(Table132321[[#This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5" t="s">
        <v>97</v>
      </c>
      <c r="P654" s="45">
        <f>HEX2DEC(RIGHT(Table132321[[#This Row],[h1]],8))</f>
        <v>0</v>
      </c>
      <c r="Q654" s="45" t="s">
        <v>97</v>
      </c>
      <c r="R654" s="45">
        <f>HEX2DEC(RIGHT(Table132321[[#This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5" t="s">
        <v>97</v>
      </c>
      <c r="P655" s="45">
        <f>HEX2DEC(RIGHT(Table132321[[#This Row],[h1]],8))</f>
        <v>0</v>
      </c>
      <c r="Q655" s="45" t="s">
        <v>97</v>
      </c>
      <c r="R655" s="45">
        <f>HEX2DEC(RIGHT(Table132321[[#This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5" t="s">
        <v>97</v>
      </c>
      <c r="P656" s="45">
        <f>HEX2DEC(RIGHT(Table132321[[#This Row],[h1]],8))</f>
        <v>0</v>
      </c>
      <c r="Q656" s="45" t="s">
        <v>97</v>
      </c>
      <c r="R656" s="45">
        <f>HEX2DEC(RIGHT(Table132321[[#This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5" t="s">
        <v>97</v>
      </c>
      <c r="P657" s="45">
        <f>HEX2DEC(RIGHT(Table132321[[#This Row],[h1]],8))</f>
        <v>0</v>
      </c>
      <c r="Q657" s="45" t="s">
        <v>97</v>
      </c>
      <c r="R657" s="45">
        <f>HEX2DEC(RIGHT(Table132321[[#This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5" t="s">
        <v>97</v>
      </c>
      <c r="P658" s="45">
        <f>HEX2DEC(RIGHT(Table132321[[#This Row],[h1]],8))</f>
        <v>0</v>
      </c>
      <c r="Q658" s="45" t="s">
        <v>97</v>
      </c>
      <c r="R658" s="45">
        <f>HEX2DEC(RIGHT(Table132321[[#This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5" t="s">
        <v>97</v>
      </c>
      <c r="P659" s="45">
        <f>HEX2DEC(RIGHT(Table132321[[#This Row],[h1]],8))</f>
        <v>0</v>
      </c>
      <c r="Q659" s="45" t="s">
        <v>97</v>
      </c>
      <c r="R659" s="45">
        <f>HEX2DEC(RIGHT(Table132321[[#This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5" t="s">
        <v>97</v>
      </c>
      <c r="P660" s="45">
        <f>HEX2DEC(RIGHT(Table132321[[#This Row],[h1]],8))</f>
        <v>0</v>
      </c>
      <c r="Q660" s="45" t="s">
        <v>97</v>
      </c>
      <c r="R660" s="45">
        <f>HEX2DEC(RIGHT(Table132321[[#This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5" t="s">
        <v>97</v>
      </c>
      <c r="P661" s="45">
        <f>HEX2DEC(RIGHT(Table132321[[#This Row],[h1]],8))</f>
        <v>0</v>
      </c>
      <c r="Q661" s="45" t="s">
        <v>97</v>
      </c>
      <c r="R661" s="45">
        <f>HEX2DEC(RIGHT(Table132321[[#This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5" t="s">
        <v>97</v>
      </c>
      <c r="P662" s="45">
        <f>HEX2DEC(RIGHT(Table132321[[#This Row],[h1]],8))</f>
        <v>0</v>
      </c>
      <c r="Q662" s="45" t="s">
        <v>97</v>
      </c>
      <c r="R662" s="45">
        <f>HEX2DEC(RIGHT(Table132321[[#This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5" t="s">
        <v>97</v>
      </c>
      <c r="P663" s="45">
        <f>HEX2DEC(RIGHT(Table132321[[#This Row],[h1]],8))</f>
        <v>0</v>
      </c>
      <c r="Q663" s="45" t="s">
        <v>97</v>
      </c>
      <c r="R663" s="45">
        <f>HEX2DEC(RIGHT(Table132321[[#This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5" t="s">
        <v>97</v>
      </c>
      <c r="P664" s="45">
        <f>HEX2DEC(RIGHT(Table132321[[#This Row],[h1]],8))</f>
        <v>0</v>
      </c>
      <c r="Q664" s="45" t="s">
        <v>97</v>
      </c>
      <c r="R664" s="45">
        <f>HEX2DEC(RIGHT(Table132321[[#This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5" t="s">
        <v>97</v>
      </c>
      <c r="P665" s="45">
        <f>HEX2DEC(RIGHT(Table132321[[#This Row],[h1]],8))</f>
        <v>0</v>
      </c>
      <c r="Q665" s="45" t="s">
        <v>97</v>
      </c>
      <c r="R665" s="45">
        <f>HEX2DEC(RIGHT(Table132321[[#This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5" t="s">
        <v>97</v>
      </c>
      <c r="P666" s="45">
        <f>HEX2DEC(RIGHT(Table132321[[#This Row],[h1]],8))</f>
        <v>0</v>
      </c>
      <c r="Q666" s="45" t="s">
        <v>97</v>
      </c>
      <c r="R666" s="45">
        <f>HEX2DEC(RIGHT(Table132321[[#This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5" t="s">
        <v>97</v>
      </c>
      <c r="P667" s="45">
        <f>HEX2DEC(RIGHT(Table132321[[#This Row],[h1]],8))</f>
        <v>0</v>
      </c>
      <c r="Q667" s="45" t="s">
        <v>97</v>
      </c>
      <c r="R667" s="45">
        <f>HEX2DEC(RIGHT(Table132321[[#This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5" t="s">
        <v>97</v>
      </c>
      <c r="P668" s="45">
        <f>HEX2DEC(RIGHT(Table132321[[#This Row],[h1]],8))</f>
        <v>0</v>
      </c>
      <c r="Q668" s="45" t="s">
        <v>97</v>
      </c>
      <c r="R668" s="45">
        <f>HEX2DEC(RIGHT(Table132321[[#This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5" t="s">
        <v>97</v>
      </c>
      <c r="P669" s="45">
        <f>HEX2DEC(RIGHT(Table132321[[#This Row],[h1]],8))</f>
        <v>0</v>
      </c>
      <c r="Q669" s="45" t="s">
        <v>97</v>
      </c>
      <c r="R669" s="45">
        <f>HEX2DEC(RIGHT(Table132321[[#This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5" t="s">
        <v>97</v>
      </c>
      <c r="P670" s="45">
        <f>HEX2DEC(RIGHT(Table132321[[#This Row],[h1]],8))</f>
        <v>0</v>
      </c>
      <c r="Q670" s="45" t="s">
        <v>97</v>
      </c>
      <c r="R670" s="45">
        <f>HEX2DEC(RIGHT(Table132321[[#This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5" t="s">
        <v>97</v>
      </c>
      <c r="P671" s="45">
        <f>HEX2DEC(RIGHT(Table132321[[#This Row],[h1]],8))</f>
        <v>0</v>
      </c>
      <c r="Q671" s="45" t="s">
        <v>97</v>
      </c>
      <c r="R671" s="45">
        <f>HEX2DEC(RIGHT(Table132321[[#This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5" t="s">
        <v>97</v>
      </c>
      <c r="P672" s="45">
        <f>HEX2DEC(RIGHT(Table132321[[#This Row],[h1]],8))</f>
        <v>0</v>
      </c>
      <c r="Q672" s="45" t="s">
        <v>97</v>
      </c>
      <c r="R672" s="45">
        <f>HEX2DEC(RIGHT(Table132321[[#This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5" t="s">
        <v>97</v>
      </c>
      <c r="P673" s="45">
        <f>HEX2DEC(RIGHT(Table132321[[#This Row],[h1]],8))</f>
        <v>0</v>
      </c>
      <c r="Q673" s="45" t="s">
        <v>97</v>
      </c>
      <c r="R673" s="45">
        <f>HEX2DEC(RIGHT(Table132321[[#This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5" t="s">
        <v>97</v>
      </c>
      <c r="P674" s="45">
        <f>HEX2DEC(RIGHT(Table132321[[#This Row],[h1]],8))</f>
        <v>0</v>
      </c>
      <c r="Q674" s="45" t="s">
        <v>97</v>
      </c>
      <c r="R674" s="45">
        <f>HEX2DEC(RIGHT(Table132321[[#This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5" t="s">
        <v>97</v>
      </c>
      <c r="P675" s="45">
        <f>HEX2DEC(RIGHT(Table132321[[#This Row],[h1]],8))</f>
        <v>0</v>
      </c>
      <c r="Q675" s="45" t="s">
        <v>97</v>
      </c>
      <c r="R675" s="45">
        <f>HEX2DEC(RIGHT(Table132321[[#This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5" t="s">
        <v>97</v>
      </c>
      <c r="P676" s="45">
        <f>HEX2DEC(RIGHT(Table132321[[#This Row],[h1]],8))</f>
        <v>0</v>
      </c>
      <c r="Q676" s="45" t="s">
        <v>97</v>
      </c>
      <c r="R676" s="45">
        <f>HEX2DEC(RIGHT(Table132321[[#This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5" t="s">
        <v>97</v>
      </c>
      <c r="P677" s="45">
        <f>HEX2DEC(RIGHT(Table132321[[#This Row],[h1]],8))</f>
        <v>0</v>
      </c>
      <c r="Q677" s="45" t="s">
        <v>97</v>
      </c>
      <c r="R677" s="45">
        <f>HEX2DEC(RIGHT(Table132321[[#This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5" t="s">
        <v>97</v>
      </c>
      <c r="P678" s="45">
        <f>HEX2DEC(RIGHT(Table132321[[#This Row],[h1]],8))</f>
        <v>0</v>
      </c>
      <c r="Q678" s="45" t="s">
        <v>97</v>
      </c>
      <c r="R678" s="45">
        <f>HEX2DEC(RIGHT(Table132321[[#This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5" t="s">
        <v>97</v>
      </c>
      <c r="P679" s="45">
        <f>HEX2DEC(RIGHT(Table132321[[#This Row],[h1]],8))</f>
        <v>0</v>
      </c>
      <c r="Q679" s="45" t="s">
        <v>97</v>
      </c>
      <c r="R679" s="45">
        <f>HEX2DEC(RIGHT(Table132321[[#This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5" t="s">
        <v>97</v>
      </c>
      <c r="P680" s="45">
        <f>HEX2DEC(RIGHT(Table132321[[#This Row],[h1]],8))</f>
        <v>0</v>
      </c>
      <c r="Q680" s="45" t="s">
        <v>97</v>
      </c>
      <c r="R680" s="45">
        <f>HEX2DEC(RIGHT(Table132321[[#This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5" t="s">
        <v>97</v>
      </c>
      <c r="P681" s="45">
        <f>HEX2DEC(RIGHT(Table132321[[#This Row],[h1]],8))</f>
        <v>0</v>
      </c>
      <c r="Q681" s="45" t="s">
        <v>97</v>
      </c>
      <c r="R681" s="45">
        <f>HEX2DEC(RIGHT(Table132321[[#This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5" t="s">
        <v>97</v>
      </c>
      <c r="P682" s="45">
        <f>HEX2DEC(RIGHT(Table132321[[#This Row],[h1]],8))</f>
        <v>0</v>
      </c>
      <c r="Q682" s="45" t="s">
        <v>97</v>
      </c>
      <c r="R682" s="45">
        <f>HEX2DEC(RIGHT(Table132321[[#This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5" t="s">
        <v>97</v>
      </c>
      <c r="P683" s="45">
        <f>HEX2DEC(RIGHT(Table132321[[#This Row],[h1]],8))</f>
        <v>0</v>
      </c>
      <c r="Q683" s="45" t="s">
        <v>97</v>
      </c>
      <c r="R683" s="45">
        <f>HEX2DEC(RIGHT(Table132321[[#This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5" t="s">
        <v>97</v>
      </c>
      <c r="P684" s="45">
        <f>HEX2DEC(RIGHT(Table132321[[#This Row],[h1]],8))</f>
        <v>0</v>
      </c>
      <c r="Q684" s="45" t="s">
        <v>97</v>
      </c>
      <c r="R684" s="45">
        <f>HEX2DEC(RIGHT(Table132321[[#This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5" t="s">
        <v>97</v>
      </c>
      <c r="P685" s="45">
        <f>HEX2DEC(RIGHT(Table132321[[#This Row],[h1]],8))</f>
        <v>0</v>
      </c>
      <c r="Q685" s="45" t="s">
        <v>97</v>
      </c>
      <c r="R685" s="45">
        <f>HEX2DEC(RIGHT(Table132321[[#This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5" t="s">
        <v>97</v>
      </c>
      <c r="P686" s="45">
        <f>HEX2DEC(RIGHT(Table132321[[#This Row],[h1]],8))</f>
        <v>0</v>
      </c>
      <c r="Q686" s="45" t="s">
        <v>97</v>
      </c>
      <c r="R686" s="45">
        <f>HEX2DEC(RIGHT(Table132321[[#This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5" t="s">
        <v>97</v>
      </c>
      <c r="P687" s="45">
        <f>HEX2DEC(RIGHT(Table132321[[#This Row],[h1]],8))</f>
        <v>0</v>
      </c>
      <c r="Q687" s="45" t="s">
        <v>97</v>
      </c>
      <c r="R687" s="45">
        <f>HEX2DEC(RIGHT(Table132321[[#This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5" t="s">
        <v>97</v>
      </c>
      <c r="P688" s="45">
        <f>HEX2DEC(RIGHT(Table132321[[#This Row],[h1]],8))</f>
        <v>0</v>
      </c>
      <c r="Q688" s="45" t="s">
        <v>97</v>
      </c>
      <c r="R688" s="45">
        <f>HEX2DEC(RIGHT(Table132321[[#This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5" t="s">
        <v>97</v>
      </c>
      <c r="P689" s="45">
        <f>HEX2DEC(RIGHT(Table132321[[#This Row],[h1]],8))</f>
        <v>0</v>
      </c>
      <c r="Q689" s="45" t="s">
        <v>97</v>
      </c>
      <c r="R689" s="45">
        <f>HEX2DEC(RIGHT(Table132321[[#This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5" t="s">
        <v>97</v>
      </c>
      <c r="P690" s="45">
        <f>HEX2DEC(RIGHT(Table132321[[#This Row],[h1]],8))</f>
        <v>0</v>
      </c>
      <c r="Q690" s="45" t="s">
        <v>97</v>
      </c>
      <c r="R690" s="45">
        <f>HEX2DEC(RIGHT(Table132321[[#This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5" t="s">
        <v>97</v>
      </c>
      <c r="P691" s="45">
        <f>HEX2DEC(RIGHT(Table132321[[#This Row],[h1]],8))</f>
        <v>0</v>
      </c>
      <c r="Q691" s="45" t="s">
        <v>97</v>
      </c>
      <c r="R691" s="45">
        <f>HEX2DEC(RIGHT(Table132321[[#This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5" t="s">
        <v>97</v>
      </c>
      <c r="P692" s="45">
        <f>HEX2DEC(RIGHT(Table132321[[#This Row],[h1]],8))</f>
        <v>0</v>
      </c>
      <c r="Q692" s="45" t="s">
        <v>97</v>
      </c>
      <c r="R692" s="45">
        <f>HEX2DEC(RIGHT(Table132321[[#This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5" t="s">
        <v>97</v>
      </c>
      <c r="P693" s="45">
        <f>HEX2DEC(RIGHT(Table132321[[#This Row],[h1]],8))</f>
        <v>0</v>
      </c>
      <c r="Q693" s="45" t="s">
        <v>97</v>
      </c>
      <c r="R693" s="45">
        <f>HEX2DEC(RIGHT(Table132321[[#This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5" t="s">
        <v>97</v>
      </c>
      <c r="P694" s="45">
        <f>HEX2DEC(RIGHT(Table132321[[#This Row],[h1]],8))</f>
        <v>0</v>
      </c>
      <c r="Q694" s="45" t="s">
        <v>97</v>
      </c>
      <c r="R694" s="45">
        <f>HEX2DEC(RIGHT(Table132321[[#This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5" t="s">
        <v>97</v>
      </c>
      <c r="P695" s="45">
        <f>HEX2DEC(RIGHT(Table132321[[#This Row],[h1]],8))</f>
        <v>0</v>
      </c>
      <c r="Q695" s="45" t="s">
        <v>97</v>
      </c>
      <c r="R695" s="45">
        <f>HEX2DEC(RIGHT(Table132321[[#This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5" t="s">
        <v>97</v>
      </c>
      <c r="P696" s="45">
        <f>HEX2DEC(RIGHT(Table132321[[#This Row],[h1]],8))</f>
        <v>0</v>
      </c>
      <c r="Q696" s="45" t="s">
        <v>97</v>
      </c>
      <c r="R696" s="45">
        <f>HEX2DEC(RIGHT(Table132321[[#This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5" t="s">
        <v>97</v>
      </c>
      <c r="P697" s="45">
        <f>HEX2DEC(RIGHT(Table132321[[#This Row],[h1]],8))</f>
        <v>0</v>
      </c>
      <c r="Q697" s="45" t="s">
        <v>97</v>
      </c>
      <c r="R697" s="45">
        <f>HEX2DEC(RIGHT(Table132321[[#This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5" t="s">
        <v>97</v>
      </c>
      <c r="P698" s="45">
        <f>HEX2DEC(RIGHT(Table132321[[#This Row],[h1]],8))</f>
        <v>0</v>
      </c>
      <c r="Q698" s="45" t="s">
        <v>97</v>
      </c>
      <c r="R698" s="45">
        <f>HEX2DEC(RIGHT(Table132321[[#This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5" t="s">
        <v>97</v>
      </c>
      <c r="P699" s="45">
        <f>HEX2DEC(RIGHT(Table132321[[#This Row],[h1]],8))</f>
        <v>0</v>
      </c>
      <c r="Q699" s="45" t="s">
        <v>97</v>
      </c>
      <c r="R699" s="45">
        <f>HEX2DEC(RIGHT(Table132321[[#This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5" t="s">
        <v>97</v>
      </c>
      <c r="P700" s="45">
        <f>HEX2DEC(RIGHT(Table132321[[#This Row],[h1]],8))</f>
        <v>0</v>
      </c>
      <c r="Q700" s="45" t="s">
        <v>97</v>
      </c>
      <c r="R700" s="45">
        <f>HEX2DEC(RIGHT(Table132321[[#This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5" t="s">
        <v>97</v>
      </c>
      <c r="P701" s="45">
        <f>HEX2DEC(RIGHT(Table132321[[#This Row],[h1]],8))</f>
        <v>0</v>
      </c>
      <c r="Q701" s="45" t="s">
        <v>97</v>
      </c>
      <c r="R701" s="45">
        <f>HEX2DEC(RIGHT(Table132321[[#This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5" t="s">
        <v>97</v>
      </c>
      <c r="P702" s="45">
        <f>HEX2DEC(RIGHT(Table132321[[#This Row],[h1]],8))</f>
        <v>0</v>
      </c>
      <c r="Q702" s="45" t="s">
        <v>97</v>
      </c>
      <c r="R702" s="45">
        <f>HEX2DEC(RIGHT(Table132321[[#This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5" t="s">
        <v>97</v>
      </c>
      <c r="P703" s="45">
        <f>HEX2DEC(RIGHT(Table132321[[#This Row],[h1]],8))</f>
        <v>0</v>
      </c>
      <c r="Q703" s="45" t="s">
        <v>97</v>
      </c>
      <c r="R703" s="45">
        <f>HEX2DEC(RIGHT(Table132321[[#This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5" t="s">
        <v>97</v>
      </c>
      <c r="P704" s="45">
        <f>HEX2DEC(RIGHT(Table132321[[#This Row],[h1]],8))</f>
        <v>0</v>
      </c>
      <c r="Q704" s="45" t="s">
        <v>97</v>
      </c>
      <c r="R704" s="45">
        <f>HEX2DEC(RIGHT(Table132321[[#This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5" t="s">
        <v>97</v>
      </c>
      <c r="P705" s="45">
        <f>HEX2DEC(RIGHT(Table132321[[#This Row],[h1]],8))</f>
        <v>0</v>
      </c>
      <c r="Q705" s="45" t="s">
        <v>97</v>
      </c>
      <c r="R705" s="45">
        <f>HEX2DEC(RIGHT(Table132321[[#This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5" t="s">
        <v>97</v>
      </c>
      <c r="P706" s="45">
        <f>HEX2DEC(RIGHT(Table132321[[#This Row],[h1]],8))</f>
        <v>0</v>
      </c>
      <c r="Q706" s="45" t="s">
        <v>97</v>
      </c>
      <c r="R706" s="45">
        <f>HEX2DEC(RIGHT(Table132321[[#This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5" t="s">
        <v>97</v>
      </c>
      <c r="P707" s="45">
        <f>HEX2DEC(RIGHT(Table132321[[#This Row],[h1]],8))</f>
        <v>0</v>
      </c>
      <c r="Q707" s="45" t="s">
        <v>97</v>
      </c>
      <c r="R707" s="45">
        <f>HEX2DEC(RIGHT(Table132321[[#This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5" t="s">
        <v>97</v>
      </c>
      <c r="P708" s="45">
        <f>HEX2DEC(RIGHT(Table132321[[#This Row],[h1]],8))</f>
        <v>0</v>
      </c>
      <c r="Q708" s="45" t="s">
        <v>97</v>
      </c>
      <c r="R708" s="45">
        <f>HEX2DEC(RIGHT(Table132321[[#This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5" t="s">
        <v>97</v>
      </c>
      <c r="P709" s="45">
        <f>HEX2DEC(RIGHT(Table132321[[#This Row],[h1]],8))</f>
        <v>0</v>
      </c>
      <c r="Q709" s="45" t="s">
        <v>97</v>
      </c>
      <c r="R709" s="45">
        <f>HEX2DEC(RIGHT(Table132321[[#This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5" t="s">
        <v>97</v>
      </c>
      <c r="P710" s="45">
        <f>HEX2DEC(RIGHT(Table132321[[#This Row],[h1]],8))</f>
        <v>0</v>
      </c>
      <c r="Q710" s="45" t="s">
        <v>97</v>
      </c>
      <c r="R710" s="45">
        <f>HEX2DEC(RIGHT(Table132321[[#This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5" t="s">
        <v>97</v>
      </c>
      <c r="P711" s="45">
        <f>HEX2DEC(RIGHT(Table132321[[#This Row],[h1]],8))</f>
        <v>0</v>
      </c>
      <c r="Q711" s="45" t="s">
        <v>97</v>
      </c>
      <c r="R711" s="45">
        <f>HEX2DEC(RIGHT(Table132321[[#This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5" t="s">
        <v>97</v>
      </c>
      <c r="P712" s="45">
        <f>HEX2DEC(RIGHT(Table132321[[#This Row],[h1]],8))</f>
        <v>0</v>
      </c>
      <c r="Q712" s="45" t="s">
        <v>97</v>
      </c>
      <c r="R712" s="45">
        <f>HEX2DEC(RIGHT(Table132321[[#This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5" t="s">
        <v>97</v>
      </c>
      <c r="P713" s="45">
        <f>HEX2DEC(RIGHT(Table132321[[#This Row],[h1]],8))</f>
        <v>0</v>
      </c>
      <c r="Q713" s="45" t="s">
        <v>97</v>
      </c>
      <c r="R713" s="45">
        <f>HEX2DEC(RIGHT(Table132321[[#This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5" t="s">
        <v>97</v>
      </c>
      <c r="P714" s="45">
        <f>HEX2DEC(RIGHT(Table132321[[#This Row],[h1]],8))</f>
        <v>0</v>
      </c>
      <c r="Q714" s="45" t="s">
        <v>97</v>
      </c>
      <c r="R714" s="45">
        <f>HEX2DEC(RIGHT(Table132321[[#This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5" t="s">
        <v>97</v>
      </c>
      <c r="P715" s="45">
        <f>HEX2DEC(RIGHT(Table132321[[#This Row],[h1]],8))</f>
        <v>0</v>
      </c>
      <c r="Q715" s="45" t="s">
        <v>97</v>
      </c>
      <c r="R715" s="45">
        <f>HEX2DEC(RIGHT(Table132321[[#This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5" t="s">
        <v>97</v>
      </c>
      <c r="P716" s="45">
        <f>HEX2DEC(RIGHT(Table132321[[#This Row],[h1]],8))</f>
        <v>0</v>
      </c>
      <c r="Q716" s="45" t="s">
        <v>97</v>
      </c>
      <c r="R716" s="45">
        <f>HEX2DEC(RIGHT(Table132321[[#This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5" t="s">
        <v>97</v>
      </c>
      <c r="P717" s="45">
        <f>HEX2DEC(RIGHT(Table132321[[#This Row],[h1]],8))</f>
        <v>0</v>
      </c>
      <c r="Q717" s="45" t="s">
        <v>97</v>
      </c>
      <c r="R717" s="45">
        <f>HEX2DEC(RIGHT(Table132321[[#This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5" t="s">
        <v>97</v>
      </c>
      <c r="P718" s="45">
        <f>HEX2DEC(RIGHT(Table132321[[#This Row],[h1]],8))</f>
        <v>0</v>
      </c>
      <c r="Q718" s="45" t="s">
        <v>97</v>
      </c>
      <c r="R718" s="45">
        <f>HEX2DEC(RIGHT(Table132321[[#This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5" t="s">
        <v>97</v>
      </c>
      <c r="P719" s="45">
        <f>HEX2DEC(RIGHT(Table132321[[#This Row],[h1]],8))</f>
        <v>0</v>
      </c>
      <c r="Q719" s="45" t="s">
        <v>97</v>
      </c>
      <c r="R719" s="45">
        <f>HEX2DEC(RIGHT(Table132321[[#This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5" t="s">
        <v>97</v>
      </c>
      <c r="P720" s="45">
        <f>HEX2DEC(RIGHT(Table132321[[#This Row],[h1]],8))</f>
        <v>0</v>
      </c>
      <c r="Q720" s="45" t="s">
        <v>97</v>
      </c>
      <c r="R720" s="45">
        <f>HEX2DEC(RIGHT(Table132321[[#This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5" t="s">
        <v>97</v>
      </c>
      <c r="P721" s="45">
        <f>HEX2DEC(RIGHT(Table132321[[#This Row],[h1]],8))</f>
        <v>0</v>
      </c>
      <c r="Q721" s="45" t="s">
        <v>97</v>
      </c>
      <c r="R721" s="45">
        <f>HEX2DEC(RIGHT(Table132321[[#This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5" t="s">
        <v>97</v>
      </c>
      <c r="P722" s="45">
        <f>HEX2DEC(RIGHT(Table132321[[#This Row],[h1]],8))</f>
        <v>0</v>
      </c>
      <c r="Q722" s="45" t="s">
        <v>97</v>
      </c>
      <c r="R722" s="45">
        <f>HEX2DEC(RIGHT(Table132321[[#This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5" t="s">
        <v>97</v>
      </c>
      <c r="P723" s="45">
        <f>HEX2DEC(RIGHT(Table132321[[#This Row],[h1]],8))</f>
        <v>0</v>
      </c>
      <c r="Q723" s="45" t="s">
        <v>97</v>
      </c>
      <c r="R723" s="45">
        <f>HEX2DEC(RIGHT(Table132321[[#This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5" t="s">
        <v>97</v>
      </c>
      <c r="P724" s="45">
        <f>HEX2DEC(RIGHT(Table132321[[#This Row],[h1]],8))</f>
        <v>0</v>
      </c>
      <c r="Q724" s="45" t="s">
        <v>97</v>
      </c>
      <c r="R724" s="45">
        <f>HEX2DEC(RIGHT(Table132321[[#This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5" t="s">
        <v>97</v>
      </c>
      <c r="P725" s="45">
        <f>HEX2DEC(RIGHT(Table132321[[#This Row],[h1]],8))</f>
        <v>0</v>
      </c>
      <c r="Q725" s="45" t="s">
        <v>97</v>
      </c>
      <c r="R725" s="45">
        <f>HEX2DEC(RIGHT(Table132321[[#This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5" t="s">
        <v>97</v>
      </c>
      <c r="P726" s="45">
        <f>HEX2DEC(RIGHT(Table132321[[#This Row],[h1]],8))</f>
        <v>0</v>
      </c>
      <c r="Q726" s="45" t="s">
        <v>97</v>
      </c>
      <c r="R726" s="45">
        <f>HEX2DEC(RIGHT(Table132321[[#This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5" t="s">
        <v>97</v>
      </c>
      <c r="P727" s="45">
        <f>HEX2DEC(RIGHT(Table132321[[#This Row],[h1]],8))</f>
        <v>0</v>
      </c>
      <c r="Q727" s="45" t="s">
        <v>97</v>
      </c>
      <c r="R727" s="45">
        <f>HEX2DEC(RIGHT(Table132321[[#This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5" t="s">
        <v>97</v>
      </c>
      <c r="P728" s="45">
        <f>HEX2DEC(RIGHT(Table132321[[#This Row],[h1]],8))</f>
        <v>0</v>
      </c>
      <c r="Q728" s="45" t="s">
        <v>97</v>
      </c>
      <c r="R728" s="45">
        <f>HEX2DEC(RIGHT(Table132321[[#This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5" t="s">
        <v>97</v>
      </c>
      <c r="P729" s="45">
        <f>HEX2DEC(RIGHT(Table132321[[#This Row],[h1]],8))</f>
        <v>0</v>
      </c>
      <c r="Q729" s="45" t="s">
        <v>97</v>
      </c>
      <c r="R729" s="45">
        <f>HEX2DEC(RIGHT(Table132321[[#This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5" t="s">
        <v>97</v>
      </c>
      <c r="P730" s="45">
        <f>HEX2DEC(RIGHT(Table132321[[#This Row],[h1]],8))</f>
        <v>0</v>
      </c>
      <c r="Q730" s="45" t="s">
        <v>97</v>
      </c>
      <c r="R730" s="45">
        <f>HEX2DEC(RIGHT(Table132321[[#This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5" t="s">
        <v>97</v>
      </c>
      <c r="P731" s="45">
        <f>HEX2DEC(RIGHT(Table132321[[#This Row],[h1]],8))</f>
        <v>0</v>
      </c>
      <c r="Q731" s="45" t="s">
        <v>97</v>
      </c>
      <c r="R731" s="45">
        <f>HEX2DEC(RIGHT(Table132321[[#This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5" t="s">
        <v>97</v>
      </c>
      <c r="P732" s="45">
        <f>HEX2DEC(RIGHT(Table132321[[#This Row],[h1]],8))</f>
        <v>0</v>
      </c>
      <c r="Q732" s="45" t="s">
        <v>97</v>
      </c>
      <c r="R732" s="45">
        <f>HEX2DEC(RIGHT(Table132321[[#This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5" t="s">
        <v>97</v>
      </c>
      <c r="P733" s="45">
        <f>HEX2DEC(RIGHT(Table132321[[#This Row],[h1]],8))</f>
        <v>0</v>
      </c>
      <c r="Q733" s="45" t="s">
        <v>97</v>
      </c>
      <c r="R733" s="45">
        <f>HEX2DEC(RIGHT(Table132321[[#This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5" t="s">
        <v>97</v>
      </c>
      <c r="P734" s="45">
        <f>HEX2DEC(RIGHT(Table132321[[#This Row],[h1]],8))</f>
        <v>0</v>
      </c>
      <c r="Q734" s="45" t="s">
        <v>97</v>
      </c>
      <c r="R734" s="45">
        <f>HEX2DEC(RIGHT(Table132321[[#This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5" t="s">
        <v>97</v>
      </c>
      <c r="P735" s="45">
        <f>HEX2DEC(RIGHT(Table132321[[#This Row],[h1]],8))</f>
        <v>0</v>
      </c>
      <c r="Q735" s="45" t="s">
        <v>97</v>
      </c>
      <c r="R735" s="45">
        <f>HEX2DEC(RIGHT(Table132321[[#This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5" t="s">
        <v>97</v>
      </c>
      <c r="P736" s="45">
        <f>HEX2DEC(RIGHT(Table132321[[#This Row],[h1]],8))</f>
        <v>0</v>
      </c>
      <c r="Q736" s="45" t="s">
        <v>97</v>
      </c>
      <c r="R736" s="45">
        <f>HEX2DEC(RIGHT(Table132321[[#This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5" t="s">
        <v>97</v>
      </c>
      <c r="P737" s="45">
        <f>HEX2DEC(RIGHT(Table132321[[#This Row],[h1]],8))</f>
        <v>0</v>
      </c>
      <c r="Q737" s="45" t="s">
        <v>97</v>
      </c>
      <c r="R737" s="45">
        <f>HEX2DEC(RIGHT(Table132321[[#This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5" t="s">
        <v>97</v>
      </c>
      <c r="P738" s="45">
        <f>HEX2DEC(RIGHT(Table132321[[#This Row],[h1]],8))</f>
        <v>0</v>
      </c>
      <c r="Q738" s="45" t="s">
        <v>97</v>
      </c>
      <c r="R738" s="45">
        <f>HEX2DEC(RIGHT(Table132321[[#This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5" t="s">
        <v>97</v>
      </c>
      <c r="P739" s="45">
        <f>HEX2DEC(RIGHT(Table132321[[#This Row],[h1]],8))</f>
        <v>0</v>
      </c>
      <c r="Q739" s="45" t="s">
        <v>97</v>
      </c>
      <c r="R739" s="45">
        <f>HEX2DEC(RIGHT(Table132321[[#This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5" t="s">
        <v>97</v>
      </c>
      <c r="P740" s="45">
        <f>HEX2DEC(RIGHT(Table132321[[#This Row],[h1]],8))</f>
        <v>0</v>
      </c>
      <c r="Q740" s="45" t="s">
        <v>97</v>
      </c>
      <c r="R740" s="45">
        <f>HEX2DEC(RIGHT(Table132321[[#This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5" t="s">
        <v>97</v>
      </c>
      <c r="P741" s="45">
        <f>HEX2DEC(RIGHT(Table132321[[#This Row],[h1]],8))</f>
        <v>0</v>
      </c>
      <c r="Q741" s="45" t="s">
        <v>97</v>
      </c>
      <c r="R741" s="45">
        <f>HEX2DEC(RIGHT(Table132321[[#This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5" t="s">
        <v>97</v>
      </c>
      <c r="P742" s="45">
        <f>HEX2DEC(RIGHT(Table132321[[#This Row],[h1]],8))</f>
        <v>0</v>
      </c>
      <c r="Q742" s="45" t="s">
        <v>97</v>
      </c>
      <c r="R742" s="45">
        <f>HEX2DEC(RIGHT(Table132321[[#This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5" t="s">
        <v>97</v>
      </c>
      <c r="P743" s="45">
        <f>HEX2DEC(RIGHT(Table132321[[#This Row],[h1]],8))</f>
        <v>0</v>
      </c>
      <c r="Q743" s="45" t="s">
        <v>97</v>
      </c>
      <c r="R743" s="45">
        <f>HEX2DEC(RIGHT(Table132321[[#This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5" t="s">
        <v>97</v>
      </c>
      <c r="P744" s="45">
        <f>HEX2DEC(RIGHT(Table132321[[#This Row],[h1]],8))</f>
        <v>0</v>
      </c>
      <c r="Q744" s="45" t="s">
        <v>97</v>
      </c>
      <c r="R744" s="45">
        <f>HEX2DEC(RIGHT(Table132321[[#This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5" t="s">
        <v>97</v>
      </c>
      <c r="P745" s="45">
        <f>HEX2DEC(RIGHT(Table132321[[#This Row],[h1]],8))</f>
        <v>0</v>
      </c>
      <c r="Q745" s="45" t="s">
        <v>97</v>
      </c>
      <c r="R745" s="45">
        <f>HEX2DEC(RIGHT(Table132321[[#This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5" t="s">
        <v>97</v>
      </c>
      <c r="P746" s="45">
        <f>HEX2DEC(RIGHT(Table132321[[#This Row],[h1]],8))</f>
        <v>0</v>
      </c>
      <c r="Q746" s="45" t="s">
        <v>97</v>
      </c>
      <c r="R746" s="45">
        <f>HEX2DEC(RIGHT(Table132321[[#This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5" t="s">
        <v>97</v>
      </c>
      <c r="P747" s="45">
        <f>HEX2DEC(RIGHT(Table132321[[#This Row],[h1]],8))</f>
        <v>0</v>
      </c>
      <c r="Q747" s="45" t="s">
        <v>97</v>
      </c>
      <c r="R747" s="45">
        <f>HEX2DEC(RIGHT(Table132321[[#This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5" t="s">
        <v>97</v>
      </c>
      <c r="P748" s="45">
        <f>HEX2DEC(RIGHT(Table132321[[#This Row],[h1]],8))</f>
        <v>0</v>
      </c>
      <c r="Q748" s="45" t="s">
        <v>97</v>
      </c>
      <c r="R748" s="45">
        <f>HEX2DEC(RIGHT(Table132321[[#This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5" t="s">
        <v>97</v>
      </c>
      <c r="P749" s="45">
        <f>HEX2DEC(RIGHT(Table132321[[#This Row],[h1]],8))</f>
        <v>0</v>
      </c>
      <c r="Q749" s="45" t="s">
        <v>97</v>
      </c>
      <c r="R749" s="45">
        <f>HEX2DEC(RIGHT(Table132321[[#This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5" t="s">
        <v>97</v>
      </c>
      <c r="P750" s="45">
        <f>HEX2DEC(RIGHT(Table132321[[#This Row],[h1]],8))</f>
        <v>0</v>
      </c>
      <c r="Q750" s="45" t="s">
        <v>97</v>
      </c>
      <c r="R750" s="45">
        <f>HEX2DEC(RIGHT(Table132321[[#This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5" t="s">
        <v>97</v>
      </c>
      <c r="P751" s="45">
        <f>HEX2DEC(RIGHT(Table132321[[#This Row],[h1]],8))</f>
        <v>0</v>
      </c>
      <c r="Q751" s="45" t="s">
        <v>97</v>
      </c>
      <c r="R751" s="45">
        <f>HEX2DEC(RIGHT(Table132321[[#This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5" t="s">
        <v>97</v>
      </c>
      <c r="P752" s="45">
        <f>HEX2DEC(RIGHT(Table132321[[#This Row],[h1]],8))</f>
        <v>0</v>
      </c>
      <c r="Q752" s="45" t="s">
        <v>97</v>
      </c>
      <c r="R752" s="45">
        <f>HEX2DEC(RIGHT(Table132321[[#This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5" t="s">
        <v>97</v>
      </c>
      <c r="P753" s="45">
        <f>HEX2DEC(RIGHT(Table132321[[#This Row],[h1]],8))</f>
        <v>0</v>
      </c>
      <c r="Q753" s="45" t="s">
        <v>97</v>
      </c>
      <c r="R753" s="45">
        <f>HEX2DEC(RIGHT(Table132321[[#This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5" t="s">
        <v>97</v>
      </c>
      <c r="P754" s="45">
        <f>HEX2DEC(RIGHT(Table132321[[#This Row],[h1]],8))</f>
        <v>0</v>
      </c>
      <c r="Q754" s="45" t="s">
        <v>97</v>
      </c>
      <c r="R754" s="45">
        <f>HEX2DEC(RIGHT(Table132321[[#This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5" t="s">
        <v>97</v>
      </c>
      <c r="P755" s="45">
        <f>HEX2DEC(RIGHT(Table132321[[#This Row],[h1]],8))</f>
        <v>0</v>
      </c>
      <c r="Q755" s="45" t="s">
        <v>97</v>
      </c>
      <c r="R755" s="45">
        <f>HEX2DEC(RIGHT(Table132321[[#This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5" t="s">
        <v>97</v>
      </c>
      <c r="P756" s="45">
        <f>HEX2DEC(RIGHT(Table132321[[#This Row],[h1]],8))</f>
        <v>0</v>
      </c>
      <c r="Q756" s="45" t="s">
        <v>97</v>
      </c>
      <c r="R756" s="45">
        <f>HEX2DEC(RIGHT(Table132321[[#This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5" t="s">
        <v>97</v>
      </c>
      <c r="P757" s="45">
        <f>HEX2DEC(RIGHT(Table132321[[#This Row],[h1]],8))</f>
        <v>0</v>
      </c>
      <c r="Q757" s="45" t="s">
        <v>97</v>
      </c>
      <c r="R757" s="45">
        <f>HEX2DEC(RIGHT(Table132321[[#This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5" t="s">
        <v>97</v>
      </c>
      <c r="P758" s="45">
        <f>HEX2DEC(RIGHT(Table132321[[#This Row],[h1]],8))</f>
        <v>0</v>
      </c>
      <c r="Q758" s="45" t="s">
        <v>97</v>
      </c>
      <c r="R758" s="45">
        <f>HEX2DEC(RIGHT(Table132321[[#This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5" t="s">
        <v>97</v>
      </c>
      <c r="P759" s="45">
        <f>HEX2DEC(RIGHT(Table132321[[#This Row],[h1]],8))</f>
        <v>0</v>
      </c>
      <c r="Q759" s="45" t="s">
        <v>97</v>
      </c>
      <c r="R759" s="45">
        <f>HEX2DEC(RIGHT(Table132321[[#This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5" t="s">
        <v>97</v>
      </c>
      <c r="P760" s="45">
        <f>HEX2DEC(RIGHT(Table132321[[#This Row],[h1]],8))</f>
        <v>0</v>
      </c>
      <c r="Q760" s="45" t="s">
        <v>97</v>
      </c>
      <c r="R760" s="45">
        <f>HEX2DEC(RIGHT(Table132321[[#This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5" t="s">
        <v>97</v>
      </c>
      <c r="P761" s="45">
        <f>HEX2DEC(RIGHT(Table132321[[#This Row],[h1]],8))</f>
        <v>0</v>
      </c>
      <c r="Q761" s="45" t="s">
        <v>97</v>
      </c>
      <c r="R761" s="45">
        <f>HEX2DEC(RIGHT(Table132321[[#This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5" t="s">
        <v>97</v>
      </c>
      <c r="P762" s="45">
        <f>HEX2DEC(RIGHT(Table132321[[#This Row],[h1]],8))</f>
        <v>0</v>
      </c>
      <c r="Q762" s="45" t="s">
        <v>97</v>
      </c>
      <c r="R762" s="45">
        <f>HEX2DEC(RIGHT(Table132321[[#This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5" t="s">
        <v>97</v>
      </c>
      <c r="P763" s="45">
        <f>HEX2DEC(RIGHT(Table132321[[#This Row],[h1]],8))</f>
        <v>0</v>
      </c>
      <c r="Q763" s="45" t="s">
        <v>97</v>
      </c>
      <c r="R763" s="45">
        <f>HEX2DEC(RIGHT(Table132321[[#This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5" t="s">
        <v>97</v>
      </c>
      <c r="P764" s="45">
        <f>HEX2DEC(RIGHT(Table132321[[#This Row],[h1]],8))</f>
        <v>0</v>
      </c>
      <c r="Q764" s="45" t="s">
        <v>97</v>
      </c>
      <c r="R764" s="45">
        <f>HEX2DEC(RIGHT(Table132321[[#This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5" t="s">
        <v>97</v>
      </c>
      <c r="P765" s="45">
        <f>HEX2DEC(RIGHT(Table132321[[#This Row],[h1]],8))</f>
        <v>0</v>
      </c>
      <c r="Q765" s="45" t="s">
        <v>97</v>
      </c>
      <c r="R765" s="45">
        <f>HEX2DEC(RIGHT(Table132321[[#This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5" t="s">
        <v>97</v>
      </c>
      <c r="P766" s="45">
        <f>HEX2DEC(RIGHT(Table132321[[#This Row],[h1]],8))</f>
        <v>0</v>
      </c>
      <c r="Q766" s="45" t="s">
        <v>97</v>
      </c>
      <c r="R766" s="45">
        <f>HEX2DEC(RIGHT(Table132321[[#This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5" t="s">
        <v>97</v>
      </c>
      <c r="P767" s="45">
        <f>HEX2DEC(RIGHT(Table132321[[#This Row],[h1]],8))</f>
        <v>0</v>
      </c>
      <c r="Q767" s="45" t="s">
        <v>97</v>
      </c>
      <c r="R767" s="45">
        <f>HEX2DEC(RIGHT(Table132321[[#This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5" t="s">
        <v>97</v>
      </c>
      <c r="P768" s="45">
        <f>HEX2DEC(RIGHT(Table132321[[#This Row],[h1]],8))</f>
        <v>0</v>
      </c>
      <c r="Q768" s="45" t="s">
        <v>97</v>
      </c>
      <c r="R768" s="45">
        <f>HEX2DEC(RIGHT(Table132321[[#This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5" t="s">
        <v>97</v>
      </c>
      <c r="P769" s="45">
        <f>HEX2DEC(RIGHT(Table132321[[#This Row],[h1]],8))</f>
        <v>0</v>
      </c>
      <c r="Q769" s="45" t="s">
        <v>97</v>
      </c>
      <c r="R769" s="45">
        <f>HEX2DEC(RIGHT(Table132321[[#This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5" t="s">
        <v>97</v>
      </c>
      <c r="P770" s="45">
        <f>HEX2DEC(RIGHT(Table132321[[#This Row],[h1]],8))</f>
        <v>0</v>
      </c>
      <c r="Q770" s="45" t="s">
        <v>97</v>
      </c>
      <c r="R770" s="45">
        <f>HEX2DEC(RIGHT(Table132321[[#This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5" t="s">
        <v>97</v>
      </c>
      <c r="P771" s="45">
        <f>HEX2DEC(RIGHT(Table132321[[#This Row],[h1]],8))</f>
        <v>0</v>
      </c>
      <c r="Q771" s="45" t="s">
        <v>97</v>
      </c>
      <c r="R771" s="45">
        <f>HEX2DEC(RIGHT(Table132321[[#This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5" t="s">
        <v>97</v>
      </c>
      <c r="P772" s="45">
        <f>HEX2DEC(RIGHT(Table132321[[#This Row],[h1]],8))</f>
        <v>0</v>
      </c>
      <c r="Q772" s="45" t="s">
        <v>97</v>
      </c>
      <c r="R772" s="45">
        <f>HEX2DEC(RIGHT(Table132321[[#This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5" t="s">
        <v>97</v>
      </c>
      <c r="P773" s="45">
        <f>HEX2DEC(RIGHT(Table132321[[#This Row],[h1]],8))</f>
        <v>0</v>
      </c>
      <c r="Q773" s="45" t="s">
        <v>97</v>
      </c>
      <c r="R773" s="45">
        <f>HEX2DEC(RIGHT(Table132321[[#This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5" t="s">
        <v>97</v>
      </c>
      <c r="P774" s="45">
        <f>HEX2DEC(RIGHT(Table132321[[#This Row],[h1]],8))</f>
        <v>0</v>
      </c>
      <c r="Q774" s="45" t="s">
        <v>97</v>
      </c>
      <c r="R774" s="45">
        <f>HEX2DEC(RIGHT(Table132321[[#This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5" t="s">
        <v>97</v>
      </c>
      <c r="P775" s="45">
        <f>HEX2DEC(RIGHT(Table132321[[#This Row],[h1]],8))</f>
        <v>0</v>
      </c>
      <c r="Q775" s="45" t="s">
        <v>97</v>
      </c>
      <c r="R775" s="45">
        <f>HEX2DEC(RIGHT(Table132321[[#This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5" t="s">
        <v>97</v>
      </c>
      <c r="P776" s="45">
        <f>HEX2DEC(RIGHT(Table132321[[#This Row],[h1]],8))</f>
        <v>0</v>
      </c>
      <c r="Q776" s="45" t="s">
        <v>97</v>
      </c>
      <c r="R776" s="45">
        <f>HEX2DEC(RIGHT(Table132321[[#This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5" t="s">
        <v>97</v>
      </c>
      <c r="P777" s="45">
        <f>HEX2DEC(RIGHT(Table132321[[#This Row],[h1]],8))</f>
        <v>0</v>
      </c>
      <c r="Q777" s="45" t="s">
        <v>97</v>
      </c>
      <c r="R777" s="45">
        <f>HEX2DEC(RIGHT(Table132321[[#This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5" t="s">
        <v>97</v>
      </c>
      <c r="P778" s="45">
        <f>HEX2DEC(RIGHT(Table132321[[#This Row],[h1]],8))</f>
        <v>0</v>
      </c>
      <c r="Q778" s="45" t="s">
        <v>97</v>
      </c>
      <c r="R778" s="45">
        <f>HEX2DEC(RIGHT(Table132321[[#This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5" t="s">
        <v>97</v>
      </c>
      <c r="P779" s="45">
        <f>HEX2DEC(RIGHT(Table132321[[#This Row],[h1]],8))</f>
        <v>0</v>
      </c>
      <c r="Q779" s="45" t="s">
        <v>97</v>
      </c>
      <c r="R779" s="45">
        <f>HEX2DEC(RIGHT(Table132321[[#This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5" t="s">
        <v>97</v>
      </c>
      <c r="P780" s="45">
        <f>HEX2DEC(RIGHT(Table132321[[#This Row],[h1]],8))</f>
        <v>0</v>
      </c>
      <c r="Q780" s="45" t="s">
        <v>97</v>
      </c>
      <c r="R780" s="45">
        <f>HEX2DEC(RIGHT(Table132321[[#This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5" t="s">
        <v>97</v>
      </c>
      <c r="P781" s="45">
        <f>HEX2DEC(RIGHT(Table132321[[#This Row],[h1]],8))</f>
        <v>0</v>
      </c>
      <c r="Q781" s="45" t="s">
        <v>97</v>
      </c>
      <c r="R781" s="45">
        <f>HEX2DEC(RIGHT(Table132321[[#This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5" t="s">
        <v>97</v>
      </c>
      <c r="P782" s="45">
        <f>HEX2DEC(RIGHT(Table132321[[#This Row],[h1]],8))</f>
        <v>0</v>
      </c>
      <c r="Q782" s="45" t="s">
        <v>97</v>
      </c>
      <c r="R782" s="45">
        <f>HEX2DEC(RIGHT(Table132321[[#This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5" t="s">
        <v>97</v>
      </c>
      <c r="P783" s="45">
        <f>HEX2DEC(RIGHT(Table132321[[#This Row],[h1]],8))</f>
        <v>0</v>
      </c>
      <c r="Q783" s="45" t="s">
        <v>97</v>
      </c>
      <c r="R783" s="45">
        <f>HEX2DEC(RIGHT(Table132321[[#This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5" t="s">
        <v>97</v>
      </c>
      <c r="P784" s="45">
        <f>HEX2DEC(RIGHT(Table132321[[#This Row],[h1]],8))</f>
        <v>0</v>
      </c>
      <c r="Q784" s="45" t="s">
        <v>97</v>
      </c>
      <c r="R784" s="45">
        <f>HEX2DEC(RIGHT(Table132321[[#This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5" t="s">
        <v>97</v>
      </c>
      <c r="P785" s="45">
        <f>HEX2DEC(RIGHT(Table132321[[#This Row],[h1]],8))</f>
        <v>0</v>
      </c>
      <c r="Q785" s="45" t="s">
        <v>97</v>
      </c>
      <c r="R785" s="45">
        <f>HEX2DEC(RIGHT(Table132321[[#This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5" t="s">
        <v>97</v>
      </c>
      <c r="P786" s="45">
        <f>HEX2DEC(RIGHT(Table132321[[#This Row],[h1]],8))</f>
        <v>0</v>
      </c>
      <c r="Q786" s="45" t="s">
        <v>97</v>
      </c>
      <c r="R786" s="45">
        <f>HEX2DEC(RIGHT(Table132321[[#This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5" t="s">
        <v>97</v>
      </c>
      <c r="P787" s="45">
        <f>HEX2DEC(RIGHT(Table132321[[#This Row],[h1]],8))</f>
        <v>0</v>
      </c>
      <c r="Q787" s="45" t="s">
        <v>97</v>
      </c>
      <c r="R787" s="45">
        <f>HEX2DEC(RIGHT(Table132321[[#This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5" t="s">
        <v>97</v>
      </c>
      <c r="P788" s="45">
        <f>HEX2DEC(RIGHT(Table132321[[#This Row],[h1]],8))</f>
        <v>0</v>
      </c>
      <c r="Q788" s="45" t="s">
        <v>97</v>
      </c>
      <c r="R788" s="45">
        <f>HEX2DEC(RIGHT(Table132321[[#This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5" t="s">
        <v>97</v>
      </c>
      <c r="P789" s="45">
        <f>HEX2DEC(RIGHT(Table132321[[#This Row],[h1]],8))</f>
        <v>0</v>
      </c>
      <c r="Q789" s="45" t="s">
        <v>97</v>
      </c>
      <c r="R789" s="45">
        <f>HEX2DEC(RIGHT(Table132321[[#This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5" t="s">
        <v>97</v>
      </c>
      <c r="P790" s="45">
        <f>HEX2DEC(RIGHT(Table132321[[#This Row],[h1]],8))</f>
        <v>0</v>
      </c>
      <c r="Q790" s="45" t="s">
        <v>97</v>
      </c>
      <c r="R790" s="45">
        <f>HEX2DEC(RIGHT(Table132321[[#This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5" t="s">
        <v>97</v>
      </c>
      <c r="P791" s="45">
        <f>HEX2DEC(RIGHT(Table132321[[#This Row],[h1]],8))</f>
        <v>0</v>
      </c>
      <c r="Q791" s="45" t="s">
        <v>97</v>
      </c>
      <c r="R791" s="45">
        <f>HEX2DEC(RIGHT(Table132321[[#This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5" t="s">
        <v>97</v>
      </c>
      <c r="P792" s="45">
        <f>HEX2DEC(RIGHT(Table132321[[#This Row],[h1]],8))</f>
        <v>0</v>
      </c>
      <c r="Q792" s="45" t="s">
        <v>97</v>
      </c>
      <c r="R792" s="45">
        <f>HEX2DEC(RIGHT(Table132321[[#This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5" t="s">
        <v>97</v>
      </c>
      <c r="P793" s="45">
        <f>HEX2DEC(RIGHT(Table132321[[#This Row],[h1]],8))</f>
        <v>0</v>
      </c>
      <c r="Q793" s="45" t="s">
        <v>97</v>
      </c>
      <c r="R793" s="45">
        <f>HEX2DEC(RIGHT(Table132321[[#This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5" t="s">
        <v>97</v>
      </c>
      <c r="P794" s="45">
        <f>HEX2DEC(RIGHT(Table132321[[#This Row],[h1]],8))</f>
        <v>0</v>
      </c>
      <c r="Q794" s="45" t="s">
        <v>97</v>
      </c>
      <c r="R794" s="45">
        <f>HEX2DEC(RIGHT(Table132321[[#This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5" t="s">
        <v>97</v>
      </c>
      <c r="P795" s="45">
        <f>HEX2DEC(RIGHT(Table132321[[#This Row],[h1]],8))</f>
        <v>0</v>
      </c>
      <c r="Q795" s="45" t="s">
        <v>97</v>
      </c>
      <c r="R795" s="45">
        <f>HEX2DEC(RIGHT(Table132321[[#This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5" t="s">
        <v>97</v>
      </c>
      <c r="P796" s="45">
        <f>HEX2DEC(RIGHT(Table132321[[#This Row],[h1]],8))</f>
        <v>0</v>
      </c>
      <c r="Q796" s="45" t="s">
        <v>97</v>
      </c>
      <c r="R796" s="45">
        <f>HEX2DEC(RIGHT(Table132321[[#This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5" t="s">
        <v>97</v>
      </c>
      <c r="P797" s="45">
        <f>HEX2DEC(RIGHT(Table132321[[#This Row],[h1]],8))</f>
        <v>0</v>
      </c>
      <c r="Q797" s="45" t="s">
        <v>97</v>
      </c>
      <c r="R797" s="45">
        <f>HEX2DEC(RIGHT(Table132321[[#This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5" t="s">
        <v>97</v>
      </c>
      <c r="P798" s="45">
        <f>HEX2DEC(RIGHT(Table132321[[#This Row],[h1]],8))</f>
        <v>0</v>
      </c>
      <c r="Q798" s="45" t="s">
        <v>97</v>
      </c>
      <c r="R798" s="45">
        <f>HEX2DEC(RIGHT(Table132321[[#This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5" t="s">
        <v>97</v>
      </c>
      <c r="P799" s="45">
        <f>HEX2DEC(RIGHT(Table132321[[#This Row],[h1]],8))</f>
        <v>0</v>
      </c>
      <c r="Q799" s="45" t="s">
        <v>97</v>
      </c>
      <c r="R799" s="45">
        <f>HEX2DEC(RIGHT(Table132321[[#This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5" t="s">
        <v>97</v>
      </c>
      <c r="P800" s="45">
        <f>HEX2DEC(RIGHT(Table132321[[#This Row],[h1]],8))</f>
        <v>0</v>
      </c>
      <c r="Q800" s="45" t="s">
        <v>97</v>
      </c>
      <c r="R800" s="45">
        <f>HEX2DEC(RIGHT(Table132321[[#This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5" t="s">
        <v>97</v>
      </c>
      <c r="P801" s="45">
        <f>HEX2DEC(RIGHT(Table132321[[#This Row],[h1]],8))</f>
        <v>0</v>
      </c>
      <c r="Q801" s="45" t="s">
        <v>97</v>
      </c>
      <c r="R801" s="45">
        <f>HEX2DEC(RIGHT(Table132321[[#This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5" t="s">
        <v>97</v>
      </c>
      <c r="P802" s="45">
        <f>HEX2DEC(RIGHT(Table132321[[#This Row],[h1]],8))</f>
        <v>0</v>
      </c>
      <c r="Q802" s="45" t="s">
        <v>97</v>
      </c>
      <c r="R802" s="45">
        <f>HEX2DEC(RIGHT(Table132321[[#This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5" t="s">
        <v>97</v>
      </c>
      <c r="P803" s="45">
        <f>HEX2DEC(RIGHT(Table132321[[#This Row],[h1]],8))</f>
        <v>0</v>
      </c>
      <c r="Q803" s="45" t="s">
        <v>97</v>
      </c>
      <c r="R803" s="45">
        <f>HEX2DEC(RIGHT(Table132321[[#This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5" t="s">
        <v>97</v>
      </c>
      <c r="P804" s="45">
        <f>HEX2DEC(RIGHT(Table132321[[#This Row],[h1]],8))</f>
        <v>0</v>
      </c>
      <c r="Q804" s="45" t="s">
        <v>97</v>
      </c>
      <c r="R804" s="45">
        <f>HEX2DEC(RIGHT(Table132321[[#This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5" t="s">
        <v>97</v>
      </c>
      <c r="P805" s="45">
        <f>HEX2DEC(RIGHT(Table132321[[#This Row],[h1]],8))</f>
        <v>0</v>
      </c>
      <c r="Q805" s="45" t="s">
        <v>97</v>
      </c>
      <c r="R805" s="45">
        <f>HEX2DEC(RIGHT(Table132321[[#This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5" t="s">
        <v>97</v>
      </c>
      <c r="P806" s="45">
        <f>HEX2DEC(RIGHT(Table132321[[#This Row],[h1]],8))</f>
        <v>0</v>
      </c>
      <c r="Q806" s="45" t="s">
        <v>97</v>
      </c>
      <c r="R806" s="45">
        <f>HEX2DEC(RIGHT(Table132321[[#This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5" t="s">
        <v>97</v>
      </c>
      <c r="P807" s="45">
        <f>HEX2DEC(RIGHT(Table132321[[#This Row],[h1]],8))</f>
        <v>0</v>
      </c>
      <c r="Q807" s="45" t="s">
        <v>97</v>
      </c>
      <c r="R807" s="45">
        <f>HEX2DEC(RIGHT(Table132321[[#This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5" t="s">
        <v>97</v>
      </c>
      <c r="P808" s="45">
        <f>HEX2DEC(RIGHT(Table132321[[#This Row],[h1]],8))</f>
        <v>0</v>
      </c>
      <c r="Q808" s="45" t="s">
        <v>97</v>
      </c>
      <c r="R808" s="45">
        <f>HEX2DEC(RIGHT(Table132321[[#This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5" t="s">
        <v>97</v>
      </c>
      <c r="P809" s="45">
        <f>HEX2DEC(RIGHT(Table132321[[#This Row],[h1]],8))</f>
        <v>0</v>
      </c>
      <c r="Q809" s="45" t="s">
        <v>97</v>
      </c>
      <c r="R809" s="45">
        <f>HEX2DEC(RIGHT(Table132321[[#This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5" t="s">
        <v>97</v>
      </c>
      <c r="P810" s="45">
        <f>HEX2DEC(RIGHT(Table132321[[#This Row],[h1]],8))</f>
        <v>0</v>
      </c>
      <c r="Q810" s="45" t="s">
        <v>97</v>
      </c>
      <c r="R810" s="45">
        <f>HEX2DEC(RIGHT(Table132321[[#This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5" t="s">
        <v>97</v>
      </c>
      <c r="P811" s="45">
        <f>HEX2DEC(RIGHT(Table132321[[#This Row],[h1]],8))</f>
        <v>0</v>
      </c>
      <c r="Q811" s="45" t="s">
        <v>97</v>
      </c>
      <c r="R811" s="45">
        <f>HEX2DEC(RIGHT(Table132321[[#This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5" t="s">
        <v>97</v>
      </c>
      <c r="P812" s="45">
        <f>HEX2DEC(RIGHT(Table132321[[#This Row],[h1]],8))</f>
        <v>0</v>
      </c>
      <c r="Q812" s="45" t="s">
        <v>97</v>
      </c>
      <c r="R812" s="45">
        <f>HEX2DEC(RIGHT(Table132321[[#This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5" t="s">
        <v>97</v>
      </c>
      <c r="P813" s="45">
        <f>HEX2DEC(RIGHT(Table132321[[#This Row],[h1]],8))</f>
        <v>0</v>
      </c>
      <c r="Q813" s="45" t="s">
        <v>97</v>
      </c>
      <c r="R813" s="45">
        <f>HEX2DEC(RIGHT(Table132321[[#This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5" t="s">
        <v>97</v>
      </c>
      <c r="P814" s="45">
        <f>HEX2DEC(RIGHT(Table132321[[#This Row],[h1]],8))</f>
        <v>0</v>
      </c>
      <c r="Q814" s="45" t="s">
        <v>97</v>
      </c>
      <c r="R814" s="45">
        <f>HEX2DEC(RIGHT(Table132321[[#This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5" t="s">
        <v>97</v>
      </c>
      <c r="P815" s="45">
        <f>HEX2DEC(RIGHT(Table132321[[#This Row],[h1]],8))</f>
        <v>0</v>
      </c>
      <c r="Q815" s="45" t="s">
        <v>97</v>
      </c>
      <c r="R815" s="45">
        <f>HEX2DEC(RIGHT(Table132321[[#This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5" t="s">
        <v>97</v>
      </c>
      <c r="P816" s="45">
        <f>HEX2DEC(RIGHT(Table132321[[#This Row],[h1]],8))</f>
        <v>0</v>
      </c>
      <c r="Q816" s="45" t="s">
        <v>97</v>
      </c>
      <c r="R816" s="45">
        <f>HEX2DEC(RIGHT(Table132321[[#This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5" t="s">
        <v>97</v>
      </c>
      <c r="P817" s="45">
        <f>HEX2DEC(RIGHT(Table132321[[#This Row],[h1]],8))</f>
        <v>0</v>
      </c>
      <c r="Q817" s="45" t="s">
        <v>97</v>
      </c>
      <c r="R817" s="45">
        <f>HEX2DEC(RIGHT(Table132321[[#This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5" t="s">
        <v>97</v>
      </c>
      <c r="P818" s="45">
        <f>HEX2DEC(RIGHT(Table132321[[#This Row],[h1]],8))</f>
        <v>0</v>
      </c>
      <c r="Q818" s="45" t="s">
        <v>97</v>
      </c>
      <c r="R818" s="45">
        <f>HEX2DEC(RIGHT(Table132321[[#This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5" t="s">
        <v>97</v>
      </c>
      <c r="P819" s="45">
        <f>HEX2DEC(RIGHT(Table132321[[#This Row],[h1]],8))</f>
        <v>0</v>
      </c>
      <c r="Q819" s="45" t="s">
        <v>97</v>
      </c>
      <c r="R819" s="45">
        <f>HEX2DEC(RIGHT(Table132321[[#This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5" t="s">
        <v>97</v>
      </c>
      <c r="P820" s="45">
        <f>HEX2DEC(RIGHT(Table132321[[#This Row],[h1]],8))</f>
        <v>0</v>
      </c>
      <c r="Q820" s="45" t="s">
        <v>97</v>
      </c>
      <c r="R820" s="45">
        <f>HEX2DEC(RIGHT(Table132321[[#This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5" t="s">
        <v>97</v>
      </c>
      <c r="P821" s="45">
        <f>HEX2DEC(RIGHT(Table132321[[#This Row],[h1]],8))</f>
        <v>0</v>
      </c>
      <c r="Q821" s="45" t="s">
        <v>97</v>
      </c>
      <c r="R821" s="45">
        <f>HEX2DEC(RIGHT(Table132321[[#This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5" t="s">
        <v>97</v>
      </c>
      <c r="P822" s="45">
        <f>HEX2DEC(RIGHT(Table132321[[#This Row],[h1]],8))</f>
        <v>0</v>
      </c>
      <c r="Q822" s="45" t="s">
        <v>97</v>
      </c>
      <c r="R822" s="45">
        <f>HEX2DEC(RIGHT(Table132321[[#This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5" t="s">
        <v>97</v>
      </c>
      <c r="P823" s="45">
        <f>HEX2DEC(RIGHT(Table132321[[#This Row],[h1]],8))</f>
        <v>0</v>
      </c>
      <c r="Q823" s="45" t="s">
        <v>97</v>
      </c>
      <c r="R823" s="45">
        <f>HEX2DEC(RIGHT(Table132321[[#This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5" t="s">
        <v>97</v>
      </c>
      <c r="P824" s="45">
        <f>HEX2DEC(RIGHT(Table132321[[#This Row],[h1]],8))</f>
        <v>0</v>
      </c>
      <c r="Q824" s="45" t="s">
        <v>97</v>
      </c>
      <c r="R824" s="45">
        <f>HEX2DEC(RIGHT(Table132321[[#This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5" t="s">
        <v>97</v>
      </c>
      <c r="P825" s="45">
        <f>HEX2DEC(RIGHT(Table132321[[#This Row],[h1]],8))</f>
        <v>0</v>
      </c>
      <c r="Q825" s="45" t="s">
        <v>97</v>
      </c>
      <c r="R825" s="45">
        <f>HEX2DEC(RIGHT(Table132321[[#This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5" t="s">
        <v>97</v>
      </c>
      <c r="P826" s="45">
        <f>HEX2DEC(RIGHT(Table132321[[#This Row],[h1]],8))</f>
        <v>0</v>
      </c>
      <c r="Q826" s="45" t="s">
        <v>97</v>
      </c>
      <c r="R826" s="45">
        <f>HEX2DEC(RIGHT(Table132321[[#This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5" t="s">
        <v>97</v>
      </c>
      <c r="P827" s="45">
        <f>HEX2DEC(RIGHT(Table132321[[#This Row],[h1]],8))</f>
        <v>0</v>
      </c>
      <c r="Q827" s="45" t="s">
        <v>97</v>
      </c>
      <c r="R827" s="45">
        <f>HEX2DEC(RIGHT(Table132321[[#This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5" t="s">
        <v>97</v>
      </c>
      <c r="P828" s="45">
        <f>HEX2DEC(RIGHT(Table132321[[#This Row],[h1]],8))</f>
        <v>0</v>
      </c>
      <c r="Q828" s="45" t="s">
        <v>97</v>
      </c>
      <c r="R828" s="45">
        <f>HEX2DEC(RIGHT(Table132321[[#This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5" t="s">
        <v>97</v>
      </c>
      <c r="P829" s="45">
        <f>HEX2DEC(RIGHT(Table132321[[#This Row],[h1]],8))</f>
        <v>0</v>
      </c>
      <c r="Q829" s="45" t="s">
        <v>97</v>
      </c>
      <c r="R829" s="45">
        <f>HEX2DEC(RIGHT(Table132321[[#This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5" t="s">
        <v>97</v>
      </c>
      <c r="P830" s="45">
        <f>HEX2DEC(RIGHT(Table132321[[#This Row],[h1]],8))</f>
        <v>0</v>
      </c>
      <c r="Q830" s="45" t="s">
        <v>97</v>
      </c>
      <c r="R830" s="45">
        <f>HEX2DEC(RIGHT(Table132321[[#This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5" t="s">
        <v>97</v>
      </c>
      <c r="P831" s="45">
        <f>HEX2DEC(RIGHT(Table132321[[#This Row],[h1]],8))</f>
        <v>0</v>
      </c>
      <c r="Q831" s="45" t="s">
        <v>97</v>
      </c>
      <c r="R831" s="45">
        <f>HEX2DEC(RIGHT(Table132321[[#This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5" t="s">
        <v>97</v>
      </c>
      <c r="P832" s="45">
        <f>HEX2DEC(RIGHT(Table132321[[#This Row],[h1]],8))</f>
        <v>0</v>
      </c>
      <c r="Q832" s="45" t="s">
        <v>97</v>
      </c>
      <c r="R832" s="45">
        <f>HEX2DEC(RIGHT(Table132321[[#This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5" t="s">
        <v>97</v>
      </c>
      <c r="P833" s="45">
        <f>HEX2DEC(RIGHT(Table132321[[#This Row],[h1]],8))</f>
        <v>0</v>
      </c>
      <c r="Q833" s="45" t="s">
        <v>97</v>
      </c>
      <c r="R833" s="45">
        <f>HEX2DEC(RIGHT(Table132321[[#This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5" t="s">
        <v>97</v>
      </c>
      <c r="P834" s="45">
        <f>HEX2DEC(RIGHT(Table132321[[#This Row],[h1]],8))</f>
        <v>0</v>
      </c>
      <c r="Q834" s="45" t="s">
        <v>97</v>
      </c>
      <c r="R834" s="45">
        <f>HEX2DEC(RIGHT(Table132321[[#This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5" t="s">
        <v>97</v>
      </c>
      <c r="P835" s="45">
        <f>HEX2DEC(RIGHT(Table132321[[#This Row],[h1]],8))</f>
        <v>0</v>
      </c>
      <c r="Q835" s="45" t="s">
        <v>97</v>
      </c>
      <c r="R835" s="45">
        <f>HEX2DEC(RIGHT(Table132321[[#This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5" t="s">
        <v>97</v>
      </c>
      <c r="P836" s="45">
        <f>HEX2DEC(RIGHT(Table132321[[#This Row],[h1]],8))</f>
        <v>0</v>
      </c>
      <c r="Q836" s="45" t="s">
        <v>97</v>
      </c>
      <c r="R836" s="45">
        <f>HEX2DEC(RIGHT(Table132321[[#This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5" t="s">
        <v>97</v>
      </c>
      <c r="P837" s="45">
        <f>HEX2DEC(RIGHT(Table132321[[#This Row],[h1]],8))</f>
        <v>0</v>
      </c>
      <c r="Q837" s="45" t="s">
        <v>97</v>
      </c>
      <c r="R837" s="45">
        <f>HEX2DEC(RIGHT(Table132321[[#This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5" t="s">
        <v>97</v>
      </c>
      <c r="P838" s="45">
        <f>HEX2DEC(RIGHT(Table132321[[#This Row],[h1]],8))</f>
        <v>0</v>
      </c>
      <c r="Q838" s="45" t="s">
        <v>97</v>
      </c>
      <c r="R838" s="45">
        <f>HEX2DEC(RIGHT(Table132321[[#This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5" t="s">
        <v>97</v>
      </c>
      <c r="P839" s="45">
        <f>HEX2DEC(RIGHT(Table132321[[#This Row],[h1]],8))</f>
        <v>0</v>
      </c>
      <c r="Q839" s="45" t="s">
        <v>97</v>
      </c>
      <c r="R839" s="45">
        <f>HEX2DEC(RIGHT(Table132321[[#This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5" t="s">
        <v>97</v>
      </c>
      <c r="P840" s="45">
        <f>HEX2DEC(RIGHT(Table132321[[#This Row],[h1]],8))</f>
        <v>0</v>
      </c>
      <c r="Q840" s="45" t="s">
        <v>97</v>
      </c>
      <c r="R840" s="45">
        <f>HEX2DEC(RIGHT(Table132321[[#This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5" t="s">
        <v>97</v>
      </c>
      <c r="P841" s="45">
        <f>HEX2DEC(RIGHT(Table132321[[#This Row],[h1]],8))</f>
        <v>0</v>
      </c>
      <c r="Q841" s="45" t="s">
        <v>97</v>
      </c>
      <c r="R841" s="45">
        <f>HEX2DEC(RIGHT(Table132321[[#This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5" t="s">
        <v>97</v>
      </c>
      <c r="P842" s="45">
        <f>HEX2DEC(RIGHT(Table132321[[#This Row],[h1]],8))</f>
        <v>0</v>
      </c>
      <c r="Q842" s="45" t="s">
        <v>97</v>
      </c>
      <c r="R842" s="45">
        <f>HEX2DEC(RIGHT(Table132321[[#This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5" t="s">
        <v>97</v>
      </c>
      <c r="P843" s="45">
        <f>HEX2DEC(RIGHT(Table132321[[#This Row],[h1]],8))</f>
        <v>0</v>
      </c>
      <c r="Q843" s="45" t="s">
        <v>97</v>
      </c>
      <c r="R843" s="45">
        <f>HEX2DEC(RIGHT(Table132321[[#This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5" t="s">
        <v>97</v>
      </c>
      <c r="P844" s="45">
        <f>HEX2DEC(RIGHT(Table132321[[#This Row],[h1]],8))</f>
        <v>0</v>
      </c>
      <c r="Q844" s="45" t="s">
        <v>97</v>
      </c>
      <c r="R844" s="45">
        <f>HEX2DEC(RIGHT(Table132321[[#This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5" t="s">
        <v>97</v>
      </c>
      <c r="P845" s="45">
        <f>HEX2DEC(RIGHT(Table132321[[#This Row],[h1]],8))</f>
        <v>0</v>
      </c>
      <c r="Q845" s="45" t="s">
        <v>97</v>
      </c>
      <c r="R845" s="45">
        <f>HEX2DEC(RIGHT(Table132321[[#This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5" t="s">
        <v>97</v>
      </c>
      <c r="P846" s="45">
        <f>HEX2DEC(RIGHT(Table132321[[#This Row],[h1]],8))</f>
        <v>0</v>
      </c>
      <c r="Q846" s="45" t="s">
        <v>97</v>
      </c>
      <c r="R846" s="45">
        <f>HEX2DEC(RIGHT(Table132321[[#This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5" t="s">
        <v>97</v>
      </c>
      <c r="P847" s="45">
        <f>HEX2DEC(RIGHT(Table132321[[#This Row],[h1]],8))</f>
        <v>0</v>
      </c>
      <c r="Q847" s="45" t="s">
        <v>97</v>
      </c>
      <c r="R847" s="45">
        <f>HEX2DEC(RIGHT(Table132321[[#This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5" t="s">
        <v>97</v>
      </c>
      <c r="P848" s="45">
        <f>HEX2DEC(RIGHT(Table132321[[#This Row],[h1]],8))</f>
        <v>0</v>
      </c>
      <c r="Q848" s="45" t="s">
        <v>97</v>
      </c>
      <c r="R848" s="45">
        <f>HEX2DEC(RIGHT(Table132321[[#This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5" t="s">
        <v>97</v>
      </c>
      <c r="P849" s="45">
        <f>HEX2DEC(RIGHT(Table132321[[#This Row],[h1]],8))</f>
        <v>0</v>
      </c>
      <c r="Q849" s="45" t="s">
        <v>97</v>
      </c>
      <c r="R849" s="45">
        <f>HEX2DEC(RIGHT(Table132321[[#This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5" t="s">
        <v>97</v>
      </c>
      <c r="P850" s="45">
        <f>HEX2DEC(RIGHT(Table132321[[#This Row],[h1]],8))</f>
        <v>0</v>
      </c>
      <c r="Q850" s="45" t="s">
        <v>97</v>
      </c>
      <c r="R850" s="45">
        <f>HEX2DEC(RIGHT(Table132321[[#This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5" t="s">
        <v>97</v>
      </c>
      <c r="P851" s="45">
        <f>HEX2DEC(RIGHT(Table132321[[#This Row],[h1]],8))</f>
        <v>0</v>
      </c>
      <c r="Q851" s="45" t="s">
        <v>97</v>
      </c>
      <c r="R851" s="45">
        <f>HEX2DEC(RIGHT(Table132321[[#This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5" t="s">
        <v>97</v>
      </c>
      <c r="P852" s="45">
        <f>HEX2DEC(RIGHT(Table132321[[#This Row],[h1]],8))</f>
        <v>0</v>
      </c>
      <c r="Q852" s="45" t="s">
        <v>97</v>
      </c>
      <c r="R852" s="45">
        <f>HEX2DEC(RIGHT(Table132321[[#This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5" t="s">
        <v>97</v>
      </c>
      <c r="P853" s="45">
        <f>HEX2DEC(RIGHT(Table132321[[#This Row],[h1]],8))</f>
        <v>0</v>
      </c>
      <c r="Q853" s="45" t="s">
        <v>97</v>
      </c>
      <c r="R853" s="45">
        <f>HEX2DEC(RIGHT(Table132321[[#This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5" t="s">
        <v>97</v>
      </c>
      <c r="P854" s="45">
        <f>HEX2DEC(RIGHT(Table132321[[#This Row],[h1]],8))</f>
        <v>0</v>
      </c>
      <c r="Q854" s="45" t="s">
        <v>97</v>
      </c>
      <c r="R854" s="45">
        <f>HEX2DEC(RIGHT(Table132321[[#This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5" t="s">
        <v>97</v>
      </c>
      <c r="P855" s="45">
        <f>HEX2DEC(RIGHT(Table132321[[#This Row],[h1]],8))</f>
        <v>0</v>
      </c>
      <c r="Q855" s="45" t="s">
        <v>97</v>
      </c>
      <c r="R855" s="45">
        <f>HEX2DEC(RIGHT(Table132321[[#This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5" t="s">
        <v>97</v>
      </c>
      <c r="P856" s="45">
        <f>HEX2DEC(RIGHT(Table132321[[#This Row],[h1]],8))</f>
        <v>0</v>
      </c>
      <c r="Q856" s="45" t="s">
        <v>97</v>
      </c>
      <c r="R856" s="45">
        <f>HEX2DEC(RIGHT(Table132321[[#This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5" t="s">
        <v>97</v>
      </c>
      <c r="P857" s="45">
        <f>HEX2DEC(RIGHT(Table132321[[#This Row],[h1]],8))</f>
        <v>0</v>
      </c>
      <c r="Q857" s="45" t="s">
        <v>97</v>
      </c>
      <c r="R857" s="45">
        <f>HEX2DEC(RIGHT(Table132321[[#This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5" t="s">
        <v>97</v>
      </c>
      <c r="P858" s="45">
        <f>HEX2DEC(RIGHT(Table132321[[#This Row],[h1]],8))</f>
        <v>0</v>
      </c>
      <c r="Q858" s="45" t="s">
        <v>97</v>
      </c>
      <c r="R858" s="45">
        <f>HEX2DEC(RIGHT(Table132321[[#This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5" t="s">
        <v>97</v>
      </c>
      <c r="P859" s="45">
        <f>HEX2DEC(RIGHT(Table132321[[#This Row],[h1]],8))</f>
        <v>0</v>
      </c>
      <c r="Q859" s="45" t="s">
        <v>97</v>
      </c>
      <c r="R859" s="45">
        <f>HEX2DEC(RIGHT(Table132321[[#This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5" t="s">
        <v>97</v>
      </c>
      <c r="P860" s="45">
        <f>HEX2DEC(RIGHT(Table132321[[#This Row],[h1]],8))</f>
        <v>0</v>
      </c>
      <c r="Q860" s="45" t="s">
        <v>97</v>
      </c>
      <c r="R860" s="45">
        <f>HEX2DEC(RIGHT(Table132321[[#This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5" t="s">
        <v>97</v>
      </c>
      <c r="P861" s="45">
        <f>HEX2DEC(RIGHT(Table132321[[#This Row],[h1]],8))</f>
        <v>0</v>
      </c>
      <c r="Q861" s="45" t="s">
        <v>97</v>
      </c>
      <c r="R861" s="45">
        <f>HEX2DEC(RIGHT(Table132321[[#This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5" t="s">
        <v>97</v>
      </c>
      <c r="P862" s="45">
        <f>HEX2DEC(RIGHT(Table132321[[#This Row],[h1]],8))</f>
        <v>0</v>
      </c>
      <c r="Q862" s="45" t="s">
        <v>97</v>
      </c>
      <c r="R862" s="45">
        <f>HEX2DEC(RIGHT(Table132321[[#This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5" t="s">
        <v>97</v>
      </c>
      <c r="P863" s="45">
        <f>HEX2DEC(RIGHT(Table132321[[#This Row],[h1]],8))</f>
        <v>0</v>
      </c>
      <c r="Q863" s="45" t="s">
        <v>97</v>
      </c>
      <c r="R863" s="45">
        <f>HEX2DEC(RIGHT(Table132321[[#This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5" t="s">
        <v>97</v>
      </c>
      <c r="P864" s="45">
        <f>HEX2DEC(RIGHT(Table132321[[#This Row],[h1]],8))</f>
        <v>0</v>
      </c>
      <c r="Q864" s="45" t="s">
        <v>97</v>
      </c>
      <c r="R864" s="45">
        <f>HEX2DEC(RIGHT(Table132321[[#This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5" t="s">
        <v>97</v>
      </c>
      <c r="P865" s="45">
        <f>HEX2DEC(RIGHT(Table132321[[#This Row],[h1]],8))</f>
        <v>0</v>
      </c>
      <c r="Q865" s="45" t="s">
        <v>97</v>
      </c>
      <c r="R865" s="45">
        <f>HEX2DEC(RIGHT(Table132321[[#This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5" t="s">
        <v>97</v>
      </c>
      <c r="P866" s="45">
        <f>HEX2DEC(RIGHT(Table132321[[#This Row],[h1]],8))</f>
        <v>0</v>
      </c>
      <c r="Q866" s="45" t="s">
        <v>97</v>
      </c>
      <c r="R866" s="45">
        <f>HEX2DEC(RIGHT(Table132321[[#This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5" t="s">
        <v>97</v>
      </c>
      <c r="P867" s="45">
        <f>HEX2DEC(RIGHT(Table132321[[#This Row],[h1]],8))</f>
        <v>0</v>
      </c>
      <c r="Q867" s="45" t="s">
        <v>97</v>
      </c>
      <c r="R867" s="45">
        <f>HEX2DEC(RIGHT(Table132321[[#This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5" t="s">
        <v>97</v>
      </c>
      <c r="P868" s="45">
        <f>HEX2DEC(RIGHT(Table132321[[#This Row],[h1]],8))</f>
        <v>0</v>
      </c>
      <c r="Q868" s="45" t="s">
        <v>97</v>
      </c>
      <c r="R868" s="45">
        <f>HEX2DEC(RIGHT(Table132321[[#This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5" t="s">
        <v>97</v>
      </c>
      <c r="P869" s="45">
        <f>HEX2DEC(RIGHT(Table132321[[#This Row],[h1]],8))</f>
        <v>0</v>
      </c>
      <c r="Q869" s="45" t="s">
        <v>97</v>
      </c>
      <c r="R869" s="45">
        <f>HEX2DEC(RIGHT(Table132321[[#This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5" t="s">
        <v>97</v>
      </c>
      <c r="P870" s="45">
        <f>HEX2DEC(RIGHT(Table132321[[#This Row],[h1]],8))</f>
        <v>0</v>
      </c>
      <c r="Q870" s="45" t="s">
        <v>97</v>
      </c>
      <c r="R870" s="45">
        <f>HEX2DEC(RIGHT(Table132321[[#This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5" t="s">
        <v>97</v>
      </c>
      <c r="P871" s="45">
        <f>HEX2DEC(RIGHT(Table132321[[#This Row],[h1]],8))</f>
        <v>0</v>
      </c>
      <c r="Q871" s="45" t="s">
        <v>97</v>
      </c>
      <c r="R871" s="45">
        <f>HEX2DEC(RIGHT(Table132321[[#This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5" t="s">
        <v>97</v>
      </c>
      <c r="P872" s="45">
        <f>HEX2DEC(RIGHT(Table132321[[#This Row],[h1]],8))</f>
        <v>0</v>
      </c>
      <c r="Q872" s="45" t="s">
        <v>97</v>
      </c>
      <c r="R872" s="45">
        <f>HEX2DEC(RIGHT(Table132321[[#This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5" t="s">
        <v>97</v>
      </c>
      <c r="P873" s="45">
        <f>HEX2DEC(RIGHT(Table132321[[#This Row],[h1]],8))</f>
        <v>0</v>
      </c>
      <c r="Q873" s="45" t="s">
        <v>97</v>
      </c>
      <c r="R873" s="45">
        <f>HEX2DEC(RIGHT(Table132321[[#This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5" t="s">
        <v>97</v>
      </c>
      <c r="P874" s="45">
        <f>HEX2DEC(RIGHT(Table132321[[#This Row],[h1]],8))</f>
        <v>0</v>
      </c>
      <c r="Q874" s="45" t="s">
        <v>97</v>
      </c>
      <c r="R874" s="45">
        <f>HEX2DEC(RIGHT(Table132321[[#This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5" t="s">
        <v>97</v>
      </c>
      <c r="P875" s="45">
        <f>HEX2DEC(RIGHT(Table132321[[#This Row],[h1]],8))</f>
        <v>0</v>
      </c>
      <c r="Q875" s="45" t="s">
        <v>97</v>
      </c>
      <c r="R875" s="45">
        <f>HEX2DEC(RIGHT(Table132321[[#This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5" t="s">
        <v>97</v>
      </c>
      <c r="P876" s="45">
        <f>HEX2DEC(RIGHT(Table132321[[#This Row],[h1]],8))</f>
        <v>0</v>
      </c>
      <c r="Q876" s="45" t="s">
        <v>97</v>
      </c>
      <c r="R876" s="45">
        <f>HEX2DEC(RIGHT(Table132321[[#This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5" t="s">
        <v>97</v>
      </c>
      <c r="P877" s="45">
        <f>HEX2DEC(RIGHT(Table132321[[#This Row],[h1]],8))</f>
        <v>0</v>
      </c>
      <c r="Q877" s="45" t="s">
        <v>97</v>
      </c>
      <c r="R877" s="45">
        <f>HEX2DEC(RIGHT(Table132321[[#This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5" t="s">
        <v>97</v>
      </c>
      <c r="P878" s="45">
        <f>HEX2DEC(RIGHT(Table132321[[#This Row],[h1]],8))</f>
        <v>0</v>
      </c>
      <c r="Q878" s="45" t="s">
        <v>97</v>
      </c>
      <c r="R878" s="45">
        <f>HEX2DEC(RIGHT(Table132321[[#This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5" t="s">
        <v>97</v>
      </c>
      <c r="P879" s="45">
        <f>HEX2DEC(RIGHT(Table132321[[#This Row],[h1]],8))</f>
        <v>0</v>
      </c>
      <c r="Q879" s="45" t="s">
        <v>97</v>
      </c>
      <c r="R879" s="45">
        <f>HEX2DEC(RIGHT(Table132321[[#This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5" t="s">
        <v>97</v>
      </c>
      <c r="P880" s="45">
        <f>HEX2DEC(RIGHT(Table132321[[#This Row],[h1]],8))</f>
        <v>0</v>
      </c>
      <c r="Q880" s="45" t="s">
        <v>97</v>
      </c>
      <c r="R880" s="45">
        <f>HEX2DEC(RIGHT(Table132321[[#This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5" t="s">
        <v>97</v>
      </c>
      <c r="P881" s="45">
        <f>HEX2DEC(RIGHT(Table132321[[#This Row],[h1]],8))</f>
        <v>0</v>
      </c>
      <c r="Q881" s="45" t="s">
        <v>97</v>
      </c>
      <c r="R881" s="45">
        <f>HEX2DEC(RIGHT(Table132321[[#This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5" t="s">
        <v>97</v>
      </c>
      <c r="P882" s="45">
        <f>HEX2DEC(RIGHT(Table132321[[#This Row],[h1]],8))</f>
        <v>0</v>
      </c>
      <c r="Q882" s="45" t="s">
        <v>97</v>
      </c>
      <c r="R882" s="45">
        <f>HEX2DEC(RIGHT(Table132321[[#This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5" t="s">
        <v>97</v>
      </c>
      <c r="P883" s="45">
        <f>HEX2DEC(RIGHT(Table132321[[#This Row],[h1]],8))</f>
        <v>0</v>
      </c>
      <c r="Q883" s="45" t="s">
        <v>97</v>
      </c>
      <c r="R883" s="45">
        <f>HEX2DEC(RIGHT(Table132321[[#This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5" t="s">
        <v>97</v>
      </c>
      <c r="P884" s="45">
        <f>HEX2DEC(RIGHT(Table132321[[#This Row],[h1]],8))</f>
        <v>0</v>
      </c>
      <c r="Q884" s="45" t="s">
        <v>97</v>
      </c>
      <c r="R884" s="45">
        <f>HEX2DEC(RIGHT(Table132321[[#This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5" t="s">
        <v>97</v>
      </c>
      <c r="P885" s="45">
        <f>HEX2DEC(RIGHT(Table132321[[#This Row],[h1]],8))</f>
        <v>0</v>
      </c>
      <c r="Q885" s="45" t="s">
        <v>97</v>
      </c>
      <c r="R885" s="45">
        <f>HEX2DEC(RIGHT(Table132321[[#This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5" t="s">
        <v>97</v>
      </c>
      <c r="P886" s="45">
        <f>HEX2DEC(RIGHT(Table132321[[#This Row],[h1]],8))</f>
        <v>0</v>
      </c>
      <c r="Q886" s="45" t="s">
        <v>97</v>
      </c>
      <c r="R886" s="45">
        <f>HEX2DEC(RIGHT(Table132321[[#This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5" t="s">
        <v>97</v>
      </c>
      <c r="P887" s="45">
        <f>HEX2DEC(RIGHT(Table132321[[#This Row],[h1]],8))</f>
        <v>0</v>
      </c>
      <c r="Q887" s="45" t="s">
        <v>97</v>
      </c>
      <c r="R887" s="45">
        <f>HEX2DEC(RIGHT(Table132321[[#This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5" t="s">
        <v>97</v>
      </c>
      <c r="P888" s="45">
        <f>HEX2DEC(RIGHT(Table132321[[#This Row],[h1]],8))</f>
        <v>0</v>
      </c>
      <c r="Q888" s="45" t="s">
        <v>97</v>
      </c>
      <c r="R888" s="45">
        <f>HEX2DEC(RIGHT(Table132321[[#This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5" t="s">
        <v>97</v>
      </c>
      <c r="P889" s="45">
        <f>HEX2DEC(RIGHT(Table132321[[#This Row],[h1]],8))</f>
        <v>0</v>
      </c>
      <c r="Q889" s="45" t="s">
        <v>97</v>
      </c>
      <c r="R889" s="45">
        <f>HEX2DEC(RIGHT(Table132321[[#This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5" t="s">
        <v>97</v>
      </c>
      <c r="P890" s="45">
        <f>HEX2DEC(RIGHT(Table132321[[#This Row],[h1]],8))</f>
        <v>0</v>
      </c>
      <c r="Q890" s="45" t="s">
        <v>97</v>
      </c>
      <c r="R890" s="45">
        <f>HEX2DEC(RIGHT(Table132321[[#This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5" t="s">
        <v>97</v>
      </c>
      <c r="P891" s="45">
        <f>HEX2DEC(RIGHT(Table132321[[#This Row],[h1]],8))</f>
        <v>0</v>
      </c>
      <c r="Q891" s="45" t="s">
        <v>97</v>
      </c>
      <c r="R891" s="45">
        <f>HEX2DEC(RIGHT(Table132321[[#This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5" t="s">
        <v>97</v>
      </c>
      <c r="P892" s="45">
        <f>HEX2DEC(RIGHT(Table132321[[#This Row],[h1]],8))</f>
        <v>0</v>
      </c>
      <c r="Q892" s="45" t="s">
        <v>97</v>
      </c>
      <c r="R892" s="45">
        <f>HEX2DEC(RIGHT(Table132321[[#This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5" t="s">
        <v>97</v>
      </c>
      <c r="P893" s="45">
        <f>HEX2DEC(RIGHT(Table132321[[#This Row],[h1]],8))</f>
        <v>0</v>
      </c>
      <c r="Q893" s="45" t="s">
        <v>97</v>
      </c>
      <c r="R893" s="45">
        <f>HEX2DEC(RIGHT(Table132321[[#This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5" t="s">
        <v>97</v>
      </c>
      <c r="P894" s="45">
        <f>HEX2DEC(RIGHT(Table132321[[#This Row],[h1]],8))</f>
        <v>0</v>
      </c>
      <c r="Q894" s="45" t="s">
        <v>97</v>
      </c>
      <c r="R894" s="45">
        <f>HEX2DEC(RIGHT(Table132321[[#This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5" t="s">
        <v>97</v>
      </c>
      <c r="P895" s="45">
        <f>HEX2DEC(RIGHT(Table132321[[#This Row],[h1]],8))</f>
        <v>0</v>
      </c>
      <c r="Q895" s="45" t="s">
        <v>97</v>
      </c>
      <c r="R895" s="45">
        <f>HEX2DEC(RIGHT(Table132321[[#This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5" t="s">
        <v>97</v>
      </c>
      <c r="P896" s="45">
        <f>HEX2DEC(RIGHT(Table132321[[#This Row],[h1]],8))</f>
        <v>0</v>
      </c>
      <c r="Q896" s="45" t="s">
        <v>97</v>
      </c>
      <c r="R896" s="45">
        <f>HEX2DEC(RIGHT(Table132321[[#This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5" t="s">
        <v>97</v>
      </c>
      <c r="P897" s="45">
        <f>HEX2DEC(RIGHT(Table132321[[#This Row],[h1]],8))</f>
        <v>0</v>
      </c>
      <c r="Q897" s="45" t="s">
        <v>97</v>
      </c>
      <c r="R897" s="45">
        <f>HEX2DEC(RIGHT(Table132321[[#This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5" t="s">
        <v>97</v>
      </c>
      <c r="P898" s="45">
        <f>HEX2DEC(RIGHT(Table132321[[#This Row],[h1]],8))</f>
        <v>0</v>
      </c>
      <c r="Q898" s="45" t="s">
        <v>97</v>
      </c>
      <c r="R898" s="45">
        <f>HEX2DEC(RIGHT(Table132321[[#This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5" t="s">
        <v>97</v>
      </c>
      <c r="P899" s="45">
        <f>HEX2DEC(RIGHT(Table132321[[#This Row],[h1]],8))</f>
        <v>0</v>
      </c>
      <c r="Q899" s="45" t="s">
        <v>97</v>
      </c>
      <c r="R899" s="45">
        <f>HEX2DEC(RIGHT(Table132321[[#This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5" t="s">
        <v>97</v>
      </c>
      <c r="P900" s="45">
        <f>HEX2DEC(RIGHT(Table132321[[#This Row],[h1]],8))</f>
        <v>0</v>
      </c>
      <c r="Q900" s="45" t="s">
        <v>97</v>
      </c>
      <c r="R900" s="45">
        <f>HEX2DEC(RIGHT(Table132321[[#This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5" t="s">
        <v>97</v>
      </c>
      <c r="P901" s="45">
        <f>HEX2DEC(RIGHT(Table132321[[#This Row],[h1]],8))</f>
        <v>0</v>
      </c>
      <c r="Q901" s="45" t="s">
        <v>97</v>
      </c>
      <c r="R901" s="45">
        <f>HEX2DEC(RIGHT(Table132321[[#This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5" t="s">
        <v>97</v>
      </c>
      <c r="P902" s="45">
        <f>HEX2DEC(RIGHT(Table132321[[#This Row],[h1]],8))</f>
        <v>0</v>
      </c>
      <c r="Q902" s="45" t="s">
        <v>97</v>
      </c>
      <c r="R902" s="45">
        <f>HEX2DEC(RIGHT(Table132321[[#This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5" t="s">
        <v>97</v>
      </c>
      <c r="P903" s="45">
        <f>HEX2DEC(RIGHT(Table132321[[#This Row],[h1]],8))</f>
        <v>0</v>
      </c>
      <c r="Q903" s="45" t="s">
        <v>97</v>
      </c>
      <c r="R903" s="45">
        <f>HEX2DEC(RIGHT(Table132321[[#This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5" t="s">
        <v>97</v>
      </c>
      <c r="P904" s="45">
        <f>HEX2DEC(RIGHT(Table132321[[#This Row],[h1]],8))</f>
        <v>0</v>
      </c>
      <c r="Q904" s="45" t="s">
        <v>97</v>
      </c>
      <c r="R904" s="45">
        <f>HEX2DEC(RIGHT(Table132321[[#This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5" t="s">
        <v>97</v>
      </c>
      <c r="P905" s="45">
        <f>HEX2DEC(RIGHT(Table132321[[#This Row],[h1]],8))</f>
        <v>0</v>
      </c>
      <c r="Q905" s="45" t="s">
        <v>97</v>
      </c>
      <c r="R905" s="45">
        <f>HEX2DEC(RIGHT(Table132321[[#This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5" t="s">
        <v>97</v>
      </c>
      <c r="P906" s="45">
        <f>HEX2DEC(RIGHT(Table132321[[#This Row],[h1]],8))</f>
        <v>0</v>
      </c>
      <c r="Q906" s="45" t="s">
        <v>97</v>
      </c>
      <c r="R906" s="45">
        <f>HEX2DEC(RIGHT(Table132321[[#This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5" t="s">
        <v>97</v>
      </c>
      <c r="P907" s="45">
        <f>HEX2DEC(RIGHT(Table132321[[#This Row],[h1]],8))</f>
        <v>0</v>
      </c>
      <c r="Q907" s="45" t="s">
        <v>97</v>
      </c>
      <c r="R907" s="45">
        <f>HEX2DEC(RIGHT(Table132321[[#This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5" t="s">
        <v>97</v>
      </c>
      <c r="P908" s="45">
        <f>HEX2DEC(RIGHT(Table132321[[#This Row],[h1]],8))</f>
        <v>0</v>
      </c>
      <c r="Q908" s="45" t="s">
        <v>97</v>
      </c>
      <c r="R908" s="45">
        <f>HEX2DEC(RIGHT(Table132321[[#This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5" t="s">
        <v>97</v>
      </c>
      <c r="P909" s="45">
        <f>HEX2DEC(RIGHT(Table132321[[#This Row],[h1]],8))</f>
        <v>0</v>
      </c>
      <c r="Q909" s="45" t="s">
        <v>97</v>
      </c>
      <c r="R909" s="45">
        <f>HEX2DEC(RIGHT(Table132321[[#This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5" t="s">
        <v>97</v>
      </c>
      <c r="P910" s="45">
        <f>HEX2DEC(RIGHT(Table132321[[#This Row],[h1]],8))</f>
        <v>0</v>
      </c>
      <c r="Q910" s="45" t="s">
        <v>97</v>
      </c>
      <c r="R910" s="45">
        <f>HEX2DEC(RIGHT(Table132321[[#This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5" t="s">
        <v>97</v>
      </c>
      <c r="P911" s="45">
        <f>HEX2DEC(RIGHT(Table132321[[#This Row],[h1]],8))</f>
        <v>0</v>
      </c>
      <c r="Q911" s="45" t="s">
        <v>97</v>
      </c>
      <c r="R911" s="45">
        <f>HEX2DEC(RIGHT(Table132321[[#This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5" t="s">
        <v>97</v>
      </c>
      <c r="P912" s="45">
        <f>HEX2DEC(RIGHT(Table132321[[#This Row],[h1]],8))</f>
        <v>0</v>
      </c>
      <c r="Q912" s="45" t="s">
        <v>97</v>
      </c>
      <c r="R912" s="45">
        <f>HEX2DEC(RIGHT(Table132321[[#This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5" t="s">
        <v>97</v>
      </c>
      <c r="P913" s="45">
        <f>HEX2DEC(RIGHT(Table132321[[#This Row],[h1]],8))</f>
        <v>0</v>
      </c>
      <c r="Q913" s="45" t="s">
        <v>97</v>
      </c>
      <c r="R913" s="45">
        <f>HEX2DEC(RIGHT(Table132321[[#This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5" t="s">
        <v>97</v>
      </c>
      <c r="P914" s="45">
        <f>HEX2DEC(RIGHT(Table132321[[#This Row],[h1]],8))</f>
        <v>0</v>
      </c>
      <c r="Q914" s="45" t="s">
        <v>97</v>
      </c>
      <c r="R914" s="45">
        <f>HEX2DEC(RIGHT(Table132321[[#This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5" t="s">
        <v>97</v>
      </c>
      <c r="P915" s="45">
        <f>HEX2DEC(RIGHT(Table132321[[#This Row],[h1]],8))</f>
        <v>0</v>
      </c>
      <c r="Q915" s="45" t="s">
        <v>97</v>
      </c>
      <c r="R915" s="45">
        <f>HEX2DEC(RIGHT(Table132321[[#This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5" t="s">
        <v>97</v>
      </c>
      <c r="P916" s="45">
        <f>HEX2DEC(RIGHT(Table132321[[#This Row],[h1]],8))</f>
        <v>0</v>
      </c>
      <c r="Q916" s="45" t="s">
        <v>97</v>
      </c>
      <c r="R916" s="45">
        <f>HEX2DEC(RIGHT(Table132321[[#This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5" t="s">
        <v>97</v>
      </c>
      <c r="P917" s="45">
        <f>HEX2DEC(RIGHT(Table132321[[#This Row],[h1]],8))</f>
        <v>0</v>
      </c>
      <c r="Q917" s="45" t="s">
        <v>97</v>
      </c>
      <c r="R917" s="45">
        <f>HEX2DEC(RIGHT(Table132321[[#This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5" t="s">
        <v>97</v>
      </c>
      <c r="P918" s="45">
        <f>HEX2DEC(RIGHT(Table132321[[#This Row],[h1]],8))</f>
        <v>0</v>
      </c>
      <c r="Q918" s="45" t="s">
        <v>97</v>
      </c>
      <c r="R918" s="45">
        <f>HEX2DEC(RIGHT(Table132321[[#This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5" t="s">
        <v>97</v>
      </c>
      <c r="P919" s="45">
        <f>HEX2DEC(RIGHT(Table132321[[#This Row],[h1]],8))</f>
        <v>0</v>
      </c>
      <c r="Q919" s="45" t="s">
        <v>97</v>
      </c>
      <c r="R919" s="45">
        <f>HEX2DEC(RIGHT(Table132321[[#This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5" t="s">
        <v>97</v>
      </c>
      <c r="P920" s="45">
        <f>HEX2DEC(RIGHT(Table132321[[#This Row],[h1]],8))</f>
        <v>0</v>
      </c>
      <c r="Q920" s="45" t="s">
        <v>97</v>
      </c>
      <c r="R920" s="45">
        <f>HEX2DEC(RIGHT(Table132321[[#This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5" t="s">
        <v>97</v>
      </c>
      <c r="P921" s="45">
        <f>HEX2DEC(RIGHT(Table132321[[#This Row],[h1]],8))</f>
        <v>0</v>
      </c>
      <c r="Q921" s="45" t="s">
        <v>97</v>
      </c>
      <c r="R921" s="45">
        <f>HEX2DEC(RIGHT(Table132321[[#This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5" t="s">
        <v>97</v>
      </c>
      <c r="P922" s="45">
        <f>HEX2DEC(RIGHT(Table132321[[#This Row],[h1]],8))</f>
        <v>0</v>
      </c>
      <c r="Q922" s="45" t="s">
        <v>97</v>
      </c>
      <c r="R922" s="45">
        <f>HEX2DEC(RIGHT(Table132321[[#This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5" t="s">
        <v>97</v>
      </c>
      <c r="P923" s="45">
        <f>HEX2DEC(RIGHT(Table132321[[#This Row],[h1]],8))</f>
        <v>0</v>
      </c>
      <c r="Q923" s="45" t="s">
        <v>97</v>
      </c>
      <c r="R923" s="45">
        <f>HEX2DEC(RIGHT(Table132321[[#This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5" t="s">
        <v>97</v>
      </c>
      <c r="P924" s="45">
        <f>HEX2DEC(RIGHT(Table132321[[#This Row],[h1]],8))</f>
        <v>0</v>
      </c>
      <c r="Q924" s="45" t="s">
        <v>97</v>
      </c>
      <c r="R924" s="45">
        <f>HEX2DEC(RIGHT(Table132321[[#This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5" t="s">
        <v>97</v>
      </c>
      <c r="P925" s="45">
        <f>HEX2DEC(RIGHT(Table132321[[#This Row],[h1]],8))</f>
        <v>0</v>
      </c>
      <c r="Q925" s="45" t="s">
        <v>97</v>
      </c>
      <c r="R925" s="45">
        <f>HEX2DEC(RIGHT(Table132321[[#This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5" t="s">
        <v>97</v>
      </c>
      <c r="P926" s="45">
        <f>HEX2DEC(RIGHT(Table132321[[#This Row],[h1]],8))</f>
        <v>0</v>
      </c>
      <c r="Q926" s="45" t="s">
        <v>97</v>
      </c>
      <c r="R926" s="45">
        <f>HEX2DEC(RIGHT(Table132321[[#This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5" t="s">
        <v>97</v>
      </c>
      <c r="P927" s="45">
        <f>HEX2DEC(RIGHT(Table132321[[#This Row],[h1]],8))</f>
        <v>0</v>
      </c>
      <c r="Q927" s="45" t="s">
        <v>97</v>
      </c>
      <c r="R927" s="45">
        <f>HEX2DEC(RIGHT(Table132321[[#This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5" t="s">
        <v>97</v>
      </c>
      <c r="P928" s="45">
        <f>HEX2DEC(RIGHT(Table132321[[#This Row],[h1]],8))</f>
        <v>0</v>
      </c>
      <c r="Q928" s="45" t="s">
        <v>97</v>
      </c>
      <c r="R928" s="45">
        <f>HEX2DEC(RIGHT(Table132321[[#This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5" t="s">
        <v>97</v>
      </c>
      <c r="P929" s="45">
        <f>HEX2DEC(RIGHT(Table132321[[#This Row],[h1]],8))</f>
        <v>0</v>
      </c>
      <c r="Q929" s="45" t="s">
        <v>97</v>
      </c>
      <c r="R929" s="45">
        <f>HEX2DEC(RIGHT(Table132321[[#This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5" t="s">
        <v>97</v>
      </c>
      <c r="P930" s="45">
        <f>HEX2DEC(RIGHT(Table132321[[#This Row],[h1]],8))</f>
        <v>0</v>
      </c>
      <c r="Q930" s="45" t="s">
        <v>97</v>
      </c>
      <c r="R930" s="45">
        <f>HEX2DEC(RIGHT(Table132321[[#This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5" t="s">
        <v>97</v>
      </c>
      <c r="P931" s="45">
        <f>HEX2DEC(RIGHT(Table132321[[#This Row],[h1]],8))</f>
        <v>0</v>
      </c>
      <c r="Q931" s="45" t="s">
        <v>97</v>
      </c>
      <c r="R931" s="45">
        <f>HEX2DEC(RIGHT(Table132321[[#This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5" t="s">
        <v>97</v>
      </c>
      <c r="P932" s="45">
        <f>HEX2DEC(RIGHT(Table132321[[#This Row],[h1]],8))</f>
        <v>0</v>
      </c>
      <c r="Q932" s="45" t="s">
        <v>97</v>
      </c>
      <c r="R932" s="45">
        <f>HEX2DEC(RIGHT(Table132321[[#This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5" t="s">
        <v>97</v>
      </c>
      <c r="P933" s="45">
        <f>HEX2DEC(RIGHT(Table132321[[#This Row],[h1]],8))</f>
        <v>0</v>
      </c>
      <c r="Q933" s="45" t="s">
        <v>97</v>
      </c>
      <c r="R933" s="45">
        <f>HEX2DEC(RIGHT(Table132321[[#This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5" t="s">
        <v>97</v>
      </c>
      <c r="P934" s="45">
        <f>HEX2DEC(RIGHT(Table132321[[#This Row],[h1]],8))</f>
        <v>0</v>
      </c>
      <c r="Q934" s="45" t="s">
        <v>97</v>
      </c>
      <c r="R934" s="45">
        <f>HEX2DEC(RIGHT(Table132321[[#This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5" t="s">
        <v>97</v>
      </c>
      <c r="P935" s="45">
        <f>HEX2DEC(RIGHT(Table132321[[#This Row],[h1]],8))</f>
        <v>0</v>
      </c>
      <c r="Q935" s="45" t="s">
        <v>97</v>
      </c>
      <c r="R935" s="45">
        <f>HEX2DEC(RIGHT(Table132321[[#This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5" t="s">
        <v>97</v>
      </c>
      <c r="P936" s="45">
        <f>HEX2DEC(RIGHT(Table132321[[#This Row],[h1]],8))</f>
        <v>0</v>
      </c>
      <c r="Q936" s="45" t="s">
        <v>97</v>
      </c>
      <c r="R936" s="45">
        <f>HEX2DEC(RIGHT(Table132321[[#This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5" t="s">
        <v>97</v>
      </c>
      <c r="P937" s="45">
        <f>HEX2DEC(RIGHT(Table132321[[#This Row],[h1]],8))</f>
        <v>0</v>
      </c>
      <c r="Q937" s="45" t="s">
        <v>97</v>
      </c>
      <c r="R937" s="45">
        <f>HEX2DEC(RIGHT(Table132321[[#This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5" t="s">
        <v>97</v>
      </c>
      <c r="P938" s="45">
        <f>HEX2DEC(RIGHT(Table132321[[#This Row],[h1]],8))</f>
        <v>0</v>
      </c>
      <c r="Q938" s="45" t="s">
        <v>97</v>
      </c>
      <c r="R938" s="45">
        <f>HEX2DEC(RIGHT(Table132321[[#This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5" t="s">
        <v>97</v>
      </c>
      <c r="P939" s="45">
        <f>HEX2DEC(RIGHT(Table132321[[#This Row],[h1]],8))</f>
        <v>0</v>
      </c>
      <c r="Q939" s="45" t="s">
        <v>97</v>
      </c>
      <c r="R939" s="45">
        <f>HEX2DEC(RIGHT(Table132321[[#This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5" t="s">
        <v>97</v>
      </c>
      <c r="P940" s="45">
        <f>HEX2DEC(RIGHT(Table132321[[#This Row],[h1]],8))</f>
        <v>0</v>
      </c>
      <c r="Q940" s="45" t="s">
        <v>97</v>
      </c>
      <c r="R940" s="45">
        <f>HEX2DEC(RIGHT(Table132321[[#This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5" t="s">
        <v>97</v>
      </c>
      <c r="P941" s="45">
        <f>HEX2DEC(RIGHT(Table132321[[#This Row],[h1]],8))</f>
        <v>0</v>
      </c>
      <c r="Q941" s="45" t="s">
        <v>97</v>
      </c>
      <c r="R941" s="45">
        <f>HEX2DEC(RIGHT(Table132321[[#This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5" t="s">
        <v>97</v>
      </c>
      <c r="P942" s="45">
        <f>HEX2DEC(RIGHT(Table132321[[#This Row],[h1]],8))</f>
        <v>0</v>
      </c>
      <c r="Q942" s="45" t="s">
        <v>97</v>
      </c>
      <c r="R942" s="45">
        <f>HEX2DEC(RIGHT(Table132321[[#This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5" t="s">
        <v>97</v>
      </c>
      <c r="P943" s="45">
        <f>HEX2DEC(RIGHT(Table132321[[#This Row],[h1]],8))</f>
        <v>0</v>
      </c>
      <c r="Q943" s="45" t="s">
        <v>97</v>
      </c>
      <c r="R943" s="45">
        <f>HEX2DEC(RIGHT(Table132321[[#This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5" t="s">
        <v>97</v>
      </c>
      <c r="P944" s="45">
        <f>HEX2DEC(RIGHT(Table132321[[#This Row],[h1]],8))</f>
        <v>0</v>
      </c>
      <c r="Q944" s="45" t="s">
        <v>97</v>
      </c>
      <c r="R944" s="45">
        <f>HEX2DEC(RIGHT(Table132321[[#This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5" t="s">
        <v>97</v>
      </c>
      <c r="P945" s="45">
        <f>HEX2DEC(RIGHT(Table132321[[#This Row],[h1]],8))</f>
        <v>0</v>
      </c>
      <c r="Q945" s="45" t="s">
        <v>97</v>
      </c>
      <c r="R945" s="45">
        <f>HEX2DEC(RIGHT(Table132321[[#This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5" t="s">
        <v>97</v>
      </c>
      <c r="P946" s="45">
        <f>HEX2DEC(RIGHT(Table132321[[#This Row],[h1]],8))</f>
        <v>0</v>
      </c>
      <c r="Q946" s="45" t="s">
        <v>97</v>
      </c>
      <c r="R946" s="45">
        <f>HEX2DEC(RIGHT(Table132321[[#This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5" t="s">
        <v>97</v>
      </c>
      <c r="P947" s="45">
        <f>HEX2DEC(RIGHT(Table132321[[#This Row],[h1]],8))</f>
        <v>0</v>
      </c>
      <c r="Q947" s="45" t="s">
        <v>97</v>
      </c>
      <c r="R947" s="45">
        <f>HEX2DEC(RIGHT(Table132321[[#This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5" t="s">
        <v>97</v>
      </c>
      <c r="P948" s="45">
        <f>HEX2DEC(RIGHT(Table132321[[#This Row],[h1]],8))</f>
        <v>0</v>
      </c>
      <c r="Q948" s="45" t="s">
        <v>97</v>
      </c>
      <c r="R948" s="45">
        <f>HEX2DEC(RIGHT(Table132321[[#This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5" t="s">
        <v>97</v>
      </c>
      <c r="P949" s="45">
        <f>HEX2DEC(RIGHT(Table132321[[#This Row],[h1]],8))</f>
        <v>0</v>
      </c>
      <c r="Q949" s="45" t="s">
        <v>97</v>
      </c>
      <c r="R949" s="45">
        <f>HEX2DEC(RIGHT(Table132321[[#This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5" t="s">
        <v>97</v>
      </c>
      <c r="P950" s="45">
        <f>HEX2DEC(RIGHT(Table132321[[#This Row],[h1]],8))</f>
        <v>0</v>
      </c>
      <c r="Q950" s="45" t="s">
        <v>97</v>
      </c>
      <c r="R950" s="45">
        <f>HEX2DEC(RIGHT(Table132321[[#This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5" t="s">
        <v>97</v>
      </c>
      <c r="P951" s="45">
        <f>HEX2DEC(RIGHT(Table132321[[#This Row],[h1]],8))</f>
        <v>0</v>
      </c>
      <c r="Q951" s="45" t="s">
        <v>97</v>
      </c>
      <c r="R951" s="45">
        <f>HEX2DEC(RIGHT(Table132321[[#This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5" t="s">
        <v>97</v>
      </c>
      <c r="P952" s="45">
        <f>HEX2DEC(RIGHT(Table132321[[#This Row],[h1]],8))</f>
        <v>0</v>
      </c>
      <c r="Q952" s="45" t="s">
        <v>97</v>
      </c>
      <c r="R952" s="45">
        <f>HEX2DEC(RIGHT(Table132321[[#This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5" t="s">
        <v>97</v>
      </c>
      <c r="P953" s="45">
        <f>HEX2DEC(RIGHT(Table132321[[#This Row],[h1]],8))</f>
        <v>0</v>
      </c>
      <c r="Q953" s="45" t="s">
        <v>97</v>
      </c>
      <c r="R953" s="45">
        <f>HEX2DEC(RIGHT(Table132321[[#This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5" t="s">
        <v>97</v>
      </c>
      <c r="P954" s="45">
        <f>HEX2DEC(RIGHT(Table132321[[#This Row],[h1]],8))</f>
        <v>0</v>
      </c>
      <c r="Q954" s="45" t="s">
        <v>97</v>
      </c>
      <c r="R954" s="45">
        <f>HEX2DEC(RIGHT(Table132321[[#This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5" t="s">
        <v>97</v>
      </c>
      <c r="P955" s="45">
        <f>HEX2DEC(RIGHT(Table132321[[#This Row],[h1]],8))</f>
        <v>0</v>
      </c>
      <c r="Q955" s="45" t="s">
        <v>97</v>
      </c>
      <c r="R955" s="45">
        <f>HEX2DEC(RIGHT(Table132321[[#This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5" t="s">
        <v>97</v>
      </c>
      <c r="P956" s="45">
        <f>HEX2DEC(RIGHT(Table132321[[#This Row],[h1]],8))</f>
        <v>0</v>
      </c>
      <c r="Q956" s="45" t="s">
        <v>97</v>
      </c>
      <c r="R956" s="45">
        <f>HEX2DEC(RIGHT(Table132321[[#This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5" t="s">
        <v>97</v>
      </c>
      <c r="P957" s="45">
        <f>HEX2DEC(RIGHT(Table132321[[#This Row],[h1]],8))</f>
        <v>0</v>
      </c>
      <c r="Q957" s="45" t="s">
        <v>97</v>
      </c>
      <c r="R957" s="45">
        <f>HEX2DEC(RIGHT(Table132321[[#This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5" t="s">
        <v>97</v>
      </c>
      <c r="P958" s="45">
        <f>HEX2DEC(RIGHT(Table132321[[#This Row],[h1]],8))</f>
        <v>0</v>
      </c>
      <c r="Q958" s="45" t="s">
        <v>97</v>
      </c>
      <c r="R958" s="45">
        <f>HEX2DEC(RIGHT(Table132321[[#This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5" t="s">
        <v>97</v>
      </c>
      <c r="P959" s="45">
        <f>HEX2DEC(RIGHT(Table132321[[#This Row],[h1]],8))</f>
        <v>0</v>
      </c>
      <c r="Q959" s="45" t="s">
        <v>97</v>
      </c>
      <c r="R959" s="45">
        <f>HEX2DEC(RIGHT(Table132321[[#This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5" t="s">
        <v>97</v>
      </c>
      <c r="P960" s="45">
        <f>HEX2DEC(RIGHT(Table132321[[#This Row],[h1]],8))</f>
        <v>0</v>
      </c>
      <c r="Q960" s="45" t="s">
        <v>97</v>
      </c>
      <c r="R960" s="45">
        <f>HEX2DEC(RIGHT(Table132321[[#This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5" t="s">
        <v>97</v>
      </c>
      <c r="P961" s="45">
        <f>HEX2DEC(RIGHT(Table132321[[#This Row],[h1]],8))</f>
        <v>0</v>
      </c>
      <c r="Q961" s="45" t="s">
        <v>97</v>
      </c>
      <c r="R961" s="45">
        <f>HEX2DEC(RIGHT(Table132321[[#This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5" t="s">
        <v>97</v>
      </c>
      <c r="P962" s="45">
        <f>HEX2DEC(RIGHT(Table132321[[#This Row],[h1]],8))</f>
        <v>0</v>
      </c>
      <c r="Q962" s="45" t="s">
        <v>97</v>
      </c>
      <c r="R962" s="45">
        <f>HEX2DEC(RIGHT(Table132321[[#This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5" t="s">
        <v>97</v>
      </c>
      <c r="P963" s="45">
        <f>HEX2DEC(RIGHT(Table132321[[#This Row],[h1]],8))</f>
        <v>0</v>
      </c>
      <c r="Q963" s="45" t="s">
        <v>97</v>
      </c>
      <c r="R963" s="45">
        <f>HEX2DEC(RIGHT(Table132321[[#This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5" t="s">
        <v>97</v>
      </c>
      <c r="P964" s="45">
        <f>HEX2DEC(RIGHT(Table132321[[#This Row],[h1]],8))</f>
        <v>0</v>
      </c>
      <c r="Q964" s="45" t="s">
        <v>97</v>
      </c>
      <c r="R964" s="45">
        <f>HEX2DEC(RIGHT(Table132321[[#This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5" t="s">
        <v>97</v>
      </c>
      <c r="P965" s="45">
        <f>HEX2DEC(RIGHT(Table132321[[#This Row],[h1]],8))</f>
        <v>0</v>
      </c>
      <c r="Q965" s="45" t="s">
        <v>97</v>
      </c>
      <c r="R965" s="45">
        <f>HEX2DEC(RIGHT(Table132321[[#This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5" t="s">
        <v>97</v>
      </c>
      <c r="P966" s="45">
        <f>HEX2DEC(RIGHT(Table132321[[#This Row],[h1]],8))</f>
        <v>0</v>
      </c>
      <c r="Q966" s="45" t="s">
        <v>97</v>
      </c>
      <c r="R966" s="45">
        <f>HEX2DEC(RIGHT(Table132321[[#This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5" t="s">
        <v>97</v>
      </c>
      <c r="P967" s="45">
        <f>HEX2DEC(RIGHT(Table132321[[#This Row],[h1]],8))</f>
        <v>0</v>
      </c>
      <c r="Q967" s="45" t="s">
        <v>97</v>
      </c>
      <c r="R967" s="45">
        <f>HEX2DEC(RIGHT(Table132321[[#This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5" t="s">
        <v>97</v>
      </c>
      <c r="P968" s="45">
        <f>HEX2DEC(RIGHT(Table132321[[#This Row],[h1]],8))</f>
        <v>0</v>
      </c>
      <c r="Q968" s="45" t="s">
        <v>97</v>
      </c>
      <c r="R968" s="45">
        <f>HEX2DEC(RIGHT(Table132321[[#This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5" t="s">
        <v>97</v>
      </c>
      <c r="P969" s="45">
        <f>HEX2DEC(RIGHT(Table132321[[#This Row],[h1]],8))</f>
        <v>0</v>
      </c>
      <c r="Q969" s="45" t="s">
        <v>97</v>
      </c>
      <c r="R969" s="45">
        <f>HEX2DEC(RIGHT(Table132321[[#This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5" t="s">
        <v>97</v>
      </c>
      <c r="P970" s="45">
        <f>HEX2DEC(RIGHT(Table132321[[#This Row],[h1]],8))</f>
        <v>0</v>
      </c>
      <c r="Q970" s="45" t="s">
        <v>97</v>
      </c>
      <c r="R970" s="45">
        <f>HEX2DEC(RIGHT(Table132321[[#This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5" t="s">
        <v>97</v>
      </c>
      <c r="P971" s="45">
        <f>HEX2DEC(RIGHT(Table132321[[#This Row],[h1]],8))</f>
        <v>0</v>
      </c>
      <c r="Q971" s="45" t="s">
        <v>97</v>
      </c>
      <c r="R971" s="45">
        <f>HEX2DEC(RIGHT(Table132321[[#This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5" t="s">
        <v>97</v>
      </c>
      <c r="P972" s="45">
        <f>HEX2DEC(RIGHT(Table132321[[#This Row],[h1]],8))</f>
        <v>0</v>
      </c>
      <c r="Q972" s="45" t="s">
        <v>97</v>
      </c>
      <c r="R972" s="45">
        <f>HEX2DEC(RIGHT(Table132321[[#This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5" t="s">
        <v>97</v>
      </c>
      <c r="P973" s="45">
        <f>HEX2DEC(RIGHT(Table132321[[#This Row],[h1]],8))</f>
        <v>0</v>
      </c>
      <c r="Q973" s="45" t="s">
        <v>97</v>
      </c>
      <c r="R973" s="45">
        <f>HEX2DEC(RIGHT(Table132321[[#This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5" t="s">
        <v>97</v>
      </c>
      <c r="P974" s="45">
        <f>HEX2DEC(RIGHT(Table132321[[#This Row],[h1]],8))</f>
        <v>0</v>
      </c>
      <c r="Q974" s="45" t="s">
        <v>97</v>
      </c>
      <c r="R974" s="45">
        <f>HEX2DEC(RIGHT(Table132321[[#This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5" t="s">
        <v>97</v>
      </c>
      <c r="P975" s="45">
        <f>HEX2DEC(RIGHT(Table132321[[#This Row],[h1]],8))</f>
        <v>0</v>
      </c>
      <c r="Q975" s="45" t="s">
        <v>97</v>
      </c>
      <c r="R975" s="45">
        <f>HEX2DEC(RIGHT(Table132321[[#This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5" t="s">
        <v>97</v>
      </c>
      <c r="P976" s="45">
        <f>HEX2DEC(RIGHT(Table132321[[#This Row],[h1]],8))</f>
        <v>0</v>
      </c>
      <c r="Q976" s="45" t="s">
        <v>97</v>
      </c>
      <c r="R976" s="45">
        <f>HEX2DEC(RIGHT(Table132321[[#This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5" t="s">
        <v>97</v>
      </c>
      <c r="P977" s="45">
        <f>HEX2DEC(RIGHT(Table132321[[#This Row],[h1]],8))</f>
        <v>0</v>
      </c>
      <c r="Q977" s="45" t="s">
        <v>97</v>
      </c>
      <c r="R977" s="45">
        <f>HEX2DEC(RIGHT(Table132321[[#This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5" t="s">
        <v>97</v>
      </c>
      <c r="P978" s="45">
        <f>HEX2DEC(RIGHT(Table132321[[#This Row],[h1]],8))</f>
        <v>0</v>
      </c>
      <c r="Q978" s="45" t="s">
        <v>97</v>
      </c>
      <c r="R978" s="45">
        <f>HEX2DEC(RIGHT(Table132321[[#This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5" t="s">
        <v>97</v>
      </c>
      <c r="P979" s="45">
        <f>HEX2DEC(RIGHT(Table132321[[#This Row],[h1]],8))</f>
        <v>0</v>
      </c>
      <c r="Q979" s="45" t="s">
        <v>97</v>
      </c>
      <c r="R979" s="45">
        <f>HEX2DEC(RIGHT(Table132321[[#This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5" t="s">
        <v>97</v>
      </c>
      <c r="P980" s="45">
        <f>HEX2DEC(RIGHT(Table132321[[#This Row],[h1]],8))</f>
        <v>0</v>
      </c>
      <c r="Q980" s="45" t="s">
        <v>97</v>
      </c>
      <c r="R980" s="45">
        <f>HEX2DEC(RIGHT(Table132321[[#This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5" t="s">
        <v>97</v>
      </c>
      <c r="P981" s="45">
        <f>HEX2DEC(RIGHT(Table132321[[#This Row],[h1]],8))</f>
        <v>0</v>
      </c>
      <c r="Q981" s="45" t="s">
        <v>97</v>
      </c>
      <c r="R981" s="45">
        <f>HEX2DEC(RIGHT(Table132321[[#This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5" t="s">
        <v>97</v>
      </c>
      <c r="P982" s="45">
        <f>HEX2DEC(RIGHT(Table132321[[#This Row],[h1]],8))</f>
        <v>0</v>
      </c>
      <c r="Q982" s="45" t="s">
        <v>97</v>
      </c>
      <c r="R982" s="45">
        <f>HEX2DEC(RIGHT(Table132321[[#This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5" t="s">
        <v>97</v>
      </c>
      <c r="P983" s="45">
        <f>HEX2DEC(RIGHT(Table132321[[#This Row],[h1]],8))</f>
        <v>0</v>
      </c>
      <c r="Q983" s="45" t="s">
        <v>97</v>
      </c>
      <c r="R983" s="45">
        <f>HEX2DEC(RIGHT(Table132321[[#This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5" t="s">
        <v>97</v>
      </c>
      <c r="P984" s="45">
        <f>HEX2DEC(RIGHT(Table132321[[#This Row],[h1]],8))</f>
        <v>0</v>
      </c>
      <c r="Q984" s="45" t="s">
        <v>97</v>
      </c>
      <c r="R984" s="45">
        <f>HEX2DEC(RIGHT(Table132321[[#This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5" t="s">
        <v>97</v>
      </c>
      <c r="P985" s="45">
        <f>HEX2DEC(RIGHT(Table132321[[#This Row],[h1]],8))</f>
        <v>0</v>
      </c>
      <c r="Q985" s="45" t="s">
        <v>97</v>
      </c>
      <c r="R985" s="45">
        <f>HEX2DEC(RIGHT(Table132321[[#This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5" t="s">
        <v>97</v>
      </c>
      <c r="P986" s="45">
        <f>HEX2DEC(RIGHT(Table132321[[#This Row],[h1]],8))</f>
        <v>0</v>
      </c>
      <c r="Q986" s="45" t="s">
        <v>97</v>
      </c>
      <c r="R986" s="45">
        <f>HEX2DEC(RIGHT(Table132321[[#This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5" t="s">
        <v>97</v>
      </c>
      <c r="P987" s="45">
        <f>HEX2DEC(RIGHT(Table132321[[#This Row],[h1]],8))</f>
        <v>0</v>
      </c>
      <c r="Q987" s="45" t="s">
        <v>97</v>
      </c>
      <c r="R987" s="45">
        <f>HEX2DEC(RIGHT(Table132321[[#This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5" t="s">
        <v>97</v>
      </c>
      <c r="P988" s="45">
        <f>HEX2DEC(RIGHT(Table132321[[#This Row],[h1]],8))</f>
        <v>0</v>
      </c>
      <c r="Q988" s="45" t="s">
        <v>97</v>
      </c>
      <c r="R988" s="45">
        <f>HEX2DEC(RIGHT(Table132321[[#This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5" t="s">
        <v>97</v>
      </c>
      <c r="P989" s="45">
        <f>HEX2DEC(RIGHT(Table132321[[#This Row],[h1]],8))</f>
        <v>0</v>
      </c>
      <c r="Q989" s="45" t="s">
        <v>97</v>
      </c>
      <c r="R989" s="45">
        <f>HEX2DEC(RIGHT(Table132321[[#This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5" t="s">
        <v>97</v>
      </c>
      <c r="P990" s="45">
        <f>HEX2DEC(RIGHT(Table132321[[#This Row],[h1]],8))</f>
        <v>0</v>
      </c>
      <c r="Q990" s="45" t="s">
        <v>97</v>
      </c>
      <c r="R990" s="45">
        <f>HEX2DEC(RIGHT(Table132321[[#This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5" t="s">
        <v>97</v>
      </c>
      <c r="P991" s="45">
        <f>HEX2DEC(RIGHT(Table132321[[#This Row],[h1]],8))</f>
        <v>0</v>
      </c>
      <c r="Q991" s="45" t="s">
        <v>97</v>
      </c>
      <c r="R991" s="45">
        <f>HEX2DEC(RIGHT(Table132321[[#This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5" t="s">
        <v>97</v>
      </c>
      <c r="P992" s="45">
        <f>HEX2DEC(RIGHT(Table132321[[#This Row],[h1]],8))</f>
        <v>0</v>
      </c>
      <c r="Q992" s="45" t="s">
        <v>97</v>
      </c>
      <c r="R992" s="45">
        <f>HEX2DEC(RIGHT(Table132321[[#This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5" t="s">
        <v>97</v>
      </c>
      <c r="P993" s="45">
        <f>HEX2DEC(RIGHT(Table132321[[#This Row],[h1]],8))</f>
        <v>0</v>
      </c>
      <c r="Q993" s="45" t="s">
        <v>97</v>
      </c>
      <c r="R993" s="45">
        <f>HEX2DEC(RIGHT(Table132321[[#This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5" t="s">
        <v>97</v>
      </c>
      <c r="P994" s="45">
        <f>HEX2DEC(RIGHT(Table132321[[#This Row],[h1]],8))</f>
        <v>0</v>
      </c>
      <c r="Q994" s="45" t="s">
        <v>97</v>
      </c>
      <c r="R994" s="45">
        <f>HEX2DEC(RIGHT(Table132321[[#This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5" t="s">
        <v>97</v>
      </c>
      <c r="P995" s="45">
        <f>HEX2DEC(RIGHT(Table132321[[#This Row],[h1]],8))</f>
        <v>0</v>
      </c>
      <c r="Q995" s="45" t="s">
        <v>97</v>
      </c>
      <c r="R995" s="45">
        <f>HEX2DEC(RIGHT(Table132321[[#This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5" t="s">
        <v>97</v>
      </c>
      <c r="P996" s="45">
        <f>HEX2DEC(RIGHT(Table132321[[#This Row],[h1]],8))</f>
        <v>0</v>
      </c>
      <c r="Q996" s="45" t="s">
        <v>97</v>
      </c>
      <c r="R996" s="45">
        <f>HEX2DEC(RIGHT(Table132321[[#This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5" t="s">
        <v>97</v>
      </c>
      <c r="P997" s="45">
        <f>HEX2DEC(RIGHT(Table132321[[#This Row],[h1]],8))</f>
        <v>0</v>
      </c>
      <c r="Q997" s="45" t="s">
        <v>97</v>
      </c>
      <c r="R997" s="45">
        <f>HEX2DEC(RIGHT(Table132321[[#This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5" t="s">
        <v>97</v>
      </c>
      <c r="P998" s="45">
        <f>HEX2DEC(RIGHT(Table132321[[#This Row],[h1]],8))</f>
        <v>0</v>
      </c>
      <c r="Q998" s="45" t="s">
        <v>97</v>
      </c>
      <c r="R998" s="45">
        <f>HEX2DEC(RIGHT(Table132321[[#This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5" t="s">
        <v>97</v>
      </c>
      <c r="P999" s="45">
        <f>HEX2DEC(RIGHT(Table132321[[#This Row],[h1]],8))</f>
        <v>0</v>
      </c>
      <c r="Q999" s="45" t="s">
        <v>97</v>
      </c>
      <c r="R999" s="45">
        <f>HEX2DEC(RIGHT(Table132321[[#This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5" t="s">
        <v>97</v>
      </c>
      <c r="P1000" s="45">
        <f>HEX2DEC(RIGHT(Table132321[[#This Row],[h1]],8))</f>
        <v>0</v>
      </c>
      <c r="Q1000" s="45" t="s">
        <v>97</v>
      </c>
      <c r="R1000" s="45">
        <f>HEX2DEC(RIGHT(Table132321[[#This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5" t="s">
        <v>97</v>
      </c>
      <c r="P1001" s="45">
        <f>HEX2DEC(RIGHT(Table132321[[#This Row],[h1]],8))</f>
        <v>0</v>
      </c>
      <c r="Q1001" s="45" t="s">
        <v>97</v>
      </c>
      <c r="R1001" s="45">
        <f>HEX2DEC(RIGHT(Table132321[[#This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5" t="s">
        <v>97</v>
      </c>
      <c r="P1002" s="45">
        <f>HEX2DEC(RIGHT(Table132321[[#This Row],[h1]],8))</f>
        <v>0</v>
      </c>
      <c r="Q1002" s="45" t="s">
        <v>97</v>
      </c>
      <c r="R1002" s="45">
        <f>HEX2DEC(RIGHT(Table132321[[#This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5" t="s">
        <v>97</v>
      </c>
      <c r="P1003" s="45">
        <f>HEX2DEC(RIGHT(Table132321[[#This Row],[h1]],8))</f>
        <v>0</v>
      </c>
      <c r="Q1003" s="45" t="s">
        <v>97</v>
      </c>
      <c r="R1003" s="45">
        <f>HEX2DEC(RIGHT(Table132321[[#This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5" t="s">
        <v>97</v>
      </c>
      <c r="P1004" s="45">
        <f>HEX2DEC(RIGHT(Table132321[[#This Row],[h1]],8))</f>
        <v>0</v>
      </c>
      <c r="Q1004" s="45" t="s">
        <v>97</v>
      </c>
      <c r="R1004" s="45">
        <f>HEX2DEC(RIGHT(Table132321[[#This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5" t="s">
        <v>97</v>
      </c>
      <c r="P1005" s="45">
        <f>HEX2DEC(RIGHT(Table132321[[#This Row],[h1]],8))</f>
        <v>0</v>
      </c>
      <c r="Q1005" s="45" t="s">
        <v>97</v>
      </c>
      <c r="R1005" s="45">
        <f>HEX2DEC(RIGHT(Table132321[[#This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5" t="s">
        <v>97</v>
      </c>
      <c r="P1006" s="45">
        <f>HEX2DEC(RIGHT(Table132321[[#This Row],[h1]],8))</f>
        <v>0</v>
      </c>
      <c r="Q1006" s="45" t="s">
        <v>97</v>
      </c>
      <c r="R1006" s="45">
        <f>HEX2DEC(RIGHT(Table132321[[#This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5" t="s">
        <v>97</v>
      </c>
      <c r="P1007" s="45">
        <f>HEX2DEC(RIGHT(Table132321[[#This Row],[h1]],8))</f>
        <v>0</v>
      </c>
      <c r="Q1007" s="45" t="s">
        <v>97</v>
      </c>
      <c r="R1007" s="45">
        <f>HEX2DEC(RIGHT(Table132321[[#This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5" t="s">
        <v>97</v>
      </c>
      <c r="P1008" s="45">
        <f>HEX2DEC(RIGHT(Table132321[[#This Row],[h1]],8))</f>
        <v>0</v>
      </c>
      <c r="Q1008" s="45" t="s">
        <v>97</v>
      </c>
      <c r="R1008" s="45">
        <f>HEX2DEC(RIGHT(Table132321[[#This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5" t="s">
        <v>97</v>
      </c>
      <c r="P1009" s="45">
        <f>HEX2DEC(RIGHT(Table132321[[#This Row],[h1]],8))</f>
        <v>0</v>
      </c>
      <c r="Q1009" s="45" t="s">
        <v>97</v>
      </c>
      <c r="R1009" s="45">
        <f>HEX2DEC(RIGHT(Table132321[[#This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5" t="s">
        <v>97</v>
      </c>
      <c r="P1010" s="45">
        <f>HEX2DEC(RIGHT(Table132321[[#This Row],[h1]],8))</f>
        <v>0</v>
      </c>
      <c r="Q1010" s="45" t="s">
        <v>97</v>
      </c>
      <c r="R1010" s="45">
        <f>HEX2DEC(RIGHT(Table132321[[#This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5" t="s">
        <v>97</v>
      </c>
      <c r="P1011" s="45">
        <f>HEX2DEC(RIGHT(Table132321[[#This Row],[h1]],8))</f>
        <v>0</v>
      </c>
      <c r="Q1011" s="45" t="s">
        <v>97</v>
      </c>
      <c r="R1011" s="45">
        <f>HEX2DEC(RIGHT(Table132321[[#This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5" t="s">
        <v>97</v>
      </c>
      <c r="P1012" s="45">
        <f>HEX2DEC(RIGHT(Table132321[[#This Row],[h1]],8))</f>
        <v>0</v>
      </c>
      <c r="Q1012" s="45" t="s">
        <v>97</v>
      </c>
      <c r="R1012" s="45">
        <f>HEX2DEC(RIGHT(Table132321[[#This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5" t="s">
        <v>97</v>
      </c>
      <c r="P1013" s="45">
        <f>HEX2DEC(RIGHT(Table132321[[#This Row],[h1]],8))</f>
        <v>0</v>
      </c>
      <c r="Q1013" s="45" t="s">
        <v>97</v>
      </c>
      <c r="R1013" s="45">
        <f>HEX2DEC(RIGHT(Table132321[[#This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5" t="s">
        <v>97</v>
      </c>
      <c r="P1014" s="45">
        <f>HEX2DEC(RIGHT(Table132321[[#This Row],[h1]],8))</f>
        <v>0</v>
      </c>
      <c r="Q1014" s="45" t="s">
        <v>97</v>
      </c>
      <c r="R1014" s="45">
        <f>HEX2DEC(RIGHT(Table132321[[#This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5" t="s">
        <v>97</v>
      </c>
      <c r="P1015" s="45">
        <f>HEX2DEC(RIGHT(Table132321[[#This Row],[h1]],8))</f>
        <v>0</v>
      </c>
      <c r="Q1015" s="45" t="s">
        <v>97</v>
      </c>
      <c r="R1015" s="45">
        <f>HEX2DEC(RIGHT(Table132321[[#This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5" t="s">
        <v>97</v>
      </c>
      <c r="P1016" s="45">
        <f>HEX2DEC(RIGHT(Table132321[[#This Row],[h1]],8))</f>
        <v>0</v>
      </c>
      <c r="Q1016" s="45" t="s">
        <v>97</v>
      </c>
      <c r="R1016" s="45">
        <f>HEX2DEC(RIGHT(Table132321[[#This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5" t="s">
        <v>97</v>
      </c>
      <c r="P1017" s="45">
        <f>HEX2DEC(RIGHT(Table132321[[#This Row],[h1]],8))</f>
        <v>0</v>
      </c>
      <c r="Q1017" s="45" t="s">
        <v>97</v>
      </c>
      <c r="R1017" s="45">
        <f>HEX2DEC(RIGHT(Table132321[[#This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5" t="s">
        <v>97</v>
      </c>
      <c r="P1018" s="45">
        <f>HEX2DEC(RIGHT(Table132321[[#This Row],[h1]],8))</f>
        <v>0</v>
      </c>
      <c r="Q1018" s="45" t="s">
        <v>97</v>
      </c>
      <c r="R1018" s="45">
        <f>HEX2DEC(RIGHT(Table132321[[#This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5" t="s">
        <v>97</v>
      </c>
      <c r="P1019" s="45">
        <f>HEX2DEC(RIGHT(Table132321[[#This Row],[h1]],8))</f>
        <v>0</v>
      </c>
      <c r="Q1019" s="45" t="s">
        <v>97</v>
      </c>
      <c r="R1019" s="45">
        <f>HEX2DEC(RIGHT(Table132321[[#This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5" t="s">
        <v>97</v>
      </c>
      <c r="P1020" s="45">
        <f>HEX2DEC(RIGHT(Table132321[[#This Row],[h1]],8))</f>
        <v>0</v>
      </c>
      <c r="Q1020" s="45" t="s">
        <v>97</v>
      </c>
      <c r="R1020" s="45">
        <f>HEX2DEC(RIGHT(Table132321[[#This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5" t="s">
        <v>97</v>
      </c>
      <c r="P1021" s="45">
        <f>HEX2DEC(RIGHT(Table132321[[#This Row],[h1]],8))</f>
        <v>0</v>
      </c>
      <c r="Q1021" s="45" t="s">
        <v>97</v>
      </c>
      <c r="R1021" s="45">
        <f>HEX2DEC(RIGHT(Table132321[[#This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5" t="s">
        <v>97</v>
      </c>
      <c r="P1022" s="45">
        <f>HEX2DEC(RIGHT(Table132321[[#This Row],[h1]],8))</f>
        <v>0</v>
      </c>
      <c r="Q1022" s="45" t="s">
        <v>97</v>
      </c>
      <c r="R1022" s="45">
        <f>HEX2DEC(RIGHT(Table132321[[#This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5" t="s">
        <v>97</v>
      </c>
      <c r="P1023" s="45">
        <f>HEX2DEC(RIGHT(Table132321[[#This Row],[h1]],8))</f>
        <v>0</v>
      </c>
      <c r="Q1023" s="45" t="s">
        <v>97</v>
      </c>
      <c r="R1023" s="45">
        <f>HEX2DEC(RIGHT(Table132321[[#This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5" t="s">
        <v>97</v>
      </c>
      <c r="P1024" s="45">
        <f>HEX2DEC(RIGHT(Table132321[[#This Row],[h1]],8))</f>
        <v>0</v>
      </c>
      <c r="Q1024" s="45" t="s">
        <v>97</v>
      </c>
      <c r="R1024" s="45">
        <f>HEX2DEC(RIGHT(Table132321[[#This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5" t="s">
        <v>97</v>
      </c>
      <c r="P1025" s="45">
        <f>HEX2DEC(RIGHT(Table132321[[#This Row],[h1]],8))</f>
        <v>0</v>
      </c>
      <c r="Q1025" s="45" t="s">
        <v>97</v>
      </c>
      <c r="R1025" s="45">
        <f>HEX2DEC(RIGHT(Table132321[[#This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5" t="s">
        <v>97</v>
      </c>
      <c r="P1026" s="45">
        <f>HEX2DEC(RIGHT(Table132321[[#This Row],[h1]],8))</f>
        <v>0</v>
      </c>
      <c r="Q1026" s="45" t="s">
        <v>97</v>
      </c>
      <c r="R1026" s="45">
        <f>HEX2DEC(RIGHT(Table132321[[#This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5" t="s">
        <v>97</v>
      </c>
      <c r="P1027" s="45">
        <f>HEX2DEC(RIGHT(Table132321[[#This Row],[h1]],8))</f>
        <v>0</v>
      </c>
      <c r="Q1027" s="45" t="s">
        <v>97</v>
      </c>
      <c r="R1027" s="45">
        <f>HEX2DEC(RIGHT(Table132321[[#This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5" t="s">
        <v>97</v>
      </c>
      <c r="P1028" s="45">
        <f>HEX2DEC(RIGHT(Table132321[[#This Row],[h1]],8))</f>
        <v>0</v>
      </c>
      <c r="Q1028" s="45" t="s">
        <v>97</v>
      </c>
      <c r="R1028" s="45">
        <f>HEX2DEC(RIGHT(Table132321[[#This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5" t="s">
        <v>97</v>
      </c>
      <c r="P1029" s="45">
        <f>HEX2DEC(RIGHT(Table132321[[#This Row],[h1]],8))</f>
        <v>0</v>
      </c>
      <c r="Q1029" s="45" t="s">
        <v>97</v>
      </c>
      <c r="R1029" s="45">
        <f>HEX2DEC(RIGHT(Table132321[[#This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5" t="s">
        <v>97</v>
      </c>
      <c r="P1030" s="45">
        <f>HEX2DEC(RIGHT(Table132321[[#This Row],[h1]],8))</f>
        <v>0</v>
      </c>
      <c r="Q1030" s="45" t="s">
        <v>97</v>
      </c>
      <c r="R1030" s="45">
        <f>HEX2DEC(RIGHT(Table132321[[#This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5" t="s">
        <v>97</v>
      </c>
      <c r="P1031" s="45">
        <f>HEX2DEC(RIGHT(Table132321[[#This Row],[h1]],8))</f>
        <v>0</v>
      </c>
      <c r="Q1031" s="45" t="s">
        <v>97</v>
      </c>
      <c r="R1031" s="45">
        <f>HEX2DEC(RIGHT(Table132321[[#This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5" t="s">
        <v>97</v>
      </c>
      <c r="P1032" s="45">
        <f>HEX2DEC(RIGHT(Table132321[[#This Row],[h1]],8))</f>
        <v>0</v>
      </c>
      <c r="Q1032" s="45" t="s">
        <v>97</v>
      </c>
      <c r="R1032" s="45">
        <f>HEX2DEC(RIGHT(Table132321[[#This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5" t="s">
        <v>97</v>
      </c>
      <c r="P1033" s="45">
        <f>HEX2DEC(RIGHT(Table132321[[#This Row],[h1]],8))</f>
        <v>0</v>
      </c>
      <c r="Q1033" s="45" t="s">
        <v>97</v>
      </c>
      <c r="R1033" s="45">
        <f>HEX2DEC(RIGHT(Table132321[[#This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5" t="s">
        <v>97</v>
      </c>
      <c r="P1034" s="45">
        <f>HEX2DEC(RIGHT(Table132321[[#This Row],[h1]],8))</f>
        <v>0</v>
      </c>
      <c r="Q1034" s="45" t="s">
        <v>97</v>
      </c>
      <c r="R1034" s="45">
        <f>HEX2DEC(RIGHT(Table132321[[#This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5" t="s">
        <v>97</v>
      </c>
      <c r="P1035" s="45">
        <f>HEX2DEC(RIGHT(Table132321[[#This Row],[h1]],8))</f>
        <v>0</v>
      </c>
      <c r="Q1035" s="45" t="s">
        <v>97</v>
      </c>
      <c r="R1035" s="45">
        <f>HEX2DEC(RIGHT(Table132321[[#This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5" t="s">
        <v>97</v>
      </c>
      <c r="P1036" s="45">
        <f>HEX2DEC(RIGHT(Table132321[[#This Row],[h1]],8))</f>
        <v>0</v>
      </c>
      <c r="Q1036" s="45" t="s">
        <v>97</v>
      </c>
      <c r="R1036" s="45">
        <f>HEX2DEC(RIGHT(Table132321[[#This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5" t="s">
        <v>97</v>
      </c>
      <c r="P1037" s="45">
        <f>HEX2DEC(RIGHT(Table132321[[#This Row],[h1]],8))</f>
        <v>0</v>
      </c>
      <c r="Q1037" s="45" t="s">
        <v>97</v>
      </c>
      <c r="R1037" s="45">
        <f>HEX2DEC(RIGHT(Table132321[[#This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5" t="s">
        <v>97</v>
      </c>
      <c r="P1038" s="45">
        <f>HEX2DEC(RIGHT(Table132321[[#This Row],[h1]],8))</f>
        <v>0</v>
      </c>
      <c r="Q1038" s="45" t="s">
        <v>97</v>
      </c>
      <c r="R1038" s="45">
        <f>HEX2DEC(RIGHT(Table132321[[#This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5" t="s">
        <v>97</v>
      </c>
      <c r="P1039" s="45">
        <f>HEX2DEC(RIGHT(Table132321[[#This Row],[h1]],8))</f>
        <v>0</v>
      </c>
      <c r="Q1039" s="45" t="s">
        <v>97</v>
      </c>
      <c r="R1039" s="45">
        <f>HEX2DEC(RIGHT(Table132321[[#This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5" t="s">
        <v>97</v>
      </c>
      <c r="P1040" s="45">
        <f>HEX2DEC(RIGHT(Table132321[[#This Row],[h1]],8))</f>
        <v>0</v>
      </c>
      <c r="Q1040" s="45" t="s">
        <v>97</v>
      </c>
      <c r="R1040" s="45">
        <f>HEX2DEC(RIGHT(Table132321[[#This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5" t="s">
        <v>97</v>
      </c>
      <c r="P1041" s="45">
        <f>HEX2DEC(RIGHT(Table132321[[#This Row],[h1]],8))</f>
        <v>0</v>
      </c>
      <c r="Q1041" s="45" t="s">
        <v>97</v>
      </c>
      <c r="R1041" s="45">
        <f>HEX2DEC(RIGHT(Table132321[[#This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5" t="s">
        <v>97</v>
      </c>
      <c r="P1042" s="45">
        <f>HEX2DEC(RIGHT(Table132321[[#This Row],[h1]],8))</f>
        <v>0</v>
      </c>
      <c r="Q1042" s="45" t="s">
        <v>97</v>
      </c>
      <c r="R1042" s="45">
        <f>HEX2DEC(RIGHT(Table132321[[#This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5" t="s">
        <v>97</v>
      </c>
      <c r="P1043" s="45">
        <f>HEX2DEC(RIGHT(Table132321[[#This Row],[h1]],8))</f>
        <v>0</v>
      </c>
      <c r="Q1043" s="45" t="s">
        <v>97</v>
      </c>
      <c r="R1043" s="45">
        <f>HEX2DEC(RIGHT(Table132321[[#This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5" t="s">
        <v>97</v>
      </c>
      <c r="P1044" s="45">
        <f>HEX2DEC(RIGHT(Table132321[[#This Row],[h1]],8))</f>
        <v>0</v>
      </c>
      <c r="Q1044" s="45" t="s">
        <v>97</v>
      </c>
      <c r="R1044" s="45">
        <f>HEX2DEC(RIGHT(Table132321[[#This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5" t="s">
        <v>97</v>
      </c>
      <c r="P1045" s="45">
        <f>HEX2DEC(RIGHT(Table132321[[#This Row],[h1]],8))</f>
        <v>0</v>
      </c>
      <c r="Q1045" s="45" t="s">
        <v>97</v>
      </c>
      <c r="R1045" s="45">
        <f>HEX2DEC(RIGHT(Table132321[[#This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5" t="s">
        <v>97</v>
      </c>
      <c r="P1046" s="45">
        <f>HEX2DEC(RIGHT(Table132321[[#This Row],[h1]],8))</f>
        <v>0</v>
      </c>
      <c r="Q1046" s="45" t="s">
        <v>97</v>
      </c>
      <c r="R1046" s="45">
        <f>HEX2DEC(RIGHT(Table132321[[#This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5" t="s">
        <v>97</v>
      </c>
      <c r="P1047" s="45">
        <f>HEX2DEC(RIGHT(Table132321[[#This Row],[h1]],8))</f>
        <v>0</v>
      </c>
      <c r="Q1047" s="45" t="s">
        <v>97</v>
      </c>
      <c r="R1047" s="45">
        <f>HEX2DEC(RIGHT(Table132321[[#This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5" t="s">
        <v>97</v>
      </c>
      <c r="P1048" s="45">
        <f>HEX2DEC(RIGHT(Table132321[[#This Row],[h1]],8))</f>
        <v>0</v>
      </c>
      <c r="Q1048" s="45" t="s">
        <v>97</v>
      </c>
      <c r="R1048" s="45">
        <f>HEX2DEC(RIGHT(Table132321[[#This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5" t="s">
        <v>97</v>
      </c>
      <c r="P1049" s="45">
        <f>HEX2DEC(RIGHT(Table132321[[#This Row],[h1]],8))</f>
        <v>0</v>
      </c>
      <c r="Q1049" s="45" t="s">
        <v>97</v>
      </c>
      <c r="R1049" s="45">
        <f>HEX2DEC(RIGHT(Table132321[[#This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5" t="s">
        <v>97</v>
      </c>
      <c r="P1050" s="45">
        <f>HEX2DEC(RIGHT(Table132321[[#This Row],[h1]],8))</f>
        <v>0</v>
      </c>
      <c r="Q1050" s="45" t="s">
        <v>97</v>
      </c>
      <c r="R1050" s="45">
        <f>HEX2DEC(RIGHT(Table132321[[#This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5" t="s">
        <v>97</v>
      </c>
      <c r="P1051" s="45">
        <f>HEX2DEC(RIGHT(Table132321[[#This Row],[h1]],8))</f>
        <v>0</v>
      </c>
      <c r="Q1051" s="45" t="s">
        <v>97</v>
      </c>
      <c r="R1051" s="45">
        <f>HEX2DEC(RIGHT(Table132321[[#This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5" t="s">
        <v>97</v>
      </c>
      <c r="P1052" s="45">
        <f>HEX2DEC(RIGHT(Table132321[[#This Row],[h1]],8))</f>
        <v>0</v>
      </c>
      <c r="Q1052" s="45" t="s">
        <v>97</v>
      </c>
      <c r="R1052" s="45">
        <f>HEX2DEC(RIGHT(Table132321[[#This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5" t="s">
        <v>97</v>
      </c>
      <c r="P1053" s="45">
        <f>HEX2DEC(RIGHT(Table132321[[#This Row],[h1]],8))</f>
        <v>0</v>
      </c>
      <c r="Q1053" s="45" t="s">
        <v>97</v>
      </c>
      <c r="R1053" s="45">
        <f>HEX2DEC(RIGHT(Table132321[[#This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5" t="s">
        <v>97</v>
      </c>
      <c r="P1054" s="45">
        <f>HEX2DEC(RIGHT(Table132321[[#This Row],[h1]],8))</f>
        <v>0</v>
      </c>
      <c r="Q1054" s="45" t="s">
        <v>97</v>
      </c>
      <c r="R1054" s="45">
        <f>HEX2DEC(RIGHT(Table132321[[#This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5" t="s">
        <v>97</v>
      </c>
      <c r="P1055" s="45">
        <f>HEX2DEC(RIGHT(Table132321[[#This Row],[h1]],8))</f>
        <v>0</v>
      </c>
      <c r="Q1055" s="45" t="s">
        <v>97</v>
      </c>
      <c r="R1055" s="45">
        <f>HEX2DEC(RIGHT(Table132321[[#This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5" t="s">
        <v>97</v>
      </c>
      <c r="P1056" s="45">
        <f>HEX2DEC(RIGHT(Table132321[[#This Row],[h1]],8))</f>
        <v>0</v>
      </c>
      <c r="Q1056" s="45" t="s">
        <v>97</v>
      </c>
      <c r="R1056" s="45">
        <f>HEX2DEC(RIGHT(Table132321[[#This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5" t="s">
        <v>97</v>
      </c>
      <c r="P1057" s="45">
        <f>HEX2DEC(RIGHT(Table132321[[#This Row],[h1]],8))</f>
        <v>0</v>
      </c>
      <c r="Q1057" s="45" t="s">
        <v>97</v>
      </c>
      <c r="R1057" s="45">
        <f>HEX2DEC(RIGHT(Table132321[[#This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5" t="s">
        <v>97</v>
      </c>
      <c r="P1058" s="45">
        <f>HEX2DEC(RIGHT(Table132321[[#This Row],[h1]],8))</f>
        <v>0</v>
      </c>
      <c r="Q1058" s="45" t="s">
        <v>97</v>
      </c>
      <c r="R1058" s="45">
        <f>HEX2DEC(RIGHT(Table132321[[#This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5" t="s">
        <v>97</v>
      </c>
      <c r="P1059" s="45">
        <f>HEX2DEC(RIGHT(Table132321[[#This Row],[h1]],8))</f>
        <v>0</v>
      </c>
      <c r="Q1059" s="45" t="s">
        <v>97</v>
      </c>
      <c r="R1059" s="45">
        <f>HEX2DEC(RIGHT(Table132321[[#This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5" t="s">
        <v>97</v>
      </c>
      <c r="P1060" s="45">
        <f>HEX2DEC(RIGHT(Table132321[[#This Row],[h1]],8))</f>
        <v>0</v>
      </c>
      <c r="Q1060" s="45" t="s">
        <v>97</v>
      </c>
      <c r="R1060" s="45">
        <f>HEX2DEC(RIGHT(Table132321[[#This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5" t="s">
        <v>97</v>
      </c>
      <c r="P1061" s="45">
        <f>HEX2DEC(RIGHT(Table132321[[#This Row],[h1]],8))</f>
        <v>0</v>
      </c>
      <c r="Q1061" s="45" t="s">
        <v>97</v>
      </c>
      <c r="R1061" s="45">
        <f>HEX2DEC(RIGHT(Table132321[[#This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5" t="s">
        <v>97</v>
      </c>
      <c r="P1062" s="45">
        <f>HEX2DEC(RIGHT(Table132321[[#This Row],[h1]],8))</f>
        <v>0</v>
      </c>
      <c r="Q1062" s="45" t="s">
        <v>97</v>
      </c>
      <c r="R1062" s="45">
        <f>HEX2DEC(RIGHT(Table132321[[#This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5" t="s">
        <v>97</v>
      </c>
      <c r="P1063" s="45">
        <f>HEX2DEC(RIGHT(Table132321[[#This Row],[h1]],8))</f>
        <v>0</v>
      </c>
      <c r="Q1063" s="45" t="s">
        <v>97</v>
      </c>
      <c r="R1063" s="45">
        <f>HEX2DEC(RIGHT(Table132321[[#This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5" t="s">
        <v>97</v>
      </c>
      <c r="P1064" s="45">
        <f>HEX2DEC(RIGHT(Table132321[[#This Row],[h1]],8))</f>
        <v>0</v>
      </c>
      <c r="Q1064" s="45" t="s">
        <v>97</v>
      </c>
      <c r="R1064" s="45">
        <f>HEX2DEC(RIGHT(Table132321[[#This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5" t="s">
        <v>97</v>
      </c>
      <c r="P1065" s="45">
        <f>HEX2DEC(RIGHT(Table132321[[#This Row],[h1]],8))</f>
        <v>0</v>
      </c>
      <c r="Q1065" s="45" t="s">
        <v>97</v>
      </c>
      <c r="R1065" s="45">
        <f>HEX2DEC(RIGHT(Table132321[[#This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5" t="s">
        <v>97</v>
      </c>
      <c r="P1066" s="45">
        <f>HEX2DEC(RIGHT(Table132321[[#This Row],[h1]],8))</f>
        <v>0</v>
      </c>
      <c r="Q1066" s="45" t="s">
        <v>97</v>
      </c>
      <c r="R1066" s="45">
        <f>HEX2DEC(RIGHT(Table132321[[#This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5" t="s">
        <v>97</v>
      </c>
      <c r="P1067" s="45">
        <f>HEX2DEC(RIGHT(Table132321[[#This Row],[h1]],8))</f>
        <v>0</v>
      </c>
      <c r="Q1067" s="45" t="s">
        <v>97</v>
      </c>
      <c r="R1067" s="45">
        <f>HEX2DEC(RIGHT(Table132321[[#This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5" t="s">
        <v>97</v>
      </c>
      <c r="P1068" s="45">
        <f>HEX2DEC(RIGHT(Table132321[[#This Row],[h1]],8))</f>
        <v>0</v>
      </c>
      <c r="Q1068" s="45" t="s">
        <v>97</v>
      </c>
      <c r="R1068" s="45">
        <f>HEX2DEC(RIGHT(Table132321[[#This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5" t="s">
        <v>97</v>
      </c>
      <c r="P1069" s="45">
        <f>HEX2DEC(RIGHT(Table132321[[#This Row],[h1]],8))</f>
        <v>0</v>
      </c>
      <c r="Q1069" s="45" t="s">
        <v>97</v>
      </c>
      <c r="R1069" s="45">
        <f>HEX2DEC(RIGHT(Table132321[[#This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5" t="s">
        <v>97</v>
      </c>
      <c r="P1070" s="45">
        <f>HEX2DEC(RIGHT(Table132321[[#This Row],[h1]],8))</f>
        <v>0</v>
      </c>
      <c r="Q1070" s="45" t="s">
        <v>97</v>
      </c>
      <c r="R1070" s="45">
        <f>HEX2DEC(RIGHT(Table132321[[#This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5" t="s">
        <v>97</v>
      </c>
      <c r="P1071" s="45">
        <f>HEX2DEC(RIGHT(Table132321[[#This Row],[h1]],8))</f>
        <v>0</v>
      </c>
      <c r="Q1071" s="45" t="s">
        <v>97</v>
      </c>
      <c r="R1071" s="45">
        <f>HEX2DEC(RIGHT(Table132321[[#This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5" t="s">
        <v>97</v>
      </c>
      <c r="P1072" s="45">
        <f>HEX2DEC(RIGHT(Table132321[[#This Row],[h1]],8))</f>
        <v>0</v>
      </c>
      <c r="Q1072" s="45" t="s">
        <v>97</v>
      </c>
      <c r="R1072" s="45">
        <f>HEX2DEC(RIGHT(Table132321[[#This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5" t="s">
        <v>97</v>
      </c>
      <c r="P1073" s="45">
        <f>HEX2DEC(RIGHT(Table132321[[#This Row],[h1]],8))</f>
        <v>0</v>
      </c>
      <c r="Q1073" s="45" t="s">
        <v>97</v>
      </c>
      <c r="R1073" s="45">
        <f>HEX2DEC(RIGHT(Table132321[[#This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5" t="s">
        <v>97</v>
      </c>
      <c r="P1074" s="45">
        <f>HEX2DEC(RIGHT(Table132321[[#This Row],[h1]],8))</f>
        <v>0</v>
      </c>
      <c r="Q1074" s="45" t="s">
        <v>97</v>
      </c>
      <c r="R1074" s="45">
        <f>HEX2DEC(RIGHT(Table132321[[#This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5" t="s">
        <v>97</v>
      </c>
      <c r="P1075" s="45">
        <f>HEX2DEC(RIGHT(Table132321[[#This Row],[h1]],8))</f>
        <v>0</v>
      </c>
      <c r="Q1075" s="45" t="s">
        <v>97</v>
      </c>
      <c r="R1075" s="45">
        <f>HEX2DEC(RIGHT(Table132321[[#This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5" t="s">
        <v>97</v>
      </c>
      <c r="P1076" s="45">
        <f>HEX2DEC(RIGHT(Table132321[[#This Row],[h1]],8))</f>
        <v>0</v>
      </c>
      <c r="Q1076" s="45" t="s">
        <v>97</v>
      </c>
      <c r="R1076" s="45">
        <f>HEX2DEC(RIGHT(Table132321[[#This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5" t="s">
        <v>97</v>
      </c>
      <c r="P1077" s="45">
        <f>HEX2DEC(RIGHT(Table132321[[#This Row],[h1]],8))</f>
        <v>0</v>
      </c>
      <c r="Q1077" s="45" t="s">
        <v>97</v>
      </c>
      <c r="R1077" s="45">
        <f>HEX2DEC(RIGHT(Table132321[[#This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5" t="s">
        <v>97</v>
      </c>
      <c r="P1078" s="45">
        <f>HEX2DEC(RIGHT(Table132321[[#This Row],[h1]],8))</f>
        <v>0</v>
      </c>
      <c r="Q1078" s="45" t="s">
        <v>97</v>
      </c>
      <c r="R1078" s="45">
        <f>HEX2DEC(RIGHT(Table132321[[#This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5" t="s">
        <v>97</v>
      </c>
      <c r="P1079" s="45">
        <f>HEX2DEC(RIGHT(Table132321[[#This Row],[h1]],8))</f>
        <v>0</v>
      </c>
      <c r="Q1079" s="45" t="s">
        <v>97</v>
      </c>
      <c r="R1079" s="45">
        <f>HEX2DEC(RIGHT(Table132321[[#This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5" t="s">
        <v>97</v>
      </c>
      <c r="P1080" s="45">
        <f>HEX2DEC(RIGHT(Table132321[[#This Row],[h1]],8))</f>
        <v>0</v>
      </c>
      <c r="Q1080" s="45" t="s">
        <v>97</v>
      </c>
      <c r="R1080" s="45">
        <f>HEX2DEC(RIGHT(Table132321[[#This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5" t="s">
        <v>97</v>
      </c>
      <c r="P1081" s="45">
        <f>HEX2DEC(RIGHT(Table132321[[#This Row],[h1]],8))</f>
        <v>0</v>
      </c>
      <c r="Q1081" s="45" t="s">
        <v>97</v>
      </c>
      <c r="R1081" s="45">
        <f>HEX2DEC(RIGHT(Table132321[[#This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5" t="s">
        <v>97</v>
      </c>
      <c r="P1082" s="45">
        <f>HEX2DEC(RIGHT(Table132321[[#This Row],[h1]],8))</f>
        <v>0</v>
      </c>
      <c r="Q1082" s="45" t="s">
        <v>97</v>
      </c>
      <c r="R1082" s="45">
        <f>HEX2DEC(RIGHT(Table132321[[#This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5" t="s">
        <v>97</v>
      </c>
      <c r="P1083" s="45">
        <f>HEX2DEC(RIGHT(Table132321[[#This Row],[h1]],8))</f>
        <v>0</v>
      </c>
      <c r="Q1083" s="45" t="s">
        <v>97</v>
      </c>
      <c r="R1083" s="45">
        <f>HEX2DEC(RIGHT(Table132321[[#This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5" t="s">
        <v>97</v>
      </c>
      <c r="P1084" s="45">
        <f>HEX2DEC(RIGHT(Table132321[[#This Row],[h1]],8))</f>
        <v>0</v>
      </c>
      <c r="Q1084" s="45" t="s">
        <v>97</v>
      </c>
      <c r="R1084" s="45">
        <f>HEX2DEC(RIGHT(Table132321[[#This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5" t="s">
        <v>97</v>
      </c>
      <c r="P1085" s="45">
        <f>HEX2DEC(RIGHT(Table132321[[#This Row],[h1]],8))</f>
        <v>0</v>
      </c>
      <c r="Q1085" s="45" t="s">
        <v>97</v>
      </c>
      <c r="R1085" s="45">
        <f>HEX2DEC(RIGHT(Table132321[[#This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5" t="s">
        <v>97</v>
      </c>
      <c r="P1086" s="45">
        <f>HEX2DEC(RIGHT(Table132321[[#This Row],[h1]],8))</f>
        <v>0</v>
      </c>
      <c r="Q1086" s="45" t="s">
        <v>97</v>
      </c>
      <c r="R1086" s="45">
        <f>HEX2DEC(RIGHT(Table132321[[#This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5" t="s">
        <v>97</v>
      </c>
      <c r="P1087" s="45">
        <f>HEX2DEC(RIGHT(Table132321[[#This Row],[h1]],8))</f>
        <v>0</v>
      </c>
      <c r="Q1087" s="45" t="s">
        <v>97</v>
      </c>
      <c r="R1087" s="45">
        <f>HEX2DEC(RIGHT(Table132321[[#This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5" t="s">
        <v>97</v>
      </c>
      <c r="P1088" s="45">
        <f>HEX2DEC(RIGHT(Table132321[[#This Row],[h1]],8))</f>
        <v>0</v>
      </c>
      <c r="Q1088" s="45" t="s">
        <v>97</v>
      </c>
      <c r="R1088" s="45">
        <f>HEX2DEC(RIGHT(Table132321[[#This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5" t="s">
        <v>97</v>
      </c>
      <c r="P1089" s="45">
        <f>HEX2DEC(RIGHT(Table132321[[#This Row],[h1]],8))</f>
        <v>0</v>
      </c>
      <c r="Q1089" s="45" t="s">
        <v>97</v>
      </c>
      <c r="R1089" s="45">
        <f>HEX2DEC(RIGHT(Table132321[[#This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5" t="s">
        <v>97</v>
      </c>
      <c r="P1090" s="45">
        <f>HEX2DEC(RIGHT(Table132321[[#This Row],[h1]],8))</f>
        <v>0</v>
      </c>
      <c r="Q1090" s="45" t="s">
        <v>97</v>
      </c>
      <c r="R1090" s="45">
        <f>HEX2DEC(RIGHT(Table132321[[#This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5" t="s">
        <v>97</v>
      </c>
      <c r="P1091" s="45">
        <f>HEX2DEC(RIGHT(Table132321[[#This Row],[h1]],8))</f>
        <v>0</v>
      </c>
      <c r="Q1091" s="45" t="s">
        <v>97</v>
      </c>
      <c r="R1091" s="45">
        <f>HEX2DEC(RIGHT(Table132321[[#This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5" t="s">
        <v>97</v>
      </c>
      <c r="P1092" s="45">
        <f>HEX2DEC(RIGHT(Table132321[[#This Row],[h1]],8))</f>
        <v>0</v>
      </c>
      <c r="Q1092" s="45" t="s">
        <v>97</v>
      </c>
      <c r="R1092" s="45">
        <f>HEX2DEC(RIGHT(Table132321[[#This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5" t="s">
        <v>97</v>
      </c>
      <c r="P1093" s="45">
        <f>HEX2DEC(RIGHT(Table132321[[#This Row],[h1]],8))</f>
        <v>0</v>
      </c>
      <c r="Q1093" s="45" t="s">
        <v>97</v>
      </c>
      <c r="R1093" s="45">
        <f>HEX2DEC(RIGHT(Table132321[[#This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5" t="s">
        <v>97</v>
      </c>
      <c r="P1094" s="45">
        <f>HEX2DEC(RIGHT(Table132321[[#This Row],[h1]],8))</f>
        <v>0</v>
      </c>
      <c r="Q1094" s="45" t="s">
        <v>97</v>
      </c>
      <c r="R1094" s="45">
        <f>HEX2DEC(RIGHT(Table132321[[#This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5" t="s">
        <v>97</v>
      </c>
      <c r="P1095" s="45">
        <f>HEX2DEC(RIGHT(Table132321[[#This Row],[h1]],8))</f>
        <v>0</v>
      </c>
      <c r="Q1095" s="45" t="s">
        <v>97</v>
      </c>
      <c r="R1095" s="45">
        <f>HEX2DEC(RIGHT(Table132321[[#This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5" t="s">
        <v>97</v>
      </c>
      <c r="P1096" s="45">
        <f>HEX2DEC(RIGHT(Table132321[[#This Row],[h1]],8))</f>
        <v>0</v>
      </c>
      <c r="Q1096" s="45" t="s">
        <v>97</v>
      </c>
      <c r="R1096" s="45">
        <f>HEX2DEC(RIGHT(Table132321[[#This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5" t="s">
        <v>97</v>
      </c>
      <c r="P1097" s="45">
        <f>HEX2DEC(RIGHT(Table132321[[#This Row],[h1]],8))</f>
        <v>0</v>
      </c>
      <c r="Q1097" s="45" t="s">
        <v>97</v>
      </c>
      <c r="R1097" s="45">
        <f>HEX2DEC(RIGHT(Table132321[[#This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5" t="s">
        <v>97</v>
      </c>
      <c r="P1098" s="45">
        <f>HEX2DEC(RIGHT(Table132321[[#This Row],[h1]],8))</f>
        <v>0</v>
      </c>
      <c r="Q1098" s="45" t="s">
        <v>97</v>
      </c>
      <c r="R1098" s="45">
        <f>HEX2DEC(RIGHT(Table132321[[#This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5" t="s">
        <v>97</v>
      </c>
      <c r="P1099" s="45">
        <f>HEX2DEC(RIGHT(Table132321[[#This Row],[h1]],8))</f>
        <v>0</v>
      </c>
      <c r="Q1099" s="45" t="s">
        <v>97</v>
      </c>
      <c r="R1099" s="45">
        <f>HEX2DEC(RIGHT(Table132321[[#This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5" t="s">
        <v>97</v>
      </c>
      <c r="P1100" s="45">
        <f>HEX2DEC(RIGHT(Table132321[[#This Row],[h1]],8))</f>
        <v>0</v>
      </c>
      <c r="Q1100" s="45" t="s">
        <v>97</v>
      </c>
      <c r="R1100" s="45">
        <f>HEX2DEC(RIGHT(Table132321[[#This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5" t="s">
        <v>97</v>
      </c>
      <c r="P1101" s="45">
        <f>HEX2DEC(RIGHT(Table132321[[#This Row],[h1]],8))</f>
        <v>0</v>
      </c>
      <c r="Q1101" s="45" t="s">
        <v>97</v>
      </c>
      <c r="R1101" s="45">
        <f>HEX2DEC(RIGHT(Table132321[[#This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5" t="s">
        <v>97</v>
      </c>
      <c r="P1102" s="45">
        <f>HEX2DEC(RIGHT(Table132321[[#This Row],[h1]],8))</f>
        <v>0</v>
      </c>
      <c r="Q1102" s="45" t="s">
        <v>97</v>
      </c>
      <c r="R1102" s="45">
        <f>HEX2DEC(RIGHT(Table132321[[#This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5" t="s">
        <v>97</v>
      </c>
      <c r="P1103" s="45">
        <f>HEX2DEC(RIGHT(Table132321[[#This Row],[h1]],8))</f>
        <v>0</v>
      </c>
      <c r="Q1103" s="45" t="s">
        <v>97</v>
      </c>
      <c r="R1103" s="45">
        <f>HEX2DEC(RIGHT(Table132321[[#This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5" t="s">
        <v>97</v>
      </c>
      <c r="P1104" s="45">
        <f>HEX2DEC(RIGHT(Table132321[[#This Row],[h1]],8))</f>
        <v>0</v>
      </c>
      <c r="Q1104" s="45" t="s">
        <v>97</v>
      </c>
      <c r="R1104" s="45">
        <f>HEX2DEC(RIGHT(Table132321[[#This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5" t="s">
        <v>97</v>
      </c>
      <c r="P1105" s="45">
        <f>HEX2DEC(RIGHT(Table132321[[#This Row],[h1]],8))</f>
        <v>0</v>
      </c>
      <c r="Q1105" s="45" t="s">
        <v>97</v>
      </c>
      <c r="R1105" s="45">
        <f>HEX2DEC(RIGHT(Table132321[[#This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5" t="s">
        <v>97</v>
      </c>
      <c r="P1106" s="45">
        <f>HEX2DEC(RIGHT(Table132321[[#This Row],[h1]],8))</f>
        <v>0</v>
      </c>
      <c r="Q1106" s="45" t="s">
        <v>97</v>
      </c>
      <c r="R1106" s="45">
        <f>HEX2DEC(RIGHT(Table132321[[#This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5" t="s">
        <v>97</v>
      </c>
      <c r="P1107" s="45">
        <f>HEX2DEC(RIGHT(Table132321[[#This Row],[h1]],8))</f>
        <v>0</v>
      </c>
      <c r="Q1107" s="45" t="s">
        <v>97</v>
      </c>
      <c r="R1107" s="45">
        <f>HEX2DEC(RIGHT(Table132321[[#This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5" t="s">
        <v>97</v>
      </c>
      <c r="P1108" s="45">
        <f>HEX2DEC(RIGHT(Table132321[[#This Row],[h1]],8))</f>
        <v>0</v>
      </c>
      <c r="Q1108" s="45" t="s">
        <v>97</v>
      </c>
      <c r="R1108" s="45">
        <f>HEX2DEC(RIGHT(Table132321[[#This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5" t="s">
        <v>97</v>
      </c>
      <c r="P1109" s="45">
        <f>HEX2DEC(RIGHT(Table132321[[#This Row],[h1]],8))</f>
        <v>0</v>
      </c>
      <c r="Q1109" s="45" t="s">
        <v>97</v>
      </c>
      <c r="R1109" s="45">
        <f>HEX2DEC(RIGHT(Table132321[[#This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5" t="s">
        <v>97</v>
      </c>
      <c r="P1110" s="45">
        <f>HEX2DEC(RIGHT(Table132321[[#This Row],[h1]],8))</f>
        <v>0</v>
      </c>
      <c r="Q1110" s="45" t="s">
        <v>97</v>
      </c>
      <c r="R1110" s="45">
        <f>HEX2DEC(RIGHT(Table132321[[#This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5" t="s">
        <v>97</v>
      </c>
      <c r="P1111" s="45">
        <f>HEX2DEC(RIGHT(Table132321[[#This Row],[h1]],8))</f>
        <v>0</v>
      </c>
      <c r="Q1111" s="45" t="s">
        <v>97</v>
      </c>
      <c r="R1111" s="45">
        <f>HEX2DEC(RIGHT(Table132321[[#This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5" t="s">
        <v>97</v>
      </c>
      <c r="P1112" s="45">
        <f>HEX2DEC(RIGHT(Table132321[[#This Row],[h1]],8))</f>
        <v>0</v>
      </c>
      <c r="Q1112" s="45" t="s">
        <v>97</v>
      </c>
      <c r="R1112" s="45">
        <f>HEX2DEC(RIGHT(Table132321[[#This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5" t="s">
        <v>97</v>
      </c>
      <c r="P1113" s="45">
        <f>HEX2DEC(RIGHT(Table132321[[#This Row],[h1]],8))</f>
        <v>0</v>
      </c>
      <c r="Q1113" s="45" t="s">
        <v>97</v>
      </c>
      <c r="R1113" s="45">
        <f>HEX2DEC(RIGHT(Table132321[[#This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5" t="s">
        <v>97</v>
      </c>
      <c r="P1114" s="45">
        <f>HEX2DEC(RIGHT(Table132321[[#This Row],[h1]],8))</f>
        <v>0</v>
      </c>
      <c r="Q1114" s="45" t="s">
        <v>97</v>
      </c>
      <c r="R1114" s="45">
        <f>HEX2DEC(RIGHT(Table132321[[#This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5" t="s">
        <v>97</v>
      </c>
      <c r="P1115" s="45">
        <f>HEX2DEC(RIGHT(Table132321[[#This Row],[h1]],8))</f>
        <v>0</v>
      </c>
      <c r="Q1115" s="45" t="s">
        <v>97</v>
      </c>
      <c r="R1115" s="45">
        <f>HEX2DEC(RIGHT(Table132321[[#This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5" t="s">
        <v>97</v>
      </c>
      <c r="P1116" s="45">
        <f>HEX2DEC(RIGHT(Table132321[[#This Row],[h1]],8))</f>
        <v>0</v>
      </c>
      <c r="Q1116" s="45" t="s">
        <v>97</v>
      </c>
      <c r="R1116" s="45">
        <f>HEX2DEC(RIGHT(Table132321[[#This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5" t="s">
        <v>97</v>
      </c>
      <c r="P1117" s="45">
        <f>HEX2DEC(RIGHT(Table132321[[#This Row],[h1]],8))</f>
        <v>0</v>
      </c>
      <c r="Q1117" s="45" t="s">
        <v>97</v>
      </c>
      <c r="R1117" s="45">
        <f>HEX2DEC(RIGHT(Table132321[[#This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5" t="s">
        <v>97</v>
      </c>
      <c r="P1118" s="45">
        <f>HEX2DEC(RIGHT(Table132321[[#This Row],[h1]],8))</f>
        <v>0</v>
      </c>
      <c r="Q1118" s="45" t="s">
        <v>97</v>
      </c>
      <c r="R1118" s="45">
        <f>HEX2DEC(RIGHT(Table132321[[#This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5" t="s">
        <v>97</v>
      </c>
      <c r="P1119" s="45">
        <f>HEX2DEC(RIGHT(Table132321[[#This Row],[h1]],8))</f>
        <v>0</v>
      </c>
      <c r="Q1119" s="45" t="s">
        <v>97</v>
      </c>
      <c r="R1119" s="45">
        <f>HEX2DEC(RIGHT(Table132321[[#This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5" t="s">
        <v>97</v>
      </c>
      <c r="P1120" s="45">
        <f>HEX2DEC(RIGHT(Table132321[[#This Row],[h1]],8))</f>
        <v>0</v>
      </c>
      <c r="Q1120" s="45" t="s">
        <v>97</v>
      </c>
      <c r="R1120" s="45">
        <f>HEX2DEC(RIGHT(Table132321[[#This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5" t="s">
        <v>97</v>
      </c>
      <c r="P1121" s="45">
        <f>HEX2DEC(RIGHT(Table132321[[#This Row],[h1]],8))</f>
        <v>0</v>
      </c>
      <c r="Q1121" s="45" t="s">
        <v>97</v>
      </c>
      <c r="R1121" s="45">
        <f>HEX2DEC(RIGHT(Table132321[[#This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5" t="s">
        <v>97</v>
      </c>
      <c r="P1122" s="45">
        <f>HEX2DEC(RIGHT(Table132321[[#This Row],[h1]],8))</f>
        <v>0</v>
      </c>
      <c r="Q1122" s="45" t="s">
        <v>97</v>
      </c>
      <c r="R1122" s="45">
        <f>HEX2DEC(RIGHT(Table132321[[#This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5" t="s">
        <v>97</v>
      </c>
      <c r="P1123" s="45">
        <f>HEX2DEC(RIGHT(Table132321[[#This Row],[h1]],8))</f>
        <v>0</v>
      </c>
      <c r="Q1123" s="45" t="s">
        <v>97</v>
      </c>
      <c r="R1123" s="45">
        <f>HEX2DEC(RIGHT(Table132321[[#This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5" t="s">
        <v>97</v>
      </c>
      <c r="P1124" s="45">
        <f>HEX2DEC(RIGHT(Table132321[[#This Row],[h1]],8))</f>
        <v>0</v>
      </c>
      <c r="Q1124" s="45" t="s">
        <v>97</v>
      </c>
      <c r="R1124" s="45">
        <f>HEX2DEC(RIGHT(Table132321[[#This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5" t="s">
        <v>97</v>
      </c>
      <c r="P1125" s="45">
        <f>HEX2DEC(RIGHT(Table132321[[#This Row],[h1]],8))</f>
        <v>0</v>
      </c>
      <c r="Q1125" s="45" t="s">
        <v>97</v>
      </c>
      <c r="R1125" s="45">
        <f>HEX2DEC(RIGHT(Table132321[[#This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5" t="s">
        <v>97</v>
      </c>
      <c r="P1126" s="45">
        <f>HEX2DEC(RIGHT(Table132321[[#This Row],[h1]],8))</f>
        <v>0</v>
      </c>
      <c r="Q1126" s="45" t="s">
        <v>97</v>
      </c>
      <c r="R1126" s="45">
        <f>HEX2DEC(RIGHT(Table132321[[#This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5" t="s">
        <v>97</v>
      </c>
      <c r="P1127" s="45">
        <f>HEX2DEC(RIGHT(Table132321[[#This Row],[h1]],8))</f>
        <v>0</v>
      </c>
      <c r="Q1127" s="45" t="s">
        <v>97</v>
      </c>
      <c r="R1127" s="45">
        <f>HEX2DEC(RIGHT(Table132321[[#This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5" t="s">
        <v>97</v>
      </c>
      <c r="P1128" s="45">
        <f>HEX2DEC(RIGHT(Table132321[[#This Row],[h1]],8))</f>
        <v>0</v>
      </c>
      <c r="Q1128" s="45" t="s">
        <v>97</v>
      </c>
      <c r="R1128" s="45">
        <f>HEX2DEC(RIGHT(Table132321[[#This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5" t="s">
        <v>97</v>
      </c>
      <c r="P1129" s="45">
        <f>HEX2DEC(RIGHT(Table132321[[#This Row],[h1]],8))</f>
        <v>0</v>
      </c>
      <c r="Q1129" s="45" t="s">
        <v>97</v>
      </c>
      <c r="R1129" s="45">
        <f>HEX2DEC(RIGHT(Table132321[[#This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5" t="s">
        <v>97</v>
      </c>
      <c r="P1130" s="45">
        <f>HEX2DEC(RIGHT(Table132321[[#This Row],[h1]],8))</f>
        <v>0</v>
      </c>
      <c r="Q1130" s="45" t="s">
        <v>97</v>
      </c>
      <c r="R1130" s="45">
        <f>HEX2DEC(RIGHT(Table132321[[#This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5" t="s">
        <v>97</v>
      </c>
      <c r="P1131" s="45">
        <f>HEX2DEC(RIGHT(Table132321[[#This Row],[h1]],8))</f>
        <v>0</v>
      </c>
      <c r="Q1131" s="45" t="s">
        <v>97</v>
      </c>
      <c r="R1131" s="45">
        <f>HEX2DEC(RIGHT(Table132321[[#This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5" t="s">
        <v>97</v>
      </c>
      <c r="P1132" s="45">
        <f>HEX2DEC(RIGHT(Table132321[[#This Row],[h1]],8))</f>
        <v>0</v>
      </c>
      <c r="Q1132" s="45" t="s">
        <v>97</v>
      </c>
      <c r="R1132" s="45">
        <f>HEX2DEC(RIGHT(Table132321[[#This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5" t="s">
        <v>97</v>
      </c>
      <c r="P1133" s="45">
        <f>HEX2DEC(RIGHT(Table132321[[#This Row],[h1]],8))</f>
        <v>0</v>
      </c>
      <c r="Q1133" s="45" t="s">
        <v>97</v>
      </c>
      <c r="R1133" s="45">
        <f>HEX2DEC(RIGHT(Table132321[[#This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5" t="s">
        <v>97</v>
      </c>
      <c r="P1134" s="45">
        <f>HEX2DEC(RIGHT(Table132321[[#This Row],[h1]],8))</f>
        <v>0</v>
      </c>
      <c r="Q1134" s="45" t="s">
        <v>97</v>
      </c>
      <c r="R1134" s="45">
        <f>HEX2DEC(RIGHT(Table132321[[#This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5" t="s">
        <v>97</v>
      </c>
      <c r="P1135" s="45">
        <f>HEX2DEC(RIGHT(Table132321[[#This Row],[h1]],8))</f>
        <v>0</v>
      </c>
      <c r="Q1135" s="45" t="s">
        <v>97</v>
      </c>
      <c r="R1135" s="45">
        <f>HEX2DEC(RIGHT(Table132321[[#This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5" t="s">
        <v>97</v>
      </c>
      <c r="P1136" s="45">
        <f>HEX2DEC(RIGHT(Table132321[[#This Row],[h1]],8))</f>
        <v>0</v>
      </c>
      <c r="Q1136" s="45" t="s">
        <v>97</v>
      </c>
      <c r="R1136" s="45">
        <f>HEX2DEC(RIGHT(Table132321[[#This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5" t="s">
        <v>97</v>
      </c>
      <c r="P1137" s="45">
        <f>HEX2DEC(RIGHT(Table132321[[#This Row],[h1]],8))</f>
        <v>0</v>
      </c>
      <c r="Q1137" s="45" t="s">
        <v>97</v>
      </c>
      <c r="R1137" s="45">
        <f>HEX2DEC(RIGHT(Table132321[[#This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5" t="s">
        <v>97</v>
      </c>
      <c r="P1138" s="45">
        <f>HEX2DEC(RIGHT(Table132321[[#This Row],[h1]],8))</f>
        <v>0</v>
      </c>
      <c r="Q1138" s="45" t="s">
        <v>97</v>
      </c>
      <c r="R1138" s="45">
        <f>HEX2DEC(RIGHT(Table132321[[#This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5" t="s">
        <v>97</v>
      </c>
      <c r="P1139" s="45">
        <f>HEX2DEC(RIGHT(Table132321[[#This Row],[h1]],8))</f>
        <v>0</v>
      </c>
      <c r="Q1139" s="45" t="s">
        <v>97</v>
      </c>
      <c r="R1139" s="45">
        <f>HEX2DEC(RIGHT(Table132321[[#This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5" t="s">
        <v>97</v>
      </c>
      <c r="P1140" s="45">
        <f>HEX2DEC(RIGHT(Table132321[[#This Row],[h1]],8))</f>
        <v>0</v>
      </c>
      <c r="Q1140" s="45" t="s">
        <v>97</v>
      </c>
      <c r="R1140" s="45">
        <f>HEX2DEC(RIGHT(Table132321[[#This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5" t="s">
        <v>97</v>
      </c>
      <c r="P1141" s="45">
        <f>HEX2DEC(RIGHT(Table132321[[#This Row],[h1]],8))</f>
        <v>0</v>
      </c>
      <c r="Q1141" s="45" t="s">
        <v>97</v>
      </c>
      <c r="R1141" s="45">
        <f>HEX2DEC(RIGHT(Table132321[[#This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5" t="s">
        <v>97</v>
      </c>
      <c r="P1142" s="45">
        <f>HEX2DEC(RIGHT(Table132321[[#This Row],[h1]],8))</f>
        <v>0</v>
      </c>
      <c r="Q1142" s="45" t="s">
        <v>97</v>
      </c>
      <c r="R1142" s="45">
        <f>HEX2DEC(RIGHT(Table132321[[#This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5" t="s">
        <v>97</v>
      </c>
      <c r="P1143" s="45">
        <f>HEX2DEC(RIGHT(Table132321[[#This Row],[h1]],8))</f>
        <v>0</v>
      </c>
      <c r="Q1143" s="45" t="s">
        <v>97</v>
      </c>
      <c r="R1143" s="45">
        <f>HEX2DEC(RIGHT(Table132321[[#This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5" t="s">
        <v>97</v>
      </c>
      <c r="P1144" s="45">
        <f>HEX2DEC(RIGHT(Table132321[[#This Row],[h1]],8))</f>
        <v>0</v>
      </c>
      <c r="Q1144" s="45" t="s">
        <v>97</v>
      </c>
      <c r="R1144" s="45">
        <f>HEX2DEC(RIGHT(Table132321[[#This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5" t="s">
        <v>97</v>
      </c>
      <c r="P1145" s="45">
        <f>HEX2DEC(RIGHT(Table132321[[#This Row],[h1]],8))</f>
        <v>0</v>
      </c>
      <c r="Q1145" s="45" t="s">
        <v>97</v>
      </c>
      <c r="R1145" s="45">
        <f>HEX2DEC(RIGHT(Table132321[[#This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5" t="s">
        <v>97</v>
      </c>
      <c r="P1146" s="45">
        <f>HEX2DEC(RIGHT(Table132321[[#This Row],[h1]],8))</f>
        <v>0</v>
      </c>
      <c r="Q1146" s="45" t="s">
        <v>97</v>
      </c>
      <c r="R1146" s="45">
        <f>HEX2DEC(RIGHT(Table132321[[#This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5" t="s">
        <v>97</v>
      </c>
      <c r="P1147" s="45">
        <f>HEX2DEC(RIGHT(Table132321[[#This Row],[h1]],8))</f>
        <v>0</v>
      </c>
      <c r="Q1147" s="45" t="s">
        <v>97</v>
      </c>
      <c r="R1147" s="45">
        <f>HEX2DEC(RIGHT(Table132321[[#This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5" t="s">
        <v>97</v>
      </c>
      <c r="P1148" s="45">
        <f>HEX2DEC(RIGHT(Table132321[[#This Row],[h1]],8))</f>
        <v>0</v>
      </c>
      <c r="Q1148" s="45" t="s">
        <v>97</v>
      </c>
      <c r="R1148" s="45">
        <f>HEX2DEC(RIGHT(Table132321[[#This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5" t="s">
        <v>97</v>
      </c>
      <c r="P1149" s="45">
        <f>HEX2DEC(RIGHT(Table132321[[#This Row],[h1]],8))</f>
        <v>0</v>
      </c>
      <c r="Q1149" s="45" t="s">
        <v>97</v>
      </c>
      <c r="R1149" s="45">
        <f>HEX2DEC(RIGHT(Table132321[[#This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5" t="s">
        <v>97</v>
      </c>
      <c r="P1150" s="45">
        <f>HEX2DEC(RIGHT(Table132321[[#This Row],[h1]],8))</f>
        <v>0</v>
      </c>
      <c r="Q1150" s="45" t="s">
        <v>97</v>
      </c>
      <c r="R1150" s="45">
        <f>HEX2DEC(RIGHT(Table132321[[#This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5" t="s">
        <v>97</v>
      </c>
      <c r="P1151" s="45">
        <f>HEX2DEC(RIGHT(Table132321[[#This Row],[h1]],8))</f>
        <v>0</v>
      </c>
      <c r="Q1151" s="45" t="s">
        <v>97</v>
      </c>
      <c r="R1151" s="45">
        <f>HEX2DEC(RIGHT(Table132321[[#This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5" t="s">
        <v>97</v>
      </c>
      <c r="P1152" s="45">
        <f>HEX2DEC(RIGHT(Table132321[[#This Row],[h1]],8))</f>
        <v>0</v>
      </c>
      <c r="Q1152" s="45" t="s">
        <v>97</v>
      </c>
      <c r="R1152" s="45">
        <f>HEX2DEC(RIGHT(Table132321[[#This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5" t="s">
        <v>97</v>
      </c>
      <c r="P1153" s="45">
        <f>HEX2DEC(RIGHT(Table132321[[#This Row],[h1]],8))</f>
        <v>0</v>
      </c>
      <c r="Q1153" s="45" t="s">
        <v>97</v>
      </c>
      <c r="R1153" s="45">
        <f>HEX2DEC(RIGHT(Table132321[[#This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5" t="s">
        <v>97</v>
      </c>
      <c r="P1154" s="45">
        <f>HEX2DEC(RIGHT(Table132321[[#This Row],[h1]],8))</f>
        <v>0</v>
      </c>
      <c r="Q1154" s="45" t="s">
        <v>97</v>
      </c>
      <c r="R1154" s="45">
        <f>HEX2DEC(RIGHT(Table132321[[#This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5" t="s">
        <v>97</v>
      </c>
      <c r="P1155" s="45">
        <f>HEX2DEC(RIGHT(Table132321[[#This Row],[h1]],8))</f>
        <v>0</v>
      </c>
      <c r="Q1155" s="45" t="s">
        <v>97</v>
      </c>
      <c r="R1155" s="45">
        <f>HEX2DEC(RIGHT(Table132321[[#This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5" t="s">
        <v>97</v>
      </c>
      <c r="P1156" s="45">
        <f>HEX2DEC(RIGHT(Table132321[[#This Row],[h1]],8))</f>
        <v>0</v>
      </c>
      <c r="Q1156" s="45" t="s">
        <v>97</v>
      </c>
      <c r="R1156" s="45">
        <f>HEX2DEC(RIGHT(Table132321[[#This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5" t="s">
        <v>97</v>
      </c>
      <c r="P1157" s="45">
        <f>HEX2DEC(RIGHT(Table132321[[#This Row],[h1]],8))</f>
        <v>0</v>
      </c>
      <c r="Q1157" s="45" t="s">
        <v>97</v>
      </c>
      <c r="R1157" s="45">
        <f>HEX2DEC(RIGHT(Table132321[[#This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5" t="s">
        <v>97</v>
      </c>
      <c r="P1158" s="45">
        <f>HEX2DEC(RIGHT(Table132321[[#This Row],[h1]],8))</f>
        <v>0</v>
      </c>
      <c r="Q1158" s="45" t="s">
        <v>97</v>
      </c>
      <c r="R1158" s="45">
        <f>HEX2DEC(RIGHT(Table132321[[#This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5" t="s">
        <v>97</v>
      </c>
      <c r="P1159" s="45">
        <f>HEX2DEC(RIGHT(Table132321[[#This Row],[h1]],8))</f>
        <v>0</v>
      </c>
      <c r="Q1159" s="45" t="s">
        <v>97</v>
      </c>
      <c r="R1159" s="45">
        <f>HEX2DEC(RIGHT(Table132321[[#This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5" t="s">
        <v>97</v>
      </c>
      <c r="P1160" s="45">
        <f>HEX2DEC(RIGHT(Table132321[[#This Row],[h1]],8))</f>
        <v>0</v>
      </c>
      <c r="Q1160" s="45" t="s">
        <v>97</v>
      </c>
      <c r="R1160" s="45">
        <f>HEX2DEC(RIGHT(Table132321[[#This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5" t="s">
        <v>97</v>
      </c>
      <c r="P1161" s="45">
        <f>HEX2DEC(RIGHT(Table132321[[#This Row],[h1]],8))</f>
        <v>0</v>
      </c>
      <c r="Q1161" s="45" t="s">
        <v>97</v>
      </c>
      <c r="R1161" s="45">
        <f>HEX2DEC(RIGHT(Table132321[[#This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5" t="s">
        <v>97</v>
      </c>
      <c r="P1162" s="45">
        <f>HEX2DEC(RIGHT(Table132321[[#This Row],[h1]],8))</f>
        <v>0</v>
      </c>
      <c r="Q1162" s="45" t="s">
        <v>97</v>
      </c>
      <c r="R1162" s="45">
        <f>HEX2DEC(RIGHT(Table132321[[#This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5" t="s">
        <v>97</v>
      </c>
      <c r="P1163" s="45">
        <f>HEX2DEC(RIGHT(Table132321[[#This Row],[h1]],8))</f>
        <v>0</v>
      </c>
      <c r="Q1163" s="45" t="s">
        <v>97</v>
      </c>
      <c r="R1163" s="45">
        <f>HEX2DEC(RIGHT(Table132321[[#This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5" t="s">
        <v>97</v>
      </c>
      <c r="P1164" s="45">
        <f>HEX2DEC(RIGHT(Table132321[[#This Row],[h1]],8))</f>
        <v>0</v>
      </c>
      <c r="Q1164" s="45" t="s">
        <v>97</v>
      </c>
      <c r="R1164" s="45">
        <f>HEX2DEC(RIGHT(Table132321[[#This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5" t="s">
        <v>97</v>
      </c>
      <c r="P1165" s="45">
        <f>HEX2DEC(RIGHT(Table132321[[#This Row],[h1]],8))</f>
        <v>0</v>
      </c>
      <c r="Q1165" s="45" t="s">
        <v>97</v>
      </c>
      <c r="R1165" s="45">
        <f>HEX2DEC(RIGHT(Table132321[[#This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5" t="s">
        <v>97</v>
      </c>
      <c r="P1166" s="45">
        <f>HEX2DEC(RIGHT(Table132321[[#This Row],[h1]],8))</f>
        <v>0</v>
      </c>
      <c r="Q1166" s="45" t="s">
        <v>97</v>
      </c>
      <c r="R1166" s="45">
        <f>HEX2DEC(RIGHT(Table132321[[#This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5" t="s">
        <v>97</v>
      </c>
      <c r="P1167" s="45">
        <f>HEX2DEC(RIGHT(Table132321[[#This Row],[h1]],8))</f>
        <v>0</v>
      </c>
      <c r="Q1167" s="45" t="s">
        <v>97</v>
      </c>
      <c r="R1167" s="45">
        <f>HEX2DEC(RIGHT(Table132321[[#This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5" t="s">
        <v>97</v>
      </c>
      <c r="P1168" s="45">
        <f>HEX2DEC(RIGHT(Table132321[[#This Row],[h1]],8))</f>
        <v>0</v>
      </c>
      <c r="Q1168" s="45" t="s">
        <v>97</v>
      </c>
      <c r="R1168" s="45">
        <f>HEX2DEC(RIGHT(Table132321[[#This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5" t="s">
        <v>97</v>
      </c>
      <c r="P1169" s="45">
        <f>HEX2DEC(RIGHT(Table132321[[#This Row],[h1]],8))</f>
        <v>0</v>
      </c>
      <c r="Q1169" s="45" t="s">
        <v>97</v>
      </c>
      <c r="R1169" s="45">
        <f>HEX2DEC(RIGHT(Table132321[[#This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5" t="s">
        <v>97</v>
      </c>
      <c r="P1170" s="45">
        <f>HEX2DEC(RIGHT(Table132321[[#This Row],[h1]],8))</f>
        <v>0</v>
      </c>
      <c r="Q1170" s="45" t="s">
        <v>97</v>
      </c>
      <c r="R1170" s="45">
        <f>HEX2DEC(RIGHT(Table132321[[#This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5" t="s">
        <v>97</v>
      </c>
      <c r="P1171" s="45">
        <f>HEX2DEC(RIGHT(Table132321[[#This Row],[h1]],8))</f>
        <v>0</v>
      </c>
      <c r="Q1171" s="45" t="s">
        <v>97</v>
      </c>
      <c r="R1171" s="45">
        <f>HEX2DEC(RIGHT(Table132321[[#This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5" t="s">
        <v>97</v>
      </c>
      <c r="P1172" s="45">
        <f>HEX2DEC(RIGHT(Table132321[[#This Row],[h1]],8))</f>
        <v>0</v>
      </c>
      <c r="Q1172" s="45" t="s">
        <v>97</v>
      </c>
      <c r="R1172" s="45">
        <f>HEX2DEC(RIGHT(Table132321[[#This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5" t="s">
        <v>97</v>
      </c>
      <c r="P1173" s="45">
        <f>HEX2DEC(RIGHT(Table132321[[#This Row],[h1]],8))</f>
        <v>0</v>
      </c>
      <c r="Q1173" s="45" t="s">
        <v>97</v>
      </c>
      <c r="R1173" s="45">
        <f>HEX2DEC(RIGHT(Table132321[[#This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5" t="s">
        <v>97</v>
      </c>
      <c r="P1174" s="45">
        <f>HEX2DEC(RIGHT(Table132321[[#This Row],[h1]],8))</f>
        <v>0</v>
      </c>
      <c r="Q1174" s="45" t="s">
        <v>97</v>
      </c>
      <c r="R1174" s="45">
        <f>HEX2DEC(RIGHT(Table132321[[#This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5" t="s">
        <v>97</v>
      </c>
      <c r="P1175" s="45">
        <f>HEX2DEC(RIGHT(Table132321[[#This Row],[h1]],8))</f>
        <v>0</v>
      </c>
      <c r="Q1175" s="45" t="s">
        <v>97</v>
      </c>
      <c r="R1175" s="45">
        <f>HEX2DEC(RIGHT(Table132321[[#This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5" t="s">
        <v>97</v>
      </c>
      <c r="P1176" s="45">
        <f>HEX2DEC(RIGHT(Table132321[[#This Row],[h1]],8))</f>
        <v>0</v>
      </c>
      <c r="Q1176" s="45" t="s">
        <v>97</v>
      </c>
      <c r="R1176" s="45">
        <f>HEX2DEC(RIGHT(Table132321[[#This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5" t="s">
        <v>97</v>
      </c>
      <c r="P1177" s="45">
        <f>HEX2DEC(RIGHT(Table132321[[#This Row],[h1]],8))</f>
        <v>0</v>
      </c>
      <c r="Q1177" s="45" t="s">
        <v>97</v>
      </c>
      <c r="R1177" s="45">
        <f>HEX2DEC(RIGHT(Table132321[[#This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5" t="s">
        <v>97</v>
      </c>
      <c r="P1178" s="45">
        <f>HEX2DEC(RIGHT(Table132321[[#This Row],[h1]],8))</f>
        <v>0</v>
      </c>
      <c r="Q1178" s="45" t="s">
        <v>97</v>
      </c>
      <c r="R1178" s="45">
        <f>HEX2DEC(RIGHT(Table132321[[#This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5" t="s">
        <v>97</v>
      </c>
      <c r="P1179" s="45">
        <f>HEX2DEC(RIGHT(Table132321[[#This Row],[h1]],8))</f>
        <v>0</v>
      </c>
      <c r="Q1179" s="45" t="s">
        <v>97</v>
      </c>
      <c r="R1179" s="45">
        <f>HEX2DEC(RIGHT(Table132321[[#This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5" t="s">
        <v>97</v>
      </c>
      <c r="P1180" s="45">
        <f>HEX2DEC(RIGHT(Table132321[[#This Row],[h1]],8))</f>
        <v>0</v>
      </c>
      <c r="Q1180" s="45" t="s">
        <v>97</v>
      </c>
      <c r="R1180" s="45">
        <f>HEX2DEC(RIGHT(Table132321[[#This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5" t="s">
        <v>97</v>
      </c>
      <c r="P1181" s="45">
        <f>HEX2DEC(RIGHT(Table132321[[#This Row],[h1]],8))</f>
        <v>0</v>
      </c>
      <c r="Q1181" s="45" t="s">
        <v>97</v>
      </c>
      <c r="R1181" s="45">
        <f>HEX2DEC(RIGHT(Table132321[[#This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5" t="s">
        <v>97</v>
      </c>
      <c r="P1182" s="45">
        <f>HEX2DEC(RIGHT(Table132321[[#This Row],[h1]],8))</f>
        <v>0</v>
      </c>
      <c r="Q1182" s="45" t="s">
        <v>97</v>
      </c>
      <c r="R1182" s="45">
        <f>HEX2DEC(RIGHT(Table132321[[#This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5" t="s">
        <v>97</v>
      </c>
      <c r="P1183" s="45">
        <f>HEX2DEC(RIGHT(Table132321[[#This Row],[h1]],8))</f>
        <v>0</v>
      </c>
      <c r="Q1183" s="45" t="s">
        <v>97</v>
      </c>
      <c r="R1183" s="45">
        <f>HEX2DEC(RIGHT(Table132321[[#This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5" t="s">
        <v>97</v>
      </c>
      <c r="P1184" s="45">
        <f>HEX2DEC(RIGHT(Table132321[[#This Row],[h1]],8))</f>
        <v>0</v>
      </c>
      <c r="Q1184" s="45" t="s">
        <v>97</v>
      </c>
      <c r="R1184" s="45">
        <f>HEX2DEC(RIGHT(Table132321[[#This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5" t="s">
        <v>97</v>
      </c>
      <c r="P1185" s="45">
        <f>HEX2DEC(RIGHT(Table132321[[#This Row],[h1]],8))</f>
        <v>0</v>
      </c>
      <c r="Q1185" s="45" t="s">
        <v>97</v>
      </c>
      <c r="R1185" s="45">
        <f>HEX2DEC(RIGHT(Table132321[[#This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5" t="s">
        <v>97</v>
      </c>
      <c r="P1186" s="45">
        <f>HEX2DEC(RIGHT(Table132321[[#This Row],[h1]],8))</f>
        <v>0</v>
      </c>
      <c r="Q1186" s="45" t="s">
        <v>97</v>
      </c>
      <c r="R1186" s="45">
        <f>HEX2DEC(RIGHT(Table132321[[#This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5" t="s">
        <v>97</v>
      </c>
      <c r="P1187" s="45">
        <f>HEX2DEC(RIGHT(Table132321[[#This Row],[h1]],8))</f>
        <v>0</v>
      </c>
      <c r="Q1187" s="45" t="s">
        <v>97</v>
      </c>
      <c r="R1187" s="45">
        <f>HEX2DEC(RIGHT(Table132321[[#This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5" t="s">
        <v>97</v>
      </c>
      <c r="P1188" s="45">
        <f>HEX2DEC(RIGHT(Table132321[[#This Row],[h1]],8))</f>
        <v>0</v>
      </c>
      <c r="Q1188" s="45" t="s">
        <v>97</v>
      </c>
      <c r="R1188" s="45">
        <f>HEX2DEC(RIGHT(Table132321[[#This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5" t="s">
        <v>97</v>
      </c>
      <c r="P1189" s="45">
        <f>HEX2DEC(RIGHT(Table132321[[#This Row],[h1]],8))</f>
        <v>0</v>
      </c>
      <c r="Q1189" s="45" t="s">
        <v>97</v>
      </c>
      <c r="R1189" s="45">
        <f>HEX2DEC(RIGHT(Table132321[[#This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5" t="s">
        <v>97</v>
      </c>
      <c r="P1190" s="45">
        <f>HEX2DEC(RIGHT(Table132321[[#This Row],[h1]],8))</f>
        <v>0</v>
      </c>
      <c r="Q1190" s="45" t="s">
        <v>97</v>
      </c>
      <c r="R1190" s="45">
        <f>HEX2DEC(RIGHT(Table132321[[#This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5" t="s">
        <v>97</v>
      </c>
      <c r="P1191" s="45">
        <f>HEX2DEC(RIGHT(Table132321[[#This Row],[h1]],8))</f>
        <v>0</v>
      </c>
      <c r="Q1191" s="45" t="s">
        <v>97</v>
      </c>
      <c r="R1191" s="45">
        <f>HEX2DEC(RIGHT(Table132321[[#This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5" t="s">
        <v>97</v>
      </c>
      <c r="P1192" s="45">
        <f>HEX2DEC(RIGHT(Table132321[[#This Row],[h1]],8))</f>
        <v>0</v>
      </c>
      <c r="Q1192" s="45" t="s">
        <v>97</v>
      </c>
      <c r="R1192" s="45">
        <f>HEX2DEC(RIGHT(Table132321[[#This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5" t="s">
        <v>97</v>
      </c>
      <c r="P1193" s="45">
        <f>HEX2DEC(RIGHT(Table132321[[#This Row],[h1]],8))</f>
        <v>0</v>
      </c>
      <c r="Q1193" s="45" t="s">
        <v>97</v>
      </c>
      <c r="R1193" s="45">
        <f>HEX2DEC(RIGHT(Table132321[[#This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5" t="s">
        <v>97</v>
      </c>
      <c r="P1194" s="45">
        <f>HEX2DEC(RIGHT(Table132321[[#This Row],[h1]],8))</f>
        <v>0</v>
      </c>
      <c r="Q1194" s="45" t="s">
        <v>97</v>
      </c>
      <c r="R1194" s="45">
        <f>HEX2DEC(RIGHT(Table132321[[#This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5" t="s">
        <v>97</v>
      </c>
      <c r="P1195" s="45">
        <f>HEX2DEC(RIGHT(Table132321[[#This Row],[h1]],8))</f>
        <v>0</v>
      </c>
      <c r="Q1195" s="45" t="s">
        <v>97</v>
      </c>
      <c r="R1195" s="45">
        <f>HEX2DEC(RIGHT(Table132321[[#This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5" t="s">
        <v>97</v>
      </c>
      <c r="P1196" s="45">
        <f>HEX2DEC(RIGHT(Table132321[[#This Row],[h1]],8))</f>
        <v>0</v>
      </c>
      <c r="Q1196" s="45" t="s">
        <v>97</v>
      </c>
      <c r="R1196" s="45">
        <f>HEX2DEC(RIGHT(Table132321[[#This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5" t="s">
        <v>97</v>
      </c>
      <c r="P1197" s="45">
        <f>HEX2DEC(RIGHT(Table132321[[#This Row],[h1]],8))</f>
        <v>0</v>
      </c>
      <c r="Q1197" s="45" t="s">
        <v>97</v>
      </c>
      <c r="R1197" s="45">
        <f>HEX2DEC(RIGHT(Table132321[[#This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5" t="s">
        <v>97</v>
      </c>
      <c r="P1198" s="45">
        <f>HEX2DEC(RIGHT(Table132321[[#This Row],[h1]],8))</f>
        <v>0</v>
      </c>
      <c r="Q1198" s="45" t="s">
        <v>97</v>
      </c>
      <c r="R1198" s="45">
        <f>HEX2DEC(RIGHT(Table132321[[#This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5" t="s">
        <v>97</v>
      </c>
      <c r="P1199" s="45">
        <f>HEX2DEC(RIGHT(Table132321[[#This Row],[h1]],8))</f>
        <v>0</v>
      </c>
      <c r="Q1199" s="45" t="s">
        <v>97</v>
      </c>
      <c r="R1199" s="45">
        <f>HEX2DEC(RIGHT(Table132321[[#This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5" t="s">
        <v>97</v>
      </c>
      <c r="P1200" s="45">
        <f>HEX2DEC(RIGHT(Table132321[[#This Row],[h1]],8))</f>
        <v>0</v>
      </c>
      <c r="Q1200" s="45" t="s">
        <v>97</v>
      </c>
      <c r="R1200" s="45">
        <f>HEX2DEC(RIGHT(Table132321[[#This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5" t="s">
        <v>97</v>
      </c>
      <c r="P1201" s="45">
        <f>HEX2DEC(RIGHT(Table132321[[#This Row],[h1]],8))</f>
        <v>0</v>
      </c>
      <c r="Q1201" s="45" t="s">
        <v>97</v>
      </c>
      <c r="R1201" s="45">
        <f>HEX2DEC(RIGHT(Table132321[[#This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5" t="s">
        <v>97</v>
      </c>
      <c r="P1202" s="45">
        <f>HEX2DEC(RIGHT(Table132321[[#This Row],[h1]],8))</f>
        <v>0</v>
      </c>
      <c r="Q1202" s="45" t="s">
        <v>97</v>
      </c>
      <c r="R1202" s="45">
        <f>HEX2DEC(RIGHT(Table132321[[#This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5" t="s">
        <v>97</v>
      </c>
      <c r="P1203" s="45">
        <f>HEX2DEC(RIGHT(Table132321[[#This Row],[h1]],8))</f>
        <v>0</v>
      </c>
      <c r="Q1203" s="45" t="s">
        <v>97</v>
      </c>
      <c r="R1203" s="45">
        <f>HEX2DEC(RIGHT(Table132321[[#This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5" t="s">
        <v>97</v>
      </c>
      <c r="P1204" s="45">
        <f>HEX2DEC(RIGHT(Table132321[[#This Row],[h1]],8))</f>
        <v>0</v>
      </c>
      <c r="Q1204" s="45" t="s">
        <v>97</v>
      </c>
      <c r="R1204" s="45">
        <f>HEX2DEC(RIGHT(Table132321[[#This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5" t="s">
        <v>97</v>
      </c>
      <c r="P1205" s="45">
        <f>HEX2DEC(RIGHT(Table132321[[#This Row],[h1]],8))</f>
        <v>0</v>
      </c>
      <c r="Q1205" s="45" t="s">
        <v>97</v>
      </c>
      <c r="R1205" s="45">
        <f>HEX2DEC(RIGHT(Table132321[[#This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5" t="s">
        <v>97</v>
      </c>
      <c r="P1206" s="45">
        <f>HEX2DEC(RIGHT(Table132321[[#This Row],[h1]],8))</f>
        <v>0</v>
      </c>
      <c r="Q1206" s="45" t="s">
        <v>97</v>
      </c>
      <c r="R1206" s="45">
        <f>HEX2DEC(RIGHT(Table132321[[#This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5" t="s">
        <v>97</v>
      </c>
      <c r="P1207" s="45">
        <f>HEX2DEC(RIGHT(Table132321[[#This Row],[h1]],8))</f>
        <v>0</v>
      </c>
      <c r="Q1207" s="45" t="s">
        <v>97</v>
      </c>
      <c r="R1207" s="45">
        <f>HEX2DEC(RIGHT(Table132321[[#This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5" t="s">
        <v>97</v>
      </c>
      <c r="P1208" s="45">
        <f>HEX2DEC(RIGHT(Table132321[[#This Row],[h1]],8))</f>
        <v>0</v>
      </c>
      <c r="Q1208" s="45" t="s">
        <v>97</v>
      </c>
      <c r="R1208" s="45">
        <f>HEX2DEC(RIGHT(Table132321[[#This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5" t="s">
        <v>97</v>
      </c>
      <c r="P1209" s="45">
        <f>HEX2DEC(RIGHT(Table132321[[#This Row],[h1]],8))</f>
        <v>0</v>
      </c>
      <c r="Q1209" s="45" t="s">
        <v>97</v>
      </c>
      <c r="R1209" s="45">
        <f>HEX2DEC(RIGHT(Table132321[[#This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5" t="s">
        <v>97</v>
      </c>
      <c r="P1210" s="45">
        <f>HEX2DEC(RIGHT(Table132321[[#This Row],[h1]],8))</f>
        <v>0</v>
      </c>
      <c r="Q1210" s="45" t="s">
        <v>97</v>
      </c>
      <c r="R1210" s="45">
        <f>HEX2DEC(RIGHT(Table132321[[#This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5" t="s">
        <v>97</v>
      </c>
      <c r="P1211" s="45">
        <f>HEX2DEC(RIGHT(Table132321[[#This Row],[h1]],8))</f>
        <v>0</v>
      </c>
      <c r="Q1211" s="45" t="s">
        <v>97</v>
      </c>
      <c r="R1211" s="45">
        <f>HEX2DEC(RIGHT(Table132321[[#This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5" t="s">
        <v>97</v>
      </c>
      <c r="P1212" s="45">
        <f>HEX2DEC(RIGHT(Table132321[[#This Row],[h1]],8))</f>
        <v>0</v>
      </c>
      <c r="Q1212" s="45" t="s">
        <v>97</v>
      </c>
      <c r="R1212" s="45">
        <f>HEX2DEC(RIGHT(Table132321[[#This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5" t="s">
        <v>97</v>
      </c>
      <c r="P1213" s="45">
        <f>HEX2DEC(RIGHT(Table132321[[#This Row],[h1]],8))</f>
        <v>0</v>
      </c>
      <c r="Q1213" s="45" t="s">
        <v>97</v>
      </c>
      <c r="R1213" s="45">
        <f>HEX2DEC(RIGHT(Table132321[[#This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5" t="s">
        <v>97</v>
      </c>
      <c r="P1214" s="45">
        <f>HEX2DEC(RIGHT(Table132321[[#This Row],[h1]],8))</f>
        <v>0</v>
      </c>
      <c r="Q1214" s="45" t="s">
        <v>97</v>
      </c>
      <c r="R1214" s="45">
        <f>HEX2DEC(RIGHT(Table132321[[#This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5" t="s">
        <v>97</v>
      </c>
      <c r="P1215" s="45">
        <f>HEX2DEC(RIGHT(Table132321[[#This Row],[h1]],8))</f>
        <v>0</v>
      </c>
      <c r="Q1215" s="45" t="s">
        <v>97</v>
      </c>
      <c r="R1215" s="45">
        <f>HEX2DEC(RIGHT(Table132321[[#This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5" t="s">
        <v>97</v>
      </c>
      <c r="P1216" s="45">
        <f>HEX2DEC(RIGHT(Table132321[[#This Row],[h1]],8))</f>
        <v>0</v>
      </c>
      <c r="Q1216" s="45" t="s">
        <v>97</v>
      </c>
      <c r="R1216" s="45">
        <f>HEX2DEC(RIGHT(Table132321[[#This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5" t="s">
        <v>97</v>
      </c>
      <c r="P1217" s="45">
        <f>HEX2DEC(RIGHT(Table132321[[#This Row],[h1]],8))</f>
        <v>0</v>
      </c>
      <c r="Q1217" s="45" t="s">
        <v>97</v>
      </c>
      <c r="R1217" s="45">
        <f>HEX2DEC(RIGHT(Table132321[[#This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5" t="s">
        <v>97</v>
      </c>
      <c r="P1218" s="45">
        <f>HEX2DEC(RIGHT(Table132321[[#This Row],[h1]],8))</f>
        <v>0</v>
      </c>
      <c r="Q1218" s="45" t="s">
        <v>97</v>
      </c>
      <c r="R1218" s="45">
        <f>HEX2DEC(RIGHT(Table132321[[#This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5" t="s">
        <v>97</v>
      </c>
      <c r="P1219" s="45">
        <f>HEX2DEC(RIGHT(Table132321[[#This Row],[h1]],8))</f>
        <v>0</v>
      </c>
      <c r="Q1219" s="45" t="s">
        <v>97</v>
      </c>
      <c r="R1219" s="45">
        <f>HEX2DEC(RIGHT(Table132321[[#This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5" t="s">
        <v>97</v>
      </c>
      <c r="P1220" s="45">
        <f>HEX2DEC(RIGHT(Table132321[[#This Row],[h1]],8))</f>
        <v>0</v>
      </c>
      <c r="Q1220" s="45" t="s">
        <v>97</v>
      </c>
      <c r="R1220" s="45">
        <f>HEX2DEC(RIGHT(Table132321[[#This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5" t="s">
        <v>97</v>
      </c>
      <c r="P1221" s="45">
        <f>HEX2DEC(RIGHT(Table132321[[#This Row],[h1]],8))</f>
        <v>0</v>
      </c>
      <c r="Q1221" s="45" t="s">
        <v>97</v>
      </c>
      <c r="R1221" s="45">
        <f>HEX2DEC(RIGHT(Table132321[[#This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5" t="s">
        <v>97</v>
      </c>
      <c r="P1222" s="45">
        <f>HEX2DEC(RIGHT(Table132321[[#This Row],[h1]],8))</f>
        <v>0</v>
      </c>
      <c r="Q1222" s="45" t="s">
        <v>97</v>
      </c>
      <c r="R1222" s="45">
        <f>HEX2DEC(RIGHT(Table132321[[#This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5" t="s">
        <v>97</v>
      </c>
      <c r="P1223" s="45">
        <f>HEX2DEC(RIGHT(Table132321[[#This Row],[h1]],8))</f>
        <v>0</v>
      </c>
      <c r="Q1223" s="45" t="s">
        <v>97</v>
      </c>
      <c r="R1223" s="45">
        <f>HEX2DEC(RIGHT(Table132321[[#This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5" t="s">
        <v>97</v>
      </c>
      <c r="P1224" s="45">
        <f>HEX2DEC(RIGHT(Table132321[[#This Row],[h1]],8))</f>
        <v>0</v>
      </c>
      <c r="Q1224" s="45" t="s">
        <v>97</v>
      </c>
      <c r="R1224" s="45">
        <f>HEX2DEC(RIGHT(Table132321[[#This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5" t="s">
        <v>97</v>
      </c>
      <c r="P1225" s="45">
        <f>HEX2DEC(RIGHT(Table132321[[#This Row],[h1]],8))</f>
        <v>0</v>
      </c>
      <c r="Q1225" s="45" t="s">
        <v>97</v>
      </c>
      <c r="R1225" s="45">
        <f>HEX2DEC(RIGHT(Table132321[[#This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5" t="s">
        <v>97</v>
      </c>
      <c r="P1226" s="45">
        <f>HEX2DEC(RIGHT(Table132321[[#This Row],[h1]],8))</f>
        <v>0</v>
      </c>
      <c r="Q1226" s="45" t="s">
        <v>97</v>
      </c>
      <c r="R1226" s="45">
        <f>HEX2DEC(RIGHT(Table132321[[#This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5" t="s">
        <v>97</v>
      </c>
      <c r="P1227" s="45">
        <f>HEX2DEC(RIGHT(Table132321[[#This Row],[h1]],8))</f>
        <v>0</v>
      </c>
      <c r="Q1227" s="45" t="s">
        <v>97</v>
      </c>
      <c r="R1227" s="45">
        <f>HEX2DEC(RIGHT(Table132321[[#This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5" t="s">
        <v>97</v>
      </c>
      <c r="P1228" s="45">
        <f>HEX2DEC(RIGHT(Table132321[[#This Row],[h1]],8))</f>
        <v>0</v>
      </c>
      <c r="Q1228" s="45" t="s">
        <v>97</v>
      </c>
      <c r="R1228" s="45">
        <f>HEX2DEC(RIGHT(Table132321[[#This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5" t="s">
        <v>97</v>
      </c>
      <c r="P1229" s="45">
        <f>HEX2DEC(RIGHT(Table132321[[#This Row],[h1]],8))</f>
        <v>0</v>
      </c>
      <c r="Q1229" s="45" t="s">
        <v>97</v>
      </c>
      <c r="R1229" s="45">
        <f>HEX2DEC(RIGHT(Table132321[[#This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5" t="s">
        <v>97</v>
      </c>
      <c r="P1230" s="45">
        <f>HEX2DEC(RIGHT(Table132321[[#This Row],[h1]],8))</f>
        <v>0</v>
      </c>
      <c r="Q1230" s="45" t="s">
        <v>97</v>
      </c>
      <c r="R1230" s="45">
        <f>HEX2DEC(RIGHT(Table132321[[#This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5" t="s">
        <v>97</v>
      </c>
      <c r="P1231" s="45">
        <f>HEX2DEC(RIGHT(Table132321[[#This Row],[h1]],8))</f>
        <v>0</v>
      </c>
      <c r="Q1231" s="45" t="s">
        <v>97</v>
      </c>
      <c r="R1231" s="45">
        <f>HEX2DEC(RIGHT(Table132321[[#This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5" t="s">
        <v>97</v>
      </c>
      <c r="P1232" s="45">
        <f>HEX2DEC(RIGHT(Table132321[[#This Row],[h1]],8))</f>
        <v>0</v>
      </c>
      <c r="Q1232" s="45" t="s">
        <v>97</v>
      </c>
      <c r="R1232" s="45">
        <f>HEX2DEC(RIGHT(Table132321[[#This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5" t="s">
        <v>97</v>
      </c>
      <c r="P1233" s="45">
        <f>HEX2DEC(RIGHT(Table132321[[#This Row],[h1]],8))</f>
        <v>0</v>
      </c>
      <c r="Q1233" s="45" t="s">
        <v>97</v>
      </c>
      <c r="R1233" s="45">
        <f>HEX2DEC(RIGHT(Table132321[[#This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5" t="s">
        <v>97</v>
      </c>
      <c r="P1234" s="45">
        <f>HEX2DEC(RIGHT(Table132321[[#This Row],[h1]],8))</f>
        <v>0</v>
      </c>
      <c r="Q1234" s="45" t="s">
        <v>97</v>
      </c>
      <c r="R1234" s="45">
        <f>HEX2DEC(RIGHT(Table132321[[#This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5" t="s">
        <v>97</v>
      </c>
      <c r="P1235" s="45">
        <f>HEX2DEC(RIGHT(Table132321[[#This Row],[h1]],8))</f>
        <v>0</v>
      </c>
      <c r="Q1235" s="45" t="s">
        <v>97</v>
      </c>
      <c r="R1235" s="45">
        <f>HEX2DEC(RIGHT(Table132321[[#This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5" t="s">
        <v>97</v>
      </c>
      <c r="P1236" s="45">
        <f>HEX2DEC(RIGHT(Table132321[[#This Row],[h1]],8))</f>
        <v>0</v>
      </c>
      <c r="Q1236" s="45" t="s">
        <v>97</v>
      </c>
      <c r="R1236" s="45">
        <f>HEX2DEC(RIGHT(Table132321[[#This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5" t="s">
        <v>97</v>
      </c>
      <c r="P1237" s="45">
        <f>HEX2DEC(RIGHT(Table132321[[#This Row],[h1]],8))</f>
        <v>0</v>
      </c>
      <c r="Q1237" s="45" t="s">
        <v>97</v>
      </c>
      <c r="R1237" s="45">
        <f>HEX2DEC(RIGHT(Table132321[[#This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5" t="s">
        <v>97</v>
      </c>
      <c r="P1238" s="45">
        <f>HEX2DEC(RIGHT(Table132321[[#This Row],[h1]],8))</f>
        <v>0</v>
      </c>
      <c r="Q1238" s="45" t="s">
        <v>97</v>
      </c>
      <c r="R1238" s="45">
        <f>HEX2DEC(RIGHT(Table132321[[#This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5" t="s">
        <v>97</v>
      </c>
      <c r="P1239" s="45">
        <f>HEX2DEC(RIGHT(Table132321[[#This Row],[h1]],8))</f>
        <v>0</v>
      </c>
      <c r="Q1239" s="45" t="s">
        <v>97</v>
      </c>
      <c r="R1239" s="45">
        <f>HEX2DEC(RIGHT(Table132321[[#This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5" t="s">
        <v>97</v>
      </c>
      <c r="P1240" s="45">
        <f>HEX2DEC(RIGHT(Table132321[[#This Row],[h1]],8))</f>
        <v>0</v>
      </c>
      <c r="Q1240" s="45" t="s">
        <v>97</v>
      </c>
      <c r="R1240" s="45">
        <f>HEX2DEC(RIGHT(Table132321[[#This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5" t="s">
        <v>97</v>
      </c>
      <c r="P1241" s="45">
        <f>HEX2DEC(RIGHT(Table132321[[#This Row],[h1]],8))</f>
        <v>0</v>
      </c>
      <c r="Q1241" s="45" t="s">
        <v>97</v>
      </c>
      <c r="R1241" s="45">
        <f>HEX2DEC(RIGHT(Table132321[[#This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5" t="s">
        <v>97</v>
      </c>
      <c r="P1242" s="45">
        <f>HEX2DEC(RIGHT(Table132321[[#This Row],[h1]],8))</f>
        <v>0</v>
      </c>
      <c r="Q1242" s="45" t="s">
        <v>97</v>
      </c>
      <c r="R1242" s="45">
        <f>HEX2DEC(RIGHT(Table132321[[#This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5" t="s">
        <v>97</v>
      </c>
      <c r="P1243" s="45">
        <f>HEX2DEC(RIGHT(Table132321[[#This Row],[h1]],8))</f>
        <v>0</v>
      </c>
      <c r="Q1243" s="45" t="s">
        <v>97</v>
      </c>
      <c r="R1243" s="45">
        <f>HEX2DEC(RIGHT(Table132321[[#This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5" t="s">
        <v>97</v>
      </c>
      <c r="P1244" s="45">
        <f>HEX2DEC(RIGHT(Table132321[[#This Row],[h1]],8))</f>
        <v>0</v>
      </c>
      <c r="Q1244" s="45" t="s">
        <v>97</v>
      </c>
      <c r="R1244" s="45">
        <f>HEX2DEC(RIGHT(Table132321[[#This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5" t="s">
        <v>97</v>
      </c>
      <c r="P1245" s="45">
        <f>HEX2DEC(RIGHT(Table132321[[#This Row],[h1]],8))</f>
        <v>0</v>
      </c>
      <c r="Q1245" s="45" t="s">
        <v>97</v>
      </c>
      <c r="R1245" s="45">
        <f>HEX2DEC(RIGHT(Table132321[[#This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5" t="s">
        <v>97</v>
      </c>
      <c r="P1246" s="45">
        <f>HEX2DEC(RIGHT(Table132321[[#This Row],[h1]],8))</f>
        <v>0</v>
      </c>
      <c r="Q1246" s="45" t="s">
        <v>97</v>
      </c>
      <c r="R1246" s="45">
        <f>HEX2DEC(RIGHT(Table132321[[#This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5" t="s">
        <v>97</v>
      </c>
      <c r="P1247" s="45">
        <f>HEX2DEC(RIGHT(Table132321[[#This Row],[h1]],8))</f>
        <v>0</v>
      </c>
      <c r="Q1247" s="45" t="s">
        <v>97</v>
      </c>
      <c r="R1247" s="45">
        <f>HEX2DEC(RIGHT(Table132321[[#This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5" t="s">
        <v>97</v>
      </c>
      <c r="P1248" s="45">
        <f>HEX2DEC(RIGHT(Table132321[[#This Row],[h1]],8))</f>
        <v>0</v>
      </c>
      <c r="Q1248" s="45" t="s">
        <v>97</v>
      </c>
      <c r="R1248" s="45">
        <f>HEX2DEC(RIGHT(Table132321[[#This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5" t="s">
        <v>97</v>
      </c>
      <c r="P1249" s="45">
        <f>HEX2DEC(RIGHT(Table132321[[#This Row],[h1]],8))</f>
        <v>0</v>
      </c>
      <c r="Q1249" s="45" t="s">
        <v>97</v>
      </c>
      <c r="R1249" s="45">
        <f>HEX2DEC(RIGHT(Table132321[[#This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5" t="s">
        <v>97</v>
      </c>
      <c r="P1250" s="45">
        <f>HEX2DEC(RIGHT(Table132321[[#This Row],[h1]],8))</f>
        <v>0</v>
      </c>
      <c r="Q1250" s="45" t="s">
        <v>97</v>
      </c>
      <c r="R1250" s="45">
        <f>HEX2DEC(RIGHT(Table132321[[#This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5" t="s">
        <v>97</v>
      </c>
      <c r="P1251" s="45">
        <f>HEX2DEC(RIGHT(Table132321[[#This Row],[h1]],8))</f>
        <v>0</v>
      </c>
      <c r="Q1251" s="45" t="s">
        <v>97</v>
      </c>
      <c r="R1251" s="45">
        <f>HEX2DEC(RIGHT(Table132321[[#This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5" t="s">
        <v>97</v>
      </c>
      <c r="P1252" s="45">
        <f>HEX2DEC(RIGHT(Table132321[[#This Row],[h1]],8))</f>
        <v>0</v>
      </c>
      <c r="Q1252" s="45" t="s">
        <v>97</v>
      </c>
      <c r="R1252" s="45">
        <f>HEX2DEC(RIGHT(Table132321[[#This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5" t="s">
        <v>97</v>
      </c>
      <c r="P1253" s="45">
        <f>HEX2DEC(RIGHT(Table132321[[#This Row],[h1]],8))</f>
        <v>0</v>
      </c>
      <c r="Q1253" s="45" t="s">
        <v>97</v>
      </c>
      <c r="R1253" s="45">
        <f>HEX2DEC(RIGHT(Table132321[[#This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5" t="s">
        <v>97</v>
      </c>
      <c r="P1254" s="45">
        <f>HEX2DEC(RIGHT(Table132321[[#This Row],[h1]],8))</f>
        <v>0</v>
      </c>
      <c r="Q1254" s="45" t="s">
        <v>97</v>
      </c>
      <c r="R1254" s="45">
        <f>HEX2DEC(RIGHT(Table132321[[#This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5" t="s">
        <v>97</v>
      </c>
      <c r="P1255" s="45">
        <f>HEX2DEC(RIGHT(Table132321[[#This Row],[h1]],8))</f>
        <v>0</v>
      </c>
      <c r="Q1255" s="45" t="s">
        <v>97</v>
      </c>
      <c r="R1255" s="45">
        <f>HEX2DEC(RIGHT(Table132321[[#This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5" t="s">
        <v>97</v>
      </c>
      <c r="P1256" s="45">
        <f>HEX2DEC(RIGHT(Table132321[[#This Row],[h1]],8))</f>
        <v>0</v>
      </c>
      <c r="Q1256" s="45" t="s">
        <v>97</v>
      </c>
      <c r="R1256" s="45">
        <f>HEX2DEC(RIGHT(Table132321[[#This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5" t="s">
        <v>97</v>
      </c>
      <c r="P1257" s="45">
        <f>HEX2DEC(RIGHT(Table132321[[#This Row],[h1]],8))</f>
        <v>0</v>
      </c>
      <c r="Q1257" s="45" t="s">
        <v>97</v>
      </c>
      <c r="R1257" s="45">
        <f>HEX2DEC(RIGHT(Table132321[[#This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5" t="s">
        <v>97</v>
      </c>
      <c r="P1258" s="45">
        <f>HEX2DEC(RIGHT(Table132321[[#This Row],[h1]],8))</f>
        <v>0</v>
      </c>
      <c r="Q1258" s="45" t="s">
        <v>97</v>
      </c>
      <c r="R1258" s="45">
        <f>HEX2DEC(RIGHT(Table132321[[#This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5" t="s">
        <v>97</v>
      </c>
      <c r="P1259" s="45">
        <f>HEX2DEC(RIGHT(Table132321[[#This Row],[h1]],8))</f>
        <v>0</v>
      </c>
      <c r="Q1259" s="45" t="s">
        <v>97</v>
      </c>
      <c r="R1259" s="45">
        <f>HEX2DEC(RIGHT(Table132321[[#This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5" t="s">
        <v>97</v>
      </c>
      <c r="P1260" s="45">
        <f>HEX2DEC(RIGHT(Table132321[[#This Row],[h1]],8))</f>
        <v>0</v>
      </c>
      <c r="Q1260" s="45" t="s">
        <v>97</v>
      </c>
      <c r="R1260" s="45">
        <f>HEX2DEC(RIGHT(Table132321[[#This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5" t="s">
        <v>97</v>
      </c>
      <c r="P1261" s="45">
        <f>HEX2DEC(RIGHT(Table132321[[#This Row],[h1]],8))</f>
        <v>0</v>
      </c>
      <c r="Q1261" s="45" t="s">
        <v>97</v>
      </c>
      <c r="R1261" s="45">
        <f>HEX2DEC(RIGHT(Table132321[[#This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5" t="s">
        <v>97</v>
      </c>
      <c r="P1262" s="45">
        <f>HEX2DEC(RIGHT(Table132321[[#This Row],[h1]],8))</f>
        <v>0</v>
      </c>
      <c r="Q1262" s="45" t="s">
        <v>97</v>
      </c>
      <c r="R1262" s="45">
        <f>HEX2DEC(RIGHT(Table132321[[#This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5" t="s">
        <v>97</v>
      </c>
      <c r="P1263" s="45">
        <f>HEX2DEC(RIGHT(Table132321[[#This Row],[h1]],8))</f>
        <v>0</v>
      </c>
      <c r="Q1263" s="45" t="s">
        <v>97</v>
      </c>
      <c r="R1263" s="45">
        <f>HEX2DEC(RIGHT(Table132321[[#This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5" t="s">
        <v>97</v>
      </c>
      <c r="P1264" s="45">
        <f>HEX2DEC(RIGHT(Table132321[[#This Row],[h1]],8))</f>
        <v>0</v>
      </c>
      <c r="Q1264" s="45" t="s">
        <v>97</v>
      </c>
      <c r="R1264" s="45">
        <f>HEX2DEC(RIGHT(Table132321[[#This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5" t="s">
        <v>97</v>
      </c>
      <c r="P1265" s="45">
        <f>HEX2DEC(RIGHT(Table132321[[#This Row],[h1]],8))</f>
        <v>0</v>
      </c>
      <c r="Q1265" s="45" t="s">
        <v>97</v>
      </c>
      <c r="R1265" s="45">
        <f>HEX2DEC(RIGHT(Table132321[[#This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5" t="s">
        <v>97</v>
      </c>
      <c r="P1266" s="45">
        <f>HEX2DEC(RIGHT(Table132321[[#This Row],[h1]],8))</f>
        <v>0</v>
      </c>
      <c r="Q1266" s="45" t="s">
        <v>97</v>
      </c>
      <c r="R1266" s="45">
        <f>HEX2DEC(RIGHT(Table132321[[#This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5" t="s">
        <v>97</v>
      </c>
      <c r="P1267" s="45">
        <f>HEX2DEC(RIGHT(Table132321[[#This Row],[h1]],8))</f>
        <v>0</v>
      </c>
      <c r="Q1267" s="45" t="s">
        <v>97</v>
      </c>
      <c r="R1267" s="45">
        <f>HEX2DEC(RIGHT(Table132321[[#This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5" t="s">
        <v>97</v>
      </c>
      <c r="P1268" s="45">
        <f>HEX2DEC(RIGHT(Table132321[[#This Row],[h1]],8))</f>
        <v>0</v>
      </c>
      <c r="Q1268" s="45" t="s">
        <v>97</v>
      </c>
      <c r="R1268" s="45">
        <f>HEX2DEC(RIGHT(Table132321[[#This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5" t="s">
        <v>97</v>
      </c>
      <c r="P1269" s="45">
        <f>HEX2DEC(RIGHT(Table132321[[#This Row],[h1]],8))</f>
        <v>0</v>
      </c>
      <c r="Q1269" s="45" t="s">
        <v>97</v>
      </c>
      <c r="R1269" s="45">
        <f>HEX2DEC(RIGHT(Table132321[[#This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5" t="s">
        <v>97</v>
      </c>
      <c r="P1270" s="45">
        <f>HEX2DEC(RIGHT(Table132321[[#This Row],[h1]],8))</f>
        <v>0</v>
      </c>
      <c r="Q1270" s="45" t="s">
        <v>97</v>
      </c>
      <c r="R1270" s="45">
        <f>HEX2DEC(RIGHT(Table132321[[#This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5" t="s">
        <v>97</v>
      </c>
      <c r="P1271" s="45">
        <f>HEX2DEC(RIGHT(Table132321[[#This Row],[h1]],8))</f>
        <v>0</v>
      </c>
      <c r="Q1271" s="45" t="s">
        <v>97</v>
      </c>
      <c r="R1271" s="45">
        <f>HEX2DEC(RIGHT(Table132321[[#This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5" t="s">
        <v>97</v>
      </c>
      <c r="P1272" s="45">
        <f>HEX2DEC(RIGHT(Table132321[[#This Row],[h1]],8))</f>
        <v>0</v>
      </c>
      <c r="Q1272" s="45" t="s">
        <v>97</v>
      </c>
      <c r="R1272" s="45">
        <f>HEX2DEC(RIGHT(Table132321[[#This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5" t="s">
        <v>97</v>
      </c>
      <c r="P1273" s="45">
        <f>HEX2DEC(RIGHT(Table132321[[#This Row],[h1]],8))</f>
        <v>0</v>
      </c>
      <c r="Q1273" s="45" t="s">
        <v>97</v>
      </c>
      <c r="R1273" s="45">
        <f>HEX2DEC(RIGHT(Table132321[[#This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5" t="s">
        <v>97</v>
      </c>
      <c r="P1274" s="45">
        <f>HEX2DEC(RIGHT(Table132321[[#This Row],[h1]],8))</f>
        <v>0</v>
      </c>
      <c r="Q1274" s="45" t="s">
        <v>97</v>
      </c>
      <c r="R1274" s="45">
        <f>HEX2DEC(RIGHT(Table132321[[#This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5" t="s">
        <v>97</v>
      </c>
      <c r="P1275" s="45">
        <f>HEX2DEC(RIGHT(Table132321[[#This Row],[h1]],8))</f>
        <v>0</v>
      </c>
      <c r="Q1275" s="45" t="s">
        <v>97</v>
      </c>
      <c r="R1275" s="45">
        <f>HEX2DEC(RIGHT(Table132321[[#This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5" t="s">
        <v>97</v>
      </c>
      <c r="P1276" s="45">
        <f>HEX2DEC(RIGHT(Table132321[[#This Row],[h1]],8))</f>
        <v>0</v>
      </c>
      <c r="Q1276" s="45" t="s">
        <v>97</v>
      </c>
      <c r="R1276" s="45">
        <f>HEX2DEC(RIGHT(Table132321[[#This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5" t="s">
        <v>97</v>
      </c>
      <c r="P1277" s="45">
        <f>HEX2DEC(RIGHT(Table132321[[#This Row],[h1]],8))</f>
        <v>0</v>
      </c>
      <c r="Q1277" s="45" t="s">
        <v>97</v>
      </c>
      <c r="R1277" s="45">
        <f>HEX2DEC(RIGHT(Table132321[[#This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5" t="s">
        <v>97</v>
      </c>
      <c r="P1278" s="45">
        <f>HEX2DEC(RIGHT(Table132321[[#This Row],[h1]],8))</f>
        <v>0</v>
      </c>
      <c r="Q1278" s="45" t="s">
        <v>97</v>
      </c>
      <c r="R1278" s="45">
        <f>HEX2DEC(RIGHT(Table132321[[#This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5" t="s">
        <v>97</v>
      </c>
      <c r="P1279" s="45">
        <f>HEX2DEC(RIGHT(Table132321[[#This Row],[h1]],8))</f>
        <v>0</v>
      </c>
      <c r="Q1279" s="45" t="s">
        <v>97</v>
      </c>
      <c r="R1279" s="45">
        <f>HEX2DEC(RIGHT(Table132321[[#This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5" t="s">
        <v>97</v>
      </c>
      <c r="P1280" s="45">
        <f>HEX2DEC(RIGHT(Table132321[[#This Row],[h1]],8))</f>
        <v>0</v>
      </c>
      <c r="Q1280" s="45" t="s">
        <v>97</v>
      </c>
      <c r="R1280" s="45">
        <f>HEX2DEC(RIGHT(Table132321[[#This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5" t="s">
        <v>97</v>
      </c>
      <c r="P1281" s="45">
        <f>HEX2DEC(RIGHT(Table132321[[#This Row],[h1]],8))</f>
        <v>0</v>
      </c>
      <c r="Q1281" s="45" t="s">
        <v>97</v>
      </c>
      <c r="R1281" s="45">
        <f>HEX2DEC(RIGHT(Table132321[[#This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5" t="s">
        <v>97</v>
      </c>
      <c r="P1282" s="45">
        <f>HEX2DEC(RIGHT(Table132321[[#This Row],[h1]],8))</f>
        <v>0</v>
      </c>
      <c r="Q1282" s="45" t="s">
        <v>97</v>
      </c>
      <c r="R1282" s="45">
        <f>HEX2DEC(RIGHT(Table132321[[#This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5" t="s">
        <v>97</v>
      </c>
      <c r="P1283" s="45">
        <f>HEX2DEC(RIGHT(Table132321[[#This Row],[h1]],8))</f>
        <v>0</v>
      </c>
      <c r="Q1283" s="45" t="s">
        <v>97</v>
      </c>
      <c r="R1283" s="45">
        <f>HEX2DEC(RIGHT(Table132321[[#This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5" t="s">
        <v>97</v>
      </c>
      <c r="P1284" s="45">
        <f>HEX2DEC(RIGHT(Table132321[[#This Row],[h1]],8))</f>
        <v>0</v>
      </c>
      <c r="Q1284" s="45" t="s">
        <v>97</v>
      </c>
      <c r="R1284" s="45">
        <f>HEX2DEC(RIGHT(Table132321[[#This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5" t="s">
        <v>97</v>
      </c>
      <c r="P1285" s="45">
        <f>HEX2DEC(RIGHT(Table132321[[#This Row],[h1]],8))</f>
        <v>0</v>
      </c>
      <c r="Q1285" s="45" t="s">
        <v>97</v>
      </c>
      <c r="R1285" s="45">
        <f>HEX2DEC(RIGHT(Table132321[[#This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5" t="s">
        <v>97</v>
      </c>
      <c r="P1286" s="45">
        <f>HEX2DEC(RIGHT(Table132321[[#This Row],[h1]],8))</f>
        <v>0</v>
      </c>
      <c r="Q1286" s="45" t="s">
        <v>97</v>
      </c>
      <c r="R1286" s="45">
        <f>HEX2DEC(RIGHT(Table132321[[#This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5" t="s">
        <v>97</v>
      </c>
      <c r="P1287" s="45">
        <f>HEX2DEC(RIGHT(Table132321[[#This Row],[h1]],8))</f>
        <v>0</v>
      </c>
      <c r="Q1287" s="45" t="s">
        <v>97</v>
      </c>
      <c r="R1287" s="45">
        <f>HEX2DEC(RIGHT(Table132321[[#This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5" t="s">
        <v>97</v>
      </c>
      <c r="P1288" s="45">
        <f>HEX2DEC(RIGHT(Table132321[[#This Row],[h1]],8))</f>
        <v>0</v>
      </c>
      <c r="Q1288" s="45" t="s">
        <v>97</v>
      </c>
      <c r="R1288" s="45">
        <f>HEX2DEC(RIGHT(Table132321[[#This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5" t="s">
        <v>97</v>
      </c>
      <c r="P1289" s="45">
        <f>HEX2DEC(RIGHT(Table132321[[#This Row],[h1]],8))</f>
        <v>0</v>
      </c>
      <c r="Q1289" s="45" t="s">
        <v>97</v>
      </c>
      <c r="R1289" s="45">
        <f>HEX2DEC(RIGHT(Table132321[[#This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5" t="s">
        <v>97</v>
      </c>
      <c r="P1290" s="45">
        <f>HEX2DEC(RIGHT(Table132321[[#This Row],[h1]],8))</f>
        <v>0</v>
      </c>
      <c r="Q1290" s="45" t="s">
        <v>97</v>
      </c>
      <c r="R1290" s="45">
        <f>HEX2DEC(RIGHT(Table132321[[#This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5" t="s">
        <v>97</v>
      </c>
      <c r="P1291" s="45">
        <f>HEX2DEC(RIGHT(Table132321[[#This Row],[h1]],8))</f>
        <v>0</v>
      </c>
      <c r="Q1291" s="45" t="s">
        <v>97</v>
      </c>
      <c r="R1291" s="45">
        <f>HEX2DEC(RIGHT(Table132321[[#This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5" t="s">
        <v>97</v>
      </c>
      <c r="P1292" s="45">
        <f>HEX2DEC(RIGHT(Table132321[[#This Row],[h1]],8))</f>
        <v>0</v>
      </c>
      <c r="Q1292" s="45" t="s">
        <v>97</v>
      </c>
      <c r="R1292" s="45">
        <f>HEX2DEC(RIGHT(Table132321[[#This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5" t="s">
        <v>97</v>
      </c>
      <c r="P1293" s="45">
        <f>HEX2DEC(RIGHT(Table132321[[#This Row],[h1]],8))</f>
        <v>0</v>
      </c>
      <c r="Q1293" s="45" t="s">
        <v>97</v>
      </c>
      <c r="R1293" s="45">
        <f>HEX2DEC(RIGHT(Table132321[[#This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5" t="s">
        <v>97</v>
      </c>
      <c r="P1294" s="45">
        <f>HEX2DEC(RIGHT(Table132321[[#This Row],[h1]],8))</f>
        <v>0</v>
      </c>
      <c r="Q1294" s="45" t="s">
        <v>97</v>
      </c>
      <c r="R1294" s="45">
        <f>HEX2DEC(RIGHT(Table132321[[#This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5" t="s">
        <v>97</v>
      </c>
      <c r="P1295" s="45">
        <f>HEX2DEC(RIGHT(Table132321[[#This Row],[h1]],8))</f>
        <v>0</v>
      </c>
      <c r="Q1295" s="45" t="s">
        <v>97</v>
      </c>
      <c r="R1295" s="45">
        <f>HEX2DEC(RIGHT(Table132321[[#This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5" t="s">
        <v>97</v>
      </c>
      <c r="P1296" s="45">
        <f>HEX2DEC(RIGHT(Table132321[[#This Row],[h1]],8))</f>
        <v>0</v>
      </c>
      <c r="Q1296" s="45" t="s">
        <v>97</v>
      </c>
      <c r="R1296" s="45">
        <f>HEX2DEC(RIGHT(Table132321[[#This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5" t="s">
        <v>97</v>
      </c>
      <c r="P1297" s="45">
        <f>HEX2DEC(RIGHT(Table132321[[#This Row],[h1]],8))</f>
        <v>0</v>
      </c>
      <c r="Q1297" s="45" t="s">
        <v>97</v>
      </c>
      <c r="R1297" s="45">
        <f>HEX2DEC(RIGHT(Table132321[[#This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5" t="s">
        <v>97</v>
      </c>
      <c r="P1298" s="45">
        <f>HEX2DEC(RIGHT(Table132321[[#This Row],[h1]],8))</f>
        <v>0</v>
      </c>
      <c r="Q1298" s="45" t="s">
        <v>97</v>
      </c>
      <c r="R1298" s="45">
        <f>HEX2DEC(RIGHT(Table132321[[#This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5" t="s">
        <v>97</v>
      </c>
      <c r="P1299" s="45">
        <f>HEX2DEC(RIGHT(Table132321[[#This Row],[h1]],8))</f>
        <v>0</v>
      </c>
      <c r="Q1299" s="45" t="s">
        <v>97</v>
      </c>
      <c r="R1299" s="45">
        <f>HEX2DEC(RIGHT(Table132321[[#This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5" t="s">
        <v>97</v>
      </c>
      <c r="P1300" s="45">
        <f>HEX2DEC(RIGHT(Table132321[[#This Row],[h1]],8))</f>
        <v>0</v>
      </c>
      <c r="Q1300" s="45" t="s">
        <v>97</v>
      </c>
      <c r="R1300" s="45">
        <f>HEX2DEC(RIGHT(Table132321[[#This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5" t="s">
        <v>97</v>
      </c>
      <c r="P1301" s="45">
        <f>HEX2DEC(RIGHT(Table132321[[#This Row],[h1]],8))</f>
        <v>0</v>
      </c>
      <c r="Q1301" s="45" t="s">
        <v>97</v>
      </c>
      <c r="R1301" s="45">
        <f>HEX2DEC(RIGHT(Table132321[[#This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5" t="s">
        <v>97</v>
      </c>
      <c r="P1302" s="45">
        <f>HEX2DEC(RIGHT(Table132321[[#This Row],[h1]],8))</f>
        <v>0</v>
      </c>
      <c r="Q1302" s="45" t="s">
        <v>97</v>
      </c>
      <c r="R1302" s="45">
        <f>HEX2DEC(RIGHT(Table132321[[#This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5" t="s">
        <v>97</v>
      </c>
      <c r="P1303" s="45">
        <f>HEX2DEC(RIGHT(Table132321[[#This Row],[h1]],8))</f>
        <v>0</v>
      </c>
      <c r="Q1303" s="45" t="s">
        <v>97</v>
      </c>
      <c r="R1303" s="45">
        <f>HEX2DEC(RIGHT(Table132321[[#This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5" t="s">
        <v>97</v>
      </c>
      <c r="P1304" s="45">
        <f>HEX2DEC(RIGHT(Table132321[[#This Row],[h1]],8))</f>
        <v>0</v>
      </c>
      <c r="Q1304" s="45" t="s">
        <v>97</v>
      </c>
      <c r="R1304" s="45">
        <f>HEX2DEC(RIGHT(Table132321[[#This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5" t="s">
        <v>97</v>
      </c>
      <c r="P1305" s="45">
        <f>HEX2DEC(RIGHT(Table132321[[#This Row],[h1]],8))</f>
        <v>0</v>
      </c>
      <c r="Q1305" s="45" t="s">
        <v>97</v>
      </c>
      <c r="R1305" s="45">
        <f>HEX2DEC(RIGHT(Table132321[[#This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5" t="s">
        <v>97</v>
      </c>
      <c r="P1306" s="45">
        <f>HEX2DEC(RIGHT(Table132321[[#This Row],[h1]],8))</f>
        <v>0</v>
      </c>
      <c r="Q1306" s="45" t="s">
        <v>97</v>
      </c>
      <c r="R1306" s="45">
        <f>HEX2DEC(RIGHT(Table132321[[#This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5" t="s">
        <v>97</v>
      </c>
      <c r="P1307" s="45">
        <f>HEX2DEC(RIGHT(Table132321[[#This Row],[h1]],8))</f>
        <v>0</v>
      </c>
      <c r="Q1307" s="45" t="s">
        <v>97</v>
      </c>
      <c r="R1307" s="45">
        <f>HEX2DEC(RIGHT(Table132321[[#This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5" t="s">
        <v>97</v>
      </c>
      <c r="P1308" s="45">
        <f>HEX2DEC(RIGHT(Table132321[[#This Row],[h1]],8))</f>
        <v>0</v>
      </c>
      <c r="Q1308" s="45" t="s">
        <v>97</v>
      </c>
      <c r="R1308" s="45">
        <f>HEX2DEC(RIGHT(Table132321[[#This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5" t="s">
        <v>97</v>
      </c>
      <c r="P1309" s="45">
        <f>HEX2DEC(RIGHT(Table132321[[#This Row],[h1]],8))</f>
        <v>0</v>
      </c>
      <c r="Q1309" s="45" t="s">
        <v>97</v>
      </c>
      <c r="R1309" s="45">
        <f>HEX2DEC(RIGHT(Table132321[[#This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5" t="s">
        <v>97</v>
      </c>
      <c r="P1310" s="45">
        <f>HEX2DEC(RIGHT(Table132321[[#This Row],[h1]],8))</f>
        <v>0</v>
      </c>
      <c r="Q1310" s="45" t="s">
        <v>97</v>
      </c>
      <c r="R1310" s="45">
        <f>HEX2DEC(RIGHT(Table132321[[#This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5" t="s">
        <v>97</v>
      </c>
      <c r="P1311" s="45">
        <f>HEX2DEC(RIGHT(Table132321[[#This Row],[h1]],8))</f>
        <v>0</v>
      </c>
      <c r="Q1311" s="45" t="s">
        <v>97</v>
      </c>
      <c r="R1311" s="45">
        <f>HEX2DEC(RIGHT(Table132321[[#This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5" t="s">
        <v>97</v>
      </c>
      <c r="P1312" s="45">
        <f>HEX2DEC(RIGHT(Table132321[[#This Row],[h1]],8))</f>
        <v>0</v>
      </c>
      <c r="Q1312" s="45" t="s">
        <v>97</v>
      </c>
      <c r="R1312" s="45">
        <f>HEX2DEC(RIGHT(Table132321[[#This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5" t="s">
        <v>97</v>
      </c>
      <c r="P1313" s="45">
        <f>HEX2DEC(RIGHT(Table132321[[#This Row],[h1]],8))</f>
        <v>0</v>
      </c>
      <c r="Q1313" s="45" t="s">
        <v>97</v>
      </c>
      <c r="R1313" s="45">
        <f>HEX2DEC(RIGHT(Table132321[[#This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5" t="s">
        <v>97</v>
      </c>
      <c r="P1314" s="45">
        <f>HEX2DEC(RIGHT(Table132321[[#This Row],[h1]],8))</f>
        <v>0</v>
      </c>
      <c r="Q1314" s="45" t="s">
        <v>97</v>
      </c>
      <c r="R1314" s="45">
        <f>HEX2DEC(RIGHT(Table132321[[#This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5" t="s">
        <v>97</v>
      </c>
      <c r="P1315" s="45">
        <f>HEX2DEC(RIGHT(Table132321[[#This Row],[h1]],8))</f>
        <v>0</v>
      </c>
      <c r="Q1315" s="45" t="s">
        <v>97</v>
      </c>
      <c r="R1315" s="45">
        <f>HEX2DEC(RIGHT(Table132321[[#This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5" t="s">
        <v>97</v>
      </c>
      <c r="P1316" s="45">
        <f>HEX2DEC(RIGHT(Table132321[[#This Row],[h1]],8))</f>
        <v>0</v>
      </c>
      <c r="Q1316" s="45" t="s">
        <v>97</v>
      </c>
      <c r="R1316" s="45">
        <f>HEX2DEC(RIGHT(Table132321[[#This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5" t="s">
        <v>97</v>
      </c>
      <c r="P1317" s="45">
        <f>HEX2DEC(RIGHT(Table132321[[#This Row],[h1]],8))</f>
        <v>0</v>
      </c>
      <c r="Q1317" s="45" t="s">
        <v>97</v>
      </c>
      <c r="R1317" s="45">
        <f>HEX2DEC(RIGHT(Table132321[[#This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5" t="s">
        <v>97</v>
      </c>
      <c r="P1318" s="45">
        <f>HEX2DEC(RIGHT(Table132321[[#This Row],[h1]],8))</f>
        <v>0</v>
      </c>
      <c r="Q1318" s="45" t="s">
        <v>97</v>
      </c>
      <c r="R1318" s="45">
        <f>HEX2DEC(RIGHT(Table132321[[#This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5" t="s">
        <v>97</v>
      </c>
      <c r="P1319" s="45">
        <f>HEX2DEC(RIGHT(Table132321[[#This Row],[h1]],8))</f>
        <v>0</v>
      </c>
      <c r="Q1319" s="45" t="s">
        <v>97</v>
      </c>
      <c r="R1319" s="45">
        <f>HEX2DEC(RIGHT(Table132321[[#This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5" t="s">
        <v>97</v>
      </c>
      <c r="P1320" s="45">
        <f>HEX2DEC(RIGHT(Table132321[[#This Row],[h1]],8))</f>
        <v>0</v>
      </c>
      <c r="Q1320" s="45" t="s">
        <v>97</v>
      </c>
      <c r="R1320" s="45">
        <f>HEX2DEC(RIGHT(Table132321[[#This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5" t="s">
        <v>97</v>
      </c>
      <c r="P1321" s="45">
        <f>HEX2DEC(RIGHT(Table132321[[#This Row],[h1]],8))</f>
        <v>0</v>
      </c>
      <c r="Q1321" s="45" t="s">
        <v>97</v>
      </c>
      <c r="R1321" s="45">
        <f>HEX2DEC(RIGHT(Table132321[[#This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5" t="s">
        <v>97</v>
      </c>
      <c r="P1322" s="45">
        <f>HEX2DEC(RIGHT(Table132321[[#This Row],[h1]],8))</f>
        <v>0</v>
      </c>
      <c r="Q1322" s="45" t="s">
        <v>97</v>
      </c>
      <c r="R1322" s="45">
        <f>HEX2DEC(RIGHT(Table132321[[#This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5" t="s">
        <v>97</v>
      </c>
      <c r="P1323" s="45">
        <f>HEX2DEC(RIGHT(Table132321[[#This Row],[h1]],8))</f>
        <v>0</v>
      </c>
      <c r="Q1323" s="45" t="s">
        <v>97</v>
      </c>
      <c r="R1323" s="45">
        <f>HEX2DEC(RIGHT(Table132321[[#This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5" t="s">
        <v>97</v>
      </c>
      <c r="P1324" s="45">
        <f>HEX2DEC(RIGHT(Table132321[[#This Row],[h1]],8))</f>
        <v>0</v>
      </c>
      <c r="Q1324" s="45" t="s">
        <v>97</v>
      </c>
      <c r="R1324" s="45">
        <f>HEX2DEC(RIGHT(Table132321[[#This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5" t="s">
        <v>97</v>
      </c>
      <c r="P1325" s="45">
        <f>HEX2DEC(RIGHT(Table132321[[#This Row],[h1]],8))</f>
        <v>0</v>
      </c>
      <c r="Q1325" s="45" t="s">
        <v>97</v>
      </c>
      <c r="R1325" s="45">
        <f>HEX2DEC(RIGHT(Table132321[[#This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5" t="s">
        <v>97</v>
      </c>
      <c r="P1326" s="45">
        <f>HEX2DEC(RIGHT(Table132321[[#This Row],[h1]],8))</f>
        <v>0</v>
      </c>
      <c r="Q1326" s="45" t="s">
        <v>97</v>
      </c>
      <c r="R1326" s="45">
        <f>HEX2DEC(RIGHT(Table132321[[#This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5" t="s">
        <v>97</v>
      </c>
      <c r="P1327" s="45">
        <f>HEX2DEC(RIGHT(Table132321[[#This Row],[h1]],8))</f>
        <v>0</v>
      </c>
      <c r="Q1327" s="45" t="s">
        <v>97</v>
      </c>
      <c r="R1327" s="45">
        <f>HEX2DEC(RIGHT(Table132321[[#This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5" t="s">
        <v>97</v>
      </c>
      <c r="P1328" s="45">
        <f>HEX2DEC(RIGHT(Table132321[[#This Row],[h1]],8))</f>
        <v>0</v>
      </c>
      <c r="Q1328" s="45" t="s">
        <v>97</v>
      </c>
      <c r="R1328" s="45">
        <f>HEX2DEC(RIGHT(Table132321[[#This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5" t="s">
        <v>97</v>
      </c>
      <c r="P1329" s="45">
        <f>HEX2DEC(RIGHT(Table132321[[#This Row],[h1]],8))</f>
        <v>0</v>
      </c>
      <c r="Q1329" s="45" t="s">
        <v>97</v>
      </c>
      <c r="R1329" s="45">
        <f>HEX2DEC(RIGHT(Table132321[[#This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5" t="s">
        <v>97</v>
      </c>
      <c r="P1330" s="45">
        <f>HEX2DEC(RIGHT(Table132321[[#This Row],[h1]],8))</f>
        <v>0</v>
      </c>
      <c r="Q1330" s="45" t="s">
        <v>97</v>
      </c>
      <c r="R1330" s="45">
        <f>HEX2DEC(RIGHT(Table132321[[#This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5" t="s">
        <v>97</v>
      </c>
      <c r="P1331" s="45">
        <f>HEX2DEC(RIGHT(Table132321[[#This Row],[h1]],8))</f>
        <v>0</v>
      </c>
      <c r="Q1331" s="45" t="s">
        <v>97</v>
      </c>
      <c r="R1331" s="45">
        <f>HEX2DEC(RIGHT(Table132321[[#This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5" t="s">
        <v>97</v>
      </c>
      <c r="P1332" s="45">
        <f>HEX2DEC(RIGHT(Table132321[[#This Row],[h1]],8))</f>
        <v>0</v>
      </c>
      <c r="Q1332" s="45" t="s">
        <v>97</v>
      </c>
      <c r="R1332" s="45">
        <f>HEX2DEC(RIGHT(Table132321[[#This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5" t="s">
        <v>97</v>
      </c>
      <c r="P1333" s="45">
        <f>HEX2DEC(RIGHT(Table132321[[#This Row],[h1]],8))</f>
        <v>0</v>
      </c>
      <c r="Q1333" s="45" t="s">
        <v>97</v>
      </c>
      <c r="R1333" s="45">
        <f>HEX2DEC(RIGHT(Table132321[[#This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5" t="s">
        <v>97</v>
      </c>
      <c r="P1334" s="45">
        <f>HEX2DEC(RIGHT(Table132321[[#This Row],[h1]],8))</f>
        <v>0</v>
      </c>
      <c r="Q1334" s="45" t="s">
        <v>97</v>
      </c>
      <c r="R1334" s="45">
        <f>HEX2DEC(RIGHT(Table132321[[#This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5" t="s">
        <v>97</v>
      </c>
      <c r="P1335" s="45">
        <f>HEX2DEC(RIGHT(Table132321[[#This Row],[h1]],8))</f>
        <v>0</v>
      </c>
      <c r="Q1335" s="45" t="s">
        <v>97</v>
      </c>
      <c r="R1335" s="45">
        <f>HEX2DEC(RIGHT(Table132321[[#This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5" t="s">
        <v>97</v>
      </c>
      <c r="P1336" s="45">
        <f>HEX2DEC(RIGHT(Table132321[[#This Row],[h1]],8))</f>
        <v>0</v>
      </c>
      <c r="Q1336" s="45" t="s">
        <v>97</v>
      </c>
      <c r="R1336" s="45">
        <f>HEX2DEC(RIGHT(Table132321[[#This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5" t="s">
        <v>97</v>
      </c>
      <c r="P1337" s="45">
        <f>HEX2DEC(RIGHT(Table132321[[#This Row],[h1]],8))</f>
        <v>0</v>
      </c>
      <c r="Q1337" s="45" t="s">
        <v>97</v>
      </c>
      <c r="R1337" s="45">
        <f>HEX2DEC(RIGHT(Table132321[[#This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5" t="s">
        <v>97</v>
      </c>
      <c r="P1338" s="45">
        <f>HEX2DEC(RIGHT(Table132321[[#This Row],[h1]],8))</f>
        <v>0</v>
      </c>
      <c r="Q1338" s="45" t="s">
        <v>97</v>
      </c>
      <c r="R1338" s="45">
        <f>HEX2DEC(RIGHT(Table132321[[#This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5" t="s">
        <v>97</v>
      </c>
      <c r="P1339" s="45">
        <f>HEX2DEC(RIGHT(Table132321[[#This Row],[h1]],8))</f>
        <v>0</v>
      </c>
      <c r="Q1339" s="45" t="s">
        <v>97</v>
      </c>
      <c r="R1339" s="45">
        <f>HEX2DEC(RIGHT(Table132321[[#This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5" t="s">
        <v>97</v>
      </c>
      <c r="P1340" s="45">
        <f>HEX2DEC(RIGHT(Table132321[[#This Row],[h1]],8))</f>
        <v>0</v>
      </c>
      <c r="Q1340" s="45" t="s">
        <v>97</v>
      </c>
      <c r="R1340" s="45">
        <f>HEX2DEC(RIGHT(Table132321[[#This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5" t="s">
        <v>97</v>
      </c>
      <c r="P1341" s="45">
        <f>HEX2DEC(RIGHT(Table132321[[#This Row],[h1]],8))</f>
        <v>0</v>
      </c>
      <c r="Q1341" s="45" t="s">
        <v>97</v>
      </c>
      <c r="R1341" s="45">
        <f>HEX2DEC(RIGHT(Table132321[[#This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5" t="s">
        <v>97</v>
      </c>
      <c r="P1342" s="45">
        <f>HEX2DEC(RIGHT(Table132321[[#This Row],[h1]],8))</f>
        <v>0</v>
      </c>
      <c r="Q1342" s="45" t="s">
        <v>97</v>
      </c>
      <c r="R1342" s="45">
        <f>HEX2DEC(RIGHT(Table132321[[#This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5" t="s">
        <v>97</v>
      </c>
      <c r="P1343" s="45">
        <f>HEX2DEC(RIGHT(Table132321[[#This Row],[h1]],8))</f>
        <v>0</v>
      </c>
      <c r="Q1343" s="45" t="s">
        <v>97</v>
      </c>
      <c r="R1343" s="45">
        <f>HEX2DEC(RIGHT(Table132321[[#This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5" t="s">
        <v>97</v>
      </c>
      <c r="P1344" s="45">
        <f>HEX2DEC(RIGHT(Table132321[[#This Row],[h1]],8))</f>
        <v>0</v>
      </c>
      <c r="Q1344" s="45" t="s">
        <v>97</v>
      </c>
      <c r="R1344" s="45">
        <f>HEX2DEC(RIGHT(Table132321[[#This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5" t="s">
        <v>97</v>
      </c>
      <c r="P1345" s="45">
        <f>HEX2DEC(RIGHT(Table132321[[#This Row],[h1]],8))</f>
        <v>0</v>
      </c>
      <c r="Q1345" s="45" t="s">
        <v>97</v>
      </c>
      <c r="R1345" s="45">
        <f>HEX2DEC(RIGHT(Table132321[[#This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5" t="s">
        <v>97</v>
      </c>
      <c r="P1346" s="45">
        <f>HEX2DEC(RIGHT(Table132321[[#This Row],[h1]],8))</f>
        <v>0</v>
      </c>
      <c r="Q1346" s="45" t="s">
        <v>97</v>
      </c>
      <c r="R1346" s="45">
        <f>HEX2DEC(RIGHT(Table132321[[#This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5" t="s">
        <v>97</v>
      </c>
      <c r="P1347" s="45">
        <f>HEX2DEC(RIGHT(Table132321[[#This Row],[h1]],8))</f>
        <v>0</v>
      </c>
      <c r="Q1347" s="45" t="s">
        <v>97</v>
      </c>
      <c r="R1347" s="45">
        <f>HEX2DEC(RIGHT(Table132321[[#This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5" t="s">
        <v>97</v>
      </c>
      <c r="P1348" s="45">
        <f>HEX2DEC(RIGHT(Table132321[[#This Row],[h1]],8))</f>
        <v>0</v>
      </c>
      <c r="Q1348" s="45" t="s">
        <v>97</v>
      </c>
      <c r="R1348" s="45">
        <f>HEX2DEC(RIGHT(Table132321[[#This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5" t="s">
        <v>97</v>
      </c>
      <c r="P1349" s="45">
        <f>HEX2DEC(RIGHT(Table132321[[#This Row],[h1]],8))</f>
        <v>0</v>
      </c>
      <c r="Q1349" s="45" t="s">
        <v>97</v>
      </c>
      <c r="R1349" s="45">
        <f>HEX2DEC(RIGHT(Table132321[[#This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5" t="s">
        <v>97</v>
      </c>
      <c r="P1350" s="45">
        <f>HEX2DEC(RIGHT(Table132321[[#This Row],[h1]],8))</f>
        <v>0</v>
      </c>
      <c r="Q1350" s="45" t="s">
        <v>97</v>
      </c>
      <c r="R1350" s="45">
        <f>HEX2DEC(RIGHT(Table132321[[#This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5" t="s">
        <v>97</v>
      </c>
      <c r="P1351" s="45">
        <f>HEX2DEC(RIGHT(Table132321[[#This Row],[h1]],8))</f>
        <v>0</v>
      </c>
      <c r="Q1351" s="45" t="s">
        <v>97</v>
      </c>
      <c r="R1351" s="45">
        <f>HEX2DEC(RIGHT(Table132321[[#This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5" t="s">
        <v>97</v>
      </c>
      <c r="P1352" s="45">
        <f>HEX2DEC(RIGHT(Table132321[[#This Row],[h1]],8))</f>
        <v>0</v>
      </c>
      <c r="Q1352" s="45" t="s">
        <v>97</v>
      </c>
      <c r="R1352" s="45">
        <f>HEX2DEC(RIGHT(Table132321[[#This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5" t="s">
        <v>97</v>
      </c>
      <c r="P1353" s="45">
        <f>HEX2DEC(RIGHT(Table132321[[#This Row],[h1]],8))</f>
        <v>0</v>
      </c>
      <c r="Q1353" s="45" t="s">
        <v>97</v>
      </c>
      <c r="R1353" s="45">
        <f>HEX2DEC(RIGHT(Table132321[[#This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5" t="s">
        <v>97</v>
      </c>
      <c r="P1354" s="45">
        <f>HEX2DEC(RIGHT(Table132321[[#This Row],[h1]],8))</f>
        <v>0</v>
      </c>
      <c r="Q1354" s="45" t="s">
        <v>97</v>
      </c>
      <c r="R1354" s="45">
        <f>HEX2DEC(RIGHT(Table132321[[#This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5" t="s">
        <v>97</v>
      </c>
      <c r="P1355" s="45">
        <f>HEX2DEC(RIGHT(Table132321[[#This Row],[h1]],8))</f>
        <v>0</v>
      </c>
      <c r="Q1355" s="45" t="s">
        <v>97</v>
      </c>
      <c r="R1355" s="45">
        <f>HEX2DEC(RIGHT(Table132321[[#This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5" t="s">
        <v>97</v>
      </c>
      <c r="P1356" s="45">
        <f>HEX2DEC(RIGHT(Table132321[[#This Row],[h1]],8))</f>
        <v>0</v>
      </c>
      <c r="Q1356" s="45" t="s">
        <v>97</v>
      </c>
      <c r="R1356" s="45">
        <f>HEX2DEC(RIGHT(Table132321[[#This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5" t="s">
        <v>97</v>
      </c>
      <c r="P1357" s="45">
        <f>HEX2DEC(RIGHT(Table132321[[#This Row],[h1]],8))</f>
        <v>0</v>
      </c>
      <c r="Q1357" s="45" t="s">
        <v>97</v>
      </c>
      <c r="R1357" s="45">
        <f>HEX2DEC(RIGHT(Table132321[[#This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5" t="s">
        <v>97</v>
      </c>
      <c r="P1358" s="45">
        <f>HEX2DEC(RIGHT(Table132321[[#This Row],[h1]],8))</f>
        <v>0</v>
      </c>
      <c r="Q1358" s="45" t="s">
        <v>97</v>
      </c>
      <c r="R1358" s="45">
        <f>HEX2DEC(RIGHT(Table132321[[#This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5" t="s">
        <v>97</v>
      </c>
      <c r="P1359" s="45">
        <f>HEX2DEC(RIGHT(Table132321[[#This Row],[h1]],8))</f>
        <v>0</v>
      </c>
      <c r="Q1359" s="45" t="s">
        <v>97</v>
      </c>
      <c r="R1359" s="45">
        <f>HEX2DEC(RIGHT(Table132321[[#This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5" t="s">
        <v>97</v>
      </c>
      <c r="P1360" s="45">
        <f>HEX2DEC(RIGHT(Table132321[[#This Row],[h1]],8))</f>
        <v>0</v>
      </c>
      <c r="Q1360" s="45" t="s">
        <v>97</v>
      </c>
      <c r="R1360" s="45">
        <f>HEX2DEC(RIGHT(Table132321[[#This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5" t="s">
        <v>97</v>
      </c>
      <c r="P1361" s="45">
        <f>HEX2DEC(RIGHT(Table132321[[#This Row],[h1]],8))</f>
        <v>0</v>
      </c>
      <c r="Q1361" s="45" t="s">
        <v>97</v>
      </c>
      <c r="R1361" s="45">
        <f>HEX2DEC(RIGHT(Table132321[[#This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5" t="s">
        <v>97</v>
      </c>
      <c r="P1362" s="45">
        <f>HEX2DEC(RIGHT(Table132321[[#This Row],[h1]],8))</f>
        <v>0</v>
      </c>
      <c r="Q1362" s="45" t="s">
        <v>97</v>
      </c>
      <c r="R1362" s="45">
        <f>HEX2DEC(RIGHT(Table132321[[#This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5" t="s">
        <v>97</v>
      </c>
      <c r="P1363" s="45">
        <f>HEX2DEC(RIGHT(Table132321[[#This Row],[h1]],8))</f>
        <v>0</v>
      </c>
      <c r="Q1363" s="45" t="s">
        <v>97</v>
      </c>
      <c r="R1363" s="45">
        <f>HEX2DEC(RIGHT(Table132321[[#This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5" t="s">
        <v>97</v>
      </c>
      <c r="P1364" s="45">
        <f>HEX2DEC(RIGHT(Table132321[[#This Row],[h1]],8))</f>
        <v>0</v>
      </c>
      <c r="Q1364" s="45" t="s">
        <v>97</v>
      </c>
      <c r="R1364" s="45">
        <f>HEX2DEC(RIGHT(Table132321[[#This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5" t="s">
        <v>97</v>
      </c>
      <c r="P1365" s="45">
        <f>HEX2DEC(RIGHT(Table132321[[#This Row],[h1]],8))</f>
        <v>0</v>
      </c>
      <c r="Q1365" s="45" t="s">
        <v>97</v>
      </c>
      <c r="R1365" s="45">
        <f>HEX2DEC(RIGHT(Table132321[[#This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5" t="s">
        <v>97</v>
      </c>
      <c r="P1366" s="45">
        <f>HEX2DEC(RIGHT(Table132321[[#This Row],[h1]],8))</f>
        <v>0</v>
      </c>
      <c r="Q1366" s="45" t="s">
        <v>97</v>
      </c>
      <c r="R1366" s="45">
        <f>HEX2DEC(RIGHT(Table132321[[#This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5" t="s">
        <v>97</v>
      </c>
      <c r="P1367" s="45">
        <f>HEX2DEC(RIGHT(Table132321[[#This Row],[h1]],8))</f>
        <v>0</v>
      </c>
      <c r="Q1367" s="45" t="s">
        <v>97</v>
      </c>
      <c r="R1367" s="45">
        <f>HEX2DEC(RIGHT(Table132321[[#This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5" t="s">
        <v>97</v>
      </c>
      <c r="P1368" s="45">
        <f>HEX2DEC(RIGHT(Table132321[[#This Row],[h1]],8))</f>
        <v>0</v>
      </c>
      <c r="Q1368" s="45" t="s">
        <v>97</v>
      </c>
      <c r="R1368" s="45">
        <f>HEX2DEC(RIGHT(Table132321[[#This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5" t="s">
        <v>97</v>
      </c>
      <c r="P1369" s="45">
        <f>HEX2DEC(RIGHT(Table132321[[#This Row],[h1]],8))</f>
        <v>0</v>
      </c>
      <c r="Q1369" s="45" t="s">
        <v>97</v>
      </c>
      <c r="R1369" s="45">
        <f>HEX2DEC(RIGHT(Table132321[[#This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5" t="s">
        <v>97</v>
      </c>
      <c r="P1370" s="45">
        <f>HEX2DEC(RIGHT(Table132321[[#This Row],[h1]],8))</f>
        <v>0</v>
      </c>
      <c r="Q1370" s="45" t="s">
        <v>97</v>
      </c>
      <c r="R1370" s="45">
        <f>HEX2DEC(RIGHT(Table132321[[#This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5" t="s">
        <v>97</v>
      </c>
      <c r="P1371" s="45">
        <f>HEX2DEC(RIGHT(Table132321[[#This Row],[h1]],8))</f>
        <v>0</v>
      </c>
      <c r="Q1371" s="45" t="s">
        <v>97</v>
      </c>
      <c r="R1371" s="45">
        <f>HEX2DEC(RIGHT(Table132321[[#This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5" t="s">
        <v>97</v>
      </c>
      <c r="P1372" s="45">
        <f>HEX2DEC(RIGHT(Table132321[[#This Row],[h1]],8))</f>
        <v>0</v>
      </c>
      <c r="Q1372" s="45" t="s">
        <v>97</v>
      </c>
      <c r="R1372" s="45">
        <f>HEX2DEC(RIGHT(Table132321[[#This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5" t="s">
        <v>97</v>
      </c>
      <c r="P1373" s="45">
        <f>HEX2DEC(RIGHT(Table132321[[#This Row],[h1]],8))</f>
        <v>0</v>
      </c>
      <c r="Q1373" s="45" t="s">
        <v>97</v>
      </c>
      <c r="R1373" s="45">
        <f>HEX2DEC(RIGHT(Table132321[[#This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5" t="s">
        <v>97</v>
      </c>
      <c r="P1374" s="45">
        <f>HEX2DEC(RIGHT(Table132321[[#This Row],[h1]],8))</f>
        <v>0</v>
      </c>
      <c r="Q1374" s="45" t="s">
        <v>97</v>
      </c>
      <c r="R1374" s="45">
        <f>HEX2DEC(RIGHT(Table132321[[#This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5" t="s">
        <v>97</v>
      </c>
      <c r="P1375" s="45">
        <f>HEX2DEC(RIGHT(Table132321[[#This Row],[h1]],8))</f>
        <v>0</v>
      </c>
      <c r="Q1375" s="45" t="s">
        <v>97</v>
      </c>
      <c r="R1375" s="45">
        <f>HEX2DEC(RIGHT(Table132321[[#This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5" t="s">
        <v>97</v>
      </c>
      <c r="P1376" s="45">
        <f>HEX2DEC(RIGHT(Table132321[[#This Row],[h1]],8))</f>
        <v>0</v>
      </c>
      <c r="Q1376" s="45" t="s">
        <v>97</v>
      </c>
      <c r="R1376" s="45">
        <f>HEX2DEC(RIGHT(Table132321[[#This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5" t="s">
        <v>97</v>
      </c>
      <c r="P1377" s="45">
        <f>HEX2DEC(RIGHT(Table132321[[#This Row],[h1]],8))</f>
        <v>0</v>
      </c>
      <c r="Q1377" s="45" t="s">
        <v>97</v>
      </c>
      <c r="R1377" s="45">
        <f>HEX2DEC(RIGHT(Table132321[[#This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5" t="s">
        <v>97</v>
      </c>
      <c r="P1378" s="45">
        <f>HEX2DEC(RIGHT(Table132321[[#This Row],[h1]],8))</f>
        <v>0</v>
      </c>
      <c r="Q1378" s="45" t="s">
        <v>97</v>
      </c>
      <c r="R1378" s="45">
        <f>HEX2DEC(RIGHT(Table132321[[#This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5" t="s">
        <v>97</v>
      </c>
      <c r="P1379" s="45">
        <f>HEX2DEC(RIGHT(Table132321[[#This Row],[h1]],8))</f>
        <v>0</v>
      </c>
      <c r="Q1379" s="45" t="s">
        <v>97</v>
      </c>
      <c r="R1379" s="45">
        <f>HEX2DEC(RIGHT(Table132321[[#This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5" t="s">
        <v>97</v>
      </c>
      <c r="P1380" s="45">
        <f>HEX2DEC(RIGHT(Table132321[[#This Row],[h1]],8))</f>
        <v>0</v>
      </c>
      <c r="Q1380" s="45" t="s">
        <v>97</v>
      </c>
      <c r="R1380" s="45">
        <f>HEX2DEC(RIGHT(Table132321[[#This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5" t="s">
        <v>97</v>
      </c>
      <c r="P1381" s="45">
        <f>HEX2DEC(RIGHT(Table132321[[#This Row],[h1]],8))</f>
        <v>0</v>
      </c>
      <c r="Q1381" s="45" t="s">
        <v>97</v>
      </c>
      <c r="R1381" s="45">
        <f>HEX2DEC(RIGHT(Table132321[[#This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5" t="s">
        <v>97</v>
      </c>
      <c r="P1382" s="45">
        <f>HEX2DEC(RIGHT(Table132321[[#This Row],[h1]],8))</f>
        <v>0</v>
      </c>
      <c r="Q1382" s="45" t="s">
        <v>97</v>
      </c>
      <c r="R1382" s="45">
        <f>HEX2DEC(RIGHT(Table132321[[#This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5" t="s">
        <v>97</v>
      </c>
      <c r="P1383" s="45">
        <f>HEX2DEC(RIGHT(Table132321[[#This Row],[h1]],8))</f>
        <v>0</v>
      </c>
      <c r="Q1383" s="45" t="s">
        <v>97</v>
      </c>
      <c r="R1383" s="45">
        <f>HEX2DEC(RIGHT(Table132321[[#This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5" t="s">
        <v>97</v>
      </c>
      <c r="P1384" s="45">
        <f>HEX2DEC(RIGHT(Table132321[[#This Row],[h1]],8))</f>
        <v>0</v>
      </c>
      <c r="Q1384" s="45" t="s">
        <v>97</v>
      </c>
      <c r="R1384" s="45">
        <f>HEX2DEC(RIGHT(Table132321[[#This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5" t="s">
        <v>97</v>
      </c>
      <c r="P1385" s="45">
        <f>HEX2DEC(RIGHT(Table132321[[#This Row],[h1]],8))</f>
        <v>0</v>
      </c>
      <c r="Q1385" s="45" t="s">
        <v>97</v>
      </c>
      <c r="R1385" s="45">
        <f>HEX2DEC(RIGHT(Table132321[[#This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5" t="s">
        <v>97</v>
      </c>
      <c r="P1386" s="45">
        <f>HEX2DEC(RIGHT(Table132321[[#This Row],[h1]],8))</f>
        <v>0</v>
      </c>
      <c r="Q1386" s="45" t="s">
        <v>97</v>
      </c>
      <c r="R1386" s="45">
        <f>HEX2DEC(RIGHT(Table132321[[#This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5" t="s">
        <v>97</v>
      </c>
      <c r="P1387" s="45">
        <f>HEX2DEC(RIGHT(Table132321[[#This Row],[h1]],8))</f>
        <v>0</v>
      </c>
      <c r="Q1387" s="45" t="s">
        <v>97</v>
      </c>
      <c r="R1387" s="45">
        <f>HEX2DEC(RIGHT(Table132321[[#This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5" t="s">
        <v>97</v>
      </c>
      <c r="P1388" s="45">
        <f>HEX2DEC(RIGHT(Table132321[[#This Row],[h1]],8))</f>
        <v>0</v>
      </c>
      <c r="Q1388" s="45" t="s">
        <v>97</v>
      </c>
      <c r="R1388" s="45">
        <f>HEX2DEC(RIGHT(Table132321[[#This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5" t="s">
        <v>97</v>
      </c>
      <c r="P1389" s="45">
        <f>HEX2DEC(RIGHT(Table132321[[#This Row],[h1]],8))</f>
        <v>0</v>
      </c>
      <c r="Q1389" s="45" t="s">
        <v>97</v>
      </c>
      <c r="R1389" s="45">
        <f>HEX2DEC(RIGHT(Table132321[[#This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5" t="s">
        <v>97</v>
      </c>
      <c r="P1390" s="45">
        <f>HEX2DEC(RIGHT(Table132321[[#This Row],[h1]],8))</f>
        <v>0</v>
      </c>
      <c r="Q1390" s="45" t="s">
        <v>97</v>
      </c>
      <c r="R1390" s="45">
        <f>HEX2DEC(RIGHT(Table132321[[#This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5" t="s">
        <v>97</v>
      </c>
      <c r="P1391" s="45">
        <f>HEX2DEC(RIGHT(Table132321[[#This Row],[h1]],8))</f>
        <v>0</v>
      </c>
      <c r="Q1391" s="45" t="s">
        <v>97</v>
      </c>
      <c r="R1391" s="45">
        <f>HEX2DEC(RIGHT(Table132321[[#This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5" t="s">
        <v>97</v>
      </c>
      <c r="P1392" s="45">
        <f>HEX2DEC(RIGHT(Table132321[[#This Row],[h1]],8))</f>
        <v>0</v>
      </c>
      <c r="Q1392" s="45" t="s">
        <v>97</v>
      </c>
      <c r="R1392" s="45">
        <f>HEX2DEC(RIGHT(Table132321[[#This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5" t="s">
        <v>97</v>
      </c>
      <c r="P1393" s="45">
        <f>HEX2DEC(RIGHT(Table132321[[#This Row],[h1]],8))</f>
        <v>0</v>
      </c>
      <c r="Q1393" s="45" t="s">
        <v>97</v>
      </c>
      <c r="R1393" s="45">
        <f>HEX2DEC(RIGHT(Table132321[[#This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5" t="s">
        <v>97</v>
      </c>
      <c r="P1394" s="45">
        <f>HEX2DEC(RIGHT(Table132321[[#This Row],[h1]],8))</f>
        <v>0</v>
      </c>
      <c r="Q1394" s="45" t="s">
        <v>97</v>
      </c>
      <c r="R1394" s="45">
        <f>HEX2DEC(RIGHT(Table132321[[#This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5" t="s">
        <v>97</v>
      </c>
      <c r="P1395" s="45">
        <f>HEX2DEC(RIGHT(Table132321[[#This Row],[h1]],8))</f>
        <v>0</v>
      </c>
      <c r="Q1395" s="45" t="s">
        <v>97</v>
      </c>
      <c r="R1395" s="45">
        <f>HEX2DEC(RIGHT(Table132321[[#This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5" t="s">
        <v>97</v>
      </c>
      <c r="P1396" s="45">
        <f>HEX2DEC(RIGHT(Table132321[[#This Row],[h1]],8))</f>
        <v>0</v>
      </c>
      <c r="Q1396" s="45" t="s">
        <v>97</v>
      </c>
      <c r="R1396" s="45">
        <f>HEX2DEC(RIGHT(Table132321[[#This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5" t="s">
        <v>97</v>
      </c>
      <c r="P1397" s="45">
        <f>HEX2DEC(RIGHT(Table132321[[#This Row],[h1]],8))</f>
        <v>0</v>
      </c>
      <c r="Q1397" s="45" t="s">
        <v>97</v>
      </c>
      <c r="R1397" s="45">
        <f>HEX2DEC(RIGHT(Table132321[[#This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5" t="s">
        <v>97</v>
      </c>
      <c r="P1398" s="45">
        <f>HEX2DEC(RIGHT(Table132321[[#This Row],[h1]],8))</f>
        <v>0</v>
      </c>
      <c r="Q1398" s="45" t="s">
        <v>97</v>
      </c>
      <c r="R1398" s="45">
        <f>HEX2DEC(RIGHT(Table132321[[#This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5" t="s">
        <v>97</v>
      </c>
      <c r="P1399" s="45">
        <f>HEX2DEC(RIGHT(Table132321[[#This Row],[h1]],8))</f>
        <v>0</v>
      </c>
      <c r="Q1399" s="45" t="s">
        <v>97</v>
      </c>
      <c r="R1399" s="45">
        <f>HEX2DEC(RIGHT(Table132321[[#This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5" t="s">
        <v>97</v>
      </c>
      <c r="P1400" s="45">
        <f>HEX2DEC(RIGHT(Table132321[[#This Row],[h1]],8))</f>
        <v>0</v>
      </c>
      <c r="Q1400" s="45" t="s">
        <v>97</v>
      </c>
      <c r="R1400" s="45">
        <f>HEX2DEC(RIGHT(Table132321[[#This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5" t="s">
        <v>97</v>
      </c>
      <c r="P1401" s="45">
        <f>HEX2DEC(RIGHT(Table132321[[#This Row],[h1]],8))</f>
        <v>0</v>
      </c>
      <c r="Q1401" s="45" t="s">
        <v>97</v>
      </c>
      <c r="R1401" s="45">
        <f>HEX2DEC(RIGHT(Table132321[[#This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5" t="s">
        <v>97</v>
      </c>
      <c r="P1402" s="45">
        <f>HEX2DEC(RIGHT(Table132321[[#This Row],[h1]],8))</f>
        <v>0</v>
      </c>
      <c r="Q1402" s="45" t="s">
        <v>97</v>
      </c>
      <c r="R1402" s="45">
        <f>HEX2DEC(RIGHT(Table132321[[#This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5" t="s">
        <v>97</v>
      </c>
      <c r="P1403" s="45">
        <f>HEX2DEC(RIGHT(Table132321[[#This Row],[h1]],8))</f>
        <v>0</v>
      </c>
      <c r="Q1403" s="45" t="s">
        <v>97</v>
      </c>
      <c r="R1403" s="45">
        <f>HEX2DEC(RIGHT(Table132321[[#This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5" t="s">
        <v>97</v>
      </c>
      <c r="P1404" s="45">
        <f>HEX2DEC(RIGHT(Table132321[[#This Row],[h1]],8))</f>
        <v>0</v>
      </c>
      <c r="Q1404" s="45" t="s">
        <v>97</v>
      </c>
      <c r="R1404" s="45">
        <f>HEX2DEC(RIGHT(Table132321[[#This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5" t="s">
        <v>97</v>
      </c>
      <c r="P1405" s="45">
        <f>HEX2DEC(RIGHT(Table132321[[#This Row],[h1]],8))</f>
        <v>0</v>
      </c>
      <c r="Q1405" s="45" t="s">
        <v>97</v>
      </c>
      <c r="R1405" s="45">
        <f>HEX2DEC(RIGHT(Table132321[[#This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5" t="s">
        <v>97</v>
      </c>
      <c r="P1406" s="45">
        <f>HEX2DEC(RIGHT(Table132321[[#This Row],[h1]],8))</f>
        <v>0</v>
      </c>
      <c r="Q1406" s="45" t="s">
        <v>97</v>
      </c>
      <c r="R1406" s="45">
        <f>HEX2DEC(RIGHT(Table132321[[#This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5" t="s">
        <v>97</v>
      </c>
      <c r="P1407" s="45">
        <f>HEX2DEC(RIGHT(Table132321[[#This Row],[h1]],8))</f>
        <v>0</v>
      </c>
      <c r="Q1407" s="45" t="s">
        <v>97</v>
      </c>
      <c r="R1407" s="45">
        <f>HEX2DEC(RIGHT(Table132321[[#This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5" t="s">
        <v>97</v>
      </c>
      <c r="P1408" s="45">
        <f>HEX2DEC(RIGHT(Table132321[[#This Row],[h1]],8))</f>
        <v>0</v>
      </c>
      <c r="Q1408" s="45" t="s">
        <v>97</v>
      </c>
      <c r="R1408" s="45">
        <f>HEX2DEC(RIGHT(Table132321[[#This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5" t="s">
        <v>97</v>
      </c>
      <c r="P1409" s="45">
        <f>HEX2DEC(RIGHT(Table132321[[#This Row],[h1]],8))</f>
        <v>0</v>
      </c>
      <c r="Q1409" s="45" t="s">
        <v>97</v>
      </c>
      <c r="R1409" s="45">
        <f>HEX2DEC(RIGHT(Table132321[[#This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5" t="s">
        <v>97</v>
      </c>
      <c r="P1410" s="45">
        <f>HEX2DEC(RIGHT(Table132321[[#This Row],[h1]],8))</f>
        <v>0</v>
      </c>
      <c r="Q1410" s="45" t="s">
        <v>97</v>
      </c>
      <c r="R1410" s="45">
        <f>HEX2DEC(RIGHT(Table132321[[#This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5" t="s">
        <v>97</v>
      </c>
      <c r="P1411" s="45">
        <f>HEX2DEC(RIGHT(Table132321[[#This Row],[h1]],8))</f>
        <v>0</v>
      </c>
      <c r="Q1411" s="45" t="s">
        <v>97</v>
      </c>
      <c r="R1411" s="45">
        <f>HEX2DEC(RIGHT(Table132321[[#This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5" t="s">
        <v>97</v>
      </c>
      <c r="P1412" s="45">
        <f>HEX2DEC(RIGHT(Table132321[[#This Row],[h1]],8))</f>
        <v>0</v>
      </c>
      <c r="Q1412" s="45" t="s">
        <v>97</v>
      </c>
      <c r="R1412" s="45">
        <f>HEX2DEC(RIGHT(Table132321[[#This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5" t="s">
        <v>97</v>
      </c>
      <c r="P1413" s="45">
        <f>HEX2DEC(RIGHT(Table132321[[#This Row],[h1]],8))</f>
        <v>0</v>
      </c>
      <c r="Q1413" s="45" t="s">
        <v>97</v>
      </c>
      <c r="R1413" s="45">
        <f>HEX2DEC(RIGHT(Table132321[[#This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5" t="s">
        <v>97</v>
      </c>
      <c r="P1414" s="45">
        <f>HEX2DEC(RIGHT(Table132321[[#This Row],[h1]],8))</f>
        <v>0</v>
      </c>
      <c r="Q1414" s="45" t="s">
        <v>97</v>
      </c>
      <c r="R1414" s="45">
        <f>HEX2DEC(RIGHT(Table132321[[#This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5" t="s">
        <v>97</v>
      </c>
      <c r="P1415" s="45">
        <f>HEX2DEC(RIGHT(Table132321[[#This Row],[h1]],8))</f>
        <v>0</v>
      </c>
      <c r="Q1415" s="45" t="s">
        <v>97</v>
      </c>
      <c r="R1415" s="45">
        <f>HEX2DEC(RIGHT(Table132321[[#This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5" t="s">
        <v>97</v>
      </c>
      <c r="P1416" s="45">
        <f>HEX2DEC(RIGHT(Table132321[[#This Row],[h1]],8))</f>
        <v>0</v>
      </c>
      <c r="Q1416" s="45" t="s">
        <v>97</v>
      </c>
      <c r="R1416" s="45">
        <f>HEX2DEC(RIGHT(Table132321[[#This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5" t="s">
        <v>97</v>
      </c>
      <c r="P1417" s="45">
        <f>HEX2DEC(RIGHT(Table132321[[#This Row],[h1]],8))</f>
        <v>0</v>
      </c>
      <c r="Q1417" s="45" t="s">
        <v>97</v>
      </c>
      <c r="R1417" s="45">
        <f>HEX2DEC(RIGHT(Table132321[[#This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5" t="s">
        <v>97</v>
      </c>
      <c r="P1418" s="45">
        <f>HEX2DEC(RIGHT(Table132321[[#This Row],[h1]],8))</f>
        <v>0</v>
      </c>
      <c r="Q1418" s="45" t="s">
        <v>97</v>
      </c>
      <c r="R1418" s="45">
        <f>HEX2DEC(RIGHT(Table132321[[#This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5" t="s">
        <v>97</v>
      </c>
      <c r="P1419" s="45">
        <f>HEX2DEC(RIGHT(Table132321[[#This Row],[h1]],8))</f>
        <v>0</v>
      </c>
      <c r="Q1419" s="45" t="s">
        <v>97</v>
      </c>
      <c r="R1419" s="45">
        <f>HEX2DEC(RIGHT(Table132321[[#This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5" t="s">
        <v>97</v>
      </c>
      <c r="P1420" s="45">
        <f>HEX2DEC(RIGHT(Table132321[[#This Row],[h1]],8))</f>
        <v>0</v>
      </c>
      <c r="Q1420" s="45" t="s">
        <v>97</v>
      </c>
      <c r="R1420" s="45">
        <f>HEX2DEC(RIGHT(Table132321[[#This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5" t="s">
        <v>97</v>
      </c>
      <c r="P1421" s="45">
        <f>HEX2DEC(RIGHT(Table132321[[#This Row],[h1]],8))</f>
        <v>0</v>
      </c>
      <c r="Q1421" s="45" t="s">
        <v>97</v>
      </c>
      <c r="R1421" s="45">
        <f>HEX2DEC(RIGHT(Table132321[[#This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5" t="s">
        <v>97</v>
      </c>
      <c r="P1422" s="45">
        <f>HEX2DEC(RIGHT(Table132321[[#This Row],[h1]],8))</f>
        <v>0</v>
      </c>
      <c r="Q1422" s="45" t="s">
        <v>97</v>
      </c>
      <c r="R1422" s="45">
        <f>HEX2DEC(RIGHT(Table132321[[#This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5" t="s">
        <v>97</v>
      </c>
      <c r="P1423" s="45">
        <f>HEX2DEC(RIGHT(Table132321[[#This Row],[h1]],8))</f>
        <v>0</v>
      </c>
      <c r="Q1423" s="45" t="s">
        <v>97</v>
      </c>
      <c r="R1423" s="45">
        <f>HEX2DEC(RIGHT(Table132321[[#This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5" t="s">
        <v>97</v>
      </c>
      <c r="P1424" s="45">
        <f>HEX2DEC(RIGHT(Table132321[[#This Row],[h1]],8))</f>
        <v>0</v>
      </c>
      <c r="Q1424" s="45" t="s">
        <v>97</v>
      </c>
      <c r="R1424" s="45">
        <f>HEX2DEC(RIGHT(Table132321[[#This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5" t="s">
        <v>97</v>
      </c>
      <c r="P1425" s="45">
        <f>HEX2DEC(RIGHT(Table132321[[#This Row],[h1]],8))</f>
        <v>0</v>
      </c>
      <c r="Q1425" s="45" t="s">
        <v>97</v>
      </c>
      <c r="R1425" s="45">
        <f>HEX2DEC(RIGHT(Table132321[[#This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5" t="s">
        <v>97</v>
      </c>
      <c r="P1426" s="45">
        <f>HEX2DEC(RIGHT(Table132321[[#This Row],[h1]],8))</f>
        <v>0</v>
      </c>
      <c r="Q1426" s="45" t="s">
        <v>97</v>
      </c>
      <c r="R1426" s="45">
        <f>HEX2DEC(RIGHT(Table132321[[#This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5" t="s">
        <v>97</v>
      </c>
      <c r="P1427" s="45">
        <f>HEX2DEC(RIGHT(Table132321[[#This Row],[h1]],8))</f>
        <v>0</v>
      </c>
      <c r="Q1427" s="45" t="s">
        <v>97</v>
      </c>
      <c r="R1427" s="45">
        <f>HEX2DEC(RIGHT(Table132321[[#This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5" t="s">
        <v>97</v>
      </c>
      <c r="P1428" s="45">
        <f>HEX2DEC(RIGHT(Table132321[[#This Row],[h1]],8))</f>
        <v>0</v>
      </c>
      <c r="Q1428" s="45" t="s">
        <v>97</v>
      </c>
      <c r="R1428" s="45">
        <f>HEX2DEC(RIGHT(Table132321[[#This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5" t="s">
        <v>97</v>
      </c>
      <c r="P1429" s="45">
        <f>HEX2DEC(RIGHT(Table132321[[#This Row],[h1]],8))</f>
        <v>0</v>
      </c>
      <c r="Q1429" s="45" t="s">
        <v>97</v>
      </c>
      <c r="R1429" s="45">
        <f>HEX2DEC(RIGHT(Table132321[[#This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5" t="s">
        <v>97</v>
      </c>
      <c r="P1430" s="45">
        <f>HEX2DEC(RIGHT(Table132321[[#This Row],[h1]],8))</f>
        <v>0</v>
      </c>
      <c r="Q1430" s="45" t="s">
        <v>97</v>
      </c>
      <c r="R1430" s="45">
        <f>HEX2DEC(RIGHT(Table132321[[#This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5" t="s">
        <v>97</v>
      </c>
      <c r="P1431" s="45">
        <f>HEX2DEC(RIGHT(Table132321[[#This Row],[h1]],8))</f>
        <v>0</v>
      </c>
      <c r="Q1431" s="45" t="s">
        <v>97</v>
      </c>
      <c r="R1431" s="45">
        <f>HEX2DEC(RIGHT(Table132321[[#This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5" t="s">
        <v>97</v>
      </c>
      <c r="P1432" s="45">
        <f>HEX2DEC(RIGHT(Table132321[[#This Row],[h1]],8))</f>
        <v>0</v>
      </c>
      <c r="Q1432" s="45" t="s">
        <v>97</v>
      </c>
      <c r="R1432" s="45">
        <f>HEX2DEC(RIGHT(Table132321[[#This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5" t="s">
        <v>97</v>
      </c>
      <c r="P1433" s="45">
        <f>HEX2DEC(RIGHT(Table132321[[#This Row],[h1]],8))</f>
        <v>0</v>
      </c>
      <c r="Q1433" s="45" t="s">
        <v>97</v>
      </c>
      <c r="R1433" s="45">
        <f>HEX2DEC(RIGHT(Table132321[[#This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5" t="s">
        <v>97</v>
      </c>
      <c r="P1434" s="45">
        <f>HEX2DEC(RIGHT(Table132321[[#This Row],[h1]],8))</f>
        <v>0</v>
      </c>
      <c r="Q1434" s="45" t="s">
        <v>97</v>
      </c>
      <c r="R1434" s="45">
        <f>HEX2DEC(RIGHT(Table132321[[#This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5" t="s">
        <v>97</v>
      </c>
      <c r="P1435" s="45">
        <f>HEX2DEC(RIGHT(Table132321[[#This Row],[h1]],8))</f>
        <v>0</v>
      </c>
      <c r="Q1435" s="45" t="s">
        <v>97</v>
      </c>
      <c r="R1435" s="45">
        <f>HEX2DEC(RIGHT(Table132321[[#This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5" t="s">
        <v>97</v>
      </c>
      <c r="P1436" s="45">
        <f>HEX2DEC(RIGHT(Table132321[[#This Row],[h1]],8))</f>
        <v>0</v>
      </c>
      <c r="Q1436" s="45" t="s">
        <v>97</v>
      </c>
      <c r="R1436" s="45">
        <f>HEX2DEC(RIGHT(Table132321[[#This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5" t="s">
        <v>97</v>
      </c>
      <c r="P1437" s="45">
        <f>HEX2DEC(RIGHT(Table132321[[#This Row],[h1]],8))</f>
        <v>0</v>
      </c>
      <c r="Q1437" s="45" t="s">
        <v>97</v>
      </c>
      <c r="R1437" s="45">
        <f>HEX2DEC(RIGHT(Table132321[[#This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5" t="s">
        <v>97</v>
      </c>
      <c r="P1438" s="45">
        <f>HEX2DEC(RIGHT(Table132321[[#This Row],[h1]],8))</f>
        <v>0</v>
      </c>
      <c r="Q1438" s="45" t="s">
        <v>97</v>
      </c>
      <c r="R1438" s="45">
        <f>HEX2DEC(RIGHT(Table132321[[#This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5" t="s">
        <v>97</v>
      </c>
      <c r="P1439" s="45">
        <f>HEX2DEC(RIGHT(Table132321[[#This Row],[h1]],8))</f>
        <v>0</v>
      </c>
      <c r="Q1439" s="45" t="s">
        <v>97</v>
      </c>
      <c r="R1439" s="45">
        <f>HEX2DEC(RIGHT(Table132321[[#This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5" t="s">
        <v>97</v>
      </c>
      <c r="P1440" s="45">
        <f>HEX2DEC(RIGHT(Table132321[[#This Row],[h1]],8))</f>
        <v>0</v>
      </c>
      <c r="Q1440" s="45" t="s">
        <v>97</v>
      </c>
      <c r="R1440" s="45">
        <f>HEX2DEC(RIGHT(Table132321[[#This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5" t="s">
        <v>97</v>
      </c>
      <c r="P1441" s="45">
        <f>HEX2DEC(RIGHT(Table132321[[#This Row],[h1]],8))</f>
        <v>0</v>
      </c>
      <c r="Q1441" s="45" t="s">
        <v>97</v>
      </c>
      <c r="R1441" s="45">
        <f>HEX2DEC(RIGHT(Table132321[[#This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5" t="s">
        <v>97</v>
      </c>
      <c r="P1442" s="45">
        <f>HEX2DEC(RIGHT(Table132321[[#This Row],[h1]],8))</f>
        <v>0</v>
      </c>
      <c r="Q1442" s="45" t="s">
        <v>97</v>
      </c>
      <c r="R1442" s="45">
        <f>HEX2DEC(RIGHT(Table132321[[#This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5" t="s">
        <v>97</v>
      </c>
      <c r="P1443" s="45">
        <f>HEX2DEC(RIGHT(Table132321[[#This Row],[h1]],8))</f>
        <v>0</v>
      </c>
      <c r="Q1443" s="45" t="s">
        <v>97</v>
      </c>
      <c r="R1443" s="45">
        <f>HEX2DEC(RIGHT(Table132321[[#This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5" t="s">
        <v>97</v>
      </c>
      <c r="P1444" s="45">
        <f>HEX2DEC(RIGHT(Table132321[[#This Row],[h1]],8))</f>
        <v>0</v>
      </c>
      <c r="Q1444" s="45" t="s">
        <v>97</v>
      </c>
      <c r="R1444" s="45">
        <f>HEX2DEC(RIGHT(Table132321[[#This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5" t="s">
        <v>97</v>
      </c>
      <c r="P1445" s="45">
        <f>HEX2DEC(RIGHT(Table132321[[#This Row],[h1]],8))</f>
        <v>0</v>
      </c>
      <c r="Q1445" s="45" t="s">
        <v>97</v>
      </c>
      <c r="R1445" s="45">
        <f>HEX2DEC(RIGHT(Table132321[[#This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5" t="s">
        <v>97</v>
      </c>
      <c r="P1446" s="45">
        <f>HEX2DEC(RIGHT(Table132321[[#This Row],[h1]],8))</f>
        <v>0</v>
      </c>
      <c r="Q1446" s="45" t="s">
        <v>97</v>
      </c>
      <c r="R1446" s="45">
        <f>HEX2DEC(RIGHT(Table132321[[#This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5" t="s">
        <v>97</v>
      </c>
      <c r="P1447" s="45">
        <f>HEX2DEC(RIGHT(Table132321[[#This Row],[h1]],8))</f>
        <v>0</v>
      </c>
      <c r="Q1447" s="45" t="s">
        <v>97</v>
      </c>
      <c r="R1447" s="45">
        <f>HEX2DEC(RIGHT(Table132321[[#This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5" t="s">
        <v>97</v>
      </c>
      <c r="P1448" s="45">
        <f>HEX2DEC(RIGHT(Table132321[[#This Row],[h1]],8))</f>
        <v>0</v>
      </c>
      <c r="Q1448" s="45" t="s">
        <v>97</v>
      </c>
      <c r="R1448" s="45">
        <f>HEX2DEC(RIGHT(Table132321[[#This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5" t="s">
        <v>97</v>
      </c>
      <c r="P1449" s="45">
        <f>HEX2DEC(RIGHT(Table132321[[#This Row],[h1]],8))</f>
        <v>0</v>
      </c>
      <c r="Q1449" s="45" t="s">
        <v>97</v>
      </c>
      <c r="R1449" s="45">
        <f>HEX2DEC(RIGHT(Table132321[[#This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5" t="s">
        <v>97</v>
      </c>
      <c r="P1450" s="45">
        <f>HEX2DEC(RIGHT(Table132321[[#This Row],[h1]],8))</f>
        <v>0</v>
      </c>
      <c r="Q1450" s="45" t="s">
        <v>97</v>
      </c>
      <c r="R1450" s="45">
        <f>HEX2DEC(RIGHT(Table132321[[#This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5" t="s">
        <v>97</v>
      </c>
      <c r="P1451" s="45">
        <f>HEX2DEC(RIGHT(Table132321[[#This Row],[h1]],8))</f>
        <v>0</v>
      </c>
      <c r="Q1451" s="45" t="s">
        <v>97</v>
      </c>
      <c r="R1451" s="45">
        <f>HEX2DEC(RIGHT(Table132321[[#This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5" t="s">
        <v>97</v>
      </c>
      <c r="P1452" s="45">
        <f>HEX2DEC(RIGHT(Table132321[[#This Row],[h1]],8))</f>
        <v>0</v>
      </c>
      <c r="Q1452" s="45" t="s">
        <v>97</v>
      </c>
      <c r="R1452" s="45">
        <f>HEX2DEC(RIGHT(Table132321[[#This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5" t="s">
        <v>97</v>
      </c>
      <c r="P1453" s="45">
        <f>HEX2DEC(RIGHT(Table132321[[#This Row],[h1]],8))</f>
        <v>0</v>
      </c>
      <c r="Q1453" s="45" t="s">
        <v>97</v>
      </c>
      <c r="R1453" s="45">
        <f>HEX2DEC(RIGHT(Table132321[[#This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5" t="s">
        <v>97</v>
      </c>
      <c r="P1454" s="45">
        <f>HEX2DEC(RIGHT(Table132321[[#This Row],[h1]],8))</f>
        <v>0</v>
      </c>
      <c r="Q1454" s="45" t="s">
        <v>97</v>
      </c>
      <c r="R1454" s="45">
        <f>HEX2DEC(RIGHT(Table132321[[#This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5" t="s">
        <v>97</v>
      </c>
      <c r="P1455" s="45">
        <f>HEX2DEC(RIGHT(Table132321[[#This Row],[h1]],8))</f>
        <v>0</v>
      </c>
      <c r="Q1455" s="45" t="s">
        <v>97</v>
      </c>
      <c r="R1455" s="45">
        <f>HEX2DEC(RIGHT(Table132321[[#This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5" t="s">
        <v>97</v>
      </c>
      <c r="P1456" s="45">
        <f>HEX2DEC(RIGHT(Table132321[[#This Row],[h1]],8))</f>
        <v>0</v>
      </c>
      <c r="Q1456" s="45" t="s">
        <v>97</v>
      </c>
      <c r="R1456" s="45">
        <f>HEX2DEC(RIGHT(Table132321[[#This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5" t="s">
        <v>97</v>
      </c>
      <c r="P1457" s="45">
        <f>HEX2DEC(RIGHT(Table132321[[#This Row],[h1]],8))</f>
        <v>0</v>
      </c>
      <c r="Q1457" s="45" t="s">
        <v>97</v>
      </c>
      <c r="R1457" s="45">
        <f>HEX2DEC(RIGHT(Table132321[[#This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5" t="s">
        <v>97</v>
      </c>
      <c r="P1458" s="45">
        <f>HEX2DEC(RIGHT(Table132321[[#This Row],[h1]],8))</f>
        <v>0</v>
      </c>
      <c r="Q1458" s="45" t="s">
        <v>97</v>
      </c>
      <c r="R1458" s="45">
        <f>HEX2DEC(RIGHT(Table132321[[#This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5" t="s">
        <v>97</v>
      </c>
      <c r="P1459" s="45">
        <f>HEX2DEC(RIGHT(Table132321[[#This Row],[h1]],8))</f>
        <v>0</v>
      </c>
      <c r="Q1459" s="45" t="s">
        <v>97</v>
      </c>
      <c r="R1459" s="45">
        <f>HEX2DEC(RIGHT(Table132321[[#This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5" t="s">
        <v>97</v>
      </c>
      <c r="P1460" s="45">
        <f>HEX2DEC(RIGHT(Table132321[[#This Row],[h1]],8))</f>
        <v>0</v>
      </c>
      <c r="Q1460" s="45" t="s">
        <v>97</v>
      </c>
      <c r="R1460" s="45">
        <f>HEX2DEC(RIGHT(Table132321[[#This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5" t="s">
        <v>97</v>
      </c>
      <c r="P1461" s="45">
        <f>HEX2DEC(RIGHT(Table132321[[#This Row],[h1]],8))</f>
        <v>0</v>
      </c>
      <c r="Q1461" s="45" t="s">
        <v>97</v>
      </c>
      <c r="R1461" s="45">
        <f>HEX2DEC(RIGHT(Table132321[[#This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5" t="s">
        <v>97</v>
      </c>
      <c r="P1462" s="45">
        <f>HEX2DEC(RIGHT(Table132321[[#This Row],[h1]],8))</f>
        <v>0</v>
      </c>
      <c r="Q1462" s="45" t="s">
        <v>97</v>
      </c>
      <c r="R1462" s="45">
        <f>HEX2DEC(RIGHT(Table132321[[#This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5" t="s">
        <v>97</v>
      </c>
      <c r="P1463" s="45">
        <f>HEX2DEC(RIGHT(Table132321[[#This Row],[h1]],8))</f>
        <v>0</v>
      </c>
      <c r="Q1463" s="45" t="s">
        <v>97</v>
      </c>
      <c r="R1463" s="45">
        <f>HEX2DEC(RIGHT(Table132321[[#This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5" t="s">
        <v>97</v>
      </c>
      <c r="P1464" s="45">
        <f>HEX2DEC(RIGHT(Table132321[[#This Row],[h1]],8))</f>
        <v>0</v>
      </c>
      <c r="Q1464" s="45" t="s">
        <v>97</v>
      </c>
      <c r="R1464" s="45">
        <f>HEX2DEC(RIGHT(Table132321[[#This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5" t="s">
        <v>97</v>
      </c>
      <c r="P1465" s="45">
        <f>HEX2DEC(RIGHT(Table132321[[#This Row],[h1]],8))</f>
        <v>0</v>
      </c>
      <c r="Q1465" s="45" t="s">
        <v>97</v>
      </c>
      <c r="R1465" s="45">
        <f>HEX2DEC(RIGHT(Table132321[[#This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5" t="s">
        <v>97</v>
      </c>
      <c r="P1466" s="45">
        <f>HEX2DEC(RIGHT(Table132321[[#This Row],[h1]],8))</f>
        <v>0</v>
      </c>
      <c r="Q1466" s="45" t="s">
        <v>97</v>
      </c>
      <c r="R1466" s="45">
        <f>HEX2DEC(RIGHT(Table132321[[#This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5" t="s">
        <v>97</v>
      </c>
      <c r="P1467" s="45">
        <f>HEX2DEC(RIGHT(Table132321[[#This Row],[h1]],8))</f>
        <v>0</v>
      </c>
      <c r="Q1467" s="45" t="s">
        <v>97</v>
      </c>
      <c r="R1467" s="45">
        <f>HEX2DEC(RIGHT(Table132321[[#This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5" t="s">
        <v>97</v>
      </c>
      <c r="P1468" s="45">
        <f>HEX2DEC(RIGHT(Table132321[[#This Row],[h1]],8))</f>
        <v>0</v>
      </c>
      <c r="Q1468" s="45" t="s">
        <v>97</v>
      </c>
      <c r="R1468" s="45">
        <f>HEX2DEC(RIGHT(Table132321[[#This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5" t="s">
        <v>97</v>
      </c>
      <c r="P1469" s="45">
        <f>HEX2DEC(RIGHT(Table132321[[#This Row],[h1]],8))</f>
        <v>0</v>
      </c>
      <c r="Q1469" s="45" t="s">
        <v>97</v>
      </c>
      <c r="R1469" s="45">
        <f>HEX2DEC(RIGHT(Table132321[[#This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5" t="s">
        <v>97</v>
      </c>
      <c r="P1470" s="45">
        <f>HEX2DEC(RIGHT(Table132321[[#This Row],[h1]],8))</f>
        <v>0</v>
      </c>
      <c r="Q1470" s="45" t="s">
        <v>97</v>
      </c>
      <c r="R1470" s="45">
        <f>HEX2DEC(RIGHT(Table132321[[#This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5" t="s">
        <v>97</v>
      </c>
      <c r="P1471" s="45">
        <f>HEX2DEC(RIGHT(Table132321[[#This Row],[h1]],8))</f>
        <v>0</v>
      </c>
      <c r="Q1471" s="45" t="s">
        <v>97</v>
      </c>
      <c r="R1471" s="45">
        <f>HEX2DEC(RIGHT(Table132321[[#This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5" t="s">
        <v>97</v>
      </c>
      <c r="P1472" s="45">
        <f>HEX2DEC(RIGHT(Table132321[[#This Row],[h1]],8))</f>
        <v>0</v>
      </c>
      <c r="Q1472" s="45" t="s">
        <v>97</v>
      </c>
      <c r="R1472" s="45">
        <f>HEX2DEC(RIGHT(Table132321[[#This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5" t="s">
        <v>97</v>
      </c>
      <c r="P1473" s="45">
        <f>HEX2DEC(RIGHT(Table132321[[#This Row],[h1]],8))</f>
        <v>0</v>
      </c>
      <c r="Q1473" s="45" t="s">
        <v>97</v>
      </c>
      <c r="R1473" s="45">
        <f>HEX2DEC(RIGHT(Table132321[[#This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5" t="s">
        <v>97</v>
      </c>
      <c r="P1474" s="45">
        <f>HEX2DEC(RIGHT(Table132321[[#This Row],[h1]],8))</f>
        <v>0</v>
      </c>
      <c r="Q1474" s="45" t="s">
        <v>97</v>
      </c>
      <c r="R1474" s="45">
        <f>HEX2DEC(RIGHT(Table132321[[#This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5" t="s">
        <v>97</v>
      </c>
      <c r="P1475" s="45">
        <f>HEX2DEC(RIGHT(Table132321[[#This Row],[h1]],8))</f>
        <v>0</v>
      </c>
      <c r="Q1475" s="45" t="s">
        <v>97</v>
      </c>
      <c r="R1475" s="45">
        <f>HEX2DEC(RIGHT(Table132321[[#This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5" t="s">
        <v>97</v>
      </c>
      <c r="P1476" s="45">
        <f>HEX2DEC(RIGHT(Table132321[[#This Row],[h1]],8))</f>
        <v>0</v>
      </c>
      <c r="Q1476" s="45" t="s">
        <v>97</v>
      </c>
      <c r="R1476" s="45">
        <f>HEX2DEC(RIGHT(Table132321[[#This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5" t="s">
        <v>97</v>
      </c>
      <c r="P1477" s="45">
        <f>HEX2DEC(RIGHT(Table132321[[#This Row],[h1]],8))</f>
        <v>0</v>
      </c>
      <c r="Q1477" s="45" t="s">
        <v>97</v>
      </c>
      <c r="R1477" s="45">
        <f>HEX2DEC(RIGHT(Table132321[[#This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5" t="s">
        <v>97</v>
      </c>
      <c r="P1478" s="45">
        <f>HEX2DEC(RIGHT(Table132321[[#This Row],[h1]],8))</f>
        <v>0</v>
      </c>
      <c r="Q1478" s="45" t="s">
        <v>97</v>
      </c>
      <c r="R1478" s="45">
        <f>HEX2DEC(RIGHT(Table132321[[#This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5" t="s">
        <v>97</v>
      </c>
      <c r="P1479" s="45">
        <f>HEX2DEC(RIGHT(Table132321[[#This Row],[h1]],8))</f>
        <v>0</v>
      </c>
      <c r="Q1479" s="45" t="s">
        <v>97</v>
      </c>
      <c r="R1479" s="45">
        <f>HEX2DEC(RIGHT(Table132321[[#This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5" t="s">
        <v>97</v>
      </c>
      <c r="P1480" s="45">
        <f>HEX2DEC(RIGHT(Table132321[[#This Row],[h1]],8))</f>
        <v>0</v>
      </c>
      <c r="Q1480" s="45" t="s">
        <v>97</v>
      </c>
      <c r="R1480" s="45">
        <f>HEX2DEC(RIGHT(Table132321[[#This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5" t="s">
        <v>97</v>
      </c>
      <c r="P1481" s="45">
        <f>HEX2DEC(RIGHT(Table132321[[#This Row],[h1]],8))</f>
        <v>0</v>
      </c>
      <c r="Q1481" s="45" t="s">
        <v>97</v>
      </c>
      <c r="R1481" s="45">
        <f>HEX2DEC(RIGHT(Table132321[[#This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5" t="s">
        <v>97</v>
      </c>
      <c r="P1482" s="45">
        <f>HEX2DEC(RIGHT(Table132321[[#This Row],[h1]],8))</f>
        <v>0</v>
      </c>
      <c r="Q1482" s="45" t="s">
        <v>97</v>
      </c>
      <c r="R1482" s="45">
        <f>HEX2DEC(RIGHT(Table132321[[#This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5" t="s">
        <v>97</v>
      </c>
      <c r="P1483" s="45">
        <f>HEX2DEC(RIGHT(Table132321[[#This Row],[h1]],8))</f>
        <v>0</v>
      </c>
      <c r="Q1483" s="45" t="s">
        <v>97</v>
      </c>
      <c r="R1483" s="45">
        <f>HEX2DEC(RIGHT(Table132321[[#This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5" t="s">
        <v>97</v>
      </c>
      <c r="P1484" s="45">
        <f>HEX2DEC(RIGHT(Table132321[[#This Row],[h1]],8))</f>
        <v>0</v>
      </c>
      <c r="Q1484" s="45" t="s">
        <v>97</v>
      </c>
      <c r="R1484" s="45">
        <f>HEX2DEC(RIGHT(Table132321[[#This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5" t="s">
        <v>97</v>
      </c>
      <c r="P1485" s="45">
        <f>HEX2DEC(RIGHT(Table132321[[#This Row],[h1]],8))</f>
        <v>0</v>
      </c>
      <c r="Q1485" s="45" t="s">
        <v>97</v>
      </c>
      <c r="R1485" s="45">
        <f>HEX2DEC(RIGHT(Table132321[[#This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5" t="s">
        <v>97</v>
      </c>
      <c r="P1486" s="45">
        <f>HEX2DEC(RIGHT(Table132321[[#This Row],[h1]],8))</f>
        <v>0</v>
      </c>
      <c r="Q1486" s="45" t="s">
        <v>97</v>
      </c>
      <c r="R1486" s="45">
        <f>HEX2DEC(RIGHT(Table132321[[#This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5" t="s">
        <v>97</v>
      </c>
      <c r="P1487" s="45">
        <f>HEX2DEC(RIGHT(Table132321[[#This Row],[h1]],8))</f>
        <v>0</v>
      </c>
      <c r="Q1487" s="45" t="s">
        <v>97</v>
      </c>
      <c r="R1487" s="45">
        <f>HEX2DEC(RIGHT(Table132321[[#This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5" t="s">
        <v>97</v>
      </c>
      <c r="P1488" s="45">
        <f>HEX2DEC(RIGHT(Table132321[[#This Row],[h1]],8))</f>
        <v>0</v>
      </c>
      <c r="Q1488" s="45" t="s">
        <v>97</v>
      </c>
      <c r="R1488" s="45">
        <f>HEX2DEC(RIGHT(Table132321[[#This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5" t="s">
        <v>97</v>
      </c>
      <c r="P1489" s="45">
        <f>HEX2DEC(RIGHT(Table132321[[#This Row],[h1]],8))</f>
        <v>0</v>
      </c>
      <c r="Q1489" s="45" t="s">
        <v>97</v>
      </c>
      <c r="R1489" s="45">
        <f>HEX2DEC(RIGHT(Table132321[[#This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5" t="s">
        <v>97</v>
      </c>
      <c r="P1490" s="45">
        <f>HEX2DEC(RIGHT(Table132321[[#This Row],[h1]],8))</f>
        <v>0</v>
      </c>
      <c r="Q1490" s="45" t="s">
        <v>97</v>
      </c>
      <c r="R1490" s="45">
        <f>HEX2DEC(RIGHT(Table132321[[#This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5" t="s">
        <v>97</v>
      </c>
      <c r="P1491" s="45">
        <f>HEX2DEC(RIGHT(Table132321[[#This Row],[h1]],8))</f>
        <v>0</v>
      </c>
      <c r="Q1491" s="45" t="s">
        <v>97</v>
      </c>
      <c r="R1491" s="45">
        <f>HEX2DEC(RIGHT(Table132321[[#This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5" t="s">
        <v>97</v>
      </c>
      <c r="P1492" s="45">
        <f>HEX2DEC(RIGHT(Table132321[[#This Row],[h1]],8))</f>
        <v>0</v>
      </c>
      <c r="Q1492" s="45" t="s">
        <v>97</v>
      </c>
      <c r="R1492" s="45">
        <f>HEX2DEC(RIGHT(Table132321[[#This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5" t="s">
        <v>97</v>
      </c>
      <c r="P1493" s="45">
        <f>HEX2DEC(RIGHT(Table132321[[#This Row],[h1]],8))</f>
        <v>0</v>
      </c>
      <c r="Q1493" s="45" t="s">
        <v>97</v>
      </c>
      <c r="R1493" s="45">
        <f>HEX2DEC(RIGHT(Table132321[[#This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5" t="s">
        <v>97</v>
      </c>
      <c r="P1494" s="45">
        <f>HEX2DEC(RIGHT(Table132321[[#This Row],[h1]],8))</f>
        <v>0</v>
      </c>
      <c r="Q1494" s="45" t="s">
        <v>97</v>
      </c>
      <c r="R1494" s="45">
        <f>HEX2DEC(RIGHT(Table132321[[#This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5" t="s">
        <v>97</v>
      </c>
      <c r="P1495" s="45">
        <f>HEX2DEC(RIGHT(Table132321[[#This Row],[h1]],8))</f>
        <v>0</v>
      </c>
      <c r="Q1495" s="45" t="s">
        <v>97</v>
      </c>
      <c r="R1495" s="45">
        <f>HEX2DEC(RIGHT(Table132321[[#This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5" t="s">
        <v>97</v>
      </c>
      <c r="P1496" s="45">
        <f>HEX2DEC(RIGHT(Table132321[[#This Row],[h1]],8))</f>
        <v>0</v>
      </c>
      <c r="Q1496" s="45" t="s">
        <v>97</v>
      </c>
      <c r="R1496" s="45">
        <f>HEX2DEC(RIGHT(Table132321[[#This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5" t="s">
        <v>97</v>
      </c>
      <c r="P1497" s="45">
        <f>HEX2DEC(RIGHT(Table132321[[#This Row],[h1]],8))</f>
        <v>0</v>
      </c>
      <c r="Q1497" s="45" t="s">
        <v>97</v>
      </c>
      <c r="R1497" s="45">
        <f>HEX2DEC(RIGHT(Table132321[[#This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5" t="s">
        <v>97</v>
      </c>
      <c r="P1498" s="45">
        <f>HEX2DEC(RIGHT(Table132321[[#This Row],[h1]],8))</f>
        <v>0</v>
      </c>
      <c r="Q1498" s="45" t="s">
        <v>97</v>
      </c>
      <c r="R1498" s="45">
        <f>HEX2DEC(RIGHT(Table132321[[#This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5" t="s">
        <v>97</v>
      </c>
      <c r="P1499" s="45">
        <f>HEX2DEC(RIGHT(Table132321[[#This Row],[h1]],8))</f>
        <v>0</v>
      </c>
      <c r="Q1499" s="45" t="s">
        <v>97</v>
      </c>
      <c r="R1499" s="45">
        <f>HEX2DEC(RIGHT(Table132321[[#This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5" t="s">
        <v>97</v>
      </c>
      <c r="P1500" s="45">
        <f>HEX2DEC(RIGHT(Table132321[[#This Row],[h1]],8))</f>
        <v>0</v>
      </c>
      <c r="Q1500" s="45" t="s">
        <v>97</v>
      </c>
      <c r="R1500" s="45">
        <f>HEX2DEC(RIGHT(Table132321[[#This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5" t="s">
        <v>97</v>
      </c>
      <c r="P1501" s="45">
        <f>HEX2DEC(RIGHT(Table132321[[#This Row],[h1]],8))</f>
        <v>0</v>
      </c>
      <c r="Q1501" s="45" t="s">
        <v>97</v>
      </c>
      <c r="R1501" s="45">
        <f>HEX2DEC(RIGHT(Table132321[[#This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5" t="s">
        <v>97</v>
      </c>
      <c r="P1502" s="45">
        <f>HEX2DEC(RIGHT(Table132321[[#This Row],[h1]],8))</f>
        <v>0</v>
      </c>
      <c r="Q1502" s="45" t="s">
        <v>97</v>
      </c>
      <c r="R1502" s="45">
        <f>HEX2DEC(RIGHT(Table132321[[#This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5" t="s">
        <v>97</v>
      </c>
      <c r="P1503" s="45">
        <f>HEX2DEC(RIGHT(Table132321[[#This Row],[h1]],8))</f>
        <v>0</v>
      </c>
      <c r="Q1503" s="45" t="s">
        <v>97</v>
      </c>
      <c r="R1503" s="45">
        <f>HEX2DEC(RIGHT(Table132321[[#This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5" t="s">
        <v>97</v>
      </c>
      <c r="P1504" s="45">
        <f>HEX2DEC(RIGHT(Table132321[[#This Row],[h1]],8))</f>
        <v>0</v>
      </c>
      <c r="Q1504" s="45" t="s">
        <v>97</v>
      </c>
      <c r="R1504" s="45">
        <f>HEX2DEC(RIGHT(Table132321[[#This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5" t="s">
        <v>97</v>
      </c>
      <c r="P1505" s="45">
        <f>HEX2DEC(RIGHT(Table132321[[#This Row],[h1]],8))</f>
        <v>0</v>
      </c>
      <c r="Q1505" s="45" t="s">
        <v>97</v>
      </c>
      <c r="R1505" s="45">
        <f>HEX2DEC(RIGHT(Table132321[[#This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5" t="s">
        <v>97</v>
      </c>
      <c r="P1506" s="45">
        <f>HEX2DEC(RIGHT(Table132321[[#This Row],[h1]],8))</f>
        <v>0</v>
      </c>
      <c r="Q1506" s="45" t="s">
        <v>97</v>
      </c>
      <c r="R1506" s="45">
        <f>HEX2DEC(RIGHT(Table132321[[#This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5" t="s">
        <v>97</v>
      </c>
      <c r="P1507" s="45">
        <f>HEX2DEC(RIGHT(Table132321[[#This Row],[h1]],8))</f>
        <v>0</v>
      </c>
      <c r="Q1507" s="45" t="s">
        <v>97</v>
      </c>
      <c r="R1507" s="45">
        <f>HEX2DEC(RIGHT(Table132321[[#This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5" t="s">
        <v>97</v>
      </c>
      <c r="P1508" s="45">
        <f>HEX2DEC(RIGHT(Table132321[[#This Row],[h1]],8))</f>
        <v>0</v>
      </c>
      <c r="Q1508" s="45" t="s">
        <v>97</v>
      </c>
      <c r="R1508" s="45">
        <f>HEX2DEC(RIGHT(Table132321[[#This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5" t="s">
        <v>97</v>
      </c>
      <c r="P1509" s="45">
        <f>HEX2DEC(RIGHT(Table132321[[#This Row],[h1]],8))</f>
        <v>0</v>
      </c>
      <c r="Q1509" s="45" t="s">
        <v>97</v>
      </c>
      <c r="R1509" s="45">
        <f>HEX2DEC(RIGHT(Table132321[[#This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5" t="s">
        <v>97</v>
      </c>
      <c r="P1510" s="45">
        <f>HEX2DEC(RIGHT(Table132321[[#This Row],[h1]],8))</f>
        <v>0</v>
      </c>
      <c r="Q1510" s="45" t="s">
        <v>97</v>
      </c>
      <c r="R1510" s="45">
        <f>HEX2DEC(RIGHT(Table132321[[#This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5" t="s">
        <v>97</v>
      </c>
      <c r="P1511" s="45">
        <f>HEX2DEC(RIGHT(Table132321[[#This Row],[h1]],8))</f>
        <v>0</v>
      </c>
      <c r="Q1511" s="45" t="s">
        <v>97</v>
      </c>
      <c r="R1511" s="45">
        <f>HEX2DEC(RIGHT(Table132321[[#This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5" t="s">
        <v>97</v>
      </c>
      <c r="P1512" s="45">
        <f>HEX2DEC(RIGHT(Table132321[[#This Row],[h1]],8))</f>
        <v>0</v>
      </c>
      <c r="Q1512" s="45" t="s">
        <v>97</v>
      </c>
      <c r="R1512" s="45">
        <f>HEX2DEC(RIGHT(Table132321[[#This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5" t="s">
        <v>97</v>
      </c>
      <c r="P1513" s="45">
        <f>HEX2DEC(RIGHT(Table132321[[#This Row],[h1]],8))</f>
        <v>0</v>
      </c>
      <c r="Q1513" s="45" t="s">
        <v>97</v>
      </c>
      <c r="R1513" s="45">
        <f>HEX2DEC(RIGHT(Table132321[[#This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5" t="s">
        <v>97</v>
      </c>
      <c r="P1514" s="45">
        <f>HEX2DEC(RIGHT(Table132321[[#This Row],[h1]],8))</f>
        <v>0</v>
      </c>
      <c r="Q1514" s="45" t="s">
        <v>97</v>
      </c>
      <c r="R1514" s="45">
        <f>HEX2DEC(RIGHT(Table132321[[#This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5" t="s">
        <v>97</v>
      </c>
      <c r="P1515" s="45">
        <f>HEX2DEC(RIGHT(Table132321[[#This Row],[h1]],8))</f>
        <v>0</v>
      </c>
      <c r="Q1515" s="45" t="s">
        <v>97</v>
      </c>
      <c r="R1515" s="45">
        <f>HEX2DEC(RIGHT(Table132321[[#This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5" t="s">
        <v>97</v>
      </c>
      <c r="P1516" s="45">
        <f>HEX2DEC(RIGHT(Table132321[[#This Row],[h1]],8))</f>
        <v>0</v>
      </c>
      <c r="Q1516" s="45" t="s">
        <v>97</v>
      </c>
      <c r="R1516" s="45">
        <f>HEX2DEC(RIGHT(Table132321[[#This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5" t="s">
        <v>97</v>
      </c>
      <c r="P1517" s="45">
        <f>HEX2DEC(RIGHT(Table132321[[#This Row],[h1]],8))</f>
        <v>0</v>
      </c>
      <c r="Q1517" s="45" t="s">
        <v>97</v>
      </c>
      <c r="R1517" s="45">
        <f>HEX2DEC(RIGHT(Table132321[[#This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5" t="s">
        <v>97</v>
      </c>
      <c r="P1518" s="45">
        <f>HEX2DEC(RIGHT(Table132321[[#This Row],[h1]],8))</f>
        <v>0</v>
      </c>
      <c r="Q1518" s="45" t="s">
        <v>97</v>
      </c>
      <c r="R1518" s="45">
        <f>HEX2DEC(RIGHT(Table132321[[#This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5" t="s">
        <v>97</v>
      </c>
      <c r="P1519" s="45">
        <f>HEX2DEC(RIGHT(Table132321[[#This Row],[h1]],8))</f>
        <v>0</v>
      </c>
      <c r="Q1519" s="45" t="s">
        <v>97</v>
      </c>
      <c r="R1519" s="45">
        <f>HEX2DEC(RIGHT(Table132321[[#This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5" t="s">
        <v>97</v>
      </c>
      <c r="P1520" s="45">
        <f>HEX2DEC(RIGHT(Table132321[[#This Row],[h1]],8))</f>
        <v>0</v>
      </c>
      <c r="Q1520" s="45" t="s">
        <v>97</v>
      </c>
      <c r="R1520" s="45">
        <f>HEX2DEC(RIGHT(Table132321[[#This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5" t="s">
        <v>97</v>
      </c>
      <c r="P1521" s="45">
        <f>HEX2DEC(RIGHT(Table132321[[#This Row],[h1]],8))</f>
        <v>0</v>
      </c>
      <c r="Q1521" s="45" t="s">
        <v>97</v>
      </c>
      <c r="R1521" s="45">
        <f>HEX2DEC(RIGHT(Table132321[[#This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5" t="s">
        <v>97</v>
      </c>
      <c r="P1522" s="45">
        <f>HEX2DEC(RIGHT(Table132321[[#This Row],[h1]],8))</f>
        <v>0</v>
      </c>
      <c r="Q1522" s="45" t="s">
        <v>97</v>
      </c>
      <c r="R1522" s="45">
        <f>HEX2DEC(RIGHT(Table132321[[#This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5" t="s">
        <v>97</v>
      </c>
      <c r="P1523" s="45">
        <f>HEX2DEC(RIGHT(Table132321[[#This Row],[h1]],8))</f>
        <v>0</v>
      </c>
      <c r="Q1523" s="45" t="s">
        <v>97</v>
      </c>
      <c r="R1523" s="45">
        <f>HEX2DEC(RIGHT(Table132321[[#This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5" t="s">
        <v>97</v>
      </c>
      <c r="P1524" s="45">
        <f>HEX2DEC(RIGHT(Table132321[[#This Row],[h1]],8))</f>
        <v>0</v>
      </c>
      <c r="Q1524" s="45" t="s">
        <v>97</v>
      </c>
      <c r="R1524" s="45">
        <f>HEX2DEC(RIGHT(Table132321[[#This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5" t="s">
        <v>97</v>
      </c>
      <c r="P1525" s="45">
        <f>HEX2DEC(RIGHT(Table132321[[#This Row],[h1]],8))</f>
        <v>0</v>
      </c>
      <c r="Q1525" s="45" t="s">
        <v>97</v>
      </c>
      <c r="R1525" s="45">
        <f>HEX2DEC(RIGHT(Table132321[[#This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5" t="s">
        <v>97</v>
      </c>
      <c r="P1526" s="45">
        <f>HEX2DEC(RIGHT(Table132321[[#This Row],[h1]],8))</f>
        <v>0</v>
      </c>
      <c r="Q1526" s="45" t="s">
        <v>97</v>
      </c>
      <c r="R1526" s="45">
        <f>HEX2DEC(RIGHT(Table132321[[#This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5" t="s">
        <v>97</v>
      </c>
      <c r="P1527" s="45">
        <f>HEX2DEC(RIGHT(Table132321[[#This Row],[h1]],8))</f>
        <v>0</v>
      </c>
      <c r="Q1527" s="45" t="s">
        <v>97</v>
      </c>
      <c r="R1527" s="45">
        <f>HEX2DEC(RIGHT(Table132321[[#This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5" t="s">
        <v>97</v>
      </c>
      <c r="P1528" s="45">
        <f>HEX2DEC(RIGHT(Table132321[[#This Row],[h1]],8))</f>
        <v>0</v>
      </c>
      <c r="Q1528" s="45" t="s">
        <v>97</v>
      </c>
      <c r="R1528" s="45">
        <f>HEX2DEC(RIGHT(Table132321[[#This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5" t="s">
        <v>97</v>
      </c>
      <c r="P1529" s="45">
        <f>HEX2DEC(RIGHT(Table132321[[#This Row],[h1]],8))</f>
        <v>0</v>
      </c>
      <c r="Q1529" s="45" t="s">
        <v>97</v>
      </c>
      <c r="R1529" s="45">
        <f>HEX2DEC(RIGHT(Table132321[[#This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5" t="s">
        <v>97</v>
      </c>
      <c r="P1530" s="45">
        <f>HEX2DEC(RIGHT(Table132321[[#This Row],[h1]],8))</f>
        <v>0</v>
      </c>
      <c r="Q1530" s="45" t="s">
        <v>97</v>
      </c>
      <c r="R1530" s="45">
        <f>HEX2DEC(RIGHT(Table132321[[#This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5" t="s">
        <v>97</v>
      </c>
      <c r="P1531" s="45">
        <f>HEX2DEC(RIGHT(Table132321[[#This Row],[h1]],8))</f>
        <v>0</v>
      </c>
      <c r="Q1531" s="45" t="s">
        <v>97</v>
      </c>
      <c r="R1531" s="45">
        <f>HEX2DEC(RIGHT(Table132321[[#This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5" t="s">
        <v>97</v>
      </c>
      <c r="P1532" s="45">
        <f>HEX2DEC(RIGHT(Table132321[[#This Row],[h1]],8))</f>
        <v>0</v>
      </c>
      <c r="Q1532" s="45" t="s">
        <v>97</v>
      </c>
      <c r="R1532" s="45">
        <f>HEX2DEC(RIGHT(Table132321[[#This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5" t="s">
        <v>97</v>
      </c>
      <c r="P1533" s="45">
        <f>HEX2DEC(RIGHT(Table132321[[#This Row],[h1]],8))</f>
        <v>0</v>
      </c>
      <c r="Q1533" s="45" t="s">
        <v>97</v>
      </c>
      <c r="R1533" s="45">
        <f>HEX2DEC(RIGHT(Table132321[[#This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5" t="s">
        <v>97</v>
      </c>
      <c r="P1534" s="45">
        <f>HEX2DEC(RIGHT(Table132321[[#This Row],[h1]],8))</f>
        <v>0</v>
      </c>
      <c r="Q1534" s="45" t="s">
        <v>97</v>
      </c>
      <c r="R1534" s="45">
        <f>HEX2DEC(RIGHT(Table132321[[#This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5" t="s">
        <v>97</v>
      </c>
      <c r="P1535" s="45">
        <f>HEX2DEC(RIGHT(Table132321[[#This Row],[h1]],8))</f>
        <v>0</v>
      </c>
      <c r="Q1535" s="45" t="s">
        <v>97</v>
      </c>
      <c r="R1535" s="45">
        <f>HEX2DEC(RIGHT(Table132321[[#This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5" t="s">
        <v>97</v>
      </c>
      <c r="P1536" s="45">
        <f>HEX2DEC(RIGHT(Table132321[[#This Row],[h1]],8))</f>
        <v>0</v>
      </c>
      <c r="Q1536" s="45" t="s">
        <v>97</v>
      </c>
      <c r="R1536" s="45">
        <f>HEX2DEC(RIGHT(Table132321[[#This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5" t="s">
        <v>97</v>
      </c>
      <c r="P1537" s="45">
        <f>HEX2DEC(RIGHT(Table132321[[#This Row],[h1]],8))</f>
        <v>0</v>
      </c>
      <c r="Q1537" s="45" t="s">
        <v>97</v>
      </c>
      <c r="R1537" s="45">
        <f>HEX2DEC(RIGHT(Table132321[[#This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5" t="s">
        <v>97</v>
      </c>
      <c r="P1538" s="45">
        <f>HEX2DEC(RIGHT(Table132321[[#This Row],[h1]],8))</f>
        <v>0</v>
      </c>
      <c r="Q1538" s="45" t="s">
        <v>97</v>
      </c>
      <c r="R1538" s="45">
        <f>HEX2DEC(RIGHT(Table132321[[#This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5" t="s">
        <v>97</v>
      </c>
      <c r="P1539" s="45">
        <f>HEX2DEC(RIGHT(Table132321[[#This Row],[h1]],8))</f>
        <v>0</v>
      </c>
      <c r="Q1539" s="45" t="s">
        <v>97</v>
      </c>
      <c r="R1539" s="45">
        <f>HEX2DEC(RIGHT(Table132321[[#This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5" t="s">
        <v>97</v>
      </c>
      <c r="P1540" s="45">
        <f>HEX2DEC(RIGHT(Table132321[[#This Row],[h1]],8))</f>
        <v>0</v>
      </c>
      <c r="Q1540" s="45" t="s">
        <v>97</v>
      </c>
      <c r="R1540" s="45">
        <f>HEX2DEC(RIGHT(Table132321[[#This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5" t="s">
        <v>97</v>
      </c>
      <c r="P1541" s="45">
        <f>HEX2DEC(RIGHT(Table132321[[#This Row],[h1]],8))</f>
        <v>0</v>
      </c>
      <c r="Q1541" s="45" t="s">
        <v>97</v>
      </c>
      <c r="R1541" s="45">
        <f>HEX2DEC(RIGHT(Table132321[[#This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5" t="s">
        <v>97</v>
      </c>
      <c r="P1542" s="45">
        <f>HEX2DEC(RIGHT(Table132321[[#This Row],[h1]],8))</f>
        <v>0</v>
      </c>
      <c r="Q1542" s="45" t="s">
        <v>97</v>
      </c>
      <c r="R1542" s="45">
        <f>HEX2DEC(RIGHT(Table132321[[#This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5" t="s">
        <v>97</v>
      </c>
      <c r="P1543" s="45">
        <f>HEX2DEC(RIGHT(Table132321[[#This Row],[h1]],8))</f>
        <v>0</v>
      </c>
      <c r="Q1543" s="45" t="s">
        <v>97</v>
      </c>
      <c r="R1543" s="45">
        <f>HEX2DEC(RIGHT(Table132321[[#This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5" t="s">
        <v>97</v>
      </c>
      <c r="P1544" s="45">
        <f>HEX2DEC(RIGHT(Table132321[[#This Row],[h1]],8))</f>
        <v>0</v>
      </c>
      <c r="Q1544" s="45" t="s">
        <v>97</v>
      </c>
      <c r="R1544" s="45">
        <f>HEX2DEC(RIGHT(Table132321[[#This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5" t="s">
        <v>97</v>
      </c>
      <c r="P1545" s="45">
        <f>HEX2DEC(RIGHT(Table132321[[#This Row],[h1]],8))</f>
        <v>0</v>
      </c>
      <c r="Q1545" s="45" t="s">
        <v>97</v>
      </c>
      <c r="R1545" s="45">
        <f>HEX2DEC(RIGHT(Table132321[[#This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5" t="s">
        <v>97</v>
      </c>
      <c r="P1546" s="45">
        <f>HEX2DEC(RIGHT(Table132321[[#This Row],[h1]],8))</f>
        <v>0</v>
      </c>
      <c r="Q1546" s="45" t="s">
        <v>97</v>
      </c>
      <c r="R1546" s="45">
        <f>HEX2DEC(RIGHT(Table132321[[#This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5" t="s">
        <v>97</v>
      </c>
      <c r="P1547" s="45">
        <f>HEX2DEC(RIGHT(Table132321[[#This Row],[h1]],8))</f>
        <v>0</v>
      </c>
      <c r="Q1547" s="45" t="s">
        <v>97</v>
      </c>
      <c r="R1547" s="45">
        <f>HEX2DEC(RIGHT(Table132321[[#This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5" t="s">
        <v>97</v>
      </c>
      <c r="P1548" s="45">
        <f>HEX2DEC(RIGHT(Table132321[[#This Row],[h1]],8))</f>
        <v>0</v>
      </c>
      <c r="Q1548" s="45" t="s">
        <v>97</v>
      </c>
      <c r="R1548" s="45">
        <f>HEX2DEC(RIGHT(Table132321[[#This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5" t="s">
        <v>97</v>
      </c>
      <c r="P1549" s="45">
        <f>HEX2DEC(RIGHT(Table132321[[#This Row],[h1]],8))</f>
        <v>0</v>
      </c>
      <c r="Q1549" s="45" t="s">
        <v>97</v>
      </c>
      <c r="R1549" s="45">
        <f>HEX2DEC(RIGHT(Table132321[[#This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5" t="s">
        <v>97</v>
      </c>
      <c r="P1550" s="45">
        <f>HEX2DEC(RIGHT(Table132321[[#This Row],[h1]],8))</f>
        <v>0</v>
      </c>
      <c r="Q1550" s="45" t="s">
        <v>97</v>
      </c>
      <c r="R1550" s="45">
        <f>HEX2DEC(RIGHT(Table132321[[#This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5" t="s">
        <v>97</v>
      </c>
      <c r="P1551" s="45">
        <f>HEX2DEC(RIGHT(Table132321[[#This Row],[h1]],8))</f>
        <v>0</v>
      </c>
      <c r="Q1551" s="45" t="s">
        <v>97</v>
      </c>
      <c r="R1551" s="45">
        <f>HEX2DEC(RIGHT(Table132321[[#This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5" t="s">
        <v>97</v>
      </c>
      <c r="P1552" s="45">
        <f>HEX2DEC(RIGHT(Table132321[[#This Row],[h1]],8))</f>
        <v>0</v>
      </c>
      <c r="Q1552" s="45" t="s">
        <v>97</v>
      </c>
      <c r="R1552" s="45">
        <f>HEX2DEC(RIGHT(Table132321[[#This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5" t="s">
        <v>97</v>
      </c>
      <c r="P1553" s="45">
        <f>HEX2DEC(RIGHT(Table132321[[#This Row],[h1]],8))</f>
        <v>0</v>
      </c>
      <c r="Q1553" s="45" t="s">
        <v>97</v>
      </c>
      <c r="R1553" s="45">
        <f>HEX2DEC(RIGHT(Table132321[[#This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5" t="s">
        <v>97</v>
      </c>
      <c r="P1554" s="45">
        <f>HEX2DEC(RIGHT(Table132321[[#This Row],[h1]],8))</f>
        <v>0</v>
      </c>
      <c r="Q1554" s="45" t="s">
        <v>97</v>
      </c>
      <c r="R1554" s="45">
        <f>HEX2DEC(RIGHT(Table132321[[#This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5" t="s">
        <v>97</v>
      </c>
      <c r="P1555" s="45">
        <f>HEX2DEC(RIGHT(Table132321[[#This Row],[h1]],8))</f>
        <v>0</v>
      </c>
      <c r="Q1555" s="45" t="s">
        <v>97</v>
      </c>
      <c r="R1555" s="45">
        <f>HEX2DEC(RIGHT(Table132321[[#This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5" t="s">
        <v>97</v>
      </c>
      <c r="P1556" s="45">
        <f>HEX2DEC(RIGHT(Table132321[[#This Row],[h1]],8))</f>
        <v>0</v>
      </c>
      <c r="Q1556" s="45" t="s">
        <v>97</v>
      </c>
      <c r="R1556" s="45">
        <f>HEX2DEC(RIGHT(Table132321[[#This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5" t="s">
        <v>97</v>
      </c>
      <c r="P1557" s="45">
        <f>HEX2DEC(RIGHT(Table132321[[#This Row],[h1]],8))</f>
        <v>0</v>
      </c>
      <c r="Q1557" s="45" t="s">
        <v>97</v>
      </c>
      <c r="R1557" s="45">
        <f>HEX2DEC(RIGHT(Table132321[[#This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5" t="s">
        <v>97</v>
      </c>
      <c r="P1558" s="45">
        <f>HEX2DEC(RIGHT(Table132321[[#This Row],[h1]],8))</f>
        <v>0</v>
      </c>
      <c r="Q1558" s="45" t="s">
        <v>97</v>
      </c>
      <c r="R1558" s="45">
        <f>HEX2DEC(RIGHT(Table132321[[#This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5" t="s">
        <v>97</v>
      </c>
      <c r="P1559" s="45">
        <f>HEX2DEC(RIGHT(Table132321[[#This Row],[h1]],8))</f>
        <v>0</v>
      </c>
      <c r="Q1559" s="45" t="s">
        <v>97</v>
      </c>
      <c r="R1559" s="45">
        <f>HEX2DEC(RIGHT(Table132321[[#This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5" t="s">
        <v>97</v>
      </c>
      <c r="P1560" s="45">
        <f>HEX2DEC(RIGHT(Table132321[[#This Row],[h1]],8))</f>
        <v>0</v>
      </c>
      <c r="Q1560" s="45" t="s">
        <v>97</v>
      </c>
      <c r="R1560" s="45">
        <f>HEX2DEC(RIGHT(Table132321[[#This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5" t="s">
        <v>97</v>
      </c>
      <c r="P1561" s="45">
        <f>HEX2DEC(RIGHT(Table132321[[#This Row],[h1]],8))</f>
        <v>0</v>
      </c>
      <c r="Q1561" s="45" t="s">
        <v>97</v>
      </c>
      <c r="R1561" s="45">
        <f>HEX2DEC(RIGHT(Table132321[[#This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5" t="s">
        <v>97</v>
      </c>
      <c r="P1562" s="45">
        <f>HEX2DEC(RIGHT(Table132321[[#This Row],[h1]],8))</f>
        <v>0</v>
      </c>
      <c r="Q1562" s="45" t="s">
        <v>97</v>
      </c>
      <c r="R1562" s="45">
        <f>HEX2DEC(RIGHT(Table132321[[#This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5" t="s">
        <v>97</v>
      </c>
      <c r="P1563" s="45">
        <f>HEX2DEC(RIGHT(Table132321[[#This Row],[h1]],8))</f>
        <v>0</v>
      </c>
      <c r="Q1563" s="45" t="s">
        <v>97</v>
      </c>
      <c r="R1563" s="45">
        <f>HEX2DEC(RIGHT(Table132321[[#This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5" t="s">
        <v>97</v>
      </c>
      <c r="P1564" s="45">
        <f>HEX2DEC(RIGHT(Table132321[[#This Row],[h1]],8))</f>
        <v>0</v>
      </c>
      <c r="Q1564" s="45" t="s">
        <v>97</v>
      </c>
      <c r="R1564" s="45">
        <f>HEX2DEC(RIGHT(Table132321[[#This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5" t="s">
        <v>97</v>
      </c>
      <c r="P1565" s="45">
        <f>HEX2DEC(RIGHT(Table132321[[#This Row],[h1]],8))</f>
        <v>0</v>
      </c>
      <c r="Q1565" s="45" t="s">
        <v>97</v>
      </c>
      <c r="R1565" s="45">
        <f>HEX2DEC(RIGHT(Table132321[[#This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5" t="s">
        <v>97</v>
      </c>
      <c r="P1566" s="45">
        <f>HEX2DEC(RIGHT(Table132321[[#This Row],[h1]],8))</f>
        <v>0</v>
      </c>
      <c r="Q1566" s="45" t="s">
        <v>97</v>
      </c>
      <c r="R1566" s="45">
        <f>HEX2DEC(RIGHT(Table132321[[#This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5" t="s">
        <v>97</v>
      </c>
      <c r="P1567" s="45">
        <f>HEX2DEC(RIGHT(Table132321[[#This Row],[h1]],8))</f>
        <v>0</v>
      </c>
      <c r="Q1567" s="45" t="s">
        <v>97</v>
      </c>
      <c r="R1567" s="45">
        <f>HEX2DEC(RIGHT(Table132321[[#This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5" t="s">
        <v>97</v>
      </c>
      <c r="P1568" s="45">
        <f>HEX2DEC(RIGHT(Table132321[[#This Row],[h1]],8))</f>
        <v>0</v>
      </c>
      <c r="Q1568" s="45" t="s">
        <v>97</v>
      </c>
      <c r="R1568" s="45">
        <f>HEX2DEC(RIGHT(Table132321[[#This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5" t="s">
        <v>97</v>
      </c>
      <c r="P1569" s="45">
        <f>HEX2DEC(RIGHT(Table132321[[#This Row],[h1]],8))</f>
        <v>0</v>
      </c>
      <c r="Q1569" s="45" t="s">
        <v>97</v>
      </c>
      <c r="R1569" s="45">
        <f>HEX2DEC(RIGHT(Table132321[[#This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5" t="s">
        <v>97</v>
      </c>
      <c r="P1570" s="45">
        <f>HEX2DEC(RIGHT(Table132321[[#This Row],[h1]],8))</f>
        <v>0</v>
      </c>
      <c r="Q1570" s="45" t="s">
        <v>97</v>
      </c>
      <c r="R1570" s="45">
        <f>HEX2DEC(RIGHT(Table132321[[#This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5" t="s">
        <v>97</v>
      </c>
      <c r="P1571" s="45">
        <f>HEX2DEC(RIGHT(Table132321[[#This Row],[h1]],8))</f>
        <v>0</v>
      </c>
      <c r="Q1571" s="45" t="s">
        <v>97</v>
      </c>
      <c r="R1571" s="45">
        <f>HEX2DEC(RIGHT(Table132321[[#This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5" t="s">
        <v>97</v>
      </c>
      <c r="P1572" s="45">
        <f>HEX2DEC(RIGHT(Table132321[[#This Row],[h1]],8))</f>
        <v>0</v>
      </c>
      <c r="Q1572" s="45" t="s">
        <v>97</v>
      </c>
      <c r="R1572" s="45">
        <f>HEX2DEC(RIGHT(Table132321[[#This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5" t="s">
        <v>97</v>
      </c>
      <c r="P1573" s="45">
        <f>HEX2DEC(RIGHT(Table132321[[#This Row],[h1]],8))</f>
        <v>0</v>
      </c>
      <c r="Q1573" s="45" t="s">
        <v>97</v>
      </c>
      <c r="R1573" s="45">
        <f>HEX2DEC(RIGHT(Table132321[[#This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5" t="s">
        <v>97</v>
      </c>
      <c r="P1574" s="45">
        <f>HEX2DEC(RIGHT(Table132321[[#This Row],[h1]],8))</f>
        <v>0</v>
      </c>
      <c r="Q1574" s="45" t="s">
        <v>97</v>
      </c>
      <c r="R1574" s="45">
        <f>HEX2DEC(RIGHT(Table132321[[#This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5" t="s">
        <v>97</v>
      </c>
      <c r="P1575" s="45">
        <f>HEX2DEC(RIGHT(Table132321[[#This Row],[h1]],8))</f>
        <v>0</v>
      </c>
      <c r="Q1575" s="45" t="s">
        <v>97</v>
      </c>
      <c r="R1575" s="45">
        <f>HEX2DEC(RIGHT(Table132321[[#This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5" t="s">
        <v>97</v>
      </c>
      <c r="P1576" s="45">
        <f>HEX2DEC(RIGHT(Table132321[[#This Row],[h1]],8))</f>
        <v>0</v>
      </c>
      <c r="Q1576" s="45" t="s">
        <v>97</v>
      </c>
      <c r="R1576" s="45">
        <f>HEX2DEC(RIGHT(Table132321[[#This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5" t="s">
        <v>97</v>
      </c>
      <c r="P1577" s="45">
        <f>HEX2DEC(RIGHT(Table132321[[#This Row],[h1]],8))</f>
        <v>0</v>
      </c>
      <c r="Q1577" s="45" t="s">
        <v>97</v>
      </c>
      <c r="R1577" s="45">
        <f>HEX2DEC(RIGHT(Table132321[[#This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5" t="s">
        <v>97</v>
      </c>
      <c r="P1578" s="45">
        <f>HEX2DEC(RIGHT(Table132321[[#This Row],[h1]],8))</f>
        <v>0</v>
      </c>
      <c r="Q1578" s="45" t="s">
        <v>97</v>
      </c>
      <c r="R1578" s="45">
        <f>HEX2DEC(RIGHT(Table132321[[#This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5" t="s">
        <v>97</v>
      </c>
      <c r="P1579" s="45">
        <f>HEX2DEC(RIGHT(Table132321[[#This Row],[h1]],8))</f>
        <v>0</v>
      </c>
      <c r="Q1579" s="45" t="s">
        <v>97</v>
      </c>
      <c r="R1579" s="45">
        <f>HEX2DEC(RIGHT(Table132321[[#This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5" t="s">
        <v>97</v>
      </c>
      <c r="P1580" s="45">
        <f>HEX2DEC(RIGHT(Table132321[[#This Row],[h1]],8))</f>
        <v>0</v>
      </c>
      <c r="Q1580" s="45" t="s">
        <v>97</v>
      </c>
      <c r="R1580" s="45">
        <f>HEX2DEC(RIGHT(Table132321[[#This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5" t="s">
        <v>97</v>
      </c>
      <c r="P1581" s="45">
        <f>HEX2DEC(RIGHT(Table132321[[#This Row],[h1]],8))</f>
        <v>0</v>
      </c>
      <c r="Q1581" s="45" t="s">
        <v>97</v>
      </c>
      <c r="R1581" s="45">
        <f>HEX2DEC(RIGHT(Table132321[[#This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5" t="s">
        <v>97</v>
      </c>
      <c r="P1582" s="45">
        <f>HEX2DEC(RIGHT(Table132321[[#This Row],[h1]],8))</f>
        <v>0</v>
      </c>
      <c r="Q1582" s="45" t="s">
        <v>97</v>
      </c>
      <c r="R1582" s="45">
        <f>HEX2DEC(RIGHT(Table132321[[#This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5" t="s">
        <v>97</v>
      </c>
      <c r="P1583" s="45">
        <f>HEX2DEC(RIGHT(Table132321[[#This Row],[h1]],8))</f>
        <v>0</v>
      </c>
      <c r="Q1583" s="45" t="s">
        <v>97</v>
      </c>
      <c r="R1583" s="45">
        <f>HEX2DEC(RIGHT(Table132321[[#This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5" t="s">
        <v>97</v>
      </c>
      <c r="P1584" s="45">
        <f>HEX2DEC(RIGHT(Table132321[[#This Row],[h1]],8))</f>
        <v>0</v>
      </c>
      <c r="Q1584" s="45" t="s">
        <v>97</v>
      </c>
      <c r="R1584" s="45">
        <f>HEX2DEC(RIGHT(Table132321[[#This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5" t="s">
        <v>97</v>
      </c>
      <c r="P1585" s="45">
        <f>HEX2DEC(RIGHT(Table132321[[#This Row],[h1]],8))</f>
        <v>0</v>
      </c>
      <c r="Q1585" s="45" t="s">
        <v>97</v>
      </c>
      <c r="R1585" s="45">
        <f>HEX2DEC(RIGHT(Table132321[[#This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5" t="s">
        <v>97</v>
      </c>
      <c r="P1586" s="45">
        <f>HEX2DEC(RIGHT(Table132321[[#This Row],[h1]],8))</f>
        <v>0</v>
      </c>
      <c r="Q1586" s="45" t="s">
        <v>97</v>
      </c>
      <c r="R1586" s="45">
        <f>HEX2DEC(RIGHT(Table132321[[#This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5" t="s">
        <v>97</v>
      </c>
      <c r="P1587" s="45">
        <f>HEX2DEC(RIGHT(Table132321[[#This Row],[h1]],8))</f>
        <v>0</v>
      </c>
      <c r="Q1587" s="45" t="s">
        <v>97</v>
      </c>
      <c r="R1587" s="45">
        <f>HEX2DEC(RIGHT(Table132321[[#This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5" t="s">
        <v>97</v>
      </c>
      <c r="P1588" s="45">
        <f>HEX2DEC(RIGHT(Table132321[[#This Row],[h1]],8))</f>
        <v>0</v>
      </c>
      <c r="Q1588" s="45" t="s">
        <v>97</v>
      </c>
      <c r="R1588" s="45">
        <f>HEX2DEC(RIGHT(Table132321[[#This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5" t="s">
        <v>97</v>
      </c>
      <c r="P1589" s="45">
        <f>HEX2DEC(RIGHT(Table132321[[#This Row],[h1]],8))</f>
        <v>0</v>
      </c>
      <c r="Q1589" s="45" t="s">
        <v>97</v>
      </c>
      <c r="R1589" s="45">
        <f>HEX2DEC(RIGHT(Table132321[[#This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5" t="s">
        <v>97</v>
      </c>
      <c r="P1590" s="45">
        <f>HEX2DEC(RIGHT(Table132321[[#This Row],[h1]],8))</f>
        <v>0</v>
      </c>
      <c r="Q1590" s="45" t="s">
        <v>97</v>
      </c>
      <c r="R1590" s="45">
        <f>HEX2DEC(RIGHT(Table132321[[#This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5" t="s">
        <v>97</v>
      </c>
      <c r="P1591" s="45">
        <f>HEX2DEC(RIGHT(Table132321[[#This Row],[h1]],8))</f>
        <v>0</v>
      </c>
      <c r="Q1591" s="45" t="s">
        <v>97</v>
      </c>
      <c r="R1591" s="45">
        <f>HEX2DEC(RIGHT(Table132321[[#This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5" t="s">
        <v>97</v>
      </c>
      <c r="P1592" s="45">
        <f>HEX2DEC(RIGHT(Table132321[[#This Row],[h1]],8))</f>
        <v>0</v>
      </c>
      <c r="Q1592" s="45" t="s">
        <v>97</v>
      </c>
      <c r="R1592" s="45">
        <f>HEX2DEC(RIGHT(Table132321[[#This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5" t="s">
        <v>97</v>
      </c>
      <c r="P1593" s="45">
        <f>HEX2DEC(RIGHT(Table132321[[#This Row],[h1]],8))</f>
        <v>0</v>
      </c>
      <c r="Q1593" s="45" t="s">
        <v>97</v>
      </c>
      <c r="R1593" s="45">
        <f>HEX2DEC(RIGHT(Table132321[[#This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5" t="s">
        <v>97</v>
      </c>
      <c r="P1594" s="45">
        <f>HEX2DEC(RIGHT(Table132321[[#This Row],[h1]],8))</f>
        <v>0</v>
      </c>
      <c r="Q1594" s="45" t="s">
        <v>97</v>
      </c>
      <c r="R1594" s="45">
        <f>HEX2DEC(RIGHT(Table132321[[#This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5" t="s">
        <v>97</v>
      </c>
      <c r="P1595" s="45">
        <f>HEX2DEC(RIGHT(Table132321[[#This Row],[h1]],8))</f>
        <v>0</v>
      </c>
      <c r="Q1595" s="45" t="s">
        <v>97</v>
      </c>
      <c r="R1595" s="45">
        <f>HEX2DEC(RIGHT(Table132321[[#This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5" t="s">
        <v>97</v>
      </c>
      <c r="P1596" s="45">
        <f>HEX2DEC(RIGHT(Table132321[[#This Row],[h1]],8))</f>
        <v>0</v>
      </c>
      <c r="Q1596" s="45" t="s">
        <v>97</v>
      </c>
      <c r="R1596" s="45">
        <f>HEX2DEC(RIGHT(Table132321[[#This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5" t="s">
        <v>97</v>
      </c>
      <c r="P1597" s="45">
        <f>HEX2DEC(RIGHT(Table132321[[#This Row],[h1]],8))</f>
        <v>0</v>
      </c>
      <c r="Q1597" s="45" t="s">
        <v>97</v>
      </c>
      <c r="R1597" s="45">
        <f>HEX2DEC(RIGHT(Table132321[[#This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5" t="s">
        <v>97</v>
      </c>
      <c r="P1598" s="45">
        <f>HEX2DEC(RIGHT(Table132321[[#This Row],[h1]],8))</f>
        <v>0</v>
      </c>
      <c r="Q1598" s="45" t="s">
        <v>97</v>
      </c>
      <c r="R1598" s="45">
        <f>HEX2DEC(RIGHT(Table132321[[#This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5" t="s">
        <v>97</v>
      </c>
      <c r="P1599" s="45">
        <f>HEX2DEC(RIGHT(Table132321[[#This Row],[h1]],8))</f>
        <v>0</v>
      </c>
      <c r="Q1599" s="45" t="s">
        <v>97</v>
      </c>
      <c r="R1599" s="45">
        <f>HEX2DEC(RIGHT(Table132321[[#This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5" t="s">
        <v>97</v>
      </c>
      <c r="P1600" s="45">
        <f>HEX2DEC(RIGHT(Table132321[[#This Row],[h1]],8))</f>
        <v>0</v>
      </c>
      <c r="Q1600" s="45" t="s">
        <v>97</v>
      </c>
      <c r="R1600" s="45">
        <f>HEX2DEC(RIGHT(Table132321[[#This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5" t="s">
        <v>97</v>
      </c>
      <c r="P1601" s="45">
        <f>HEX2DEC(RIGHT(Table132321[[#This Row],[h1]],8))</f>
        <v>0</v>
      </c>
      <c r="Q1601" s="45" t="s">
        <v>97</v>
      </c>
      <c r="R1601" s="45">
        <f>HEX2DEC(RIGHT(Table132321[[#This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5" t="s">
        <v>97</v>
      </c>
      <c r="P1602" s="45">
        <f>HEX2DEC(RIGHT(Table132321[[#This Row],[h1]],8))</f>
        <v>0</v>
      </c>
      <c r="Q1602" s="45" t="s">
        <v>97</v>
      </c>
      <c r="R1602" s="45">
        <f>HEX2DEC(RIGHT(Table132321[[#This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5" t="s">
        <v>97</v>
      </c>
      <c r="P1603" s="45">
        <f>HEX2DEC(RIGHT(Table132321[[#This Row],[h1]],8))</f>
        <v>0</v>
      </c>
      <c r="Q1603" s="45" t="s">
        <v>97</v>
      </c>
      <c r="R1603" s="45">
        <f>HEX2DEC(RIGHT(Table132321[[#This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5" t="s">
        <v>97</v>
      </c>
      <c r="P1604" s="45">
        <f>HEX2DEC(RIGHT(Table132321[[#This Row],[h1]],8))</f>
        <v>0</v>
      </c>
      <c r="Q1604" s="45" t="s">
        <v>97</v>
      </c>
      <c r="R1604" s="45">
        <f>HEX2DEC(RIGHT(Table132321[[#This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5" t="s">
        <v>97</v>
      </c>
      <c r="P1605" s="45">
        <f>HEX2DEC(RIGHT(Table132321[[#This Row],[h1]],8))</f>
        <v>0</v>
      </c>
      <c r="Q1605" s="45" t="s">
        <v>97</v>
      </c>
      <c r="R1605" s="45">
        <f>HEX2DEC(RIGHT(Table132321[[#This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5" t="s">
        <v>97</v>
      </c>
      <c r="P1606" s="45">
        <f>HEX2DEC(RIGHT(Table132321[[#This Row],[h1]],8))</f>
        <v>0</v>
      </c>
      <c r="Q1606" s="45" t="s">
        <v>97</v>
      </c>
      <c r="R1606" s="45">
        <f>HEX2DEC(RIGHT(Table132321[[#This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5" t="s">
        <v>97</v>
      </c>
      <c r="P1607" s="45">
        <f>HEX2DEC(RIGHT(Table132321[[#This Row],[h1]],8))</f>
        <v>0</v>
      </c>
      <c r="Q1607" s="45" t="s">
        <v>97</v>
      </c>
      <c r="R1607" s="45">
        <f>HEX2DEC(RIGHT(Table132321[[#This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5" t="s">
        <v>97</v>
      </c>
      <c r="P1608" s="45">
        <f>HEX2DEC(RIGHT(Table132321[[#This Row],[h1]],8))</f>
        <v>0</v>
      </c>
      <c r="Q1608" s="45" t="s">
        <v>97</v>
      </c>
      <c r="R1608" s="45">
        <f>HEX2DEC(RIGHT(Table132321[[#This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5" t="s">
        <v>97</v>
      </c>
      <c r="P1609" s="45">
        <f>HEX2DEC(RIGHT(Table132321[[#This Row],[h1]],8))</f>
        <v>0</v>
      </c>
      <c r="Q1609" s="45" t="s">
        <v>97</v>
      </c>
      <c r="R1609" s="45">
        <f>HEX2DEC(RIGHT(Table132321[[#This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5" t="s">
        <v>97</v>
      </c>
      <c r="P1610" s="45">
        <f>HEX2DEC(RIGHT(Table132321[[#This Row],[h1]],8))</f>
        <v>0</v>
      </c>
      <c r="Q1610" s="45" t="s">
        <v>97</v>
      </c>
      <c r="R1610" s="45">
        <f>HEX2DEC(RIGHT(Table132321[[#This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5" t="s">
        <v>97</v>
      </c>
      <c r="P1611" s="45">
        <f>HEX2DEC(RIGHT(Table132321[[#This Row],[h1]],8))</f>
        <v>0</v>
      </c>
      <c r="Q1611" s="45" t="s">
        <v>97</v>
      </c>
      <c r="R1611" s="45">
        <f>HEX2DEC(RIGHT(Table132321[[#This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5" t="s">
        <v>97</v>
      </c>
      <c r="P1612" s="45">
        <f>HEX2DEC(RIGHT(Table132321[[#This Row],[h1]],8))</f>
        <v>0</v>
      </c>
      <c r="Q1612" s="45" t="s">
        <v>97</v>
      </c>
      <c r="R1612" s="45">
        <f>HEX2DEC(RIGHT(Table132321[[#This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5" t="s">
        <v>97</v>
      </c>
      <c r="P1613" s="45">
        <f>HEX2DEC(RIGHT(Table132321[[#This Row],[h1]],8))</f>
        <v>0</v>
      </c>
      <c r="Q1613" s="45" t="s">
        <v>97</v>
      </c>
      <c r="R1613" s="45">
        <f>HEX2DEC(RIGHT(Table132321[[#This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5" t="s">
        <v>97</v>
      </c>
      <c r="P1614" s="45">
        <f>HEX2DEC(RIGHT(Table132321[[#This Row],[h1]],8))</f>
        <v>0</v>
      </c>
      <c r="Q1614" s="45" t="s">
        <v>97</v>
      </c>
      <c r="R1614" s="45">
        <f>HEX2DEC(RIGHT(Table132321[[#This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5" t="s">
        <v>97</v>
      </c>
      <c r="P1615" s="45">
        <f>HEX2DEC(RIGHT(Table132321[[#This Row],[h1]],8))</f>
        <v>0</v>
      </c>
      <c r="Q1615" s="45" t="s">
        <v>97</v>
      </c>
      <c r="R1615" s="45">
        <f>HEX2DEC(RIGHT(Table132321[[#This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5" t="s">
        <v>97</v>
      </c>
      <c r="P1616" s="45">
        <f>HEX2DEC(RIGHT(Table132321[[#This Row],[h1]],8))</f>
        <v>0</v>
      </c>
      <c r="Q1616" s="45" t="s">
        <v>97</v>
      </c>
      <c r="R1616" s="45">
        <f>HEX2DEC(RIGHT(Table132321[[#This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5" t="s">
        <v>97</v>
      </c>
      <c r="P1617" s="45">
        <f>HEX2DEC(RIGHT(Table132321[[#This Row],[h1]],8))</f>
        <v>0</v>
      </c>
      <c r="Q1617" s="45" t="s">
        <v>97</v>
      </c>
      <c r="R1617" s="45">
        <f>HEX2DEC(RIGHT(Table132321[[#This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5" t="s">
        <v>97</v>
      </c>
      <c r="P1618" s="45">
        <f>HEX2DEC(RIGHT(Table132321[[#This Row],[h1]],8))</f>
        <v>0</v>
      </c>
      <c r="Q1618" s="45" t="s">
        <v>97</v>
      </c>
      <c r="R1618" s="45">
        <f>HEX2DEC(RIGHT(Table132321[[#This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5" t="s">
        <v>97</v>
      </c>
      <c r="P1619" s="45">
        <f>HEX2DEC(RIGHT(Table132321[[#This Row],[h1]],8))</f>
        <v>0</v>
      </c>
      <c r="Q1619" s="45" t="s">
        <v>97</v>
      </c>
      <c r="R1619" s="45">
        <f>HEX2DEC(RIGHT(Table132321[[#This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5" t="s">
        <v>97</v>
      </c>
      <c r="P1620" s="45">
        <f>HEX2DEC(RIGHT(Table132321[[#This Row],[h1]],8))</f>
        <v>0</v>
      </c>
      <c r="Q1620" s="45" t="s">
        <v>97</v>
      </c>
      <c r="R1620" s="45">
        <f>HEX2DEC(RIGHT(Table132321[[#This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5" t="s">
        <v>97</v>
      </c>
      <c r="P1621" s="45">
        <f>HEX2DEC(RIGHT(Table132321[[#This Row],[h1]],8))</f>
        <v>0</v>
      </c>
      <c r="Q1621" s="45" t="s">
        <v>97</v>
      </c>
      <c r="R1621" s="45">
        <f>HEX2DEC(RIGHT(Table132321[[#This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5" t="s">
        <v>97</v>
      </c>
      <c r="P1622" s="45">
        <f>HEX2DEC(RIGHT(Table132321[[#This Row],[h1]],8))</f>
        <v>0</v>
      </c>
      <c r="Q1622" s="45" t="s">
        <v>97</v>
      </c>
      <c r="R1622" s="45">
        <f>HEX2DEC(RIGHT(Table132321[[#This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5" t="s">
        <v>97</v>
      </c>
      <c r="P1623" s="45">
        <f>HEX2DEC(RIGHT(Table132321[[#This Row],[h1]],8))</f>
        <v>0</v>
      </c>
      <c r="Q1623" s="45" t="s">
        <v>97</v>
      </c>
      <c r="R1623" s="45">
        <f>HEX2DEC(RIGHT(Table132321[[#This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5" t="s">
        <v>97</v>
      </c>
      <c r="P1624" s="45">
        <f>HEX2DEC(RIGHT(Table132321[[#This Row],[h1]],8))</f>
        <v>0</v>
      </c>
      <c r="Q1624" s="45" t="s">
        <v>97</v>
      </c>
      <c r="R1624" s="45">
        <f>HEX2DEC(RIGHT(Table132321[[#This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5" t="s">
        <v>97</v>
      </c>
      <c r="P1625" s="45">
        <f>HEX2DEC(RIGHT(Table132321[[#This Row],[h1]],8))</f>
        <v>0</v>
      </c>
      <c r="Q1625" s="45" t="s">
        <v>97</v>
      </c>
      <c r="R1625" s="45">
        <f>HEX2DEC(RIGHT(Table132321[[#This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5" t="s">
        <v>97</v>
      </c>
      <c r="P1626" s="45">
        <f>HEX2DEC(RIGHT(Table132321[[#This Row],[h1]],8))</f>
        <v>0</v>
      </c>
      <c r="Q1626" s="45" t="s">
        <v>97</v>
      </c>
      <c r="R1626" s="45">
        <f>HEX2DEC(RIGHT(Table132321[[#This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5" t="s">
        <v>97</v>
      </c>
      <c r="P1627" s="45">
        <f>HEX2DEC(RIGHT(Table132321[[#This Row],[h1]],8))</f>
        <v>0</v>
      </c>
      <c r="Q1627" s="45" t="s">
        <v>97</v>
      </c>
      <c r="R1627" s="45">
        <f>HEX2DEC(RIGHT(Table132321[[#This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5" t="s">
        <v>97</v>
      </c>
      <c r="P1628" s="45">
        <f>HEX2DEC(RIGHT(Table132321[[#This Row],[h1]],8))</f>
        <v>0</v>
      </c>
      <c r="Q1628" s="45" t="s">
        <v>97</v>
      </c>
      <c r="R1628" s="45">
        <f>HEX2DEC(RIGHT(Table132321[[#This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5" t="s">
        <v>97</v>
      </c>
      <c r="P1629" s="45">
        <f>HEX2DEC(RIGHT(Table132321[[#This Row],[h1]],8))</f>
        <v>0</v>
      </c>
      <c r="Q1629" s="45" t="s">
        <v>97</v>
      </c>
      <c r="R1629" s="45">
        <f>HEX2DEC(RIGHT(Table132321[[#This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5" t="s">
        <v>97</v>
      </c>
      <c r="P1630" s="45">
        <f>HEX2DEC(RIGHT(Table132321[[#This Row],[h1]],8))</f>
        <v>0</v>
      </c>
      <c r="Q1630" s="45" t="s">
        <v>97</v>
      </c>
      <c r="R1630" s="45">
        <f>HEX2DEC(RIGHT(Table132321[[#This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5" t="s">
        <v>97</v>
      </c>
      <c r="P1631" s="45">
        <f>HEX2DEC(RIGHT(Table132321[[#This Row],[h1]],8))</f>
        <v>0</v>
      </c>
      <c r="Q1631" s="45" t="s">
        <v>97</v>
      </c>
      <c r="R1631" s="45">
        <f>HEX2DEC(RIGHT(Table132321[[#This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5" t="s">
        <v>97</v>
      </c>
      <c r="P1632" s="45">
        <f>HEX2DEC(RIGHT(Table132321[[#This Row],[h1]],8))</f>
        <v>0</v>
      </c>
      <c r="Q1632" s="45" t="s">
        <v>97</v>
      </c>
      <c r="R1632" s="45">
        <f>HEX2DEC(RIGHT(Table132321[[#This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5" t="s">
        <v>97</v>
      </c>
      <c r="P1633" s="45">
        <f>HEX2DEC(RIGHT(Table132321[[#This Row],[h1]],8))</f>
        <v>0</v>
      </c>
      <c r="Q1633" s="45" t="s">
        <v>97</v>
      </c>
      <c r="R1633" s="45">
        <f>HEX2DEC(RIGHT(Table132321[[#This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5" t="s">
        <v>97</v>
      </c>
      <c r="P1634" s="45">
        <f>HEX2DEC(RIGHT(Table132321[[#This Row],[h1]],8))</f>
        <v>0</v>
      </c>
      <c r="Q1634" s="45" t="s">
        <v>97</v>
      </c>
      <c r="R1634" s="45">
        <f>HEX2DEC(RIGHT(Table132321[[#This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5" t="s">
        <v>97</v>
      </c>
      <c r="P1635" s="45">
        <f>HEX2DEC(RIGHT(Table132321[[#This Row],[h1]],8))</f>
        <v>0</v>
      </c>
      <c r="Q1635" s="45" t="s">
        <v>97</v>
      </c>
      <c r="R1635" s="45">
        <f>HEX2DEC(RIGHT(Table132321[[#This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5" t="s">
        <v>97</v>
      </c>
      <c r="P1636" s="45">
        <f>HEX2DEC(RIGHT(Table132321[[#This Row],[h1]],8))</f>
        <v>0</v>
      </c>
      <c r="Q1636" s="45" t="s">
        <v>97</v>
      </c>
      <c r="R1636" s="45">
        <f>HEX2DEC(RIGHT(Table132321[[#This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5" t="s">
        <v>97</v>
      </c>
      <c r="P1637" s="45">
        <f>HEX2DEC(RIGHT(Table132321[[#This Row],[h1]],8))</f>
        <v>0</v>
      </c>
      <c r="Q1637" s="45" t="s">
        <v>97</v>
      </c>
      <c r="R1637" s="45">
        <f>HEX2DEC(RIGHT(Table132321[[#This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5" t="s">
        <v>97</v>
      </c>
      <c r="P1638" s="45">
        <f>HEX2DEC(RIGHT(Table132321[[#This Row],[h1]],8))</f>
        <v>0</v>
      </c>
      <c r="Q1638" s="45" t="s">
        <v>97</v>
      </c>
      <c r="R1638" s="45">
        <f>HEX2DEC(RIGHT(Table132321[[#This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5" t="s">
        <v>97</v>
      </c>
      <c r="P1639" s="45">
        <f>HEX2DEC(RIGHT(Table132321[[#This Row],[h1]],8))</f>
        <v>0</v>
      </c>
      <c r="Q1639" s="45" t="s">
        <v>97</v>
      </c>
      <c r="R1639" s="45">
        <f>HEX2DEC(RIGHT(Table132321[[#This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5" t="s">
        <v>97</v>
      </c>
      <c r="P1640" s="45">
        <f>HEX2DEC(RIGHT(Table132321[[#This Row],[h1]],8))</f>
        <v>0</v>
      </c>
      <c r="Q1640" s="45" t="s">
        <v>97</v>
      </c>
      <c r="R1640" s="45">
        <f>HEX2DEC(RIGHT(Table132321[[#This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5" t="s">
        <v>97</v>
      </c>
      <c r="P1641" s="45">
        <f>HEX2DEC(RIGHT(Table132321[[#This Row],[h1]],8))</f>
        <v>0</v>
      </c>
      <c r="Q1641" s="45" t="s">
        <v>97</v>
      </c>
      <c r="R1641" s="45">
        <f>HEX2DEC(RIGHT(Table132321[[#This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5" t="s">
        <v>97</v>
      </c>
      <c r="P1642" s="45">
        <f>HEX2DEC(RIGHT(Table132321[[#This Row],[h1]],8))</f>
        <v>0</v>
      </c>
      <c r="Q1642" s="45" t="s">
        <v>97</v>
      </c>
      <c r="R1642" s="45">
        <f>HEX2DEC(RIGHT(Table132321[[#This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5" t="s">
        <v>97</v>
      </c>
      <c r="P1643" s="45">
        <f>HEX2DEC(RIGHT(Table132321[[#This Row],[h1]],8))</f>
        <v>0</v>
      </c>
      <c r="Q1643" s="45" t="s">
        <v>97</v>
      </c>
      <c r="R1643" s="45">
        <f>HEX2DEC(RIGHT(Table132321[[#This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5" t="s">
        <v>97</v>
      </c>
      <c r="P1644" s="45">
        <f>HEX2DEC(RIGHT(Table132321[[#This Row],[h1]],8))</f>
        <v>0</v>
      </c>
      <c r="Q1644" s="45" t="s">
        <v>97</v>
      </c>
      <c r="R1644" s="45">
        <f>HEX2DEC(RIGHT(Table132321[[#This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5" t="s">
        <v>97</v>
      </c>
      <c r="P1645" s="45">
        <f>HEX2DEC(RIGHT(Table132321[[#This Row],[h1]],8))</f>
        <v>0</v>
      </c>
      <c r="Q1645" s="45" t="s">
        <v>97</v>
      </c>
      <c r="R1645" s="45">
        <f>HEX2DEC(RIGHT(Table132321[[#This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5" t="s">
        <v>97</v>
      </c>
      <c r="P1646" s="45">
        <f>HEX2DEC(RIGHT(Table132321[[#This Row],[h1]],8))</f>
        <v>0</v>
      </c>
      <c r="Q1646" s="45" t="s">
        <v>97</v>
      </c>
      <c r="R1646" s="45">
        <f>HEX2DEC(RIGHT(Table132321[[#This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5" t="s">
        <v>97</v>
      </c>
      <c r="P1647" s="45">
        <f>HEX2DEC(RIGHT(Table132321[[#This Row],[h1]],8))</f>
        <v>0</v>
      </c>
      <c r="Q1647" s="45" t="s">
        <v>97</v>
      </c>
      <c r="R1647" s="45">
        <f>HEX2DEC(RIGHT(Table132321[[#This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5" t="s">
        <v>97</v>
      </c>
      <c r="P1648" s="45">
        <f>HEX2DEC(RIGHT(Table132321[[#This Row],[h1]],8))</f>
        <v>0</v>
      </c>
      <c r="Q1648" s="45" t="s">
        <v>97</v>
      </c>
      <c r="R1648" s="45">
        <f>HEX2DEC(RIGHT(Table132321[[#This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5" t="s">
        <v>97</v>
      </c>
      <c r="P1649" s="45">
        <f>HEX2DEC(RIGHT(Table132321[[#This Row],[h1]],8))</f>
        <v>0</v>
      </c>
      <c r="Q1649" s="45" t="s">
        <v>97</v>
      </c>
      <c r="R1649" s="45">
        <f>HEX2DEC(RIGHT(Table132321[[#This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5" t="s">
        <v>97</v>
      </c>
      <c r="P1650" s="45">
        <f>HEX2DEC(RIGHT(Table132321[[#This Row],[h1]],8))</f>
        <v>0</v>
      </c>
      <c r="Q1650" s="45" t="s">
        <v>97</v>
      </c>
      <c r="R1650" s="45">
        <f>HEX2DEC(RIGHT(Table132321[[#This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5" t="s">
        <v>97</v>
      </c>
      <c r="P1651" s="45">
        <f>HEX2DEC(RIGHT(Table132321[[#This Row],[h1]],8))</f>
        <v>0</v>
      </c>
      <c r="Q1651" s="45" t="s">
        <v>97</v>
      </c>
      <c r="R1651" s="45">
        <f>HEX2DEC(RIGHT(Table132321[[#This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5" t="s">
        <v>97</v>
      </c>
      <c r="P1652" s="45">
        <f>HEX2DEC(RIGHT(Table132321[[#This Row],[h1]],8))</f>
        <v>0</v>
      </c>
      <c r="Q1652" s="45" t="s">
        <v>97</v>
      </c>
      <c r="R1652" s="45">
        <f>HEX2DEC(RIGHT(Table132321[[#This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5" t="s">
        <v>97</v>
      </c>
      <c r="P1653" s="45">
        <f>HEX2DEC(RIGHT(Table132321[[#This Row],[h1]],8))</f>
        <v>0</v>
      </c>
      <c r="Q1653" s="45" t="s">
        <v>97</v>
      </c>
      <c r="R1653" s="45">
        <f>HEX2DEC(RIGHT(Table132321[[#This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5" t="s">
        <v>97</v>
      </c>
      <c r="P1654" s="45">
        <f>HEX2DEC(RIGHT(Table132321[[#This Row],[h1]],8))</f>
        <v>0</v>
      </c>
      <c r="Q1654" s="45" t="s">
        <v>97</v>
      </c>
      <c r="R1654" s="45">
        <f>HEX2DEC(RIGHT(Table132321[[#This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5" t="s">
        <v>97</v>
      </c>
      <c r="P1655" s="45">
        <f>HEX2DEC(RIGHT(Table132321[[#This Row],[h1]],8))</f>
        <v>0</v>
      </c>
      <c r="Q1655" s="45" t="s">
        <v>97</v>
      </c>
      <c r="R1655" s="45">
        <f>HEX2DEC(RIGHT(Table132321[[#This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5" t="s">
        <v>97</v>
      </c>
      <c r="P1656" s="45">
        <f>HEX2DEC(RIGHT(Table132321[[#This Row],[h1]],8))</f>
        <v>0</v>
      </c>
      <c r="Q1656" s="45" t="s">
        <v>97</v>
      </c>
      <c r="R1656" s="45">
        <f>HEX2DEC(RIGHT(Table132321[[#This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5" t="s">
        <v>97</v>
      </c>
      <c r="P1657" s="45">
        <f>HEX2DEC(RIGHT(Table132321[[#This Row],[h1]],8))</f>
        <v>0</v>
      </c>
      <c r="Q1657" s="45" t="s">
        <v>97</v>
      </c>
      <c r="R1657" s="45">
        <f>HEX2DEC(RIGHT(Table132321[[#This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5" t="s">
        <v>97</v>
      </c>
      <c r="P1658" s="45">
        <f>HEX2DEC(RIGHT(Table132321[[#This Row],[h1]],8))</f>
        <v>0</v>
      </c>
      <c r="Q1658" s="45" t="s">
        <v>97</v>
      </c>
      <c r="R1658" s="45">
        <f>HEX2DEC(RIGHT(Table132321[[#This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5" t="s">
        <v>97</v>
      </c>
      <c r="P1659" s="45">
        <f>HEX2DEC(RIGHT(Table132321[[#This Row],[h1]],8))</f>
        <v>0</v>
      </c>
      <c r="Q1659" s="45" t="s">
        <v>97</v>
      </c>
      <c r="R1659" s="45">
        <f>HEX2DEC(RIGHT(Table132321[[#This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5" t="s">
        <v>97</v>
      </c>
      <c r="P1660" s="45">
        <f>HEX2DEC(RIGHT(Table132321[[#This Row],[h1]],8))</f>
        <v>0</v>
      </c>
      <c r="Q1660" s="45" t="s">
        <v>97</v>
      </c>
      <c r="R1660" s="45">
        <f>HEX2DEC(RIGHT(Table132321[[#This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5" t="s">
        <v>97</v>
      </c>
      <c r="P1661" s="45">
        <f>HEX2DEC(RIGHT(Table132321[[#This Row],[h1]],8))</f>
        <v>0</v>
      </c>
      <c r="Q1661" s="45" t="s">
        <v>97</v>
      </c>
      <c r="R1661" s="45">
        <f>HEX2DEC(RIGHT(Table132321[[#This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5" t="s">
        <v>97</v>
      </c>
      <c r="P1662" s="45">
        <f>HEX2DEC(RIGHT(Table132321[[#This Row],[h1]],8))</f>
        <v>0</v>
      </c>
      <c r="Q1662" s="45" t="s">
        <v>97</v>
      </c>
      <c r="R1662" s="45">
        <f>HEX2DEC(RIGHT(Table132321[[#This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5" t="s">
        <v>97</v>
      </c>
      <c r="P1663" s="45">
        <f>HEX2DEC(RIGHT(Table132321[[#This Row],[h1]],8))</f>
        <v>0</v>
      </c>
      <c r="Q1663" s="45" t="s">
        <v>97</v>
      </c>
      <c r="R1663" s="45">
        <f>HEX2DEC(RIGHT(Table132321[[#This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5" t="s">
        <v>97</v>
      </c>
      <c r="P1664" s="45">
        <f>HEX2DEC(RIGHT(Table132321[[#This Row],[h1]],8))</f>
        <v>0</v>
      </c>
      <c r="Q1664" s="45" t="s">
        <v>97</v>
      </c>
      <c r="R1664" s="45">
        <f>HEX2DEC(RIGHT(Table132321[[#This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5" t="s">
        <v>97</v>
      </c>
      <c r="P1665" s="45">
        <f>HEX2DEC(RIGHT(Table132321[[#This Row],[h1]],8))</f>
        <v>0</v>
      </c>
      <c r="Q1665" s="45" t="s">
        <v>97</v>
      </c>
      <c r="R1665" s="45">
        <f>HEX2DEC(RIGHT(Table132321[[#This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5" t="s">
        <v>97</v>
      </c>
      <c r="P1666" s="45">
        <f>HEX2DEC(RIGHT(Table132321[[#This Row],[h1]],8))</f>
        <v>0</v>
      </c>
      <c r="Q1666" s="45" t="s">
        <v>97</v>
      </c>
      <c r="R1666" s="45">
        <f>HEX2DEC(RIGHT(Table132321[[#This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5" t="s">
        <v>97</v>
      </c>
      <c r="P1667" s="45">
        <f>HEX2DEC(RIGHT(Table132321[[#This Row],[h1]],8))</f>
        <v>0</v>
      </c>
      <c r="Q1667" s="45" t="s">
        <v>97</v>
      </c>
      <c r="R1667" s="45">
        <f>HEX2DEC(RIGHT(Table132321[[#This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5" t="s">
        <v>97</v>
      </c>
      <c r="P1668" s="45">
        <f>HEX2DEC(RIGHT(Table132321[[#This Row],[h1]],8))</f>
        <v>0</v>
      </c>
      <c r="Q1668" s="45" t="s">
        <v>97</v>
      </c>
      <c r="R1668" s="45">
        <f>HEX2DEC(RIGHT(Table132321[[#This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5" t="s">
        <v>97</v>
      </c>
      <c r="P1669" s="45">
        <f>HEX2DEC(RIGHT(Table132321[[#This Row],[h1]],8))</f>
        <v>0</v>
      </c>
      <c r="Q1669" s="45" t="s">
        <v>97</v>
      </c>
      <c r="R1669" s="45">
        <f>HEX2DEC(RIGHT(Table132321[[#This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5" t="s">
        <v>97</v>
      </c>
      <c r="P1670" s="45">
        <f>HEX2DEC(RIGHT(Table132321[[#This Row],[h1]],8))</f>
        <v>0</v>
      </c>
      <c r="Q1670" s="45" t="s">
        <v>97</v>
      </c>
      <c r="R1670" s="45">
        <f>HEX2DEC(RIGHT(Table132321[[#This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5" t="s">
        <v>97</v>
      </c>
      <c r="P1671" s="45">
        <f>HEX2DEC(RIGHT(Table132321[[#This Row],[h1]],8))</f>
        <v>0</v>
      </c>
      <c r="Q1671" s="45" t="s">
        <v>97</v>
      </c>
      <c r="R1671" s="45">
        <f>HEX2DEC(RIGHT(Table132321[[#This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5" t="s">
        <v>97</v>
      </c>
      <c r="P1672" s="45">
        <f>HEX2DEC(RIGHT(Table132321[[#This Row],[h1]],8))</f>
        <v>0</v>
      </c>
      <c r="Q1672" s="45" t="s">
        <v>97</v>
      </c>
      <c r="R1672" s="45">
        <f>HEX2DEC(RIGHT(Table132321[[#This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5" t="s">
        <v>97</v>
      </c>
      <c r="P1673" s="45">
        <f>HEX2DEC(RIGHT(Table132321[[#This Row],[h1]],8))</f>
        <v>0</v>
      </c>
      <c r="Q1673" s="45" t="s">
        <v>97</v>
      </c>
      <c r="R1673" s="45">
        <f>HEX2DEC(RIGHT(Table132321[[#This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5" t="s">
        <v>97</v>
      </c>
      <c r="P1674" s="45">
        <f>HEX2DEC(RIGHT(Table132321[[#This Row],[h1]],8))</f>
        <v>0</v>
      </c>
      <c r="Q1674" s="45" t="s">
        <v>97</v>
      </c>
      <c r="R1674" s="45">
        <f>HEX2DEC(RIGHT(Table132321[[#This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5" t="s">
        <v>97</v>
      </c>
      <c r="P1675" s="45">
        <f>HEX2DEC(RIGHT(Table132321[[#This Row],[h1]],8))</f>
        <v>0</v>
      </c>
      <c r="Q1675" s="45" t="s">
        <v>97</v>
      </c>
      <c r="R1675" s="45">
        <f>HEX2DEC(RIGHT(Table132321[[#This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5" t="s">
        <v>97</v>
      </c>
      <c r="P1676" s="45">
        <f>HEX2DEC(RIGHT(Table132321[[#This Row],[h1]],8))</f>
        <v>0</v>
      </c>
      <c r="Q1676" s="45" t="s">
        <v>97</v>
      </c>
      <c r="R1676" s="45">
        <f>HEX2DEC(RIGHT(Table132321[[#This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5" t="s">
        <v>97</v>
      </c>
      <c r="P1677" s="45">
        <f>HEX2DEC(RIGHT(Table132321[[#This Row],[h1]],8))</f>
        <v>0</v>
      </c>
      <c r="Q1677" s="45" t="s">
        <v>97</v>
      </c>
      <c r="R1677" s="45">
        <f>HEX2DEC(RIGHT(Table132321[[#This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5" t="s">
        <v>97</v>
      </c>
      <c r="P1678" s="45">
        <f>HEX2DEC(RIGHT(Table132321[[#This Row],[h1]],8))</f>
        <v>0</v>
      </c>
      <c r="Q1678" s="45" t="s">
        <v>97</v>
      </c>
      <c r="R1678" s="45">
        <f>HEX2DEC(RIGHT(Table132321[[#This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5" t="s">
        <v>97</v>
      </c>
      <c r="P1679" s="45">
        <f>HEX2DEC(RIGHT(Table132321[[#This Row],[h1]],8))</f>
        <v>0</v>
      </c>
      <c r="Q1679" s="45" t="s">
        <v>97</v>
      </c>
      <c r="R1679" s="45">
        <f>HEX2DEC(RIGHT(Table132321[[#This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5" t="s">
        <v>97</v>
      </c>
      <c r="P1680" s="45">
        <f>HEX2DEC(RIGHT(Table132321[[#This Row],[h1]],8))</f>
        <v>0</v>
      </c>
      <c r="Q1680" s="45" t="s">
        <v>97</v>
      </c>
      <c r="R1680" s="45">
        <f>HEX2DEC(RIGHT(Table132321[[#This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5" t="s">
        <v>97</v>
      </c>
      <c r="P1681" s="45">
        <f>HEX2DEC(RIGHT(Table132321[[#This Row],[h1]],8))</f>
        <v>0</v>
      </c>
      <c r="Q1681" s="45" t="s">
        <v>97</v>
      </c>
      <c r="R1681" s="45">
        <f>HEX2DEC(RIGHT(Table132321[[#This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5" t="s">
        <v>97</v>
      </c>
      <c r="P1682" s="45">
        <f>HEX2DEC(RIGHT(Table132321[[#This Row],[h1]],8))</f>
        <v>0</v>
      </c>
      <c r="Q1682" s="45" t="s">
        <v>97</v>
      </c>
      <c r="R1682" s="45">
        <f>HEX2DEC(RIGHT(Table132321[[#This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5" t="s">
        <v>97</v>
      </c>
      <c r="P1683" s="45">
        <f>HEX2DEC(RIGHT(Table132321[[#This Row],[h1]],8))</f>
        <v>0</v>
      </c>
      <c r="Q1683" s="45" t="s">
        <v>97</v>
      </c>
      <c r="R1683" s="45">
        <f>HEX2DEC(RIGHT(Table132321[[#This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5" t="s">
        <v>97</v>
      </c>
      <c r="P1684" s="45">
        <f>HEX2DEC(RIGHT(Table132321[[#This Row],[h1]],8))</f>
        <v>0</v>
      </c>
      <c r="Q1684" s="45" t="s">
        <v>97</v>
      </c>
      <c r="R1684" s="45">
        <f>HEX2DEC(RIGHT(Table132321[[#This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5" t="s">
        <v>97</v>
      </c>
      <c r="P1685" s="45">
        <f>HEX2DEC(RIGHT(Table132321[[#This Row],[h1]],8))</f>
        <v>0</v>
      </c>
      <c r="Q1685" s="45" t="s">
        <v>97</v>
      </c>
      <c r="R1685" s="45">
        <f>HEX2DEC(RIGHT(Table132321[[#This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5" t="s">
        <v>97</v>
      </c>
      <c r="P1686" s="45">
        <f>HEX2DEC(RIGHT(Table132321[[#This Row],[h1]],8))</f>
        <v>0</v>
      </c>
      <c r="Q1686" s="45" t="s">
        <v>97</v>
      </c>
      <c r="R1686" s="45">
        <f>HEX2DEC(RIGHT(Table132321[[#This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5" t="s">
        <v>97</v>
      </c>
      <c r="P1687" s="45">
        <f>HEX2DEC(RIGHT(Table132321[[#This Row],[h1]],8))</f>
        <v>0</v>
      </c>
      <c r="Q1687" s="45" t="s">
        <v>97</v>
      </c>
      <c r="R1687" s="45">
        <f>HEX2DEC(RIGHT(Table132321[[#This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5" t="s">
        <v>97</v>
      </c>
      <c r="P1688" s="45">
        <f>HEX2DEC(RIGHT(Table132321[[#This Row],[h1]],8))</f>
        <v>0</v>
      </c>
      <c r="Q1688" s="45" t="s">
        <v>97</v>
      </c>
      <c r="R1688" s="45">
        <f>HEX2DEC(RIGHT(Table132321[[#This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5" t="s">
        <v>97</v>
      </c>
      <c r="P1689" s="45">
        <f>HEX2DEC(RIGHT(Table132321[[#This Row],[h1]],8))</f>
        <v>0</v>
      </c>
      <c r="Q1689" s="45" t="s">
        <v>97</v>
      </c>
      <c r="R1689" s="45">
        <f>HEX2DEC(RIGHT(Table132321[[#This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5" t="s">
        <v>97</v>
      </c>
      <c r="P1690" s="45">
        <f>HEX2DEC(RIGHT(Table132321[[#This Row],[h1]],8))</f>
        <v>0</v>
      </c>
      <c r="Q1690" s="45" t="s">
        <v>97</v>
      </c>
      <c r="R1690" s="45">
        <f>HEX2DEC(RIGHT(Table132321[[#This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5" t="s">
        <v>97</v>
      </c>
      <c r="P1691" s="45">
        <f>HEX2DEC(RIGHT(Table132321[[#This Row],[h1]],8))</f>
        <v>0</v>
      </c>
      <c r="Q1691" s="45" t="s">
        <v>97</v>
      </c>
      <c r="R1691" s="45">
        <f>HEX2DEC(RIGHT(Table132321[[#This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5" t="s">
        <v>97</v>
      </c>
      <c r="P1692" s="45">
        <f>HEX2DEC(RIGHT(Table132321[[#This Row],[h1]],8))</f>
        <v>0</v>
      </c>
      <c r="Q1692" s="45" t="s">
        <v>97</v>
      </c>
      <c r="R1692" s="45">
        <f>HEX2DEC(RIGHT(Table132321[[#This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5" t="s">
        <v>97</v>
      </c>
      <c r="P1693" s="45">
        <f>HEX2DEC(RIGHT(Table132321[[#This Row],[h1]],8))</f>
        <v>0</v>
      </c>
      <c r="Q1693" s="45" t="s">
        <v>97</v>
      </c>
      <c r="R1693" s="45">
        <f>HEX2DEC(RIGHT(Table132321[[#This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5" t="s">
        <v>97</v>
      </c>
      <c r="P1694" s="45">
        <f>HEX2DEC(RIGHT(Table132321[[#This Row],[h1]],8))</f>
        <v>0</v>
      </c>
      <c r="Q1694" s="45" t="s">
        <v>97</v>
      </c>
      <c r="R1694" s="45">
        <f>HEX2DEC(RIGHT(Table132321[[#This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5" t="s">
        <v>97</v>
      </c>
      <c r="P1695" s="45">
        <f>HEX2DEC(RIGHT(Table132321[[#This Row],[h1]],8))</f>
        <v>0</v>
      </c>
      <c r="Q1695" s="45" t="s">
        <v>97</v>
      </c>
      <c r="R1695" s="45">
        <f>HEX2DEC(RIGHT(Table132321[[#This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5" t="s">
        <v>97</v>
      </c>
      <c r="P1696" s="45">
        <f>HEX2DEC(RIGHT(Table132321[[#This Row],[h1]],8))</f>
        <v>0</v>
      </c>
      <c r="Q1696" s="45" t="s">
        <v>97</v>
      </c>
      <c r="R1696" s="45">
        <f>HEX2DEC(RIGHT(Table132321[[#This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5" t="s">
        <v>97</v>
      </c>
      <c r="P1697" s="45">
        <f>HEX2DEC(RIGHT(Table132321[[#This Row],[h1]],8))</f>
        <v>0</v>
      </c>
      <c r="Q1697" s="45" t="s">
        <v>97</v>
      </c>
      <c r="R1697" s="45">
        <f>HEX2DEC(RIGHT(Table132321[[#This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5" t="s">
        <v>97</v>
      </c>
      <c r="P1698" s="45">
        <f>HEX2DEC(RIGHT(Table132321[[#This Row],[h1]],8))</f>
        <v>0</v>
      </c>
      <c r="Q1698" s="45" t="s">
        <v>97</v>
      </c>
      <c r="R1698" s="45">
        <f>HEX2DEC(RIGHT(Table132321[[#This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5" t="s">
        <v>97</v>
      </c>
      <c r="P1699" s="45">
        <f>HEX2DEC(RIGHT(Table132321[[#This Row],[h1]],8))</f>
        <v>0</v>
      </c>
      <c r="Q1699" s="45" t="s">
        <v>97</v>
      </c>
      <c r="R1699" s="45">
        <f>HEX2DEC(RIGHT(Table132321[[#This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5" t="s">
        <v>97</v>
      </c>
      <c r="P1700" s="45">
        <f>HEX2DEC(RIGHT(Table132321[[#This Row],[h1]],8))</f>
        <v>0</v>
      </c>
      <c r="Q1700" s="45" t="s">
        <v>97</v>
      </c>
      <c r="R1700" s="45">
        <f>HEX2DEC(RIGHT(Table132321[[#This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5" t="s">
        <v>97</v>
      </c>
      <c r="P1701" s="45">
        <f>HEX2DEC(RIGHT(Table132321[[#This Row],[h1]],8))</f>
        <v>0</v>
      </c>
      <c r="Q1701" s="45" t="s">
        <v>97</v>
      </c>
      <c r="R1701" s="45">
        <f>HEX2DEC(RIGHT(Table132321[[#This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5" t="s">
        <v>97</v>
      </c>
      <c r="P1702" s="45">
        <f>HEX2DEC(RIGHT(Table132321[[#This Row],[h1]],8))</f>
        <v>0</v>
      </c>
      <c r="Q1702" s="45" t="s">
        <v>97</v>
      </c>
      <c r="R1702" s="45">
        <f>HEX2DEC(RIGHT(Table132321[[#This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5" t="s">
        <v>97</v>
      </c>
      <c r="P1703" s="45">
        <f>HEX2DEC(RIGHT(Table132321[[#This Row],[h1]],8))</f>
        <v>0</v>
      </c>
      <c r="Q1703" s="45" t="s">
        <v>97</v>
      </c>
      <c r="R1703" s="45">
        <f>HEX2DEC(RIGHT(Table132321[[#This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5" t="s">
        <v>97</v>
      </c>
      <c r="P1704" s="45">
        <f>HEX2DEC(RIGHT(Table132321[[#This Row],[h1]],8))</f>
        <v>0</v>
      </c>
      <c r="Q1704" s="45" t="s">
        <v>97</v>
      </c>
      <c r="R1704" s="45">
        <f>HEX2DEC(RIGHT(Table132321[[#This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5" t="s">
        <v>97</v>
      </c>
      <c r="P1705" s="45">
        <f>HEX2DEC(RIGHT(Table132321[[#This Row],[h1]],8))</f>
        <v>0</v>
      </c>
      <c r="Q1705" s="45" t="s">
        <v>97</v>
      </c>
      <c r="R1705" s="45">
        <f>HEX2DEC(RIGHT(Table132321[[#This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5" t="s">
        <v>97</v>
      </c>
      <c r="P1706" s="45">
        <f>HEX2DEC(RIGHT(Table132321[[#This Row],[h1]],8))</f>
        <v>0</v>
      </c>
      <c r="Q1706" s="45" t="s">
        <v>97</v>
      </c>
      <c r="R1706" s="45">
        <f>HEX2DEC(RIGHT(Table132321[[#This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5" t="s">
        <v>97</v>
      </c>
      <c r="P1707" s="45">
        <f>HEX2DEC(RIGHT(Table132321[[#This Row],[h1]],8))</f>
        <v>0</v>
      </c>
      <c r="Q1707" s="45" t="s">
        <v>97</v>
      </c>
      <c r="R1707" s="45">
        <f>HEX2DEC(RIGHT(Table132321[[#This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5" t="s">
        <v>97</v>
      </c>
      <c r="P1708" s="45">
        <f>HEX2DEC(RIGHT(Table132321[[#This Row],[h1]],8))</f>
        <v>0</v>
      </c>
      <c r="Q1708" s="45" t="s">
        <v>97</v>
      </c>
      <c r="R1708" s="45">
        <f>HEX2DEC(RIGHT(Table132321[[#This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5" t="s">
        <v>97</v>
      </c>
      <c r="P1709" s="45">
        <f>HEX2DEC(RIGHT(Table132321[[#This Row],[h1]],8))</f>
        <v>0</v>
      </c>
      <c r="Q1709" s="45" t="s">
        <v>97</v>
      </c>
      <c r="R1709" s="45">
        <f>HEX2DEC(RIGHT(Table132321[[#This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5" t="s">
        <v>97</v>
      </c>
      <c r="P1710" s="45">
        <f>HEX2DEC(RIGHT(Table132321[[#This Row],[h1]],8))</f>
        <v>0</v>
      </c>
      <c r="Q1710" s="45" t="s">
        <v>97</v>
      </c>
      <c r="R1710" s="45">
        <f>HEX2DEC(RIGHT(Table132321[[#This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5" t="s">
        <v>97</v>
      </c>
      <c r="P1711" s="45">
        <f>HEX2DEC(RIGHT(Table132321[[#This Row],[h1]],8))</f>
        <v>0</v>
      </c>
      <c r="Q1711" s="45" t="s">
        <v>97</v>
      </c>
      <c r="R1711" s="45">
        <f>HEX2DEC(RIGHT(Table132321[[#This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5" t="s">
        <v>97</v>
      </c>
      <c r="P1712" s="45">
        <f>HEX2DEC(RIGHT(Table132321[[#This Row],[h1]],8))</f>
        <v>0</v>
      </c>
      <c r="Q1712" s="45" t="s">
        <v>97</v>
      </c>
      <c r="R1712" s="45">
        <f>HEX2DEC(RIGHT(Table132321[[#This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5" t="s">
        <v>97</v>
      </c>
      <c r="P1713" s="45">
        <f>HEX2DEC(RIGHT(Table132321[[#This Row],[h1]],8))</f>
        <v>0</v>
      </c>
      <c r="Q1713" s="45" t="s">
        <v>97</v>
      </c>
      <c r="R1713" s="45">
        <f>HEX2DEC(RIGHT(Table132321[[#This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5" t="s">
        <v>97</v>
      </c>
      <c r="P1714" s="45">
        <f>HEX2DEC(RIGHT(Table132321[[#This Row],[h1]],8))</f>
        <v>0</v>
      </c>
      <c r="Q1714" s="45" t="s">
        <v>97</v>
      </c>
      <c r="R1714" s="45">
        <f>HEX2DEC(RIGHT(Table132321[[#This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5" t="s">
        <v>97</v>
      </c>
      <c r="P1715" s="45">
        <f>HEX2DEC(RIGHT(Table132321[[#This Row],[h1]],8))</f>
        <v>0</v>
      </c>
      <c r="Q1715" s="45" t="s">
        <v>97</v>
      </c>
      <c r="R1715" s="45">
        <f>HEX2DEC(RIGHT(Table132321[[#This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5" t="s">
        <v>97</v>
      </c>
      <c r="P1716" s="45">
        <f>HEX2DEC(RIGHT(Table132321[[#This Row],[h1]],8))</f>
        <v>0</v>
      </c>
      <c r="Q1716" s="45" t="s">
        <v>97</v>
      </c>
      <c r="R1716" s="45">
        <f>HEX2DEC(RIGHT(Table132321[[#This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5" t="s">
        <v>97</v>
      </c>
      <c r="P1717" s="45">
        <f>HEX2DEC(RIGHT(Table132321[[#This Row],[h1]],8))</f>
        <v>0</v>
      </c>
      <c r="Q1717" s="45" t="s">
        <v>97</v>
      </c>
      <c r="R1717" s="45">
        <f>HEX2DEC(RIGHT(Table132321[[#This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5" t="s">
        <v>97</v>
      </c>
      <c r="P1718" s="45">
        <f>HEX2DEC(RIGHT(Table132321[[#This Row],[h1]],8))</f>
        <v>0</v>
      </c>
      <c r="Q1718" s="45" t="s">
        <v>97</v>
      </c>
      <c r="R1718" s="45">
        <f>HEX2DEC(RIGHT(Table132321[[#This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5" t="s">
        <v>97</v>
      </c>
      <c r="P1719" s="45">
        <f>HEX2DEC(RIGHT(Table132321[[#This Row],[h1]],8))</f>
        <v>0</v>
      </c>
      <c r="Q1719" s="45" t="s">
        <v>97</v>
      </c>
      <c r="R1719" s="45">
        <f>HEX2DEC(RIGHT(Table132321[[#This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5" t="s">
        <v>97</v>
      </c>
      <c r="P1720" s="45">
        <f>HEX2DEC(RIGHT(Table132321[[#This Row],[h1]],8))</f>
        <v>0</v>
      </c>
      <c r="Q1720" s="45" t="s">
        <v>97</v>
      </c>
      <c r="R1720" s="45">
        <f>HEX2DEC(RIGHT(Table132321[[#This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5" t="s">
        <v>97</v>
      </c>
      <c r="P1721" s="45">
        <f>HEX2DEC(RIGHT(Table132321[[#This Row],[h1]],8))</f>
        <v>0</v>
      </c>
      <c r="Q1721" s="45" t="s">
        <v>97</v>
      </c>
      <c r="R1721" s="45">
        <f>HEX2DEC(RIGHT(Table132321[[#This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5" t="s">
        <v>97</v>
      </c>
      <c r="P1722" s="45">
        <f>HEX2DEC(RIGHT(Table132321[[#This Row],[h1]],8))</f>
        <v>0</v>
      </c>
      <c r="Q1722" s="45" t="s">
        <v>97</v>
      </c>
      <c r="R1722" s="45">
        <f>HEX2DEC(RIGHT(Table132321[[#This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5" t="s">
        <v>97</v>
      </c>
      <c r="P1723" s="45">
        <f>HEX2DEC(RIGHT(Table132321[[#This Row],[h1]],8))</f>
        <v>0</v>
      </c>
      <c r="Q1723" s="45" t="s">
        <v>97</v>
      </c>
      <c r="R1723" s="45">
        <f>HEX2DEC(RIGHT(Table132321[[#This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5" t="s">
        <v>97</v>
      </c>
      <c r="P1724" s="45">
        <f>HEX2DEC(RIGHT(Table132321[[#This Row],[h1]],8))</f>
        <v>0</v>
      </c>
      <c r="Q1724" s="45" t="s">
        <v>97</v>
      </c>
      <c r="R1724" s="45">
        <f>HEX2DEC(RIGHT(Table132321[[#This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5" t="s">
        <v>97</v>
      </c>
      <c r="P1725" s="45">
        <f>HEX2DEC(RIGHT(Table132321[[#This Row],[h1]],8))</f>
        <v>0</v>
      </c>
      <c r="Q1725" s="45" t="s">
        <v>97</v>
      </c>
      <c r="R1725" s="45">
        <f>HEX2DEC(RIGHT(Table132321[[#This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5" t="s">
        <v>97</v>
      </c>
      <c r="P1726" s="45">
        <f>HEX2DEC(RIGHT(Table132321[[#This Row],[h1]],8))</f>
        <v>0</v>
      </c>
      <c r="Q1726" s="45" t="s">
        <v>97</v>
      </c>
      <c r="R1726" s="45">
        <f>HEX2DEC(RIGHT(Table132321[[#This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5" t="s">
        <v>97</v>
      </c>
      <c r="P1727" s="45">
        <f>HEX2DEC(RIGHT(Table132321[[#This Row],[h1]],8))</f>
        <v>0</v>
      </c>
      <c r="Q1727" s="45" t="s">
        <v>97</v>
      </c>
      <c r="R1727" s="45">
        <f>HEX2DEC(RIGHT(Table132321[[#This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5" t="s">
        <v>97</v>
      </c>
      <c r="P1728" s="45">
        <f>HEX2DEC(RIGHT(Table132321[[#This Row],[h1]],8))</f>
        <v>0</v>
      </c>
      <c r="Q1728" s="45" t="s">
        <v>97</v>
      </c>
      <c r="R1728" s="45">
        <f>HEX2DEC(RIGHT(Table132321[[#This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5" t="s">
        <v>97</v>
      </c>
      <c r="P1729" s="45">
        <f>HEX2DEC(RIGHT(Table132321[[#This Row],[h1]],8))</f>
        <v>0</v>
      </c>
      <c r="Q1729" s="45" t="s">
        <v>97</v>
      </c>
      <c r="R1729" s="45">
        <f>HEX2DEC(RIGHT(Table132321[[#This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5" t="s">
        <v>97</v>
      </c>
      <c r="P1730" s="45">
        <f>HEX2DEC(RIGHT(Table132321[[#This Row],[h1]],8))</f>
        <v>0</v>
      </c>
      <c r="Q1730" s="45" t="s">
        <v>97</v>
      </c>
      <c r="R1730" s="45">
        <f>HEX2DEC(RIGHT(Table132321[[#This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5" t="s">
        <v>97</v>
      </c>
      <c r="P1731" s="45">
        <f>HEX2DEC(RIGHT(Table132321[[#This Row],[h1]],8))</f>
        <v>0</v>
      </c>
      <c r="Q1731" s="45" t="s">
        <v>97</v>
      </c>
      <c r="R1731" s="45">
        <f>HEX2DEC(RIGHT(Table132321[[#This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5" t="s">
        <v>97</v>
      </c>
      <c r="P1732" s="45">
        <f>HEX2DEC(RIGHT(Table132321[[#This Row],[h1]],8))</f>
        <v>0</v>
      </c>
      <c r="Q1732" s="45" t="s">
        <v>97</v>
      </c>
      <c r="R1732" s="45">
        <f>HEX2DEC(RIGHT(Table132321[[#This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5" t="s">
        <v>97</v>
      </c>
      <c r="P1733" s="45">
        <f>HEX2DEC(RIGHT(Table132321[[#This Row],[h1]],8))</f>
        <v>0</v>
      </c>
      <c r="Q1733" s="45" t="s">
        <v>97</v>
      </c>
      <c r="R1733" s="45">
        <f>HEX2DEC(RIGHT(Table132321[[#This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5" t="s">
        <v>97</v>
      </c>
      <c r="P1734" s="45">
        <f>HEX2DEC(RIGHT(Table132321[[#This Row],[h1]],8))</f>
        <v>0</v>
      </c>
      <c r="Q1734" s="45" t="s">
        <v>97</v>
      </c>
      <c r="R1734" s="45">
        <f>HEX2DEC(RIGHT(Table132321[[#This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5" t="s">
        <v>97</v>
      </c>
      <c r="P1735" s="45">
        <f>HEX2DEC(RIGHT(Table132321[[#This Row],[h1]],8))</f>
        <v>0</v>
      </c>
      <c r="Q1735" s="45" t="s">
        <v>97</v>
      </c>
      <c r="R1735" s="45">
        <f>HEX2DEC(RIGHT(Table132321[[#This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5" t="s">
        <v>97</v>
      </c>
      <c r="P1736" s="45">
        <f>HEX2DEC(RIGHT(Table132321[[#This Row],[h1]],8))</f>
        <v>0</v>
      </c>
      <c r="Q1736" s="45" t="s">
        <v>97</v>
      </c>
      <c r="R1736" s="45">
        <f>HEX2DEC(RIGHT(Table132321[[#This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5" t="s">
        <v>97</v>
      </c>
      <c r="P1737" s="45">
        <f>HEX2DEC(RIGHT(Table132321[[#This Row],[h1]],8))</f>
        <v>0</v>
      </c>
      <c r="Q1737" s="45" t="s">
        <v>97</v>
      </c>
      <c r="R1737" s="45">
        <f>HEX2DEC(RIGHT(Table132321[[#This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5" t="s">
        <v>97</v>
      </c>
      <c r="P1738" s="45">
        <f>HEX2DEC(RIGHT(Table132321[[#This Row],[h1]],8))</f>
        <v>0</v>
      </c>
      <c r="Q1738" s="45" t="s">
        <v>97</v>
      </c>
      <c r="R1738" s="45">
        <f>HEX2DEC(RIGHT(Table132321[[#This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5" t="s">
        <v>97</v>
      </c>
      <c r="P1739" s="45">
        <f>HEX2DEC(RIGHT(Table132321[[#This Row],[h1]],8))</f>
        <v>0</v>
      </c>
      <c r="Q1739" s="45" t="s">
        <v>97</v>
      </c>
      <c r="R1739" s="45">
        <f>HEX2DEC(RIGHT(Table132321[[#This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5" t="s">
        <v>97</v>
      </c>
      <c r="P1740" s="45">
        <f>HEX2DEC(RIGHT(Table132321[[#This Row],[h1]],8))</f>
        <v>0</v>
      </c>
      <c r="Q1740" s="45" t="s">
        <v>97</v>
      </c>
      <c r="R1740" s="45">
        <f>HEX2DEC(RIGHT(Table132321[[#This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5" t="s">
        <v>97</v>
      </c>
      <c r="P1741" s="45">
        <f>HEX2DEC(RIGHT(Table132321[[#This Row],[h1]],8))</f>
        <v>0</v>
      </c>
      <c r="Q1741" s="45" t="s">
        <v>97</v>
      </c>
      <c r="R1741" s="45">
        <f>HEX2DEC(RIGHT(Table132321[[#This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5" t="s">
        <v>97</v>
      </c>
      <c r="P1742" s="45">
        <f>HEX2DEC(RIGHT(Table132321[[#This Row],[h1]],8))</f>
        <v>0</v>
      </c>
      <c r="Q1742" s="45" t="s">
        <v>97</v>
      </c>
      <c r="R1742" s="45">
        <f>HEX2DEC(RIGHT(Table132321[[#This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5" t="s">
        <v>97</v>
      </c>
      <c r="P1743" s="45">
        <f>HEX2DEC(RIGHT(Table132321[[#This Row],[h1]],8))</f>
        <v>0</v>
      </c>
      <c r="Q1743" s="45" t="s">
        <v>97</v>
      </c>
      <c r="R1743" s="45">
        <f>HEX2DEC(RIGHT(Table132321[[#This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5" t="s">
        <v>97</v>
      </c>
      <c r="P1744" s="45">
        <f>HEX2DEC(RIGHT(Table132321[[#This Row],[h1]],8))</f>
        <v>0</v>
      </c>
      <c r="Q1744" s="45" t="s">
        <v>97</v>
      </c>
      <c r="R1744" s="45">
        <f>HEX2DEC(RIGHT(Table132321[[#This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5" t="s">
        <v>97</v>
      </c>
      <c r="P1745" s="45">
        <f>HEX2DEC(RIGHT(Table132321[[#This Row],[h1]],8))</f>
        <v>0</v>
      </c>
      <c r="Q1745" s="45" t="s">
        <v>97</v>
      </c>
      <c r="R1745" s="45">
        <f>HEX2DEC(RIGHT(Table132321[[#This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5" t="s">
        <v>97</v>
      </c>
      <c r="P1746" s="45">
        <f>HEX2DEC(RIGHT(Table132321[[#This Row],[h1]],8))</f>
        <v>0</v>
      </c>
      <c r="Q1746" s="45" t="s">
        <v>97</v>
      </c>
      <c r="R1746" s="45">
        <f>HEX2DEC(RIGHT(Table132321[[#This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5" t="s">
        <v>97</v>
      </c>
      <c r="P1747" s="45">
        <f>HEX2DEC(RIGHT(Table132321[[#This Row],[h1]],8))</f>
        <v>0</v>
      </c>
      <c r="Q1747" s="45" t="s">
        <v>97</v>
      </c>
      <c r="R1747" s="45">
        <f>HEX2DEC(RIGHT(Table132321[[#This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5" t="s">
        <v>97</v>
      </c>
      <c r="P1748" s="45">
        <f>HEX2DEC(RIGHT(Table132321[[#This Row],[h1]],8))</f>
        <v>0</v>
      </c>
      <c r="Q1748" s="45" t="s">
        <v>97</v>
      </c>
      <c r="R1748" s="45">
        <f>HEX2DEC(RIGHT(Table132321[[#This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5" t="s">
        <v>97</v>
      </c>
      <c r="P1749" s="45">
        <f>HEX2DEC(RIGHT(Table132321[[#This Row],[h1]],8))</f>
        <v>0</v>
      </c>
      <c r="Q1749" s="45" t="s">
        <v>97</v>
      </c>
      <c r="R1749" s="45">
        <f>HEX2DEC(RIGHT(Table132321[[#This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5" t="s">
        <v>97</v>
      </c>
      <c r="P1750" s="45">
        <f>HEX2DEC(RIGHT(Table132321[[#This Row],[h1]],8))</f>
        <v>0</v>
      </c>
      <c r="Q1750" s="45" t="s">
        <v>97</v>
      </c>
      <c r="R1750" s="45">
        <f>HEX2DEC(RIGHT(Table132321[[#This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5" t="s">
        <v>97</v>
      </c>
      <c r="P1751" s="45">
        <f>HEX2DEC(RIGHT(Table132321[[#This Row],[h1]],8))</f>
        <v>0</v>
      </c>
      <c r="Q1751" s="45" t="s">
        <v>97</v>
      </c>
      <c r="R1751" s="45">
        <f>HEX2DEC(RIGHT(Table132321[[#This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5" t="s">
        <v>97</v>
      </c>
      <c r="P1752" s="45">
        <f>HEX2DEC(RIGHT(Table132321[[#This Row],[h1]],8))</f>
        <v>0</v>
      </c>
      <c r="Q1752" s="45" t="s">
        <v>97</v>
      </c>
      <c r="R1752" s="45">
        <f>HEX2DEC(RIGHT(Table132321[[#This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5" t="s">
        <v>97</v>
      </c>
      <c r="P1753" s="45">
        <f>HEX2DEC(RIGHT(Table132321[[#This Row],[h1]],8))</f>
        <v>0</v>
      </c>
      <c r="Q1753" s="45" t="s">
        <v>97</v>
      </c>
      <c r="R1753" s="45">
        <f>HEX2DEC(RIGHT(Table132321[[#This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5" t="s">
        <v>97</v>
      </c>
      <c r="P1754" s="45">
        <f>HEX2DEC(RIGHT(Table132321[[#This Row],[h1]],8))</f>
        <v>0</v>
      </c>
      <c r="Q1754" s="45" t="s">
        <v>97</v>
      </c>
      <c r="R1754" s="45">
        <f>HEX2DEC(RIGHT(Table132321[[#This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5" t="s">
        <v>97</v>
      </c>
      <c r="P1755" s="45">
        <f>HEX2DEC(RIGHT(Table132321[[#This Row],[h1]],8))</f>
        <v>0</v>
      </c>
      <c r="Q1755" s="45" t="s">
        <v>97</v>
      </c>
      <c r="R1755" s="45">
        <f>HEX2DEC(RIGHT(Table132321[[#This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5" t="s">
        <v>97</v>
      </c>
      <c r="P1756" s="45">
        <f>HEX2DEC(RIGHT(Table132321[[#This Row],[h1]],8))</f>
        <v>0</v>
      </c>
      <c r="Q1756" s="45" t="s">
        <v>97</v>
      </c>
      <c r="R1756" s="45">
        <f>HEX2DEC(RIGHT(Table132321[[#This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5" t="s">
        <v>97</v>
      </c>
      <c r="P1757" s="45">
        <f>HEX2DEC(RIGHT(Table132321[[#This Row],[h1]],8))</f>
        <v>0</v>
      </c>
      <c r="Q1757" s="45" t="s">
        <v>97</v>
      </c>
      <c r="R1757" s="45">
        <f>HEX2DEC(RIGHT(Table132321[[#This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5" t="s">
        <v>97</v>
      </c>
      <c r="P1758" s="45">
        <f>HEX2DEC(RIGHT(Table132321[[#This Row],[h1]],8))</f>
        <v>0</v>
      </c>
      <c r="Q1758" s="45" t="s">
        <v>97</v>
      </c>
      <c r="R1758" s="45">
        <f>HEX2DEC(RIGHT(Table132321[[#This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5" t="s">
        <v>97</v>
      </c>
      <c r="P1759" s="45">
        <f>HEX2DEC(RIGHT(Table132321[[#This Row],[h1]],8))</f>
        <v>0</v>
      </c>
      <c r="Q1759" s="45" t="s">
        <v>97</v>
      </c>
      <c r="R1759" s="45">
        <f>HEX2DEC(RIGHT(Table132321[[#This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5" t="s">
        <v>97</v>
      </c>
      <c r="P1760" s="45">
        <f>HEX2DEC(RIGHT(Table132321[[#This Row],[h1]],8))</f>
        <v>0</v>
      </c>
      <c r="Q1760" s="45" t="s">
        <v>97</v>
      </c>
      <c r="R1760" s="45">
        <f>HEX2DEC(RIGHT(Table132321[[#This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5" t="s">
        <v>97</v>
      </c>
      <c r="P1761" s="45">
        <f>HEX2DEC(RIGHT(Table132321[[#This Row],[h1]],8))</f>
        <v>0</v>
      </c>
      <c r="Q1761" s="45" t="s">
        <v>97</v>
      </c>
      <c r="R1761" s="45">
        <f>HEX2DEC(RIGHT(Table132321[[#This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5" t="s">
        <v>97</v>
      </c>
      <c r="P1762" s="45">
        <f>HEX2DEC(RIGHT(Table132321[[#This Row],[h1]],8))</f>
        <v>0</v>
      </c>
      <c r="Q1762" s="45" t="s">
        <v>97</v>
      </c>
      <c r="R1762" s="45">
        <f>HEX2DEC(RIGHT(Table132321[[#This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5" t="s">
        <v>97</v>
      </c>
      <c r="P1763" s="45">
        <f>HEX2DEC(RIGHT(Table132321[[#This Row],[h1]],8))</f>
        <v>0</v>
      </c>
      <c r="Q1763" s="45" t="s">
        <v>97</v>
      </c>
      <c r="R1763" s="45">
        <f>HEX2DEC(RIGHT(Table132321[[#This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5" t="s">
        <v>97</v>
      </c>
      <c r="P1764" s="45">
        <f>HEX2DEC(RIGHT(Table132321[[#This Row],[h1]],8))</f>
        <v>0</v>
      </c>
      <c r="Q1764" s="45" t="s">
        <v>97</v>
      </c>
      <c r="R1764" s="45">
        <f>HEX2DEC(RIGHT(Table132321[[#This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5" t="s">
        <v>97</v>
      </c>
      <c r="P1765" s="45">
        <f>HEX2DEC(RIGHT(Table132321[[#This Row],[h1]],8))</f>
        <v>0</v>
      </c>
      <c r="Q1765" s="45" t="s">
        <v>97</v>
      </c>
      <c r="R1765" s="45">
        <f>HEX2DEC(RIGHT(Table132321[[#This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5" t="s">
        <v>97</v>
      </c>
      <c r="P1766" s="45">
        <f>HEX2DEC(RIGHT(Table132321[[#This Row],[h1]],8))</f>
        <v>0</v>
      </c>
      <c r="Q1766" s="45" t="s">
        <v>97</v>
      </c>
      <c r="R1766" s="45">
        <f>HEX2DEC(RIGHT(Table132321[[#This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5" t="s">
        <v>97</v>
      </c>
      <c r="P1767" s="45">
        <f>HEX2DEC(RIGHT(Table132321[[#This Row],[h1]],8))</f>
        <v>0</v>
      </c>
      <c r="Q1767" s="45" t="s">
        <v>97</v>
      </c>
      <c r="R1767" s="45">
        <f>HEX2DEC(RIGHT(Table132321[[#This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5" t="s">
        <v>97</v>
      </c>
      <c r="P1768" s="45">
        <f>HEX2DEC(RIGHT(Table132321[[#This Row],[h1]],8))</f>
        <v>0</v>
      </c>
      <c r="Q1768" s="45" t="s">
        <v>97</v>
      </c>
      <c r="R1768" s="45">
        <f>HEX2DEC(RIGHT(Table132321[[#This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5" t="s">
        <v>97</v>
      </c>
      <c r="P1769" s="45">
        <f>HEX2DEC(RIGHT(Table132321[[#This Row],[h1]],8))</f>
        <v>0</v>
      </c>
      <c r="Q1769" s="45" t="s">
        <v>97</v>
      </c>
      <c r="R1769" s="45">
        <f>HEX2DEC(RIGHT(Table132321[[#This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5" t="s">
        <v>97</v>
      </c>
      <c r="P1770" s="45">
        <f>HEX2DEC(RIGHT(Table132321[[#This Row],[h1]],8))</f>
        <v>0</v>
      </c>
      <c r="Q1770" s="45" t="s">
        <v>97</v>
      </c>
      <c r="R1770" s="45">
        <f>HEX2DEC(RIGHT(Table132321[[#This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5" t="s">
        <v>97</v>
      </c>
      <c r="P1771" s="45">
        <f>HEX2DEC(RIGHT(Table132321[[#This Row],[h1]],8))</f>
        <v>0</v>
      </c>
      <c r="Q1771" s="45" t="s">
        <v>97</v>
      </c>
      <c r="R1771" s="45">
        <f>HEX2DEC(RIGHT(Table132321[[#This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5" t="s">
        <v>97</v>
      </c>
      <c r="P1772" s="45">
        <f>HEX2DEC(RIGHT(Table132321[[#This Row],[h1]],8))</f>
        <v>0</v>
      </c>
      <c r="Q1772" s="45" t="s">
        <v>97</v>
      </c>
      <c r="R1772" s="45">
        <f>HEX2DEC(RIGHT(Table132321[[#This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5" t="s">
        <v>97</v>
      </c>
      <c r="P1773" s="45">
        <f>HEX2DEC(RIGHT(Table132321[[#This Row],[h1]],8))</f>
        <v>0</v>
      </c>
      <c r="Q1773" s="45" t="s">
        <v>97</v>
      </c>
      <c r="R1773" s="45">
        <f>HEX2DEC(RIGHT(Table132321[[#This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5" t="s">
        <v>97</v>
      </c>
      <c r="P1774" s="45">
        <f>HEX2DEC(RIGHT(Table132321[[#This Row],[h1]],8))</f>
        <v>0</v>
      </c>
      <c r="Q1774" s="45" t="s">
        <v>97</v>
      </c>
      <c r="R1774" s="45">
        <f>HEX2DEC(RIGHT(Table132321[[#This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5" t="s">
        <v>97</v>
      </c>
      <c r="P1775" s="45">
        <f>HEX2DEC(RIGHT(Table132321[[#This Row],[h1]],8))</f>
        <v>0</v>
      </c>
      <c r="Q1775" s="45" t="s">
        <v>97</v>
      </c>
      <c r="R1775" s="45">
        <f>HEX2DEC(RIGHT(Table132321[[#This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5" t="s">
        <v>97</v>
      </c>
      <c r="P1776" s="45">
        <f>HEX2DEC(RIGHT(Table132321[[#This Row],[h1]],8))</f>
        <v>0</v>
      </c>
      <c r="Q1776" s="45" t="s">
        <v>97</v>
      </c>
      <c r="R1776" s="45">
        <f>HEX2DEC(RIGHT(Table132321[[#This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5" t="s">
        <v>97</v>
      </c>
      <c r="P1777" s="45">
        <f>HEX2DEC(RIGHT(Table132321[[#This Row],[h1]],8))</f>
        <v>0</v>
      </c>
      <c r="Q1777" s="45" t="s">
        <v>97</v>
      </c>
      <c r="R1777" s="45">
        <f>HEX2DEC(RIGHT(Table132321[[#This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5" t="s">
        <v>97</v>
      </c>
      <c r="P1778" s="45">
        <f>HEX2DEC(RIGHT(Table132321[[#This Row],[h1]],8))</f>
        <v>0</v>
      </c>
      <c r="Q1778" s="45" t="s">
        <v>97</v>
      </c>
      <c r="R1778" s="45">
        <f>HEX2DEC(RIGHT(Table132321[[#This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5" t="s">
        <v>97</v>
      </c>
      <c r="P1779" s="45">
        <f>HEX2DEC(RIGHT(Table132321[[#This Row],[h1]],8))</f>
        <v>0</v>
      </c>
      <c r="Q1779" s="45" t="s">
        <v>97</v>
      </c>
      <c r="R1779" s="45">
        <f>HEX2DEC(RIGHT(Table132321[[#This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5" t="s">
        <v>97</v>
      </c>
      <c r="P1780" s="45">
        <f>HEX2DEC(RIGHT(Table132321[[#This Row],[h1]],8))</f>
        <v>0</v>
      </c>
      <c r="Q1780" s="45" t="s">
        <v>97</v>
      </c>
      <c r="R1780" s="45">
        <f>HEX2DEC(RIGHT(Table132321[[#This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5" t="s">
        <v>97</v>
      </c>
      <c r="P1781" s="45">
        <f>HEX2DEC(RIGHT(Table132321[[#This Row],[h1]],8))</f>
        <v>0</v>
      </c>
      <c r="Q1781" s="45" t="s">
        <v>97</v>
      </c>
      <c r="R1781" s="45">
        <f>HEX2DEC(RIGHT(Table132321[[#This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5" t="s">
        <v>97</v>
      </c>
      <c r="P1782" s="45">
        <f>HEX2DEC(RIGHT(Table132321[[#This Row],[h1]],8))</f>
        <v>0</v>
      </c>
      <c r="Q1782" s="45" t="s">
        <v>97</v>
      </c>
      <c r="R1782" s="45">
        <f>HEX2DEC(RIGHT(Table132321[[#This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5" t="s">
        <v>97</v>
      </c>
      <c r="P1783" s="45">
        <f>HEX2DEC(RIGHT(Table132321[[#This Row],[h1]],8))</f>
        <v>0</v>
      </c>
      <c r="Q1783" s="45" t="s">
        <v>97</v>
      </c>
      <c r="R1783" s="45">
        <f>HEX2DEC(RIGHT(Table132321[[#This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5" t="s">
        <v>97</v>
      </c>
      <c r="P1784" s="45">
        <f>HEX2DEC(RIGHT(Table132321[[#This Row],[h1]],8))</f>
        <v>0</v>
      </c>
      <c r="Q1784" s="45" t="s">
        <v>97</v>
      </c>
      <c r="R1784" s="45">
        <f>HEX2DEC(RIGHT(Table132321[[#This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5" t="s">
        <v>97</v>
      </c>
      <c r="P1785" s="45">
        <f>HEX2DEC(RIGHT(Table132321[[#This Row],[h1]],8))</f>
        <v>0</v>
      </c>
      <c r="Q1785" s="45" t="s">
        <v>97</v>
      </c>
      <c r="R1785" s="45">
        <f>HEX2DEC(RIGHT(Table132321[[#This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5" t="s">
        <v>97</v>
      </c>
      <c r="P1786" s="45">
        <f>HEX2DEC(RIGHT(Table132321[[#This Row],[h1]],8))</f>
        <v>0</v>
      </c>
      <c r="Q1786" s="45" t="s">
        <v>97</v>
      </c>
      <c r="R1786" s="45">
        <f>HEX2DEC(RIGHT(Table132321[[#This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5" t="s">
        <v>97</v>
      </c>
      <c r="P1787" s="45">
        <f>HEX2DEC(RIGHT(Table132321[[#This Row],[h1]],8))</f>
        <v>0</v>
      </c>
      <c r="Q1787" s="45" t="s">
        <v>97</v>
      </c>
      <c r="R1787" s="45">
        <f>HEX2DEC(RIGHT(Table132321[[#This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5" t="s">
        <v>97</v>
      </c>
      <c r="P1788" s="45">
        <f>HEX2DEC(RIGHT(Table132321[[#This Row],[h1]],8))</f>
        <v>0</v>
      </c>
      <c r="Q1788" s="45" t="s">
        <v>97</v>
      </c>
      <c r="R1788" s="45">
        <f>HEX2DEC(RIGHT(Table132321[[#This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5" t="s">
        <v>97</v>
      </c>
      <c r="P1789" s="45">
        <f>HEX2DEC(RIGHT(Table132321[[#This Row],[h1]],8))</f>
        <v>0</v>
      </c>
      <c r="Q1789" s="45" t="s">
        <v>97</v>
      </c>
      <c r="R1789" s="45">
        <f>HEX2DEC(RIGHT(Table132321[[#This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5" t="s">
        <v>97</v>
      </c>
      <c r="P1790" s="45">
        <f>HEX2DEC(RIGHT(Table132321[[#This Row],[h1]],8))</f>
        <v>0</v>
      </c>
      <c r="Q1790" s="45" t="s">
        <v>97</v>
      </c>
      <c r="R1790" s="45">
        <f>HEX2DEC(RIGHT(Table132321[[#This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5" t="s">
        <v>97</v>
      </c>
      <c r="P1791" s="45">
        <f>HEX2DEC(RIGHT(Table132321[[#This Row],[h1]],8))</f>
        <v>0</v>
      </c>
      <c r="Q1791" s="45" t="s">
        <v>97</v>
      </c>
      <c r="R1791" s="45">
        <f>HEX2DEC(RIGHT(Table132321[[#This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5" t="s">
        <v>97</v>
      </c>
      <c r="P1792" s="45">
        <f>HEX2DEC(RIGHT(Table132321[[#This Row],[h1]],8))</f>
        <v>0</v>
      </c>
      <c r="Q1792" s="45" t="s">
        <v>97</v>
      </c>
      <c r="R1792" s="45">
        <f>HEX2DEC(RIGHT(Table132321[[#This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5" t="s">
        <v>97</v>
      </c>
      <c r="P1793" s="45">
        <f>HEX2DEC(RIGHT(Table132321[[#This Row],[h1]],8))</f>
        <v>0</v>
      </c>
      <c r="Q1793" s="45" t="s">
        <v>97</v>
      </c>
      <c r="R1793" s="45">
        <f>HEX2DEC(RIGHT(Table132321[[#This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5" t="s">
        <v>97</v>
      </c>
      <c r="P1794" s="45">
        <f>HEX2DEC(RIGHT(Table132321[[#This Row],[h1]],8))</f>
        <v>0</v>
      </c>
      <c r="Q1794" s="45" t="s">
        <v>97</v>
      </c>
      <c r="R1794" s="45">
        <f>HEX2DEC(RIGHT(Table132321[[#This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5" t="s">
        <v>97</v>
      </c>
      <c r="P1795" s="45">
        <f>HEX2DEC(RIGHT(Table132321[[#This Row],[h1]],8))</f>
        <v>0</v>
      </c>
      <c r="Q1795" s="45" t="s">
        <v>97</v>
      </c>
      <c r="R1795" s="45">
        <f>HEX2DEC(RIGHT(Table132321[[#This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5" t="s">
        <v>97</v>
      </c>
      <c r="P1796" s="45">
        <f>HEX2DEC(RIGHT(Table132321[[#This Row],[h1]],8))</f>
        <v>0</v>
      </c>
      <c r="Q1796" s="45" t="s">
        <v>97</v>
      </c>
      <c r="R1796" s="45">
        <f>HEX2DEC(RIGHT(Table132321[[#This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5" t="s">
        <v>97</v>
      </c>
      <c r="P1797" s="45">
        <f>HEX2DEC(RIGHT(Table132321[[#This Row],[h1]],8))</f>
        <v>0</v>
      </c>
      <c r="Q1797" s="45" t="s">
        <v>97</v>
      </c>
      <c r="R1797" s="45">
        <f>HEX2DEC(RIGHT(Table132321[[#This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5" t="s">
        <v>97</v>
      </c>
      <c r="P1798" s="45">
        <f>HEX2DEC(RIGHT(Table132321[[#This Row],[h1]],8))</f>
        <v>0</v>
      </c>
      <c r="Q1798" s="45" t="s">
        <v>97</v>
      </c>
      <c r="R1798" s="45">
        <f>HEX2DEC(RIGHT(Table132321[[#This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5" t="s">
        <v>97</v>
      </c>
      <c r="P1799" s="45">
        <f>HEX2DEC(RIGHT(Table132321[[#This Row],[h1]],8))</f>
        <v>0</v>
      </c>
      <c r="Q1799" s="45" t="s">
        <v>97</v>
      </c>
      <c r="R1799" s="45">
        <f>HEX2DEC(RIGHT(Table132321[[#This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5" t="s">
        <v>97</v>
      </c>
      <c r="P1800" s="45">
        <f>HEX2DEC(RIGHT(Table132321[[#This Row],[h1]],8))</f>
        <v>0</v>
      </c>
      <c r="Q1800" s="45" t="s">
        <v>97</v>
      </c>
      <c r="R1800" s="45">
        <f>HEX2DEC(RIGHT(Table132321[[#This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5" t="s">
        <v>97</v>
      </c>
      <c r="P1801" s="45">
        <f>HEX2DEC(RIGHT(Table132321[[#This Row],[h1]],8))</f>
        <v>0</v>
      </c>
      <c r="Q1801" s="45" t="s">
        <v>97</v>
      </c>
      <c r="R1801" s="45">
        <f>HEX2DEC(RIGHT(Table132321[[#This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5" t="s">
        <v>97</v>
      </c>
      <c r="P1802" s="45">
        <f>HEX2DEC(RIGHT(Table132321[[#This Row],[h1]],8))</f>
        <v>0</v>
      </c>
      <c r="Q1802" s="45" t="s">
        <v>97</v>
      </c>
      <c r="R1802" s="45">
        <f>HEX2DEC(RIGHT(Table132321[[#This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5" t="s">
        <v>97</v>
      </c>
      <c r="P1803" s="45">
        <f>HEX2DEC(RIGHT(Table132321[[#This Row],[h1]],8))</f>
        <v>0</v>
      </c>
      <c r="Q1803" s="45" t="s">
        <v>97</v>
      </c>
      <c r="R1803" s="45">
        <f>HEX2DEC(RIGHT(Table132321[[#This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5" t="s">
        <v>97</v>
      </c>
      <c r="P1804" s="45">
        <f>HEX2DEC(RIGHT(Table132321[[#This Row],[h1]],8))</f>
        <v>0</v>
      </c>
      <c r="Q1804" s="45" t="s">
        <v>97</v>
      </c>
      <c r="R1804" s="45">
        <f>HEX2DEC(RIGHT(Table132321[[#This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5" t="s">
        <v>97</v>
      </c>
      <c r="P1805" s="45">
        <f>HEX2DEC(RIGHT(Table132321[[#This Row],[h1]],8))</f>
        <v>0</v>
      </c>
      <c r="Q1805" s="45" t="s">
        <v>97</v>
      </c>
      <c r="R1805" s="45">
        <f>HEX2DEC(RIGHT(Table132321[[#This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5" t="s">
        <v>97</v>
      </c>
      <c r="P1806" s="45">
        <f>HEX2DEC(RIGHT(Table132321[[#This Row],[h1]],8))</f>
        <v>0</v>
      </c>
      <c r="Q1806" s="45" t="s">
        <v>97</v>
      </c>
      <c r="R1806" s="45">
        <f>HEX2DEC(RIGHT(Table132321[[#This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5" t="s">
        <v>97</v>
      </c>
      <c r="P1807" s="45">
        <f>HEX2DEC(RIGHT(Table132321[[#This Row],[h1]],8))</f>
        <v>0</v>
      </c>
      <c r="Q1807" s="45" t="s">
        <v>97</v>
      </c>
      <c r="R1807" s="45">
        <f>HEX2DEC(RIGHT(Table132321[[#This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5" t="s">
        <v>97</v>
      </c>
      <c r="P1808" s="45">
        <f>HEX2DEC(RIGHT(Table132321[[#This Row],[h1]],8))</f>
        <v>0</v>
      </c>
      <c r="Q1808" s="45" t="s">
        <v>97</v>
      </c>
      <c r="R1808" s="45">
        <f>HEX2DEC(RIGHT(Table132321[[#This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5" t="s">
        <v>97</v>
      </c>
      <c r="P1809" s="45">
        <f>HEX2DEC(RIGHT(Table132321[[#This Row],[h1]],8))</f>
        <v>0</v>
      </c>
      <c r="Q1809" s="45" t="s">
        <v>97</v>
      </c>
      <c r="R1809" s="45">
        <f>HEX2DEC(RIGHT(Table132321[[#This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5" t="s">
        <v>97</v>
      </c>
      <c r="P1810" s="45">
        <f>HEX2DEC(RIGHT(Table132321[[#This Row],[h1]],8))</f>
        <v>0</v>
      </c>
      <c r="Q1810" s="45" t="s">
        <v>97</v>
      </c>
      <c r="R1810" s="45">
        <f>HEX2DEC(RIGHT(Table132321[[#This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5" t="s">
        <v>97</v>
      </c>
      <c r="P1811" s="45">
        <f>HEX2DEC(RIGHT(Table132321[[#This Row],[h1]],8))</f>
        <v>0</v>
      </c>
      <c r="Q1811" s="45" t="s">
        <v>97</v>
      </c>
      <c r="R1811" s="45">
        <f>HEX2DEC(RIGHT(Table132321[[#This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5" t="s">
        <v>97</v>
      </c>
      <c r="P1812" s="45">
        <f>HEX2DEC(RIGHT(Table132321[[#This Row],[h1]],8))</f>
        <v>0</v>
      </c>
      <c r="Q1812" s="45" t="s">
        <v>97</v>
      </c>
      <c r="R1812" s="45">
        <f>HEX2DEC(RIGHT(Table132321[[#This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5" t="s">
        <v>97</v>
      </c>
      <c r="P1813" s="45">
        <f>HEX2DEC(RIGHT(Table132321[[#This Row],[h1]],8))</f>
        <v>0</v>
      </c>
      <c r="Q1813" s="45" t="s">
        <v>97</v>
      </c>
      <c r="R1813" s="45">
        <f>HEX2DEC(RIGHT(Table132321[[#This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5" t="s">
        <v>97</v>
      </c>
      <c r="P1814" s="45">
        <f>HEX2DEC(RIGHT(Table132321[[#This Row],[h1]],8))</f>
        <v>0</v>
      </c>
      <c r="Q1814" s="45" t="s">
        <v>97</v>
      </c>
      <c r="R1814" s="45">
        <f>HEX2DEC(RIGHT(Table132321[[#This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5" t="s">
        <v>97</v>
      </c>
      <c r="P1815" s="45">
        <f>HEX2DEC(RIGHT(Table132321[[#This Row],[h1]],8))</f>
        <v>0</v>
      </c>
      <c r="Q1815" s="45" t="s">
        <v>97</v>
      </c>
      <c r="R1815" s="45">
        <f>HEX2DEC(RIGHT(Table132321[[#This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5" t="s">
        <v>97</v>
      </c>
      <c r="P1816" s="45">
        <f>HEX2DEC(RIGHT(Table132321[[#This Row],[h1]],8))</f>
        <v>0</v>
      </c>
      <c r="Q1816" s="45" t="s">
        <v>97</v>
      </c>
      <c r="R1816" s="45">
        <f>HEX2DEC(RIGHT(Table132321[[#This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5" t="s">
        <v>97</v>
      </c>
      <c r="P1817" s="45">
        <f>HEX2DEC(RIGHT(Table132321[[#This Row],[h1]],8))</f>
        <v>0</v>
      </c>
      <c r="Q1817" s="45" t="s">
        <v>97</v>
      </c>
      <c r="R1817" s="45">
        <f>HEX2DEC(RIGHT(Table132321[[#This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5" t="s">
        <v>97</v>
      </c>
      <c r="P1818" s="45">
        <f>HEX2DEC(RIGHT(Table132321[[#This Row],[h1]],8))</f>
        <v>0</v>
      </c>
      <c r="Q1818" s="45" t="s">
        <v>97</v>
      </c>
      <c r="R1818" s="45">
        <f>HEX2DEC(RIGHT(Table132321[[#This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5" t="s">
        <v>97</v>
      </c>
      <c r="P1819" s="45">
        <f>HEX2DEC(RIGHT(Table132321[[#This Row],[h1]],8))</f>
        <v>0</v>
      </c>
      <c r="Q1819" s="45" t="s">
        <v>97</v>
      </c>
      <c r="R1819" s="45">
        <f>HEX2DEC(RIGHT(Table132321[[#This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5" t="s">
        <v>97</v>
      </c>
      <c r="P1820" s="45">
        <f>HEX2DEC(RIGHT(Table132321[[#This Row],[h1]],8))</f>
        <v>0</v>
      </c>
      <c r="Q1820" s="45" t="s">
        <v>97</v>
      </c>
      <c r="R1820" s="45">
        <f>HEX2DEC(RIGHT(Table132321[[#This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5" t="s">
        <v>97</v>
      </c>
      <c r="P1821" s="45">
        <f>HEX2DEC(RIGHT(Table132321[[#This Row],[h1]],8))</f>
        <v>0</v>
      </c>
      <c r="Q1821" s="45" t="s">
        <v>97</v>
      </c>
      <c r="R1821" s="45">
        <f>HEX2DEC(RIGHT(Table132321[[#This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5" t="s">
        <v>97</v>
      </c>
      <c r="P1822" s="45">
        <f>HEX2DEC(RIGHT(Table132321[[#This Row],[h1]],8))</f>
        <v>0</v>
      </c>
      <c r="Q1822" s="45" t="s">
        <v>97</v>
      </c>
      <c r="R1822" s="45">
        <f>HEX2DEC(RIGHT(Table132321[[#This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5" t="s">
        <v>97</v>
      </c>
      <c r="P1823" s="45">
        <f>HEX2DEC(RIGHT(Table132321[[#This Row],[h1]],8))</f>
        <v>0</v>
      </c>
      <c r="Q1823" s="45" t="s">
        <v>97</v>
      </c>
      <c r="R1823" s="45">
        <f>HEX2DEC(RIGHT(Table132321[[#This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5" t="s">
        <v>97</v>
      </c>
      <c r="P1824" s="45">
        <f>HEX2DEC(RIGHT(Table132321[[#This Row],[h1]],8))</f>
        <v>0</v>
      </c>
      <c r="Q1824" s="45" t="s">
        <v>97</v>
      </c>
      <c r="R1824" s="45">
        <f>HEX2DEC(RIGHT(Table132321[[#This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5" t="s">
        <v>97</v>
      </c>
      <c r="P1825" s="45">
        <f>HEX2DEC(RIGHT(Table132321[[#This Row],[h1]],8))</f>
        <v>0</v>
      </c>
      <c r="Q1825" s="45" t="s">
        <v>97</v>
      </c>
      <c r="R1825" s="45">
        <f>HEX2DEC(RIGHT(Table132321[[#This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5" t="s">
        <v>97</v>
      </c>
      <c r="P1826" s="45">
        <f>HEX2DEC(RIGHT(Table132321[[#This Row],[h1]],8))</f>
        <v>0</v>
      </c>
      <c r="Q1826" s="45" t="s">
        <v>97</v>
      </c>
      <c r="R1826" s="45">
        <f>HEX2DEC(RIGHT(Table132321[[#This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5" t="s">
        <v>97</v>
      </c>
      <c r="P1827" s="45">
        <f>HEX2DEC(RIGHT(Table132321[[#This Row],[h1]],8))</f>
        <v>0</v>
      </c>
      <c r="Q1827" s="45" t="s">
        <v>97</v>
      </c>
      <c r="R1827" s="45">
        <f>HEX2DEC(RIGHT(Table132321[[#This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5" t="s">
        <v>97</v>
      </c>
      <c r="P1828" s="45">
        <f>HEX2DEC(RIGHT(Table132321[[#This Row],[h1]],8))</f>
        <v>0</v>
      </c>
      <c r="Q1828" s="45" t="s">
        <v>97</v>
      </c>
      <c r="R1828" s="45">
        <f>HEX2DEC(RIGHT(Table132321[[#This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5" t="s">
        <v>97</v>
      </c>
      <c r="P1829" s="45">
        <f>HEX2DEC(RIGHT(Table132321[[#This Row],[h1]],8))</f>
        <v>0</v>
      </c>
      <c r="Q1829" s="45" t="s">
        <v>97</v>
      </c>
      <c r="R1829" s="45">
        <f>HEX2DEC(RIGHT(Table132321[[#This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5" t="s">
        <v>97</v>
      </c>
      <c r="P1830" s="45">
        <f>HEX2DEC(RIGHT(Table132321[[#This Row],[h1]],8))</f>
        <v>0</v>
      </c>
      <c r="Q1830" s="45" t="s">
        <v>97</v>
      </c>
      <c r="R1830" s="45">
        <f>HEX2DEC(RIGHT(Table132321[[#This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5" t="s">
        <v>97</v>
      </c>
      <c r="P1831" s="45">
        <f>HEX2DEC(RIGHT(Table132321[[#This Row],[h1]],8))</f>
        <v>0</v>
      </c>
      <c r="Q1831" s="45" t="s">
        <v>97</v>
      </c>
      <c r="R1831" s="45">
        <f>HEX2DEC(RIGHT(Table132321[[#This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5" t="s">
        <v>97</v>
      </c>
      <c r="P1832" s="45">
        <f>HEX2DEC(RIGHT(Table132321[[#This Row],[h1]],8))</f>
        <v>0</v>
      </c>
      <c r="Q1832" s="45" t="s">
        <v>97</v>
      </c>
      <c r="R1832" s="45">
        <f>HEX2DEC(RIGHT(Table132321[[#This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5" t="s">
        <v>97</v>
      </c>
      <c r="P1833" s="45">
        <f>HEX2DEC(RIGHT(Table132321[[#This Row],[h1]],8))</f>
        <v>0</v>
      </c>
      <c r="Q1833" s="45" t="s">
        <v>97</v>
      </c>
      <c r="R1833" s="45">
        <f>HEX2DEC(RIGHT(Table132321[[#This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5" t="s">
        <v>97</v>
      </c>
      <c r="P1834" s="45">
        <f>HEX2DEC(RIGHT(Table132321[[#This Row],[h1]],8))</f>
        <v>0</v>
      </c>
      <c r="Q1834" s="45" t="s">
        <v>97</v>
      </c>
      <c r="R1834" s="45">
        <f>HEX2DEC(RIGHT(Table132321[[#This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5" t="s">
        <v>97</v>
      </c>
      <c r="P1835" s="45">
        <f>HEX2DEC(RIGHT(Table132321[[#This Row],[h1]],8))</f>
        <v>0</v>
      </c>
      <c r="Q1835" s="45" t="s">
        <v>97</v>
      </c>
      <c r="R1835" s="45">
        <f>HEX2DEC(RIGHT(Table132321[[#This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5" t="s">
        <v>97</v>
      </c>
      <c r="P1836" s="45">
        <f>HEX2DEC(RIGHT(Table132321[[#This Row],[h1]],8))</f>
        <v>0</v>
      </c>
      <c r="Q1836" s="45" t="s">
        <v>97</v>
      </c>
      <c r="R1836" s="45">
        <f>HEX2DEC(RIGHT(Table132321[[#This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5" t="s">
        <v>97</v>
      </c>
      <c r="P1837" s="45">
        <f>HEX2DEC(RIGHT(Table132321[[#This Row],[h1]],8))</f>
        <v>0</v>
      </c>
      <c r="Q1837" s="45" t="s">
        <v>97</v>
      </c>
      <c r="R1837" s="45">
        <f>HEX2DEC(RIGHT(Table132321[[#This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5" t="s">
        <v>97</v>
      </c>
      <c r="P1838" s="45">
        <f>HEX2DEC(RIGHT(Table132321[[#This Row],[h1]],8))</f>
        <v>0</v>
      </c>
      <c r="Q1838" s="45" t="s">
        <v>97</v>
      </c>
      <c r="R1838" s="45">
        <f>HEX2DEC(RIGHT(Table132321[[#This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5" t="s">
        <v>97</v>
      </c>
      <c r="P1839" s="45">
        <f>HEX2DEC(RIGHT(Table132321[[#This Row],[h1]],8))</f>
        <v>0</v>
      </c>
      <c r="Q1839" s="45" t="s">
        <v>97</v>
      </c>
      <c r="R1839" s="45">
        <f>HEX2DEC(RIGHT(Table132321[[#This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5" t="s">
        <v>97</v>
      </c>
      <c r="P1840" s="45">
        <f>HEX2DEC(RIGHT(Table132321[[#This Row],[h1]],8))</f>
        <v>0</v>
      </c>
      <c r="Q1840" s="45" t="s">
        <v>97</v>
      </c>
      <c r="R1840" s="45">
        <f>HEX2DEC(RIGHT(Table132321[[#This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5" t="s">
        <v>97</v>
      </c>
      <c r="P1841" s="45">
        <f>HEX2DEC(RIGHT(Table132321[[#This Row],[h1]],8))</f>
        <v>0</v>
      </c>
      <c r="Q1841" s="45" t="s">
        <v>97</v>
      </c>
      <c r="R1841" s="45">
        <f>HEX2DEC(RIGHT(Table132321[[#This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5" t="s">
        <v>97</v>
      </c>
      <c r="P1842" s="45">
        <f>HEX2DEC(RIGHT(Table132321[[#This Row],[h1]],8))</f>
        <v>0</v>
      </c>
      <c r="Q1842" s="45" t="s">
        <v>97</v>
      </c>
      <c r="R1842" s="45">
        <f>HEX2DEC(RIGHT(Table132321[[#This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5" t="s">
        <v>97</v>
      </c>
      <c r="P1843" s="45">
        <f>HEX2DEC(RIGHT(Table132321[[#This Row],[h1]],8))</f>
        <v>0</v>
      </c>
      <c r="Q1843" s="45" t="s">
        <v>97</v>
      </c>
      <c r="R1843" s="45">
        <f>HEX2DEC(RIGHT(Table132321[[#This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5" t="s">
        <v>97</v>
      </c>
      <c r="P1844" s="45">
        <f>HEX2DEC(RIGHT(Table132321[[#This Row],[h1]],8))</f>
        <v>0</v>
      </c>
      <c r="Q1844" s="45" t="s">
        <v>97</v>
      </c>
      <c r="R1844" s="45">
        <f>HEX2DEC(RIGHT(Table132321[[#This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5" t="s">
        <v>97</v>
      </c>
      <c r="P1845" s="45">
        <f>HEX2DEC(RIGHT(Table132321[[#This Row],[h1]],8))</f>
        <v>0</v>
      </c>
      <c r="Q1845" s="45" t="s">
        <v>97</v>
      </c>
      <c r="R1845" s="45">
        <f>HEX2DEC(RIGHT(Table132321[[#This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5" t="s">
        <v>97</v>
      </c>
      <c r="P1846" s="45">
        <f>HEX2DEC(RIGHT(Table132321[[#This Row],[h1]],8))</f>
        <v>0</v>
      </c>
      <c r="Q1846" s="45" t="s">
        <v>97</v>
      </c>
      <c r="R1846" s="45">
        <f>HEX2DEC(RIGHT(Table132321[[#This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5" t="s">
        <v>97</v>
      </c>
      <c r="P1847" s="45">
        <f>HEX2DEC(RIGHT(Table132321[[#This Row],[h1]],8))</f>
        <v>0</v>
      </c>
      <c r="Q1847" s="45" t="s">
        <v>97</v>
      </c>
      <c r="R1847" s="45">
        <f>HEX2DEC(RIGHT(Table132321[[#This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5" t="s">
        <v>97</v>
      </c>
      <c r="P1848" s="45">
        <f>HEX2DEC(RIGHT(Table132321[[#This Row],[h1]],8))</f>
        <v>0</v>
      </c>
      <c r="Q1848" s="45" t="s">
        <v>97</v>
      </c>
      <c r="R1848" s="45">
        <f>HEX2DEC(RIGHT(Table132321[[#This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5" t="s">
        <v>97</v>
      </c>
      <c r="P1849" s="45">
        <f>HEX2DEC(RIGHT(Table132321[[#This Row],[h1]],8))</f>
        <v>0</v>
      </c>
      <c r="Q1849" s="45" t="s">
        <v>97</v>
      </c>
      <c r="R1849" s="45">
        <f>HEX2DEC(RIGHT(Table132321[[#This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5" t="s">
        <v>97</v>
      </c>
      <c r="P1850" s="45">
        <f>HEX2DEC(RIGHT(Table132321[[#This Row],[h1]],8))</f>
        <v>0</v>
      </c>
      <c r="Q1850" s="45" t="s">
        <v>97</v>
      </c>
      <c r="R1850" s="45">
        <f>HEX2DEC(RIGHT(Table132321[[#This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5" t="s">
        <v>97</v>
      </c>
      <c r="P1851" s="45">
        <f>HEX2DEC(RIGHT(Table132321[[#This Row],[h1]],8))</f>
        <v>0</v>
      </c>
      <c r="Q1851" s="45" t="s">
        <v>97</v>
      </c>
      <c r="R1851" s="45">
        <f>HEX2DEC(RIGHT(Table132321[[#This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5" t="s">
        <v>97</v>
      </c>
      <c r="P1852" s="45">
        <f>HEX2DEC(RIGHT(Table132321[[#This Row],[h1]],8))</f>
        <v>0</v>
      </c>
      <c r="Q1852" s="45" t="s">
        <v>97</v>
      </c>
      <c r="R1852" s="45">
        <f>HEX2DEC(RIGHT(Table132321[[#This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5" t="s">
        <v>97</v>
      </c>
      <c r="P1853" s="45">
        <f>HEX2DEC(RIGHT(Table132321[[#This Row],[h1]],8))</f>
        <v>0</v>
      </c>
      <c r="Q1853" s="45" t="s">
        <v>97</v>
      </c>
      <c r="R1853" s="45">
        <f>HEX2DEC(RIGHT(Table132321[[#This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5" t="s">
        <v>97</v>
      </c>
      <c r="P1854" s="45">
        <f>HEX2DEC(RIGHT(Table132321[[#This Row],[h1]],8))</f>
        <v>0</v>
      </c>
      <c r="Q1854" s="45" t="s">
        <v>97</v>
      </c>
      <c r="R1854" s="45">
        <f>HEX2DEC(RIGHT(Table132321[[#This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5" t="s">
        <v>97</v>
      </c>
      <c r="P1855" s="45">
        <f>HEX2DEC(RIGHT(Table132321[[#This Row],[h1]],8))</f>
        <v>0</v>
      </c>
      <c r="Q1855" s="45" t="s">
        <v>97</v>
      </c>
      <c r="R1855" s="45">
        <f>HEX2DEC(RIGHT(Table132321[[#This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5" t="s">
        <v>97</v>
      </c>
      <c r="P1856" s="45">
        <f>HEX2DEC(RIGHT(Table132321[[#This Row],[h1]],8))</f>
        <v>0</v>
      </c>
      <c r="Q1856" s="45" t="s">
        <v>97</v>
      </c>
      <c r="R1856" s="45">
        <f>HEX2DEC(RIGHT(Table132321[[#This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5" t="s">
        <v>97</v>
      </c>
      <c r="P1857" s="45">
        <f>HEX2DEC(RIGHT(Table132321[[#This Row],[h1]],8))</f>
        <v>0</v>
      </c>
      <c r="Q1857" s="45" t="s">
        <v>97</v>
      </c>
      <c r="R1857" s="45">
        <f>HEX2DEC(RIGHT(Table132321[[#This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5" t="s">
        <v>97</v>
      </c>
      <c r="P1858" s="45">
        <f>HEX2DEC(RIGHT(Table132321[[#This Row],[h1]],8))</f>
        <v>0</v>
      </c>
      <c r="Q1858" s="45" t="s">
        <v>97</v>
      </c>
      <c r="R1858" s="45">
        <f>HEX2DEC(RIGHT(Table132321[[#This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5" t="s">
        <v>97</v>
      </c>
      <c r="P1859" s="45">
        <f>HEX2DEC(RIGHT(Table132321[[#This Row],[h1]],8))</f>
        <v>0</v>
      </c>
      <c r="Q1859" s="45" t="s">
        <v>97</v>
      </c>
      <c r="R1859" s="45">
        <f>HEX2DEC(RIGHT(Table132321[[#This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5" t="s">
        <v>97</v>
      </c>
      <c r="P1860" s="45">
        <f>HEX2DEC(RIGHT(Table132321[[#This Row],[h1]],8))</f>
        <v>0</v>
      </c>
      <c r="Q1860" s="45" t="s">
        <v>97</v>
      </c>
      <c r="R1860" s="45">
        <f>HEX2DEC(RIGHT(Table132321[[#This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5" t="s">
        <v>97</v>
      </c>
      <c r="P1861" s="45">
        <f>HEX2DEC(RIGHT(Table132321[[#This Row],[h1]],8))</f>
        <v>0</v>
      </c>
      <c r="Q1861" s="45" t="s">
        <v>97</v>
      </c>
      <c r="R1861" s="45">
        <f>HEX2DEC(RIGHT(Table132321[[#This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5" t="s">
        <v>97</v>
      </c>
      <c r="P1862" s="45">
        <f>HEX2DEC(RIGHT(Table132321[[#This Row],[h1]],8))</f>
        <v>0</v>
      </c>
      <c r="Q1862" s="45" t="s">
        <v>97</v>
      </c>
      <c r="R1862" s="45">
        <f>HEX2DEC(RIGHT(Table132321[[#This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5" t="s">
        <v>97</v>
      </c>
      <c r="P1863" s="45">
        <f>HEX2DEC(RIGHT(Table132321[[#This Row],[h1]],8))</f>
        <v>0</v>
      </c>
      <c r="Q1863" s="45" t="s">
        <v>97</v>
      </c>
      <c r="R1863" s="45">
        <f>HEX2DEC(RIGHT(Table132321[[#This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5" t="s">
        <v>97</v>
      </c>
      <c r="P1864" s="45">
        <f>HEX2DEC(RIGHT(Table132321[[#This Row],[h1]],8))</f>
        <v>0</v>
      </c>
      <c r="Q1864" s="45" t="s">
        <v>97</v>
      </c>
      <c r="R1864" s="45">
        <f>HEX2DEC(RIGHT(Table132321[[#This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5" t="s">
        <v>97</v>
      </c>
      <c r="P1865" s="45">
        <f>HEX2DEC(RIGHT(Table132321[[#This Row],[h1]],8))</f>
        <v>0</v>
      </c>
      <c r="Q1865" s="45" t="s">
        <v>97</v>
      </c>
      <c r="R1865" s="45">
        <f>HEX2DEC(RIGHT(Table132321[[#This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5" t="s">
        <v>97</v>
      </c>
      <c r="P1866" s="45">
        <f>HEX2DEC(RIGHT(Table132321[[#This Row],[h1]],8))</f>
        <v>0</v>
      </c>
      <c r="Q1866" s="45" t="s">
        <v>97</v>
      </c>
      <c r="R1866" s="45">
        <f>HEX2DEC(RIGHT(Table132321[[#This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5" t="s">
        <v>97</v>
      </c>
      <c r="P1867" s="45">
        <f>HEX2DEC(RIGHT(Table132321[[#This Row],[h1]],8))</f>
        <v>0</v>
      </c>
      <c r="Q1867" s="45" t="s">
        <v>97</v>
      </c>
      <c r="R1867" s="45">
        <f>HEX2DEC(RIGHT(Table132321[[#This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5" t="s">
        <v>97</v>
      </c>
      <c r="P1868" s="45">
        <f>HEX2DEC(RIGHT(Table132321[[#This Row],[h1]],8))</f>
        <v>0</v>
      </c>
      <c r="Q1868" s="45" t="s">
        <v>97</v>
      </c>
      <c r="R1868" s="45">
        <f>HEX2DEC(RIGHT(Table132321[[#This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5" t="s">
        <v>97</v>
      </c>
      <c r="P1869" s="45">
        <f>HEX2DEC(RIGHT(Table132321[[#This Row],[h1]],8))</f>
        <v>0</v>
      </c>
      <c r="Q1869" s="45" t="s">
        <v>97</v>
      </c>
      <c r="R1869" s="45">
        <f>HEX2DEC(RIGHT(Table132321[[#This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5" t="s">
        <v>97</v>
      </c>
      <c r="P1870" s="45">
        <f>HEX2DEC(RIGHT(Table132321[[#This Row],[h1]],8))</f>
        <v>0</v>
      </c>
      <c r="Q1870" s="45" t="s">
        <v>97</v>
      </c>
      <c r="R1870" s="45">
        <f>HEX2DEC(RIGHT(Table132321[[#This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5" t="s">
        <v>97</v>
      </c>
      <c r="P1871" s="45">
        <f>HEX2DEC(RIGHT(Table132321[[#This Row],[h1]],8))</f>
        <v>0</v>
      </c>
      <c r="Q1871" s="45" t="s">
        <v>97</v>
      </c>
      <c r="R1871" s="45">
        <f>HEX2DEC(RIGHT(Table132321[[#This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5" t="s">
        <v>97</v>
      </c>
      <c r="P1872" s="45">
        <f>HEX2DEC(RIGHT(Table132321[[#This Row],[h1]],8))</f>
        <v>0</v>
      </c>
      <c r="Q1872" s="45" t="s">
        <v>97</v>
      </c>
      <c r="R1872" s="45">
        <f>HEX2DEC(RIGHT(Table132321[[#This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5" t="s">
        <v>97</v>
      </c>
      <c r="P1873" s="45">
        <f>HEX2DEC(RIGHT(Table132321[[#This Row],[h1]],8))</f>
        <v>0</v>
      </c>
      <c r="Q1873" s="45" t="s">
        <v>97</v>
      </c>
      <c r="R1873" s="45">
        <f>HEX2DEC(RIGHT(Table132321[[#This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5" t="s">
        <v>97</v>
      </c>
      <c r="P1874" s="45">
        <f>HEX2DEC(RIGHT(Table132321[[#This Row],[h1]],8))</f>
        <v>0</v>
      </c>
      <c r="Q1874" s="45" t="s">
        <v>97</v>
      </c>
      <c r="R1874" s="45">
        <f>HEX2DEC(RIGHT(Table132321[[#This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5" t="s">
        <v>97</v>
      </c>
      <c r="P1875" s="45">
        <f>HEX2DEC(RIGHT(Table132321[[#This Row],[h1]],8))</f>
        <v>0</v>
      </c>
      <c r="Q1875" s="45" t="s">
        <v>97</v>
      </c>
      <c r="R1875" s="45">
        <f>HEX2DEC(RIGHT(Table132321[[#This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5" t="s">
        <v>97</v>
      </c>
      <c r="P1876" s="45">
        <f>HEX2DEC(RIGHT(Table132321[[#This Row],[h1]],8))</f>
        <v>0</v>
      </c>
      <c r="Q1876" s="45" t="s">
        <v>97</v>
      </c>
      <c r="R1876" s="45">
        <f>HEX2DEC(RIGHT(Table132321[[#This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5" t="s">
        <v>97</v>
      </c>
      <c r="P1877" s="45">
        <f>HEX2DEC(RIGHT(Table132321[[#This Row],[h1]],8))</f>
        <v>0</v>
      </c>
      <c r="Q1877" s="45" t="s">
        <v>97</v>
      </c>
      <c r="R1877" s="45">
        <f>HEX2DEC(RIGHT(Table132321[[#This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5" t="s">
        <v>97</v>
      </c>
      <c r="P1878" s="45">
        <f>HEX2DEC(RIGHT(Table132321[[#This Row],[h1]],8))</f>
        <v>0</v>
      </c>
      <c r="Q1878" s="45" t="s">
        <v>97</v>
      </c>
      <c r="R1878" s="45">
        <f>HEX2DEC(RIGHT(Table132321[[#This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5" t="s">
        <v>97</v>
      </c>
      <c r="P1879" s="45">
        <f>HEX2DEC(RIGHT(Table132321[[#This Row],[h1]],8))</f>
        <v>0</v>
      </c>
      <c r="Q1879" s="45" t="s">
        <v>97</v>
      </c>
      <c r="R1879" s="45">
        <f>HEX2DEC(RIGHT(Table132321[[#This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5" t="s">
        <v>97</v>
      </c>
      <c r="P1880" s="45">
        <f>HEX2DEC(RIGHT(Table132321[[#This Row],[h1]],8))</f>
        <v>0</v>
      </c>
      <c r="Q1880" s="45" t="s">
        <v>97</v>
      </c>
      <c r="R1880" s="45">
        <f>HEX2DEC(RIGHT(Table132321[[#This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5" t="s">
        <v>97</v>
      </c>
      <c r="P1881" s="45">
        <f>HEX2DEC(RIGHT(Table132321[[#This Row],[h1]],8))</f>
        <v>0</v>
      </c>
      <c r="Q1881" s="45" t="s">
        <v>97</v>
      </c>
      <c r="R1881" s="45">
        <f>HEX2DEC(RIGHT(Table132321[[#This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5" t="s">
        <v>97</v>
      </c>
      <c r="P1882" s="45">
        <f>HEX2DEC(RIGHT(Table132321[[#This Row],[h1]],8))</f>
        <v>0</v>
      </c>
      <c r="Q1882" s="45" t="s">
        <v>97</v>
      </c>
      <c r="R1882" s="45">
        <f>HEX2DEC(RIGHT(Table132321[[#This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5" t="s">
        <v>97</v>
      </c>
      <c r="P1883" s="45">
        <f>HEX2DEC(RIGHT(Table132321[[#This Row],[h1]],8))</f>
        <v>0</v>
      </c>
      <c r="Q1883" s="45" t="s">
        <v>97</v>
      </c>
      <c r="R1883" s="45">
        <f>HEX2DEC(RIGHT(Table132321[[#This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5" t="s">
        <v>97</v>
      </c>
      <c r="P1884" s="45">
        <f>HEX2DEC(RIGHT(Table132321[[#This Row],[h1]],8))</f>
        <v>0</v>
      </c>
      <c r="Q1884" s="45" t="s">
        <v>97</v>
      </c>
      <c r="R1884" s="45">
        <f>HEX2DEC(RIGHT(Table132321[[#This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5" t="s">
        <v>97</v>
      </c>
      <c r="P1885" s="45">
        <f>HEX2DEC(RIGHT(Table132321[[#This Row],[h1]],8))</f>
        <v>0</v>
      </c>
      <c r="Q1885" s="45" t="s">
        <v>97</v>
      </c>
      <c r="R1885" s="45">
        <f>HEX2DEC(RIGHT(Table132321[[#This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5" t="s">
        <v>97</v>
      </c>
      <c r="P1886" s="45">
        <f>HEX2DEC(RIGHT(Table132321[[#This Row],[h1]],8))</f>
        <v>0</v>
      </c>
      <c r="Q1886" s="45" t="s">
        <v>97</v>
      </c>
      <c r="R1886" s="45">
        <f>HEX2DEC(RIGHT(Table132321[[#This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5" t="s">
        <v>97</v>
      </c>
      <c r="P1887" s="45">
        <f>HEX2DEC(RIGHT(Table132321[[#This Row],[h1]],8))</f>
        <v>0</v>
      </c>
      <c r="Q1887" s="45" t="s">
        <v>97</v>
      </c>
      <c r="R1887" s="45">
        <f>HEX2DEC(RIGHT(Table132321[[#This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5" t="s">
        <v>97</v>
      </c>
      <c r="P1888" s="45">
        <f>HEX2DEC(RIGHT(Table132321[[#This Row],[h1]],8))</f>
        <v>0</v>
      </c>
      <c r="Q1888" s="45" t="s">
        <v>97</v>
      </c>
      <c r="R1888" s="45">
        <f>HEX2DEC(RIGHT(Table132321[[#This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5" t="s">
        <v>97</v>
      </c>
      <c r="P1889" s="45">
        <f>HEX2DEC(RIGHT(Table132321[[#This Row],[h1]],8))</f>
        <v>0</v>
      </c>
      <c r="Q1889" s="45" t="s">
        <v>97</v>
      </c>
      <c r="R1889" s="45">
        <f>HEX2DEC(RIGHT(Table132321[[#This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5" t="s">
        <v>97</v>
      </c>
      <c r="P1890" s="45">
        <f>HEX2DEC(RIGHT(Table132321[[#This Row],[h1]],8))</f>
        <v>0</v>
      </c>
      <c r="Q1890" s="45" t="s">
        <v>97</v>
      </c>
      <c r="R1890" s="45">
        <f>HEX2DEC(RIGHT(Table132321[[#This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5" t="s">
        <v>97</v>
      </c>
      <c r="P1891" s="45">
        <f>HEX2DEC(RIGHT(Table132321[[#This Row],[h1]],8))</f>
        <v>0</v>
      </c>
      <c r="Q1891" s="45" t="s">
        <v>97</v>
      </c>
      <c r="R1891" s="45">
        <f>HEX2DEC(RIGHT(Table132321[[#This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5" t="s">
        <v>97</v>
      </c>
      <c r="P1892" s="45">
        <f>HEX2DEC(RIGHT(Table132321[[#This Row],[h1]],8))</f>
        <v>0</v>
      </c>
      <c r="Q1892" s="45" t="s">
        <v>97</v>
      </c>
      <c r="R1892" s="45">
        <f>HEX2DEC(RIGHT(Table132321[[#This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5" t="s">
        <v>97</v>
      </c>
      <c r="P1893" s="45">
        <f>HEX2DEC(RIGHT(Table132321[[#This Row],[h1]],8))</f>
        <v>0</v>
      </c>
      <c r="Q1893" s="45" t="s">
        <v>97</v>
      </c>
      <c r="R1893" s="45">
        <f>HEX2DEC(RIGHT(Table132321[[#This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5" t="s">
        <v>97</v>
      </c>
      <c r="P1894" s="45">
        <f>HEX2DEC(RIGHT(Table132321[[#This Row],[h1]],8))</f>
        <v>0</v>
      </c>
      <c r="Q1894" s="45" t="s">
        <v>97</v>
      </c>
      <c r="R1894" s="45">
        <f>HEX2DEC(RIGHT(Table132321[[#This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5" t="s">
        <v>97</v>
      </c>
      <c r="P1895" s="45">
        <f>HEX2DEC(RIGHT(Table132321[[#This Row],[h1]],8))</f>
        <v>0</v>
      </c>
      <c r="Q1895" s="45" t="s">
        <v>97</v>
      </c>
      <c r="R1895" s="45">
        <f>HEX2DEC(RIGHT(Table132321[[#This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5" t="s">
        <v>97</v>
      </c>
      <c r="P1896" s="45">
        <f>HEX2DEC(RIGHT(Table132321[[#This Row],[h1]],8))</f>
        <v>0</v>
      </c>
      <c r="Q1896" s="45" t="s">
        <v>97</v>
      </c>
      <c r="R1896" s="45">
        <f>HEX2DEC(RIGHT(Table132321[[#This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5" t="s">
        <v>97</v>
      </c>
      <c r="P1897" s="45">
        <f>HEX2DEC(RIGHT(Table132321[[#This Row],[h1]],8))</f>
        <v>0</v>
      </c>
      <c r="Q1897" s="45" t="s">
        <v>97</v>
      </c>
      <c r="R1897" s="45">
        <f>HEX2DEC(RIGHT(Table132321[[#This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5" t="s">
        <v>97</v>
      </c>
      <c r="P1898" s="45">
        <f>HEX2DEC(RIGHT(Table132321[[#This Row],[h1]],8))</f>
        <v>0</v>
      </c>
      <c r="Q1898" s="45" t="s">
        <v>97</v>
      </c>
      <c r="R1898" s="45">
        <f>HEX2DEC(RIGHT(Table132321[[#This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5" t="s">
        <v>97</v>
      </c>
      <c r="P1899" s="45">
        <f>HEX2DEC(RIGHT(Table132321[[#This Row],[h1]],8))</f>
        <v>0</v>
      </c>
      <c r="Q1899" s="45" t="s">
        <v>97</v>
      </c>
      <c r="R1899" s="45">
        <f>HEX2DEC(RIGHT(Table132321[[#This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5" t="s">
        <v>97</v>
      </c>
      <c r="P1900" s="45">
        <f>HEX2DEC(RIGHT(Table132321[[#This Row],[h1]],8))</f>
        <v>0</v>
      </c>
      <c r="Q1900" s="45" t="s">
        <v>97</v>
      </c>
      <c r="R1900" s="45">
        <f>HEX2DEC(RIGHT(Table132321[[#This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5" t="s">
        <v>97</v>
      </c>
      <c r="P1901" s="45">
        <f>HEX2DEC(RIGHT(Table132321[[#This Row],[h1]],8))</f>
        <v>0</v>
      </c>
      <c r="Q1901" s="45" t="s">
        <v>97</v>
      </c>
      <c r="R1901" s="45">
        <f>HEX2DEC(RIGHT(Table132321[[#This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5" t="s">
        <v>97</v>
      </c>
      <c r="P1902" s="45">
        <f>HEX2DEC(RIGHT(Table132321[[#This Row],[h1]],8))</f>
        <v>0</v>
      </c>
      <c r="Q1902" s="45" t="s">
        <v>97</v>
      </c>
      <c r="R1902" s="45">
        <f>HEX2DEC(RIGHT(Table132321[[#This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5" t="s">
        <v>97</v>
      </c>
      <c r="P1903" s="45">
        <f>HEX2DEC(RIGHT(Table132321[[#This Row],[h1]],8))</f>
        <v>0</v>
      </c>
      <c r="Q1903" s="45" t="s">
        <v>97</v>
      </c>
      <c r="R1903" s="45">
        <f>HEX2DEC(RIGHT(Table132321[[#This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5" t="s">
        <v>97</v>
      </c>
      <c r="P1904" s="45">
        <f>HEX2DEC(RIGHT(Table132321[[#This Row],[h1]],8))</f>
        <v>0</v>
      </c>
      <c r="Q1904" s="45" t="s">
        <v>97</v>
      </c>
      <c r="R1904" s="45">
        <f>HEX2DEC(RIGHT(Table132321[[#This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5" t="s">
        <v>97</v>
      </c>
      <c r="P1905" s="45">
        <f>HEX2DEC(RIGHT(Table132321[[#This Row],[h1]],8))</f>
        <v>0</v>
      </c>
      <c r="Q1905" s="45" t="s">
        <v>97</v>
      </c>
      <c r="R1905" s="45">
        <f>HEX2DEC(RIGHT(Table132321[[#This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5" t="s">
        <v>97</v>
      </c>
      <c r="P1906" s="45">
        <f>HEX2DEC(RIGHT(Table132321[[#This Row],[h1]],8))</f>
        <v>0</v>
      </c>
      <c r="Q1906" s="45" t="s">
        <v>97</v>
      </c>
      <c r="R1906" s="45">
        <f>HEX2DEC(RIGHT(Table132321[[#This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5" t="s">
        <v>97</v>
      </c>
      <c r="P1907" s="45">
        <f>HEX2DEC(RIGHT(Table132321[[#This Row],[h1]],8))</f>
        <v>0</v>
      </c>
      <c r="Q1907" s="45" t="s">
        <v>97</v>
      </c>
      <c r="R1907" s="45">
        <f>HEX2DEC(RIGHT(Table132321[[#This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5" t="s">
        <v>97</v>
      </c>
      <c r="P1908" s="45">
        <f>HEX2DEC(RIGHT(Table132321[[#This Row],[h1]],8))</f>
        <v>0</v>
      </c>
      <c r="Q1908" s="45" t="s">
        <v>97</v>
      </c>
      <c r="R1908" s="45">
        <f>HEX2DEC(RIGHT(Table132321[[#This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5" t="s">
        <v>97</v>
      </c>
      <c r="P1909" s="45">
        <f>HEX2DEC(RIGHT(Table132321[[#This Row],[h1]],8))</f>
        <v>0</v>
      </c>
      <c r="Q1909" s="45" t="s">
        <v>97</v>
      </c>
      <c r="R1909" s="45">
        <f>HEX2DEC(RIGHT(Table132321[[#This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5" t="s">
        <v>97</v>
      </c>
      <c r="P1910" s="45">
        <f>HEX2DEC(RIGHT(Table132321[[#This Row],[h1]],8))</f>
        <v>0</v>
      </c>
      <c r="Q1910" s="45" t="s">
        <v>97</v>
      </c>
      <c r="R1910" s="45">
        <f>HEX2DEC(RIGHT(Table132321[[#This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5" t="s">
        <v>97</v>
      </c>
      <c r="P1911" s="45">
        <f>HEX2DEC(RIGHT(Table132321[[#This Row],[h1]],8))</f>
        <v>0</v>
      </c>
      <c r="Q1911" s="45" t="s">
        <v>97</v>
      </c>
      <c r="R1911" s="45">
        <f>HEX2DEC(RIGHT(Table132321[[#This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5" t="s">
        <v>97</v>
      </c>
      <c r="P1912" s="45">
        <f>HEX2DEC(RIGHT(Table132321[[#This Row],[h1]],8))</f>
        <v>0</v>
      </c>
      <c r="Q1912" s="45" t="s">
        <v>97</v>
      </c>
      <c r="R1912" s="45">
        <f>HEX2DEC(RIGHT(Table132321[[#This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5" t="s">
        <v>97</v>
      </c>
      <c r="P1913" s="45">
        <f>HEX2DEC(RIGHT(Table132321[[#This Row],[h1]],8))</f>
        <v>0</v>
      </c>
      <c r="Q1913" s="45" t="s">
        <v>97</v>
      </c>
      <c r="R1913" s="45">
        <f>HEX2DEC(RIGHT(Table132321[[#This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5" t="s">
        <v>97</v>
      </c>
      <c r="P1914" s="45">
        <f>HEX2DEC(RIGHT(Table132321[[#This Row],[h1]],8))</f>
        <v>0</v>
      </c>
      <c r="Q1914" s="45" t="s">
        <v>97</v>
      </c>
      <c r="R1914" s="45">
        <f>HEX2DEC(RIGHT(Table132321[[#This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5" t="s">
        <v>97</v>
      </c>
      <c r="P1915" s="45">
        <f>HEX2DEC(RIGHT(Table132321[[#This Row],[h1]],8))</f>
        <v>0</v>
      </c>
      <c r="Q1915" s="45" t="s">
        <v>97</v>
      </c>
      <c r="R1915" s="45">
        <f>HEX2DEC(RIGHT(Table132321[[#This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5" t="s">
        <v>97</v>
      </c>
      <c r="P1916" s="45">
        <f>HEX2DEC(RIGHT(Table132321[[#This Row],[h1]],8))</f>
        <v>0</v>
      </c>
      <c r="Q1916" s="45" t="s">
        <v>97</v>
      </c>
      <c r="R1916" s="45">
        <f>HEX2DEC(RIGHT(Table132321[[#This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5" t="s">
        <v>97</v>
      </c>
      <c r="P1917" s="45">
        <f>HEX2DEC(RIGHT(Table132321[[#This Row],[h1]],8))</f>
        <v>0</v>
      </c>
      <c r="Q1917" s="45" t="s">
        <v>97</v>
      </c>
      <c r="R1917" s="45">
        <f>HEX2DEC(RIGHT(Table132321[[#This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5" t="s">
        <v>97</v>
      </c>
      <c r="P1918" s="45">
        <f>HEX2DEC(RIGHT(Table132321[[#This Row],[h1]],8))</f>
        <v>0</v>
      </c>
      <c r="Q1918" s="45" t="s">
        <v>97</v>
      </c>
      <c r="R1918" s="45">
        <f>HEX2DEC(RIGHT(Table132321[[#This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5" t="s">
        <v>97</v>
      </c>
      <c r="P1919" s="45">
        <f>HEX2DEC(RIGHT(Table132321[[#This Row],[h1]],8))</f>
        <v>0</v>
      </c>
      <c r="Q1919" s="45" t="s">
        <v>97</v>
      </c>
      <c r="R1919" s="45">
        <f>HEX2DEC(RIGHT(Table132321[[#This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5" t="s">
        <v>97</v>
      </c>
      <c r="P1920" s="45">
        <f>HEX2DEC(RIGHT(Table132321[[#This Row],[h1]],8))</f>
        <v>0</v>
      </c>
      <c r="Q1920" s="45" t="s">
        <v>97</v>
      </c>
      <c r="R1920" s="45">
        <f>HEX2DEC(RIGHT(Table132321[[#This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5" t="s">
        <v>97</v>
      </c>
      <c r="P1921" s="45">
        <f>HEX2DEC(RIGHT(Table132321[[#This Row],[h1]],8))</f>
        <v>0</v>
      </c>
      <c r="Q1921" s="45" t="s">
        <v>97</v>
      </c>
      <c r="R1921" s="45">
        <f>HEX2DEC(RIGHT(Table132321[[#This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5" t="s">
        <v>97</v>
      </c>
      <c r="P1922" s="45">
        <f>HEX2DEC(RIGHT(Table132321[[#This Row],[h1]],8))</f>
        <v>0</v>
      </c>
      <c r="Q1922" s="45" t="s">
        <v>97</v>
      </c>
      <c r="R1922" s="45">
        <f>HEX2DEC(RIGHT(Table132321[[#This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5" t="s">
        <v>97</v>
      </c>
      <c r="P1923" s="45">
        <f>HEX2DEC(RIGHT(Table132321[[#This Row],[h1]],8))</f>
        <v>0</v>
      </c>
      <c r="Q1923" s="45" t="s">
        <v>97</v>
      </c>
      <c r="R1923" s="45">
        <f>HEX2DEC(RIGHT(Table132321[[#This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5" t="s">
        <v>97</v>
      </c>
      <c r="P1924" s="45">
        <f>HEX2DEC(RIGHT(Table132321[[#This Row],[h1]],8))</f>
        <v>0</v>
      </c>
      <c r="Q1924" s="45" t="s">
        <v>97</v>
      </c>
      <c r="R1924" s="45">
        <f>HEX2DEC(RIGHT(Table132321[[#This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5" t="s">
        <v>97</v>
      </c>
      <c r="P1925" s="45">
        <f>HEX2DEC(RIGHT(Table132321[[#This Row],[h1]],8))</f>
        <v>0</v>
      </c>
      <c r="Q1925" s="45" t="s">
        <v>97</v>
      </c>
      <c r="R1925" s="45">
        <f>HEX2DEC(RIGHT(Table132321[[#This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5" t="s">
        <v>97</v>
      </c>
      <c r="P1926" s="45">
        <f>HEX2DEC(RIGHT(Table132321[[#This Row],[h1]],8))</f>
        <v>0</v>
      </c>
      <c r="Q1926" s="45" t="s">
        <v>97</v>
      </c>
      <c r="R1926" s="45">
        <f>HEX2DEC(RIGHT(Table132321[[#This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5" t="s">
        <v>97</v>
      </c>
      <c r="P1927" s="45">
        <f>HEX2DEC(RIGHT(Table132321[[#This Row],[h1]],8))</f>
        <v>0</v>
      </c>
      <c r="Q1927" s="45" t="s">
        <v>97</v>
      </c>
      <c r="R1927" s="45">
        <f>HEX2DEC(RIGHT(Table132321[[#This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5" t="s">
        <v>97</v>
      </c>
      <c r="P1928" s="45">
        <f>HEX2DEC(RIGHT(Table132321[[#This Row],[h1]],8))</f>
        <v>0</v>
      </c>
      <c r="Q1928" s="45" t="s">
        <v>97</v>
      </c>
      <c r="R1928" s="45">
        <f>HEX2DEC(RIGHT(Table132321[[#This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5" t="s">
        <v>97</v>
      </c>
      <c r="P1929" s="45">
        <f>HEX2DEC(RIGHT(Table132321[[#This Row],[h1]],8))</f>
        <v>0</v>
      </c>
      <c r="Q1929" s="45" t="s">
        <v>97</v>
      </c>
      <c r="R1929" s="45">
        <f>HEX2DEC(RIGHT(Table132321[[#This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5" t="s">
        <v>97</v>
      </c>
      <c r="P1930" s="45">
        <f>HEX2DEC(RIGHT(Table132321[[#This Row],[h1]],8))</f>
        <v>0</v>
      </c>
      <c r="Q1930" s="45" t="s">
        <v>97</v>
      </c>
      <c r="R1930" s="45">
        <f>HEX2DEC(RIGHT(Table132321[[#This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5" t="s">
        <v>97</v>
      </c>
      <c r="P1931" s="45">
        <f>HEX2DEC(RIGHT(Table132321[[#This Row],[h1]],8))</f>
        <v>0</v>
      </c>
      <c r="Q1931" s="45" t="s">
        <v>97</v>
      </c>
      <c r="R1931" s="45">
        <f>HEX2DEC(RIGHT(Table132321[[#This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5" t="s">
        <v>97</v>
      </c>
      <c r="P1932" s="45">
        <f>HEX2DEC(RIGHT(Table132321[[#This Row],[h1]],8))</f>
        <v>0</v>
      </c>
      <c r="Q1932" s="45" t="s">
        <v>97</v>
      </c>
      <c r="R1932" s="45">
        <f>HEX2DEC(RIGHT(Table132321[[#This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5" t="s">
        <v>97</v>
      </c>
      <c r="P1933" s="45">
        <f>HEX2DEC(RIGHT(Table132321[[#This Row],[h1]],8))</f>
        <v>0</v>
      </c>
      <c r="Q1933" s="45" t="s">
        <v>97</v>
      </c>
      <c r="R1933" s="45">
        <f>HEX2DEC(RIGHT(Table132321[[#This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5" t="s">
        <v>97</v>
      </c>
      <c r="P1934" s="45">
        <f>HEX2DEC(RIGHT(Table132321[[#This Row],[h1]],8))</f>
        <v>0</v>
      </c>
      <c r="Q1934" s="45" t="s">
        <v>97</v>
      </c>
      <c r="R1934" s="45">
        <f>HEX2DEC(RIGHT(Table132321[[#This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5" t="s">
        <v>97</v>
      </c>
      <c r="P1935" s="45">
        <f>HEX2DEC(RIGHT(Table132321[[#This Row],[h1]],8))</f>
        <v>0</v>
      </c>
      <c r="Q1935" s="45" t="s">
        <v>97</v>
      </c>
      <c r="R1935" s="45">
        <f>HEX2DEC(RIGHT(Table132321[[#This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5" t="s">
        <v>97</v>
      </c>
      <c r="P1936" s="45">
        <f>HEX2DEC(RIGHT(Table132321[[#This Row],[h1]],8))</f>
        <v>0</v>
      </c>
      <c r="Q1936" s="45" t="s">
        <v>97</v>
      </c>
      <c r="R1936" s="45">
        <f>HEX2DEC(RIGHT(Table132321[[#This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5" t="s">
        <v>97</v>
      </c>
      <c r="P1937" s="45">
        <f>HEX2DEC(RIGHT(Table132321[[#This Row],[h1]],8))</f>
        <v>0</v>
      </c>
      <c r="Q1937" s="45" t="s">
        <v>97</v>
      </c>
      <c r="R1937" s="45">
        <f>HEX2DEC(RIGHT(Table132321[[#This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5" t="s">
        <v>97</v>
      </c>
      <c r="P1938" s="45">
        <f>HEX2DEC(RIGHT(Table132321[[#This Row],[h1]],8))</f>
        <v>0</v>
      </c>
      <c r="Q1938" s="45" t="s">
        <v>97</v>
      </c>
      <c r="R1938" s="45">
        <f>HEX2DEC(RIGHT(Table132321[[#This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5" t="s">
        <v>97</v>
      </c>
      <c r="P1939" s="45">
        <f>HEX2DEC(RIGHT(Table132321[[#This Row],[h1]],8))</f>
        <v>0</v>
      </c>
      <c r="Q1939" s="45" t="s">
        <v>97</v>
      </c>
      <c r="R1939" s="45">
        <f>HEX2DEC(RIGHT(Table132321[[#This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5" t="s">
        <v>97</v>
      </c>
      <c r="P1940" s="45">
        <f>HEX2DEC(RIGHT(Table132321[[#This Row],[h1]],8))</f>
        <v>0</v>
      </c>
      <c r="Q1940" s="45" t="s">
        <v>97</v>
      </c>
      <c r="R1940" s="45">
        <f>HEX2DEC(RIGHT(Table132321[[#This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5" t="s">
        <v>97</v>
      </c>
      <c r="P1941" s="45">
        <f>HEX2DEC(RIGHT(Table132321[[#This Row],[h1]],8))</f>
        <v>0</v>
      </c>
      <c r="Q1941" s="45" t="s">
        <v>97</v>
      </c>
      <c r="R1941" s="45">
        <f>HEX2DEC(RIGHT(Table132321[[#This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5" t="s">
        <v>97</v>
      </c>
      <c r="P1942" s="45">
        <f>HEX2DEC(RIGHT(Table132321[[#This Row],[h1]],8))</f>
        <v>0</v>
      </c>
      <c r="Q1942" s="45" t="s">
        <v>97</v>
      </c>
      <c r="R1942" s="45">
        <f>HEX2DEC(RIGHT(Table132321[[#This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5" t="s">
        <v>97</v>
      </c>
      <c r="P1943" s="45">
        <f>HEX2DEC(RIGHT(Table132321[[#This Row],[h1]],8))</f>
        <v>0</v>
      </c>
      <c r="Q1943" s="45" t="s">
        <v>97</v>
      </c>
      <c r="R1943" s="45">
        <f>HEX2DEC(RIGHT(Table132321[[#This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5" t="s">
        <v>97</v>
      </c>
      <c r="P1944" s="45">
        <f>HEX2DEC(RIGHT(Table132321[[#This Row],[h1]],8))</f>
        <v>0</v>
      </c>
      <c r="Q1944" s="45" t="s">
        <v>97</v>
      </c>
      <c r="R1944" s="45">
        <f>HEX2DEC(RIGHT(Table132321[[#This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5" t="s">
        <v>97</v>
      </c>
      <c r="P1945" s="45">
        <f>HEX2DEC(RIGHT(Table132321[[#This Row],[h1]],8))</f>
        <v>0</v>
      </c>
      <c r="Q1945" s="45" t="s">
        <v>97</v>
      </c>
      <c r="R1945" s="45">
        <f>HEX2DEC(RIGHT(Table132321[[#This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5" t="s">
        <v>97</v>
      </c>
      <c r="P1946" s="45">
        <f>HEX2DEC(RIGHT(Table132321[[#This Row],[h1]],8))</f>
        <v>0</v>
      </c>
      <c r="Q1946" s="45" t="s">
        <v>97</v>
      </c>
      <c r="R1946" s="45">
        <f>HEX2DEC(RIGHT(Table132321[[#This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5" t="s">
        <v>97</v>
      </c>
      <c r="P1947" s="45">
        <f>HEX2DEC(RIGHT(Table132321[[#This Row],[h1]],8))</f>
        <v>0</v>
      </c>
      <c r="Q1947" s="45" t="s">
        <v>97</v>
      </c>
      <c r="R1947" s="45">
        <f>HEX2DEC(RIGHT(Table132321[[#This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5" t="s">
        <v>97</v>
      </c>
      <c r="P1948" s="45">
        <f>HEX2DEC(RIGHT(Table132321[[#This Row],[h1]],8))</f>
        <v>0</v>
      </c>
      <c r="Q1948" s="45" t="s">
        <v>97</v>
      </c>
      <c r="R1948" s="45">
        <f>HEX2DEC(RIGHT(Table132321[[#This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5" t="s">
        <v>97</v>
      </c>
      <c r="P1949" s="45">
        <f>HEX2DEC(RIGHT(Table132321[[#This Row],[h1]],8))</f>
        <v>0</v>
      </c>
      <c r="Q1949" s="45" t="s">
        <v>97</v>
      </c>
      <c r="R1949" s="45">
        <f>HEX2DEC(RIGHT(Table132321[[#This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5" t="s">
        <v>97</v>
      </c>
      <c r="P1950" s="45">
        <f>HEX2DEC(RIGHT(Table132321[[#This Row],[h1]],8))</f>
        <v>0</v>
      </c>
      <c r="Q1950" s="45" t="s">
        <v>97</v>
      </c>
      <c r="R1950" s="45">
        <f>HEX2DEC(RIGHT(Table132321[[#This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5" t="s">
        <v>97</v>
      </c>
      <c r="P1951" s="45">
        <f>HEX2DEC(RIGHT(Table132321[[#This Row],[h1]],8))</f>
        <v>0</v>
      </c>
      <c r="Q1951" s="45" t="s">
        <v>97</v>
      </c>
      <c r="R1951" s="45">
        <f>HEX2DEC(RIGHT(Table132321[[#This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5" t="s">
        <v>97</v>
      </c>
      <c r="P1952" s="45">
        <f>HEX2DEC(RIGHT(Table132321[[#This Row],[h1]],8))</f>
        <v>0</v>
      </c>
      <c r="Q1952" s="45" t="s">
        <v>97</v>
      </c>
      <c r="R1952" s="45">
        <f>HEX2DEC(RIGHT(Table132321[[#This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5" t="s">
        <v>97</v>
      </c>
      <c r="P1953" s="45">
        <f>HEX2DEC(RIGHT(Table132321[[#This Row],[h1]],8))</f>
        <v>0</v>
      </c>
      <c r="Q1953" s="45" t="s">
        <v>97</v>
      </c>
      <c r="R1953" s="45">
        <f>HEX2DEC(RIGHT(Table132321[[#This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5" t="s">
        <v>97</v>
      </c>
      <c r="P1954" s="45">
        <f>HEX2DEC(RIGHT(Table132321[[#This Row],[h1]],8))</f>
        <v>0</v>
      </c>
      <c r="Q1954" s="45" t="s">
        <v>97</v>
      </c>
      <c r="R1954" s="45">
        <f>HEX2DEC(RIGHT(Table132321[[#This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5" t="s">
        <v>97</v>
      </c>
      <c r="P1955" s="45">
        <f>HEX2DEC(RIGHT(Table132321[[#This Row],[h1]],8))</f>
        <v>0</v>
      </c>
      <c r="Q1955" s="45" t="s">
        <v>97</v>
      </c>
      <c r="R1955" s="45">
        <f>HEX2DEC(RIGHT(Table132321[[#This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5" t="s">
        <v>97</v>
      </c>
      <c r="P1956" s="45">
        <f>HEX2DEC(RIGHT(Table132321[[#This Row],[h1]],8))</f>
        <v>0</v>
      </c>
      <c r="Q1956" s="45" t="s">
        <v>97</v>
      </c>
      <c r="R1956" s="45">
        <f>HEX2DEC(RIGHT(Table132321[[#This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5" t="s">
        <v>97</v>
      </c>
      <c r="P1957" s="45">
        <f>HEX2DEC(RIGHT(Table132321[[#This Row],[h1]],8))</f>
        <v>0</v>
      </c>
      <c r="Q1957" s="45" t="s">
        <v>97</v>
      </c>
      <c r="R1957" s="45">
        <f>HEX2DEC(RIGHT(Table132321[[#This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5" t="s">
        <v>97</v>
      </c>
      <c r="P1958" s="45">
        <f>HEX2DEC(RIGHT(Table132321[[#This Row],[h1]],8))</f>
        <v>0</v>
      </c>
      <c r="Q1958" s="45" t="s">
        <v>97</v>
      </c>
      <c r="R1958" s="45">
        <f>HEX2DEC(RIGHT(Table132321[[#This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5" t="s">
        <v>97</v>
      </c>
      <c r="P1959" s="45">
        <f>HEX2DEC(RIGHT(Table132321[[#This Row],[h1]],8))</f>
        <v>0</v>
      </c>
      <c r="Q1959" s="45" t="s">
        <v>97</v>
      </c>
      <c r="R1959" s="45">
        <f>HEX2DEC(RIGHT(Table132321[[#This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5" t="s">
        <v>97</v>
      </c>
      <c r="P1960" s="45">
        <f>HEX2DEC(RIGHT(Table132321[[#This Row],[h1]],8))</f>
        <v>0</v>
      </c>
      <c r="Q1960" s="45" t="s">
        <v>97</v>
      </c>
      <c r="R1960" s="45">
        <f>HEX2DEC(RIGHT(Table132321[[#This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5" t="s">
        <v>97</v>
      </c>
      <c r="P1961" s="45">
        <f>HEX2DEC(RIGHT(Table132321[[#This Row],[h1]],8))</f>
        <v>0</v>
      </c>
      <c r="Q1961" s="45" t="s">
        <v>97</v>
      </c>
      <c r="R1961" s="45">
        <f>HEX2DEC(RIGHT(Table132321[[#This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5" t="s">
        <v>97</v>
      </c>
      <c r="P1962" s="45">
        <f>HEX2DEC(RIGHT(Table132321[[#This Row],[h1]],8))</f>
        <v>0</v>
      </c>
      <c r="Q1962" s="45" t="s">
        <v>97</v>
      </c>
      <c r="R1962" s="45">
        <f>HEX2DEC(RIGHT(Table132321[[#This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5" t="s">
        <v>97</v>
      </c>
      <c r="P1963" s="45">
        <f>HEX2DEC(RIGHT(Table132321[[#This Row],[h1]],8))</f>
        <v>0</v>
      </c>
      <c r="Q1963" s="45" t="s">
        <v>97</v>
      </c>
      <c r="R1963" s="45">
        <f>HEX2DEC(RIGHT(Table132321[[#This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5" t="s">
        <v>97</v>
      </c>
      <c r="P1964" s="45">
        <f>HEX2DEC(RIGHT(Table132321[[#This Row],[h1]],8))</f>
        <v>0</v>
      </c>
      <c r="Q1964" s="45" t="s">
        <v>97</v>
      </c>
      <c r="R1964" s="45">
        <f>HEX2DEC(RIGHT(Table132321[[#This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5" t="s">
        <v>97</v>
      </c>
      <c r="P1965" s="45">
        <f>HEX2DEC(RIGHT(Table132321[[#This Row],[h1]],8))</f>
        <v>0</v>
      </c>
      <c r="Q1965" s="45" t="s">
        <v>97</v>
      </c>
      <c r="R1965" s="45">
        <f>HEX2DEC(RIGHT(Table132321[[#This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5" t="s">
        <v>97</v>
      </c>
      <c r="P1966" s="45">
        <f>HEX2DEC(RIGHT(Table132321[[#This Row],[h1]],8))</f>
        <v>0</v>
      </c>
      <c r="Q1966" s="45" t="s">
        <v>97</v>
      </c>
      <c r="R1966" s="45">
        <f>HEX2DEC(RIGHT(Table132321[[#This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5" t="s">
        <v>97</v>
      </c>
      <c r="P1967" s="45">
        <f>HEX2DEC(RIGHT(Table132321[[#This Row],[h1]],8))</f>
        <v>0</v>
      </c>
      <c r="Q1967" s="45" t="s">
        <v>97</v>
      </c>
      <c r="R1967" s="45">
        <f>HEX2DEC(RIGHT(Table132321[[#This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5" t="s">
        <v>97</v>
      </c>
      <c r="P1968" s="45">
        <f>HEX2DEC(RIGHT(Table132321[[#This Row],[h1]],8))</f>
        <v>0</v>
      </c>
      <c r="Q1968" s="45" t="s">
        <v>97</v>
      </c>
      <c r="R1968" s="45">
        <f>HEX2DEC(RIGHT(Table132321[[#This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5" t="s">
        <v>97</v>
      </c>
      <c r="P1969" s="45">
        <f>HEX2DEC(RIGHT(Table132321[[#This Row],[h1]],8))</f>
        <v>0</v>
      </c>
      <c r="Q1969" s="45" t="s">
        <v>97</v>
      </c>
      <c r="R1969" s="45">
        <f>HEX2DEC(RIGHT(Table132321[[#This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5" t="s">
        <v>97</v>
      </c>
      <c r="P1970" s="45">
        <f>HEX2DEC(RIGHT(Table132321[[#This Row],[h1]],8))</f>
        <v>0</v>
      </c>
      <c r="Q1970" s="45" t="s">
        <v>97</v>
      </c>
      <c r="R1970" s="45">
        <f>HEX2DEC(RIGHT(Table132321[[#This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5" t="s">
        <v>97</v>
      </c>
      <c r="P1971" s="45">
        <f>HEX2DEC(RIGHT(Table132321[[#This Row],[h1]],8))</f>
        <v>0</v>
      </c>
      <c r="Q1971" s="45" t="s">
        <v>97</v>
      </c>
      <c r="R1971" s="45">
        <f>HEX2DEC(RIGHT(Table132321[[#This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5" t="s">
        <v>97</v>
      </c>
      <c r="P1972" s="45">
        <f>HEX2DEC(RIGHT(Table132321[[#This Row],[h1]],8))</f>
        <v>0</v>
      </c>
      <c r="Q1972" s="45" t="s">
        <v>97</v>
      </c>
      <c r="R1972" s="45">
        <f>HEX2DEC(RIGHT(Table132321[[#This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5" t="s">
        <v>97</v>
      </c>
      <c r="P1973" s="45">
        <f>HEX2DEC(RIGHT(Table132321[[#This Row],[h1]],8))</f>
        <v>0</v>
      </c>
      <c r="Q1973" s="45" t="s">
        <v>97</v>
      </c>
      <c r="R1973" s="45">
        <f>HEX2DEC(RIGHT(Table132321[[#This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5" t="s">
        <v>97</v>
      </c>
      <c r="P1974" s="45">
        <f>HEX2DEC(RIGHT(Table132321[[#This Row],[h1]],8))</f>
        <v>0</v>
      </c>
      <c r="Q1974" s="45" t="s">
        <v>97</v>
      </c>
      <c r="R1974" s="45">
        <f>HEX2DEC(RIGHT(Table132321[[#This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5" t="s">
        <v>97</v>
      </c>
      <c r="P1975" s="45">
        <f>HEX2DEC(RIGHT(Table132321[[#This Row],[h1]],8))</f>
        <v>0</v>
      </c>
      <c r="Q1975" s="45" t="s">
        <v>97</v>
      </c>
      <c r="R1975" s="45">
        <f>HEX2DEC(RIGHT(Table132321[[#This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5" t="s">
        <v>97</v>
      </c>
      <c r="P1976" s="45">
        <f>HEX2DEC(RIGHT(Table132321[[#This Row],[h1]],8))</f>
        <v>0</v>
      </c>
      <c r="Q1976" s="45" t="s">
        <v>97</v>
      </c>
      <c r="R1976" s="45">
        <f>HEX2DEC(RIGHT(Table132321[[#This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5" t="s">
        <v>97</v>
      </c>
      <c r="P1977" s="45">
        <f>HEX2DEC(RIGHT(Table132321[[#This Row],[h1]],8))</f>
        <v>0</v>
      </c>
      <c r="Q1977" s="45" t="s">
        <v>97</v>
      </c>
      <c r="R1977" s="45">
        <f>HEX2DEC(RIGHT(Table132321[[#This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5" t="s">
        <v>97</v>
      </c>
      <c r="P1978" s="45">
        <f>HEX2DEC(RIGHT(Table132321[[#This Row],[h1]],8))</f>
        <v>0</v>
      </c>
      <c r="Q1978" s="45" t="s">
        <v>97</v>
      </c>
      <c r="R1978" s="45">
        <f>HEX2DEC(RIGHT(Table132321[[#This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5" t="s">
        <v>97</v>
      </c>
      <c r="P1979" s="45">
        <f>HEX2DEC(RIGHT(Table132321[[#This Row],[h1]],8))</f>
        <v>0</v>
      </c>
      <c r="Q1979" s="45" t="s">
        <v>97</v>
      </c>
      <c r="R1979" s="45">
        <f>HEX2DEC(RIGHT(Table132321[[#This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5" t="s">
        <v>97</v>
      </c>
      <c r="P1980" s="45">
        <f>HEX2DEC(RIGHT(Table132321[[#This Row],[h1]],8))</f>
        <v>0</v>
      </c>
      <c r="Q1980" s="45" t="s">
        <v>97</v>
      </c>
      <c r="R1980" s="45">
        <f>HEX2DEC(RIGHT(Table132321[[#This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5" t="s">
        <v>97</v>
      </c>
      <c r="P1981" s="45">
        <f>HEX2DEC(RIGHT(Table132321[[#This Row],[h1]],8))</f>
        <v>0</v>
      </c>
      <c r="Q1981" s="45" t="s">
        <v>97</v>
      </c>
      <c r="R1981" s="45">
        <f>HEX2DEC(RIGHT(Table132321[[#This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5" t="s">
        <v>97</v>
      </c>
      <c r="P1982" s="45">
        <f>HEX2DEC(RIGHT(Table132321[[#This Row],[h1]],8))</f>
        <v>0</v>
      </c>
      <c r="Q1982" s="45" t="s">
        <v>97</v>
      </c>
      <c r="R1982" s="45">
        <f>HEX2DEC(RIGHT(Table132321[[#This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5" t="s">
        <v>97</v>
      </c>
      <c r="P1983" s="45">
        <f>HEX2DEC(RIGHT(Table132321[[#This Row],[h1]],8))</f>
        <v>0</v>
      </c>
      <c r="Q1983" s="45" t="s">
        <v>97</v>
      </c>
      <c r="R1983" s="45">
        <f>HEX2DEC(RIGHT(Table132321[[#This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5" t="s">
        <v>97</v>
      </c>
      <c r="P1984" s="45">
        <f>HEX2DEC(RIGHT(Table132321[[#This Row],[h1]],8))</f>
        <v>0</v>
      </c>
      <c r="Q1984" s="45" t="s">
        <v>97</v>
      </c>
      <c r="R1984" s="45">
        <f>HEX2DEC(RIGHT(Table132321[[#This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5" t="s">
        <v>97</v>
      </c>
      <c r="P1985" s="45">
        <f>HEX2DEC(RIGHT(Table132321[[#This Row],[h1]],8))</f>
        <v>0</v>
      </c>
      <c r="Q1985" s="45" t="s">
        <v>97</v>
      </c>
      <c r="R1985" s="45">
        <f>HEX2DEC(RIGHT(Table132321[[#This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5" t="s">
        <v>97</v>
      </c>
      <c r="P1986" s="45">
        <f>HEX2DEC(RIGHT(Table132321[[#This Row],[h1]],8))</f>
        <v>0</v>
      </c>
      <c r="Q1986" s="45" t="s">
        <v>97</v>
      </c>
      <c r="R1986" s="45">
        <f>HEX2DEC(RIGHT(Table132321[[#This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5" t="s">
        <v>97</v>
      </c>
      <c r="P1987" s="45">
        <f>HEX2DEC(RIGHT(Table132321[[#This Row],[h1]],8))</f>
        <v>0</v>
      </c>
      <c r="Q1987" s="45" t="s">
        <v>97</v>
      </c>
      <c r="R1987" s="45">
        <f>HEX2DEC(RIGHT(Table132321[[#This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5" t="s">
        <v>97</v>
      </c>
      <c r="P1988" s="45">
        <f>HEX2DEC(RIGHT(Table132321[[#This Row],[h1]],8))</f>
        <v>0</v>
      </c>
      <c r="Q1988" s="45" t="s">
        <v>97</v>
      </c>
      <c r="R1988" s="45">
        <f>HEX2DEC(RIGHT(Table132321[[#This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5" t="s">
        <v>97</v>
      </c>
      <c r="P1989" s="45">
        <f>HEX2DEC(RIGHT(Table132321[[#This Row],[h1]],8))</f>
        <v>0</v>
      </c>
      <c r="Q1989" s="45" t="s">
        <v>97</v>
      </c>
      <c r="R1989" s="45">
        <f>HEX2DEC(RIGHT(Table132321[[#This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5" t="s">
        <v>97</v>
      </c>
      <c r="P1990" s="45">
        <f>HEX2DEC(RIGHT(Table132321[[#This Row],[h1]],8))</f>
        <v>0</v>
      </c>
      <c r="Q1990" s="45" t="s">
        <v>97</v>
      </c>
      <c r="R1990" s="45">
        <f>HEX2DEC(RIGHT(Table132321[[#This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5" t="s">
        <v>97</v>
      </c>
      <c r="P1991" s="45">
        <f>HEX2DEC(RIGHT(Table132321[[#This Row],[h1]],8))</f>
        <v>0</v>
      </c>
      <c r="Q1991" s="45" t="s">
        <v>97</v>
      </c>
      <c r="R1991" s="45">
        <f>HEX2DEC(RIGHT(Table132321[[#This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5" t="s">
        <v>97</v>
      </c>
      <c r="P1992" s="45">
        <f>HEX2DEC(RIGHT(Table132321[[#This Row],[h1]],8))</f>
        <v>0</v>
      </c>
      <c r="Q1992" s="45" t="s">
        <v>97</v>
      </c>
      <c r="R1992" s="45">
        <f>HEX2DEC(RIGHT(Table132321[[#This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5" t="s">
        <v>97</v>
      </c>
      <c r="P1993" s="45">
        <f>HEX2DEC(RIGHT(Table132321[[#This Row],[h1]],8))</f>
        <v>0</v>
      </c>
      <c r="Q1993" s="45" t="s">
        <v>97</v>
      </c>
      <c r="R1993" s="45">
        <f>HEX2DEC(RIGHT(Table132321[[#This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5" t="s">
        <v>97</v>
      </c>
      <c r="P1994" s="45">
        <f>HEX2DEC(RIGHT(Table132321[[#This Row],[h1]],8))</f>
        <v>0</v>
      </c>
      <c r="Q1994" s="45" t="s">
        <v>97</v>
      </c>
      <c r="R1994" s="45">
        <f>HEX2DEC(RIGHT(Table132321[[#This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5" t="s">
        <v>97</v>
      </c>
      <c r="P1995" s="45">
        <f>HEX2DEC(RIGHT(Table132321[[#This Row],[h1]],8))</f>
        <v>0</v>
      </c>
      <c r="Q1995" s="45" t="s">
        <v>97</v>
      </c>
      <c r="R1995" s="45">
        <f>HEX2DEC(RIGHT(Table132321[[#This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5" t="s">
        <v>97</v>
      </c>
      <c r="P1996" s="45">
        <f>HEX2DEC(RIGHT(Table132321[[#This Row],[h1]],8))</f>
        <v>0</v>
      </c>
      <c r="Q1996" s="45" t="s">
        <v>97</v>
      </c>
      <c r="R1996" s="45">
        <f>HEX2DEC(RIGHT(Table132321[[#This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5" t="s">
        <v>97</v>
      </c>
      <c r="P1997" s="45">
        <f>HEX2DEC(RIGHT(Table132321[[#This Row],[h1]],8))</f>
        <v>0</v>
      </c>
      <c r="Q1997" s="45" t="s">
        <v>97</v>
      </c>
      <c r="R1997" s="45">
        <f>HEX2DEC(RIGHT(Table132321[[#This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5" t="s">
        <v>97</v>
      </c>
      <c r="P1998" s="45">
        <f>HEX2DEC(RIGHT(Table132321[[#This Row],[h1]],8))</f>
        <v>0</v>
      </c>
      <c r="Q1998" s="45" t="s">
        <v>97</v>
      </c>
      <c r="R1998" s="45">
        <f>HEX2DEC(RIGHT(Table132321[[#This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5" t="s">
        <v>97</v>
      </c>
      <c r="P1999" s="45">
        <f>HEX2DEC(RIGHT(Table132321[[#This Row],[h1]],8))</f>
        <v>0</v>
      </c>
      <c r="Q1999" s="45" t="s">
        <v>97</v>
      </c>
      <c r="R1999" s="45">
        <f>HEX2DEC(RIGHT(Table132321[[#This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5" t="s">
        <v>97</v>
      </c>
      <c r="P2000" s="45">
        <f>HEX2DEC(RIGHT(Table132321[[#This Row],[h1]],8))</f>
        <v>0</v>
      </c>
      <c r="Q2000" s="45" t="s">
        <v>97</v>
      </c>
      <c r="R2000" s="45">
        <f>HEX2DEC(RIGHT(Table132321[[#This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5" t="s">
        <v>97</v>
      </c>
      <c r="P2001" s="45">
        <f>HEX2DEC(RIGHT(Table132321[[#This Row],[h1]],8))</f>
        <v>0</v>
      </c>
      <c r="Q2001" s="45" t="s">
        <v>97</v>
      </c>
      <c r="R2001" s="45">
        <f>HEX2DEC(RIGHT(Table132321[[#This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5" t="s">
        <v>97</v>
      </c>
      <c r="P2002" s="45">
        <f>HEX2DEC(RIGHT(Table132321[[#This Row],[h1]],8))</f>
        <v>0</v>
      </c>
      <c r="Q2002" s="45" t="s">
        <v>97</v>
      </c>
      <c r="R2002" s="45">
        <f>HEX2DEC(RIGHT(Table132321[[#This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5" t="s">
        <v>97</v>
      </c>
      <c r="P2003" s="45">
        <f>HEX2DEC(RIGHT(Table132321[[#This Row],[h1]],8))</f>
        <v>0</v>
      </c>
      <c r="Q2003" s="45" t="s">
        <v>97</v>
      </c>
      <c r="R2003" s="45">
        <f>HEX2DEC(RIGHT(Table132321[[#This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5" t="s">
        <v>97</v>
      </c>
      <c r="P2004" s="45">
        <f>HEX2DEC(RIGHT(Table132321[[#This Row],[h1]],8))</f>
        <v>0</v>
      </c>
      <c r="Q2004" s="45" t="s">
        <v>97</v>
      </c>
      <c r="R2004" s="45">
        <f>HEX2DEC(RIGHT(Table132321[[#This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5" t="s">
        <v>97</v>
      </c>
      <c r="P2005" s="45">
        <f>HEX2DEC(RIGHT(Table132321[[#This Row],[h1]],8))</f>
        <v>0</v>
      </c>
      <c r="Q2005" s="45" t="s">
        <v>97</v>
      </c>
      <c r="R2005" s="45">
        <f>HEX2DEC(RIGHT(Table132321[[#This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5" t="s">
        <v>97</v>
      </c>
      <c r="P2006" s="45">
        <f>HEX2DEC(RIGHT(Table132321[[#This Row],[h1]],8))</f>
        <v>0</v>
      </c>
      <c r="Q2006" s="45" t="s">
        <v>97</v>
      </c>
      <c r="R2006" s="45">
        <f>HEX2DEC(RIGHT(Table132321[[#This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5" t="s">
        <v>97</v>
      </c>
      <c r="P2007" s="45">
        <f>HEX2DEC(RIGHT(Table132321[[#This Row],[h1]],8))</f>
        <v>0</v>
      </c>
      <c r="Q2007" s="45" t="s">
        <v>97</v>
      </c>
      <c r="R2007" s="45">
        <f>HEX2DEC(RIGHT(Table132321[[#This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5" t="s">
        <v>97</v>
      </c>
      <c r="P2008" s="45">
        <f>HEX2DEC(RIGHT(Table132321[[#This Row],[h1]],8))</f>
        <v>0</v>
      </c>
      <c r="Q2008" s="45" t="s">
        <v>97</v>
      </c>
      <c r="R2008" s="45">
        <f>HEX2DEC(RIGHT(Table132321[[#This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5" t="s">
        <v>97</v>
      </c>
      <c r="P2009" s="45">
        <f>HEX2DEC(RIGHT(Table132321[[#This Row],[h1]],8))</f>
        <v>0</v>
      </c>
      <c r="Q2009" s="45" t="s">
        <v>97</v>
      </c>
      <c r="R2009" s="45">
        <f>HEX2DEC(RIGHT(Table132321[[#This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5" t="s">
        <v>97</v>
      </c>
      <c r="P2010" s="45">
        <f>HEX2DEC(RIGHT(Table132321[[#This Row],[h1]],8))</f>
        <v>0</v>
      </c>
      <c r="Q2010" s="45" t="s">
        <v>97</v>
      </c>
      <c r="R2010" s="45">
        <f>HEX2DEC(RIGHT(Table132321[[#This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5" t="s">
        <v>97</v>
      </c>
      <c r="P2011" s="45">
        <f>HEX2DEC(RIGHT(Table132321[[#This Row],[h1]],8))</f>
        <v>0</v>
      </c>
      <c r="Q2011" s="45" t="s">
        <v>97</v>
      </c>
      <c r="R2011" s="45">
        <f>HEX2DEC(RIGHT(Table132321[[#This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5" t="s">
        <v>97</v>
      </c>
      <c r="P2012" s="45">
        <f>HEX2DEC(RIGHT(Table132321[[#This Row],[h1]],8))</f>
        <v>0</v>
      </c>
      <c r="Q2012" s="45" t="s">
        <v>97</v>
      </c>
      <c r="R2012" s="45">
        <f>HEX2DEC(RIGHT(Table132321[[#This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5" t="s">
        <v>97</v>
      </c>
      <c r="P2013" s="45">
        <f>HEX2DEC(RIGHT(Table132321[[#This Row],[h1]],8))</f>
        <v>0</v>
      </c>
      <c r="Q2013" s="45" t="s">
        <v>97</v>
      </c>
      <c r="R2013" s="45">
        <f>HEX2DEC(RIGHT(Table132321[[#This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5" t="s">
        <v>97</v>
      </c>
      <c r="P2014" s="45">
        <f>HEX2DEC(RIGHT(Table132321[[#This Row],[h1]],8))</f>
        <v>0</v>
      </c>
      <c r="Q2014" s="45" t="s">
        <v>97</v>
      </c>
      <c r="R2014" s="45">
        <f>HEX2DEC(RIGHT(Table132321[[#This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5" t="s">
        <v>97</v>
      </c>
      <c r="P2015" s="45">
        <f>HEX2DEC(RIGHT(Table132321[[#This Row],[h1]],8))</f>
        <v>0</v>
      </c>
      <c r="Q2015" s="45" t="s">
        <v>97</v>
      </c>
      <c r="R2015" s="45">
        <f>HEX2DEC(RIGHT(Table132321[[#This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5" t="s">
        <v>97</v>
      </c>
      <c r="P2016" s="45">
        <f>HEX2DEC(RIGHT(Table132321[[#This Row],[h1]],8))</f>
        <v>0</v>
      </c>
      <c r="Q2016" s="45" t="s">
        <v>97</v>
      </c>
      <c r="R2016" s="45">
        <f>HEX2DEC(RIGHT(Table132321[[#This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5" t="s">
        <v>97</v>
      </c>
      <c r="P2017" s="45">
        <f>HEX2DEC(RIGHT(Table132321[[#This Row],[h1]],8))</f>
        <v>0</v>
      </c>
      <c r="Q2017" s="45" t="s">
        <v>97</v>
      </c>
      <c r="R2017" s="45">
        <f>HEX2DEC(RIGHT(Table132321[[#This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5" t="s">
        <v>97</v>
      </c>
      <c r="P2018" s="45">
        <f>HEX2DEC(RIGHT(Table132321[[#This Row],[h1]],8))</f>
        <v>0</v>
      </c>
      <c r="Q2018" s="45" t="s">
        <v>97</v>
      </c>
      <c r="R2018" s="45">
        <f>HEX2DEC(RIGHT(Table132321[[#This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5" t="s">
        <v>97</v>
      </c>
      <c r="P2019" s="45">
        <f>HEX2DEC(RIGHT(Table132321[[#This Row],[h1]],8))</f>
        <v>0</v>
      </c>
      <c r="Q2019" s="45" t="s">
        <v>97</v>
      </c>
      <c r="R2019" s="45">
        <f>HEX2DEC(RIGHT(Table132321[[#This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5" t="s">
        <v>97</v>
      </c>
      <c r="P2020" s="45">
        <f>HEX2DEC(RIGHT(Table132321[[#This Row],[h1]],8))</f>
        <v>0</v>
      </c>
      <c r="Q2020" s="45" t="s">
        <v>97</v>
      </c>
      <c r="R2020" s="45">
        <f>HEX2DEC(RIGHT(Table132321[[#This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5" t="s">
        <v>97</v>
      </c>
      <c r="P2021" s="45">
        <f>HEX2DEC(RIGHT(Table132321[[#This Row],[h1]],8))</f>
        <v>0</v>
      </c>
      <c r="Q2021" s="45" t="s">
        <v>97</v>
      </c>
      <c r="R2021" s="45">
        <f>HEX2DEC(RIGHT(Table132321[[#This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5" t="s">
        <v>97</v>
      </c>
      <c r="P2022" s="45">
        <f>HEX2DEC(RIGHT(Table132321[[#This Row],[h1]],8))</f>
        <v>0</v>
      </c>
      <c r="Q2022" s="45" t="s">
        <v>97</v>
      </c>
      <c r="R2022" s="45">
        <f>HEX2DEC(RIGHT(Table132321[[#This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5" t="s">
        <v>97</v>
      </c>
      <c r="P2023" s="45">
        <f>HEX2DEC(RIGHT(Table132321[[#This Row],[h1]],8))</f>
        <v>0</v>
      </c>
      <c r="Q2023" s="45" t="s">
        <v>97</v>
      </c>
      <c r="R2023" s="45">
        <f>HEX2DEC(RIGHT(Table132321[[#This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5" t="s">
        <v>97</v>
      </c>
      <c r="P2024" s="45">
        <f>HEX2DEC(RIGHT(Table132321[[#This Row],[h1]],8))</f>
        <v>0</v>
      </c>
      <c r="Q2024" s="45" t="s">
        <v>97</v>
      </c>
      <c r="R2024" s="45">
        <f>HEX2DEC(RIGHT(Table132321[[#This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5" t="s">
        <v>97</v>
      </c>
      <c r="P2025" s="45">
        <f>HEX2DEC(RIGHT(Table132321[[#This Row],[h1]],8))</f>
        <v>0</v>
      </c>
      <c r="Q2025" s="45" t="s">
        <v>97</v>
      </c>
      <c r="R2025" s="45">
        <f>HEX2DEC(RIGHT(Table132321[[#This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5" t="s">
        <v>97</v>
      </c>
      <c r="P2026" s="45">
        <f>HEX2DEC(RIGHT(Table132321[[#This Row],[h1]],8))</f>
        <v>0</v>
      </c>
      <c r="Q2026" s="45" t="s">
        <v>97</v>
      </c>
      <c r="R2026" s="45">
        <f>HEX2DEC(RIGHT(Table132321[[#This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5" t="s">
        <v>97</v>
      </c>
      <c r="P2027" s="45">
        <f>HEX2DEC(RIGHT(Table132321[[#This Row],[h1]],8))</f>
        <v>0</v>
      </c>
      <c r="Q2027" s="45" t="s">
        <v>97</v>
      </c>
      <c r="R2027" s="45">
        <f>HEX2DEC(RIGHT(Table132321[[#This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5" t="s">
        <v>97</v>
      </c>
      <c r="P2028" s="45">
        <f>HEX2DEC(RIGHT(Table132321[[#This Row],[h1]],8))</f>
        <v>0</v>
      </c>
      <c r="Q2028" s="45" t="s">
        <v>97</v>
      </c>
      <c r="R2028" s="45">
        <f>HEX2DEC(RIGHT(Table132321[[#This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5" t="s">
        <v>97</v>
      </c>
      <c r="P2029" s="45">
        <f>HEX2DEC(RIGHT(Table132321[[#This Row],[h1]],8))</f>
        <v>0</v>
      </c>
      <c r="Q2029" s="45" t="s">
        <v>97</v>
      </c>
      <c r="R2029" s="45">
        <f>HEX2DEC(RIGHT(Table132321[[#This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5" t="s">
        <v>97</v>
      </c>
      <c r="P2030" s="45">
        <f>HEX2DEC(RIGHT(Table132321[[#This Row],[h1]],8))</f>
        <v>0</v>
      </c>
      <c r="Q2030" s="45" t="s">
        <v>97</v>
      </c>
      <c r="R2030" s="45">
        <f>HEX2DEC(RIGHT(Table132321[[#This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5" t="s">
        <v>97</v>
      </c>
      <c r="P2031" s="45">
        <f>HEX2DEC(RIGHT(Table132321[[#This Row],[h1]],8))</f>
        <v>0</v>
      </c>
      <c r="Q2031" s="45" t="s">
        <v>97</v>
      </c>
      <c r="R2031" s="45">
        <f>HEX2DEC(RIGHT(Table132321[[#This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5" t="s">
        <v>97</v>
      </c>
      <c r="P2032" s="45">
        <f>HEX2DEC(RIGHT(Table132321[[#This Row],[h1]],8))</f>
        <v>0</v>
      </c>
      <c r="Q2032" s="45" t="s">
        <v>97</v>
      </c>
      <c r="R2032" s="45">
        <f>HEX2DEC(RIGHT(Table132321[[#This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5" t="s">
        <v>97</v>
      </c>
      <c r="P2033" s="45">
        <f>HEX2DEC(RIGHT(Table132321[[#This Row],[h1]],8))</f>
        <v>0</v>
      </c>
      <c r="Q2033" s="45" t="s">
        <v>97</v>
      </c>
      <c r="R2033" s="45">
        <f>HEX2DEC(RIGHT(Table132321[[#This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5" t="s">
        <v>97</v>
      </c>
      <c r="P2034" s="45">
        <f>HEX2DEC(RIGHT(Table132321[[#This Row],[h1]],8))</f>
        <v>0</v>
      </c>
      <c r="Q2034" s="45" t="s">
        <v>97</v>
      </c>
      <c r="R2034" s="45">
        <f>HEX2DEC(RIGHT(Table132321[[#This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5" t="s">
        <v>97</v>
      </c>
      <c r="P2035" s="45">
        <f>HEX2DEC(RIGHT(Table132321[[#This Row],[h1]],8))</f>
        <v>0</v>
      </c>
      <c r="Q2035" s="45" t="s">
        <v>97</v>
      </c>
      <c r="R2035" s="45">
        <f>HEX2DEC(RIGHT(Table132321[[#This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5" t="s">
        <v>97</v>
      </c>
      <c r="P2036" s="45">
        <f>HEX2DEC(RIGHT(Table132321[[#This Row],[h1]],8))</f>
        <v>0</v>
      </c>
      <c r="Q2036" s="45" t="s">
        <v>97</v>
      </c>
      <c r="R2036" s="45">
        <f>HEX2DEC(RIGHT(Table132321[[#This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5" t="s">
        <v>97</v>
      </c>
      <c r="P2037" s="45">
        <f>HEX2DEC(RIGHT(Table132321[[#This Row],[h1]],8))</f>
        <v>0</v>
      </c>
      <c r="Q2037" s="45" t="s">
        <v>97</v>
      </c>
      <c r="R2037" s="45">
        <f>HEX2DEC(RIGHT(Table132321[[#This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5" t="s">
        <v>97</v>
      </c>
      <c r="P2038" s="45">
        <f>HEX2DEC(RIGHT(Table132321[[#This Row],[h1]],8))</f>
        <v>0</v>
      </c>
      <c r="Q2038" s="45" t="s">
        <v>97</v>
      </c>
      <c r="R2038" s="45">
        <f>HEX2DEC(RIGHT(Table132321[[#This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5" t="s">
        <v>97</v>
      </c>
      <c r="P2039" s="45">
        <f>HEX2DEC(RIGHT(Table132321[[#This Row],[h1]],8))</f>
        <v>0</v>
      </c>
      <c r="Q2039" s="45" t="s">
        <v>97</v>
      </c>
      <c r="R2039" s="45">
        <f>HEX2DEC(RIGHT(Table132321[[#This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5" t="s">
        <v>97</v>
      </c>
      <c r="P2040" s="45">
        <f>HEX2DEC(RIGHT(Table132321[[#This Row],[h1]],8))</f>
        <v>0</v>
      </c>
      <c r="Q2040" s="45" t="s">
        <v>97</v>
      </c>
      <c r="R2040" s="45">
        <f>HEX2DEC(RIGHT(Table132321[[#This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5" t="s">
        <v>97</v>
      </c>
      <c r="P2041" s="45">
        <f>HEX2DEC(RIGHT(Table132321[[#This Row],[h1]],8))</f>
        <v>0</v>
      </c>
      <c r="Q2041" s="45" t="s">
        <v>97</v>
      </c>
      <c r="R2041" s="45">
        <f>HEX2DEC(RIGHT(Table132321[[#This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5" t="s">
        <v>27</v>
      </c>
      <c r="Q2042" s="45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5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88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G247:G248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E167:E174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E176:E206</xm:sqref>
        </x14:dataValidation>
        <x14:dataValidation type="list" allowBlank="1" showInputMessage="1" showErrorMessage="1">
          <x14:formula1>
            <xm:f>org!$B$11:$B$22</xm:f>
          </x14:formula1>
          <xm:sqref>G167:G174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G176:G206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094"/>
  <sheetViews>
    <sheetView zoomScaleNormal="100" workbookViewId="0">
      <pane xSplit="3" ySplit="6" topLeftCell="D130" activePane="bottomRight" state="frozen"/>
      <selection pane="topRight" activeCell="C1" sqref="C1"/>
      <selection pane="bottomLeft" activeCell="A7" sqref="A7"/>
      <selection pane="bottomRight" activeCell="I159" sqref="I159"/>
    </sheetView>
  </sheetViews>
  <sheetFormatPr defaultColWidth="11.5" defaultRowHeight="12" x14ac:dyDescent="0.3"/>
  <cols>
    <col min="1" max="1" width="8.5" style="15" bestFit="1" customWidth="1"/>
    <col min="2" max="2" width="16.125" style="15" bestFit="1" customWidth="1"/>
    <col min="3" max="3" width="5" style="48" bestFit="1" customWidth="1"/>
    <col min="4" max="4" width="25.75" style="15" bestFit="1" customWidth="1"/>
    <col min="5" max="5" width="11.25" style="15" bestFit="1" customWidth="1"/>
    <col min="6" max="6" width="11.625" style="15" bestFit="1" customWidth="1"/>
    <col min="7" max="7" width="19" style="15" bestFit="1" customWidth="1"/>
    <col min="8" max="8" width="1.5" style="15" bestFit="1" customWidth="1"/>
    <col min="9" max="9" width="13.125" style="24" bestFit="1" customWidth="1"/>
    <col min="10" max="10" width="16.125" style="24" bestFit="1" customWidth="1"/>
    <col min="11" max="11" width="1.75" style="15" bestFit="1" customWidth="1"/>
    <col min="12" max="12" width="13.125" style="24" bestFit="1" customWidth="1"/>
    <col min="13" max="13" width="16.125" style="24" bestFit="1" customWidth="1"/>
    <col min="14" max="14" width="1.75" style="15" bestFit="1" customWidth="1"/>
    <col min="15" max="15" width="12.25" style="48" bestFit="1" customWidth="1"/>
    <col min="16" max="16" width="12.25" style="48" customWidth="1"/>
    <col min="17" max="17" width="14.125" style="48" bestFit="1" customWidth="1"/>
    <col min="18" max="18" width="14.125" style="48" customWidth="1"/>
    <col min="19" max="19" width="1.75" style="48" bestFit="1" customWidth="1"/>
    <col min="20" max="20" width="11.625" style="15" bestFit="1" customWidth="1"/>
    <col min="21" max="21" width="10.75" style="15" bestFit="1" customWidth="1"/>
    <col min="22" max="22" width="9" style="15" bestFit="1" customWidth="1"/>
    <col min="23" max="23" width="13.375" style="15" bestFit="1" customWidth="1"/>
    <col min="24" max="24" width="13.75" style="15" customWidth="1"/>
    <col min="25" max="16384" width="11.5" style="15"/>
  </cols>
  <sheetData>
    <row r="1" spans="1:23" s="48" customFormat="1" x14ac:dyDescent="0.3">
      <c r="A1" s="31">
        <v>1</v>
      </c>
      <c r="B1" s="31">
        <v>2</v>
      </c>
      <c r="C1" s="31">
        <v>3</v>
      </c>
      <c r="D1" s="31">
        <v>4</v>
      </c>
      <c r="E1" s="31">
        <v>5</v>
      </c>
      <c r="F1" s="31">
        <v>6</v>
      </c>
      <c r="G1" s="31">
        <v>7</v>
      </c>
      <c r="H1" s="31">
        <v>8</v>
      </c>
      <c r="I1" s="31">
        <v>9</v>
      </c>
      <c r="J1" s="31">
        <v>10</v>
      </c>
      <c r="K1" s="31">
        <v>11</v>
      </c>
      <c r="L1" s="31">
        <v>12</v>
      </c>
      <c r="M1" s="31">
        <v>13</v>
      </c>
      <c r="N1" s="31">
        <v>14</v>
      </c>
      <c r="O1" s="31">
        <v>15</v>
      </c>
      <c r="P1" s="31">
        <v>16</v>
      </c>
      <c r="Q1" s="31">
        <v>17</v>
      </c>
      <c r="R1" s="31">
        <v>18</v>
      </c>
      <c r="S1" s="31">
        <v>19</v>
      </c>
      <c r="T1" s="31">
        <v>20</v>
      </c>
      <c r="U1" s="31">
        <v>21</v>
      </c>
      <c r="V1" s="31">
        <v>22</v>
      </c>
      <c r="W1" s="31">
        <v>23</v>
      </c>
    </row>
    <row r="2" spans="1:23" s="48" customFormat="1" x14ac:dyDescent="0.3">
      <c r="A2" s="9" t="s">
        <v>31</v>
      </c>
      <c r="B2" s="10" t="s">
        <v>34</v>
      </c>
      <c r="D2" s="62" t="s">
        <v>29</v>
      </c>
      <c r="E2" s="62"/>
      <c r="F2" s="62"/>
      <c r="G2" s="62"/>
      <c r="I2" s="62" t="s">
        <v>89</v>
      </c>
      <c r="J2" s="62"/>
      <c r="K2" s="11"/>
      <c r="L2" s="62" t="s">
        <v>90</v>
      </c>
      <c r="M2" s="62"/>
      <c r="O2" s="62" t="s">
        <v>515</v>
      </c>
      <c r="P2" s="62"/>
      <c r="Q2" s="62"/>
      <c r="R2" s="62"/>
      <c r="T2" s="62" t="s">
        <v>30</v>
      </c>
      <c r="U2" s="62"/>
      <c r="V2" s="62"/>
      <c r="W2" s="62"/>
    </row>
    <row r="3" spans="1:23" s="48" customFormat="1" x14ac:dyDescent="0.3">
      <c r="A3" s="12" t="s">
        <v>32</v>
      </c>
      <c r="C3" s="48" t="s">
        <v>23</v>
      </c>
      <c r="D3" s="48" t="s">
        <v>9</v>
      </c>
      <c r="E3" s="48" t="s">
        <v>10</v>
      </c>
      <c r="F3" s="48" t="s">
        <v>11</v>
      </c>
      <c r="G3" s="48" t="s">
        <v>105</v>
      </c>
      <c r="I3" s="48" t="s">
        <v>6</v>
      </c>
      <c r="J3" s="48" t="s">
        <v>7</v>
      </c>
      <c r="L3" s="48" t="s">
        <v>6</v>
      </c>
      <c r="M3" s="48" t="s">
        <v>7</v>
      </c>
      <c r="O3" s="48" t="s">
        <v>98</v>
      </c>
      <c r="P3" s="34" t="s">
        <v>99</v>
      </c>
      <c r="Q3" s="48" t="s">
        <v>100</v>
      </c>
      <c r="R3" s="48" t="s">
        <v>101</v>
      </c>
      <c r="T3" s="48" t="s">
        <v>5</v>
      </c>
      <c r="U3" s="48" t="s">
        <v>6</v>
      </c>
      <c r="V3" s="48" t="s">
        <v>8</v>
      </c>
      <c r="W3" s="48" t="s">
        <v>7</v>
      </c>
    </row>
    <row r="4" spans="1:23" s="48" customFormat="1" x14ac:dyDescent="0.3">
      <c r="A4" s="12" t="s">
        <v>33</v>
      </c>
      <c r="C4" s="14">
        <f>C1</f>
        <v>3</v>
      </c>
      <c r="D4" s="13">
        <f t="shared" ref="D4:G4" si="0">D1</f>
        <v>4</v>
      </c>
      <c r="E4" s="13">
        <f t="shared" si="0"/>
        <v>5</v>
      </c>
      <c r="F4" s="13">
        <f t="shared" si="0"/>
        <v>6</v>
      </c>
      <c r="G4" s="13">
        <f t="shared" si="0"/>
        <v>7</v>
      </c>
      <c r="I4" s="13">
        <f t="shared" ref="I4:J4" si="1">I1</f>
        <v>9</v>
      </c>
      <c r="J4" s="13">
        <f t="shared" si="1"/>
        <v>10</v>
      </c>
      <c r="L4" s="13">
        <f t="shared" ref="L4:M4" si="2">L1</f>
        <v>12</v>
      </c>
      <c r="M4" s="13">
        <f t="shared" si="2"/>
        <v>13</v>
      </c>
      <c r="O4" s="13">
        <f t="shared" ref="O4:R4" si="3">O1</f>
        <v>15</v>
      </c>
      <c r="P4" s="13">
        <f t="shared" si="3"/>
        <v>16</v>
      </c>
      <c r="Q4" s="13">
        <f t="shared" si="3"/>
        <v>17</v>
      </c>
      <c r="R4" s="13">
        <f t="shared" si="3"/>
        <v>18</v>
      </c>
      <c r="T4" s="13">
        <f t="shared" ref="T4:W4" si="4">T1</f>
        <v>20</v>
      </c>
      <c r="U4" s="13">
        <f t="shared" si="4"/>
        <v>21</v>
      </c>
      <c r="V4" s="13">
        <f t="shared" si="4"/>
        <v>22</v>
      </c>
      <c r="W4" s="13">
        <f t="shared" si="4"/>
        <v>23</v>
      </c>
    </row>
    <row r="5" spans="1:23" s="48" customFormat="1" x14ac:dyDescent="0.3">
      <c r="A5" s="12" t="s">
        <v>514</v>
      </c>
      <c r="B5" s="48" t="str">
        <f>A3&amp;"."&amp;A4&amp;"."&amp;A5&amp;A6&amp;"."</f>
        <v>SCL3.TS.ZQ9R001.</v>
      </c>
      <c r="C5" s="41"/>
      <c r="D5" s="13"/>
      <c r="E5" s="13"/>
      <c r="F5" s="13" t="s">
        <v>85</v>
      </c>
      <c r="G5" s="13"/>
      <c r="I5" s="13" t="s">
        <v>28</v>
      </c>
      <c r="J5" s="13" t="s">
        <v>26</v>
      </c>
      <c r="L5" s="13" t="s">
        <v>86</v>
      </c>
      <c r="M5" s="14" t="s">
        <v>87</v>
      </c>
      <c r="O5" s="13" t="s">
        <v>50</v>
      </c>
      <c r="P5" s="13"/>
      <c r="Q5" s="13" t="s">
        <v>51</v>
      </c>
      <c r="R5" s="14"/>
      <c r="T5" s="13"/>
      <c r="U5" s="13"/>
      <c r="V5" s="13"/>
      <c r="W5" s="13"/>
    </row>
    <row r="6" spans="1:23" s="48" customFormat="1" x14ac:dyDescent="0.3">
      <c r="A6" s="12" t="s">
        <v>41</v>
      </c>
      <c r="B6" s="48" t="str">
        <f>A3&amp;":"&amp;A4&amp;":"&amp;A5&amp;A6&amp;":"</f>
        <v>SCL3:TS:ZQ9R001:</v>
      </c>
      <c r="C6" s="41"/>
      <c r="D6" s="13"/>
      <c r="E6" s="13" t="s">
        <v>91</v>
      </c>
      <c r="F6" s="13" t="s">
        <v>53</v>
      </c>
      <c r="G6" s="13"/>
      <c r="I6" s="13"/>
      <c r="J6" s="13" t="s">
        <v>52</v>
      </c>
      <c r="L6" s="13"/>
      <c r="M6" s="13" t="s">
        <v>52</v>
      </c>
      <c r="O6" s="13"/>
      <c r="P6" s="13"/>
      <c r="Q6" s="13"/>
      <c r="R6" s="14"/>
      <c r="T6" s="13"/>
      <c r="U6" s="13"/>
      <c r="V6" s="13"/>
      <c r="W6" s="13"/>
    </row>
    <row r="7" spans="1:23" x14ac:dyDescent="0.3">
      <c r="C7" s="42"/>
      <c r="D7" s="15" t="s">
        <v>107</v>
      </c>
      <c r="E7" s="16"/>
      <c r="F7" s="16"/>
      <c r="G7" s="17"/>
      <c r="H7" s="48"/>
      <c r="I7" s="28" t="s">
        <v>288</v>
      </c>
      <c r="J7" s="29" t="s">
        <v>289</v>
      </c>
      <c r="K7" s="30"/>
      <c r="L7" s="28" t="s">
        <v>290</v>
      </c>
      <c r="M7" s="29" t="s">
        <v>291</v>
      </c>
      <c r="O7" s="18" t="s">
        <v>516</v>
      </c>
      <c r="P7" s="18"/>
      <c r="Q7" s="18" t="s">
        <v>517</v>
      </c>
    </row>
    <row r="8" spans="1:23" x14ac:dyDescent="0.3">
      <c r="C8" s="42"/>
      <c r="G8" s="19"/>
      <c r="H8" s="48"/>
      <c r="I8" s="20">
        <v>32768</v>
      </c>
      <c r="J8" s="21">
        <v>10</v>
      </c>
      <c r="K8" s="48"/>
      <c r="L8" s="20">
        <v>32768</v>
      </c>
      <c r="M8" s="21">
        <v>10</v>
      </c>
      <c r="O8" s="18"/>
      <c r="P8" s="18"/>
      <c r="Q8" s="18"/>
      <c r="R8" s="18"/>
    </row>
    <row r="9" spans="1:23" x14ac:dyDescent="0.3">
      <c r="C9" s="42"/>
      <c r="G9" s="19"/>
      <c r="H9" s="48"/>
      <c r="I9" s="20">
        <v>0</v>
      </c>
      <c r="J9" s="21">
        <v>10</v>
      </c>
      <c r="K9" s="48"/>
      <c r="L9" s="20">
        <v>0</v>
      </c>
      <c r="M9" s="21">
        <v>10</v>
      </c>
      <c r="O9" s="18"/>
      <c r="P9" s="18"/>
      <c r="Q9" s="18"/>
      <c r="R9" s="18"/>
    </row>
    <row r="10" spans="1:23" x14ac:dyDescent="0.3">
      <c r="A10" s="15" t="str">
        <f>DEC2HEX(B10,3)</f>
        <v>000</v>
      </c>
      <c r="B10" s="15">
        <v>0</v>
      </c>
      <c r="C10" s="40" t="s">
        <v>36</v>
      </c>
      <c r="D10" s="38"/>
      <c r="E10" s="38"/>
      <c r="F10" s="38"/>
      <c r="G10" s="38"/>
      <c r="H10" s="48"/>
      <c r="I10" s="24">
        <v>0</v>
      </c>
      <c r="J10" s="24">
        <v>20</v>
      </c>
      <c r="K10" s="48"/>
      <c r="L10" s="24">
        <v>10</v>
      </c>
      <c r="M10" s="24">
        <v>50000</v>
      </c>
      <c r="O10" s="18">
        <v>0</v>
      </c>
      <c r="P10" s="18">
        <v>0</v>
      </c>
      <c r="Q10" s="18">
        <v>0</v>
      </c>
      <c r="R10" s="18">
        <v>0</v>
      </c>
    </row>
    <row r="11" spans="1:23" x14ac:dyDescent="0.3">
      <c r="A11" s="15" t="str">
        <f t="shared" ref="A11:A74" si="5">DEC2HEX(B11,3)</f>
        <v>001</v>
      </c>
      <c r="B11" s="15">
        <v>1</v>
      </c>
      <c r="C11" s="42"/>
      <c r="D11" s="15" t="s">
        <v>518</v>
      </c>
      <c r="G11" s="33">
        <v>500</v>
      </c>
      <c r="H11" s="48"/>
      <c r="I11" s="24">
        <v>0</v>
      </c>
      <c r="J11" s="24">
        <v>20</v>
      </c>
      <c r="K11" s="48"/>
      <c r="L11" s="24">
        <v>11</v>
      </c>
      <c r="M11" s="24">
        <v>50000</v>
      </c>
      <c r="O11" s="48" t="s">
        <v>513</v>
      </c>
      <c r="P11" s="48">
        <f>HEX2DEC(RIGHT(Table1323212714[[#This Row],[h1]],8))</f>
        <v>4294967295</v>
      </c>
      <c r="Q11" s="48" t="s">
        <v>97</v>
      </c>
      <c r="R11" s="48">
        <f>HEX2DEC(RIGHT(Table1323212714[[#This Row],[h2]],8))</f>
        <v>0</v>
      </c>
    </row>
    <row r="12" spans="1:23" x14ac:dyDescent="0.3">
      <c r="A12" s="15" t="str">
        <f t="shared" si="5"/>
        <v>002</v>
      </c>
      <c r="B12" s="15">
        <v>2</v>
      </c>
      <c r="C12" s="42"/>
      <c r="H12" s="48"/>
      <c r="I12" s="24">
        <v>0</v>
      </c>
      <c r="J12" s="24">
        <v>20</v>
      </c>
      <c r="K12" s="48"/>
      <c r="L12" s="24">
        <v>12</v>
      </c>
      <c r="M12" s="24">
        <v>50000</v>
      </c>
      <c r="O12" s="48" t="s">
        <v>513</v>
      </c>
      <c r="P12" s="48">
        <f>HEX2DEC(RIGHT(Table1323212714[[#This Row],[h1]],8))</f>
        <v>4294967295</v>
      </c>
      <c r="Q12" s="48" t="s">
        <v>97</v>
      </c>
      <c r="R12" s="48">
        <f>HEX2DEC(RIGHT(Table1323212714[[#This Row],[h2]],8))</f>
        <v>0</v>
      </c>
    </row>
    <row r="13" spans="1:23" x14ac:dyDescent="0.3">
      <c r="A13" s="15" t="str">
        <f t="shared" si="5"/>
        <v>003</v>
      </c>
      <c r="B13" s="15">
        <v>3</v>
      </c>
      <c r="C13" s="42"/>
      <c r="G13" s="15" t="s">
        <v>92</v>
      </c>
      <c r="H13" s="48"/>
      <c r="I13" s="20" t="s">
        <v>27</v>
      </c>
      <c r="J13" s="24">
        <v>50000</v>
      </c>
      <c r="K13" s="48"/>
      <c r="L13" s="24">
        <v>13</v>
      </c>
      <c r="M13" s="24">
        <v>50000</v>
      </c>
      <c r="O13" s="48" t="s">
        <v>513</v>
      </c>
      <c r="P13" s="48">
        <f>HEX2DEC(RIGHT(Table1323212714[[#This Row],[h1]],8))</f>
        <v>4294967295</v>
      </c>
      <c r="Q13" s="48" t="s">
        <v>97</v>
      </c>
      <c r="R13" s="48">
        <f>HEX2DEC(RIGHT(Table1323212714[[#This Row],[h2]],8))</f>
        <v>0</v>
      </c>
    </row>
    <row r="14" spans="1:23" x14ac:dyDescent="0.3">
      <c r="A14" s="15" t="str">
        <f t="shared" si="5"/>
        <v>004</v>
      </c>
      <c r="B14" s="15">
        <v>4</v>
      </c>
      <c r="C14" s="42"/>
      <c r="D14" s="15" t="s">
        <v>519</v>
      </c>
      <c r="G14" s="33">
        <v>0</v>
      </c>
      <c r="H14" s="48"/>
      <c r="J14" s="24">
        <v>50000</v>
      </c>
      <c r="K14" s="48"/>
      <c r="L14" s="24">
        <v>14</v>
      </c>
      <c r="M14" s="24">
        <v>50000</v>
      </c>
      <c r="O14" s="48" t="s">
        <v>513</v>
      </c>
      <c r="P14" s="48">
        <f>HEX2DEC(RIGHT(Table1323212714[[#This Row],[h1]],8))</f>
        <v>4294967295</v>
      </c>
      <c r="Q14" s="48" t="s">
        <v>97</v>
      </c>
      <c r="R14" s="48">
        <f>HEX2DEC(RIGHT(Table1323212714[[#This Row],[h2]],8))</f>
        <v>0</v>
      </c>
    </row>
    <row r="15" spans="1:23" x14ac:dyDescent="0.3">
      <c r="A15" s="15" t="str">
        <f t="shared" si="5"/>
        <v>005</v>
      </c>
      <c r="B15" s="15">
        <v>5</v>
      </c>
      <c r="C15" s="42"/>
      <c r="D15" s="15" t="s">
        <v>520</v>
      </c>
      <c r="G15" s="33">
        <v>0</v>
      </c>
      <c r="H15" s="48"/>
      <c r="J15" s="24">
        <v>50000</v>
      </c>
      <c r="K15" s="48"/>
      <c r="L15" s="24">
        <v>15</v>
      </c>
      <c r="M15" s="24">
        <v>50000</v>
      </c>
      <c r="O15" s="48" t="s">
        <v>513</v>
      </c>
      <c r="P15" s="48">
        <f>HEX2DEC(RIGHT(Table1323212714[[#This Row],[h1]],8))</f>
        <v>4294967295</v>
      </c>
      <c r="Q15" s="48" t="s">
        <v>97</v>
      </c>
      <c r="R15" s="48">
        <f>HEX2DEC(RIGHT(Table1323212714[[#This Row],[h2]],8))</f>
        <v>0</v>
      </c>
    </row>
    <row r="16" spans="1:23" x14ac:dyDescent="0.3">
      <c r="A16" s="15" t="str">
        <f t="shared" si="5"/>
        <v>006</v>
      </c>
      <c r="B16" s="15">
        <v>6</v>
      </c>
      <c r="C16" s="42"/>
      <c r="D16" s="15" t="s">
        <v>521</v>
      </c>
      <c r="G16" s="33">
        <v>0</v>
      </c>
      <c r="H16" s="48"/>
      <c r="J16" s="24">
        <v>50000</v>
      </c>
      <c r="K16" s="48"/>
      <c r="L16" s="24">
        <v>16</v>
      </c>
      <c r="M16" s="24">
        <v>50000</v>
      </c>
      <c r="O16" s="48" t="s">
        <v>513</v>
      </c>
      <c r="P16" s="48">
        <f>HEX2DEC(RIGHT(Table1323212714[[#This Row],[h1]],8))</f>
        <v>4294967295</v>
      </c>
      <c r="Q16" s="48" t="s">
        <v>97</v>
      </c>
      <c r="R16" s="48">
        <f>HEX2DEC(RIGHT(Table1323212714[[#This Row],[h2]],8))</f>
        <v>0</v>
      </c>
    </row>
    <row r="17" spans="1:18" x14ac:dyDescent="0.3">
      <c r="A17" s="15" t="str">
        <f t="shared" si="5"/>
        <v>007</v>
      </c>
      <c r="B17" s="15">
        <v>7</v>
      </c>
      <c r="C17" s="42"/>
      <c r="D17" s="15" t="s">
        <v>522</v>
      </c>
      <c r="G17" s="33">
        <v>0</v>
      </c>
      <c r="H17" s="48"/>
      <c r="J17" s="24">
        <v>50000</v>
      </c>
      <c r="K17" s="48"/>
      <c r="L17" s="24">
        <v>17</v>
      </c>
      <c r="M17" s="24">
        <v>50000</v>
      </c>
      <c r="O17" s="48" t="s">
        <v>513</v>
      </c>
      <c r="P17" s="48">
        <f>HEX2DEC(RIGHT(Table1323212714[[#This Row],[h1]],8))</f>
        <v>4294967295</v>
      </c>
      <c r="Q17" s="48" t="s">
        <v>97</v>
      </c>
      <c r="R17" s="48">
        <f>HEX2DEC(RIGHT(Table1323212714[[#This Row],[h2]],8))</f>
        <v>0</v>
      </c>
    </row>
    <row r="18" spans="1:18" x14ac:dyDescent="0.3">
      <c r="A18" s="15" t="str">
        <f t="shared" si="5"/>
        <v>008</v>
      </c>
      <c r="B18" s="15">
        <v>8</v>
      </c>
      <c r="C18" s="42"/>
      <c r="D18" s="15" t="s">
        <v>523</v>
      </c>
      <c r="G18" s="33">
        <v>0</v>
      </c>
      <c r="H18" s="48"/>
      <c r="J18" s="24">
        <v>50000</v>
      </c>
      <c r="K18" s="48"/>
      <c r="L18" s="24">
        <v>18</v>
      </c>
      <c r="M18" s="24">
        <v>50000</v>
      </c>
      <c r="O18" s="48" t="s">
        <v>513</v>
      </c>
      <c r="P18" s="48">
        <f>HEX2DEC(RIGHT(Table1323212714[[#This Row],[h1]],8))</f>
        <v>4294967295</v>
      </c>
      <c r="Q18" s="48" t="s">
        <v>97</v>
      </c>
      <c r="R18" s="48">
        <f>HEX2DEC(RIGHT(Table1323212714[[#This Row],[h2]],8))</f>
        <v>0</v>
      </c>
    </row>
    <row r="19" spans="1:18" x14ac:dyDescent="0.3">
      <c r="A19" s="15" t="str">
        <f t="shared" si="5"/>
        <v>009</v>
      </c>
      <c r="B19" s="15">
        <v>9</v>
      </c>
      <c r="C19" s="42"/>
      <c r="D19" s="15" t="s">
        <v>524</v>
      </c>
      <c r="G19" s="33">
        <v>0</v>
      </c>
      <c r="H19" s="48"/>
      <c r="J19" s="24">
        <v>50000</v>
      </c>
      <c r="K19" s="48"/>
      <c r="L19" s="24">
        <v>19</v>
      </c>
      <c r="M19" s="24">
        <v>50000</v>
      </c>
      <c r="O19" s="48" t="s">
        <v>513</v>
      </c>
      <c r="P19" s="48">
        <f>HEX2DEC(RIGHT(Table1323212714[[#This Row],[h1]],8))</f>
        <v>4294967295</v>
      </c>
      <c r="Q19" s="48" t="s">
        <v>97</v>
      </c>
      <c r="R19" s="48">
        <f>HEX2DEC(RIGHT(Table1323212714[[#This Row],[h2]],8))</f>
        <v>0</v>
      </c>
    </row>
    <row r="20" spans="1:18" x14ac:dyDescent="0.3">
      <c r="A20" s="15" t="str">
        <f t="shared" si="5"/>
        <v>00A</v>
      </c>
      <c r="B20" s="15">
        <v>10</v>
      </c>
      <c r="C20" s="42"/>
      <c r="D20" s="15" t="s">
        <v>525</v>
      </c>
      <c r="G20" s="33">
        <v>0</v>
      </c>
      <c r="H20" s="48"/>
      <c r="J20" s="24">
        <v>50000</v>
      </c>
      <c r="K20" s="48"/>
      <c r="L20" s="24">
        <v>20</v>
      </c>
      <c r="M20" s="24">
        <v>50000</v>
      </c>
      <c r="O20" s="48" t="s">
        <v>513</v>
      </c>
      <c r="P20" s="48">
        <f>HEX2DEC(RIGHT(Table1323212714[[#This Row],[h1]],8))</f>
        <v>4294967295</v>
      </c>
      <c r="Q20" s="48" t="s">
        <v>97</v>
      </c>
      <c r="R20" s="48">
        <f>HEX2DEC(RIGHT(Table1323212714[[#This Row],[h2]],8))</f>
        <v>0</v>
      </c>
    </row>
    <row r="21" spans="1:18" x14ac:dyDescent="0.3">
      <c r="A21" s="15" t="str">
        <f t="shared" si="5"/>
        <v>00B</v>
      </c>
      <c r="B21" s="15">
        <v>11</v>
      </c>
      <c r="C21" s="42"/>
      <c r="D21" s="15" t="s">
        <v>526</v>
      </c>
      <c r="G21" s="33">
        <v>0</v>
      </c>
      <c r="H21" s="48"/>
      <c r="J21" s="24">
        <v>50000</v>
      </c>
      <c r="K21" s="48"/>
      <c r="L21" s="24">
        <v>21</v>
      </c>
      <c r="M21" s="24">
        <v>50000</v>
      </c>
      <c r="O21" s="48" t="s">
        <v>97</v>
      </c>
      <c r="P21" s="48">
        <f>HEX2DEC(RIGHT(Table1323212714[[#This Row],[h1]],8))</f>
        <v>0</v>
      </c>
      <c r="Q21" s="48" t="s">
        <v>97</v>
      </c>
      <c r="R21" s="48">
        <f>HEX2DEC(RIGHT(Table1323212714[[#This Row],[h2]],8))</f>
        <v>0</v>
      </c>
    </row>
    <row r="22" spans="1:18" x14ac:dyDescent="0.3">
      <c r="A22" s="15" t="str">
        <f t="shared" si="5"/>
        <v>00C</v>
      </c>
      <c r="B22" s="15">
        <v>12</v>
      </c>
      <c r="C22" s="42"/>
      <c r="G22" s="33"/>
      <c r="H22" s="48"/>
      <c r="J22" s="24">
        <v>50000</v>
      </c>
      <c r="K22" s="48"/>
      <c r="L22" s="24">
        <v>22</v>
      </c>
      <c r="M22" s="24">
        <v>50000</v>
      </c>
      <c r="O22" s="48" t="s">
        <v>97</v>
      </c>
      <c r="P22" s="48">
        <f>HEX2DEC(RIGHT(Table1323212714[[#This Row],[h1]],8))</f>
        <v>0</v>
      </c>
      <c r="Q22" s="48" t="s">
        <v>97</v>
      </c>
      <c r="R22" s="48">
        <f>HEX2DEC(RIGHT(Table1323212714[[#This Row],[h2]],8))</f>
        <v>0</v>
      </c>
    </row>
    <row r="23" spans="1:18" x14ac:dyDescent="0.3">
      <c r="A23" s="15" t="str">
        <f t="shared" si="5"/>
        <v>00D</v>
      </c>
      <c r="B23" s="15">
        <v>13</v>
      </c>
      <c r="C23" s="42"/>
      <c r="H23" s="48"/>
      <c r="J23" s="24">
        <v>50000</v>
      </c>
      <c r="K23" s="48"/>
      <c r="L23" s="24">
        <v>23</v>
      </c>
      <c r="M23" s="24">
        <v>50000</v>
      </c>
      <c r="O23" s="48" t="s">
        <v>97</v>
      </c>
      <c r="P23" s="48">
        <f>HEX2DEC(RIGHT(Table1323212714[[#This Row],[h1]],8))</f>
        <v>0</v>
      </c>
      <c r="Q23" s="48" t="s">
        <v>97</v>
      </c>
      <c r="R23" s="48">
        <f>HEX2DEC(RIGHT(Table1323212714[[#This Row],[h2]],8))</f>
        <v>0</v>
      </c>
    </row>
    <row r="24" spans="1:18" x14ac:dyDescent="0.3">
      <c r="A24" s="15" t="str">
        <f t="shared" si="5"/>
        <v>00E</v>
      </c>
      <c r="B24" s="15">
        <v>14</v>
      </c>
      <c r="C24" s="42"/>
      <c r="G24" s="15" t="s">
        <v>93</v>
      </c>
      <c r="H24" s="48"/>
      <c r="J24" s="24">
        <v>50000</v>
      </c>
      <c r="K24" s="48"/>
      <c r="L24" s="24">
        <v>24</v>
      </c>
      <c r="M24" s="24">
        <v>50000</v>
      </c>
      <c r="O24" s="48" t="s">
        <v>97</v>
      </c>
      <c r="P24" s="48">
        <f>HEX2DEC(RIGHT(Table1323212714[[#This Row],[h1]],8))</f>
        <v>0</v>
      </c>
      <c r="Q24" s="48" t="s">
        <v>97</v>
      </c>
      <c r="R24" s="48">
        <f>HEX2DEC(RIGHT(Table1323212714[[#This Row],[h2]],8))</f>
        <v>0</v>
      </c>
    </row>
    <row r="25" spans="1:18" x14ac:dyDescent="0.3">
      <c r="A25" s="15" t="str">
        <f t="shared" si="5"/>
        <v>00F</v>
      </c>
      <c r="B25" s="15">
        <v>15</v>
      </c>
      <c r="C25" s="42"/>
      <c r="D25" s="15" t="s">
        <v>527</v>
      </c>
      <c r="G25" s="33">
        <v>0</v>
      </c>
      <c r="H25" s="48"/>
      <c r="J25" s="24">
        <v>50000</v>
      </c>
      <c r="K25" s="48"/>
      <c r="L25" s="24">
        <v>25</v>
      </c>
      <c r="M25" s="24">
        <v>50000</v>
      </c>
      <c r="O25" s="48" t="s">
        <v>97</v>
      </c>
      <c r="P25" s="48">
        <f>HEX2DEC(RIGHT(Table1323212714[[#This Row],[h1]],8))</f>
        <v>0</v>
      </c>
      <c r="Q25" s="48" t="s">
        <v>97</v>
      </c>
      <c r="R25" s="48">
        <f>HEX2DEC(RIGHT(Table1323212714[[#This Row],[h2]],8))</f>
        <v>0</v>
      </c>
    </row>
    <row r="26" spans="1:18" x14ac:dyDescent="0.3">
      <c r="A26" s="15" t="str">
        <f t="shared" si="5"/>
        <v>010</v>
      </c>
      <c r="B26" s="15">
        <v>16</v>
      </c>
      <c r="C26" s="42"/>
      <c r="D26" s="15" t="s">
        <v>528</v>
      </c>
      <c r="G26" s="33">
        <v>0</v>
      </c>
      <c r="H26" s="48"/>
      <c r="J26" s="24">
        <v>50000</v>
      </c>
      <c r="K26" s="48"/>
      <c r="L26" s="24">
        <v>26</v>
      </c>
      <c r="M26" s="24">
        <v>50000</v>
      </c>
      <c r="O26" s="48" t="s">
        <v>97</v>
      </c>
      <c r="P26" s="48">
        <f>HEX2DEC(RIGHT(Table1323212714[[#This Row],[h1]],8))</f>
        <v>0</v>
      </c>
      <c r="Q26" s="48" t="s">
        <v>97</v>
      </c>
      <c r="R26" s="48">
        <f>HEX2DEC(RIGHT(Table1323212714[[#This Row],[h2]],8))</f>
        <v>0</v>
      </c>
    </row>
    <row r="27" spans="1:18" x14ac:dyDescent="0.3">
      <c r="A27" s="15" t="str">
        <f t="shared" si="5"/>
        <v>011</v>
      </c>
      <c r="B27" s="15">
        <v>17</v>
      </c>
      <c r="C27" s="42"/>
      <c r="D27" s="15" t="s">
        <v>529</v>
      </c>
      <c r="G27" s="33">
        <v>0</v>
      </c>
      <c r="H27" s="48"/>
      <c r="J27" s="24">
        <v>50000</v>
      </c>
      <c r="K27" s="48"/>
      <c r="L27" s="24">
        <v>27</v>
      </c>
      <c r="M27" s="24">
        <v>50000</v>
      </c>
      <c r="O27" s="48" t="s">
        <v>97</v>
      </c>
      <c r="P27" s="48">
        <f>HEX2DEC(RIGHT(Table1323212714[[#This Row],[h1]],8))</f>
        <v>0</v>
      </c>
      <c r="Q27" s="48" t="s">
        <v>97</v>
      </c>
      <c r="R27" s="48">
        <f>HEX2DEC(RIGHT(Table1323212714[[#This Row],[h2]],8))</f>
        <v>0</v>
      </c>
    </row>
    <row r="28" spans="1:18" x14ac:dyDescent="0.3">
      <c r="A28" s="15" t="str">
        <f t="shared" si="5"/>
        <v>012</v>
      </c>
      <c r="B28" s="15">
        <v>18</v>
      </c>
      <c r="C28" s="42"/>
      <c r="D28" s="15" t="s">
        <v>530</v>
      </c>
      <c r="G28" s="33">
        <v>0</v>
      </c>
      <c r="H28" s="48"/>
      <c r="J28" s="24">
        <v>50000</v>
      </c>
      <c r="K28" s="48"/>
      <c r="L28" s="24">
        <v>28</v>
      </c>
      <c r="M28" s="24">
        <v>50000</v>
      </c>
      <c r="O28" s="48" t="s">
        <v>97</v>
      </c>
      <c r="P28" s="48">
        <f>HEX2DEC(RIGHT(Table1323212714[[#This Row],[h1]],8))</f>
        <v>0</v>
      </c>
      <c r="Q28" s="48" t="s">
        <v>97</v>
      </c>
      <c r="R28" s="48">
        <f>HEX2DEC(RIGHT(Table1323212714[[#This Row],[h2]],8))</f>
        <v>0</v>
      </c>
    </row>
    <row r="29" spans="1:18" x14ac:dyDescent="0.3">
      <c r="A29" s="15" t="str">
        <f t="shared" si="5"/>
        <v>013</v>
      </c>
      <c r="B29" s="15">
        <v>19</v>
      </c>
      <c r="C29" s="42"/>
      <c r="D29" s="15" t="s">
        <v>531</v>
      </c>
      <c r="G29" s="33">
        <v>0</v>
      </c>
      <c r="H29" s="48"/>
      <c r="J29" s="24">
        <v>50000</v>
      </c>
      <c r="K29" s="48"/>
      <c r="L29" s="24">
        <v>29</v>
      </c>
      <c r="M29" s="24">
        <v>50000</v>
      </c>
      <c r="O29" s="48" t="s">
        <v>97</v>
      </c>
      <c r="P29" s="48">
        <f>HEX2DEC(RIGHT(Table1323212714[[#This Row],[h1]],8))</f>
        <v>0</v>
      </c>
      <c r="Q29" s="48" t="s">
        <v>97</v>
      </c>
      <c r="R29" s="48">
        <f>HEX2DEC(RIGHT(Table1323212714[[#This Row],[h2]],8))</f>
        <v>0</v>
      </c>
    </row>
    <row r="30" spans="1:18" x14ac:dyDescent="0.3">
      <c r="A30" s="15" t="str">
        <f t="shared" si="5"/>
        <v>014</v>
      </c>
      <c r="B30" s="15">
        <v>20</v>
      </c>
      <c r="C30" s="42"/>
      <c r="D30" s="15" t="s">
        <v>532</v>
      </c>
      <c r="G30" s="33">
        <v>0</v>
      </c>
      <c r="H30" s="48"/>
      <c r="J30" s="24">
        <v>50000</v>
      </c>
      <c r="K30" s="48"/>
      <c r="L30" s="24">
        <v>30</v>
      </c>
      <c r="M30" s="24">
        <v>50000</v>
      </c>
      <c r="O30" s="48" t="s">
        <v>97</v>
      </c>
      <c r="P30" s="48">
        <f>HEX2DEC(RIGHT(Table1323212714[[#This Row],[h1]],8))</f>
        <v>0</v>
      </c>
      <c r="Q30" s="48" t="s">
        <v>97</v>
      </c>
      <c r="R30" s="48">
        <f>HEX2DEC(RIGHT(Table1323212714[[#This Row],[h2]],8))</f>
        <v>0</v>
      </c>
    </row>
    <row r="31" spans="1:18" x14ac:dyDescent="0.3">
      <c r="A31" s="15" t="str">
        <f t="shared" si="5"/>
        <v>015</v>
      </c>
      <c r="B31" s="15">
        <v>21</v>
      </c>
      <c r="C31" s="42"/>
      <c r="D31" s="15" t="s">
        <v>533</v>
      </c>
      <c r="G31" s="33">
        <v>0</v>
      </c>
      <c r="H31" s="48"/>
      <c r="J31" s="24">
        <v>50000</v>
      </c>
      <c r="K31" s="48"/>
      <c r="L31" s="20"/>
      <c r="M31" s="24">
        <v>50000</v>
      </c>
      <c r="O31" s="48" t="s">
        <v>97</v>
      </c>
      <c r="P31" s="48">
        <f>HEX2DEC(RIGHT(Table1323212714[[#This Row],[h1]],8))</f>
        <v>0</v>
      </c>
      <c r="Q31" s="48" t="s">
        <v>97</v>
      </c>
      <c r="R31" s="48">
        <f>HEX2DEC(RIGHT(Table1323212714[[#This Row],[h2]],8))</f>
        <v>0</v>
      </c>
    </row>
    <row r="32" spans="1:18" x14ac:dyDescent="0.3">
      <c r="A32" s="15" t="str">
        <f t="shared" si="5"/>
        <v>016</v>
      </c>
      <c r="B32" s="15">
        <v>22</v>
      </c>
      <c r="C32" s="42"/>
      <c r="D32" s="15" t="s">
        <v>534</v>
      </c>
      <c r="G32" s="33">
        <v>0</v>
      </c>
      <c r="H32" s="48"/>
      <c r="J32" s="24">
        <v>50000</v>
      </c>
      <c r="K32" s="48"/>
      <c r="M32" s="24">
        <v>50000</v>
      </c>
      <c r="O32" s="48" t="s">
        <v>97</v>
      </c>
      <c r="P32" s="48">
        <f>HEX2DEC(RIGHT(Table1323212714[[#This Row],[h1]],8))</f>
        <v>0</v>
      </c>
      <c r="Q32" s="48" t="s">
        <v>97</v>
      </c>
      <c r="R32" s="48">
        <f>HEX2DEC(RIGHT(Table1323212714[[#This Row],[h2]],8))</f>
        <v>0</v>
      </c>
    </row>
    <row r="33" spans="1:18" x14ac:dyDescent="0.3">
      <c r="A33" s="15" t="str">
        <f t="shared" si="5"/>
        <v>017</v>
      </c>
      <c r="B33" s="15">
        <v>23</v>
      </c>
      <c r="C33" s="42"/>
      <c r="D33" s="15" t="s">
        <v>535</v>
      </c>
      <c r="G33" s="33">
        <v>0</v>
      </c>
      <c r="H33" s="48"/>
      <c r="J33" s="24">
        <v>50000</v>
      </c>
      <c r="K33" s="48"/>
      <c r="M33" s="24">
        <v>50000</v>
      </c>
      <c r="O33" s="48" t="s">
        <v>97</v>
      </c>
      <c r="P33" s="48">
        <f>HEX2DEC(RIGHT(Table1323212714[[#This Row],[h1]],8))</f>
        <v>0</v>
      </c>
      <c r="Q33" s="48" t="s">
        <v>97</v>
      </c>
      <c r="R33" s="48">
        <f>HEX2DEC(RIGHT(Table1323212714[[#This Row],[h2]],8))</f>
        <v>0</v>
      </c>
    </row>
    <row r="34" spans="1:18" x14ac:dyDescent="0.3">
      <c r="A34" s="15" t="str">
        <f t="shared" si="5"/>
        <v>018</v>
      </c>
      <c r="B34" s="15">
        <v>24</v>
      </c>
      <c r="C34" s="42"/>
      <c r="D34" s="15" t="s">
        <v>536</v>
      </c>
      <c r="G34" s="33">
        <v>0</v>
      </c>
      <c r="H34" s="48"/>
      <c r="J34" s="24">
        <v>50000</v>
      </c>
      <c r="K34" s="48"/>
      <c r="M34" s="24">
        <v>50000</v>
      </c>
      <c r="O34" s="48" t="s">
        <v>97</v>
      </c>
      <c r="P34" s="48">
        <f>HEX2DEC(RIGHT(Table1323212714[[#This Row],[h1]],8))</f>
        <v>0</v>
      </c>
      <c r="Q34" s="48" t="s">
        <v>97</v>
      </c>
      <c r="R34" s="48">
        <f>HEX2DEC(RIGHT(Table1323212714[[#This Row],[h2]],8))</f>
        <v>0</v>
      </c>
    </row>
    <row r="35" spans="1:18" x14ac:dyDescent="0.3">
      <c r="A35" s="15" t="str">
        <f t="shared" si="5"/>
        <v>019</v>
      </c>
      <c r="B35" s="15">
        <v>25</v>
      </c>
      <c r="C35" s="42"/>
      <c r="D35" s="15" t="s">
        <v>537</v>
      </c>
      <c r="G35" s="33">
        <v>0</v>
      </c>
      <c r="H35" s="48"/>
      <c r="J35" s="24">
        <v>50000</v>
      </c>
      <c r="K35" s="48"/>
      <c r="M35" s="24">
        <v>50000</v>
      </c>
      <c r="O35" s="48" t="s">
        <v>97</v>
      </c>
      <c r="P35" s="48">
        <f>HEX2DEC(RIGHT(Table1323212714[[#This Row],[h1]],8))</f>
        <v>0</v>
      </c>
      <c r="Q35" s="48" t="s">
        <v>97</v>
      </c>
      <c r="R35" s="48">
        <f>HEX2DEC(RIGHT(Table1323212714[[#This Row],[h2]],8))</f>
        <v>0</v>
      </c>
    </row>
    <row r="36" spans="1:18" x14ac:dyDescent="0.3">
      <c r="A36" s="15" t="str">
        <f t="shared" si="5"/>
        <v>01A</v>
      </c>
      <c r="B36" s="15">
        <v>26</v>
      </c>
      <c r="C36" s="42"/>
      <c r="D36" s="15" t="s">
        <v>538</v>
      </c>
      <c r="G36" s="33">
        <v>0</v>
      </c>
      <c r="H36" s="48"/>
      <c r="J36" s="24">
        <v>50000</v>
      </c>
      <c r="K36" s="48"/>
      <c r="M36" s="24">
        <v>50000</v>
      </c>
      <c r="O36" s="48" t="s">
        <v>97</v>
      </c>
      <c r="P36" s="48">
        <f>HEX2DEC(RIGHT(Table1323212714[[#This Row],[h1]],8))</f>
        <v>0</v>
      </c>
      <c r="Q36" s="48" t="s">
        <v>97</v>
      </c>
      <c r="R36" s="48">
        <f>HEX2DEC(RIGHT(Table1323212714[[#This Row],[h2]],8))</f>
        <v>0</v>
      </c>
    </row>
    <row r="37" spans="1:18" x14ac:dyDescent="0.3">
      <c r="A37" s="15" t="str">
        <f t="shared" si="5"/>
        <v>01B</v>
      </c>
      <c r="B37" s="15">
        <v>27</v>
      </c>
      <c r="C37" s="42"/>
      <c r="D37" s="15" t="s">
        <v>539</v>
      </c>
      <c r="G37" s="33">
        <v>0</v>
      </c>
      <c r="H37" s="48"/>
      <c r="J37" s="24">
        <v>50000</v>
      </c>
      <c r="K37" s="48"/>
      <c r="M37" s="24">
        <v>50000</v>
      </c>
      <c r="O37" s="48" t="s">
        <v>97</v>
      </c>
      <c r="P37" s="48">
        <f>HEX2DEC(RIGHT(Table1323212714[[#This Row],[h1]],8))</f>
        <v>0</v>
      </c>
      <c r="Q37" s="48" t="s">
        <v>97</v>
      </c>
      <c r="R37" s="48">
        <f>HEX2DEC(RIGHT(Table1323212714[[#This Row],[h2]],8))</f>
        <v>0</v>
      </c>
    </row>
    <row r="38" spans="1:18" x14ac:dyDescent="0.3">
      <c r="A38" s="15" t="str">
        <f t="shared" si="5"/>
        <v>01C</v>
      </c>
      <c r="B38" s="15">
        <v>28</v>
      </c>
      <c r="C38" s="42"/>
      <c r="D38" s="15" t="s">
        <v>540</v>
      </c>
      <c r="G38" s="33">
        <v>0</v>
      </c>
      <c r="H38" s="48"/>
      <c r="J38" s="24">
        <v>50000</v>
      </c>
      <c r="K38" s="48"/>
      <c r="L38" s="20" t="s">
        <v>27</v>
      </c>
      <c r="M38" s="24">
        <v>50000</v>
      </c>
      <c r="O38" s="48" t="s">
        <v>97</v>
      </c>
      <c r="P38" s="48">
        <f>HEX2DEC(RIGHT(Table1323212714[[#This Row],[h1]],8))</f>
        <v>0</v>
      </c>
      <c r="Q38" s="48" t="s">
        <v>97</v>
      </c>
      <c r="R38" s="48">
        <f>HEX2DEC(RIGHT(Table1323212714[[#This Row],[h2]],8))</f>
        <v>0</v>
      </c>
    </row>
    <row r="39" spans="1:18" x14ac:dyDescent="0.3">
      <c r="A39" s="15" t="str">
        <f t="shared" si="5"/>
        <v>01D</v>
      </c>
      <c r="B39" s="15">
        <v>29</v>
      </c>
      <c r="C39" s="42"/>
      <c r="D39" s="15" t="s">
        <v>541</v>
      </c>
      <c r="G39" s="33">
        <v>0</v>
      </c>
      <c r="H39" s="48"/>
      <c r="J39" s="24">
        <v>50000</v>
      </c>
      <c r="K39" s="48"/>
      <c r="M39" s="24">
        <v>50000</v>
      </c>
      <c r="O39" s="48" t="s">
        <v>97</v>
      </c>
      <c r="P39" s="48">
        <f>HEX2DEC(RIGHT(Table1323212714[[#This Row],[h1]],8))</f>
        <v>0</v>
      </c>
      <c r="Q39" s="48" t="s">
        <v>97</v>
      </c>
      <c r="R39" s="48">
        <f>HEX2DEC(RIGHT(Table1323212714[[#This Row],[h2]],8))</f>
        <v>0</v>
      </c>
    </row>
    <row r="40" spans="1:18" x14ac:dyDescent="0.3">
      <c r="A40" s="15" t="str">
        <f t="shared" si="5"/>
        <v>01E</v>
      </c>
      <c r="B40" s="15">
        <v>30</v>
      </c>
      <c r="C40" s="42"/>
      <c r="G40" s="33"/>
      <c r="H40" s="48"/>
      <c r="J40" s="24">
        <v>50000</v>
      </c>
      <c r="K40" s="48"/>
      <c r="M40" s="24">
        <v>50000</v>
      </c>
      <c r="O40" s="48" t="s">
        <v>97</v>
      </c>
      <c r="P40" s="48">
        <f>HEX2DEC(RIGHT(Table1323212714[[#This Row],[h1]],8))</f>
        <v>0</v>
      </c>
      <c r="Q40" s="48" t="s">
        <v>97</v>
      </c>
      <c r="R40" s="48">
        <f>HEX2DEC(RIGHT(Table1323212714[[#This Row],[h2]],8))</f>
        <v>0</v>
      </c>
    </row>
    <row r="41" spans="1:18" x14ac:dyDescent="0.3">
      <c r="A41" s="15" t="str">
        <f t="shared" si="5"/>
        <v>01F</v>
      </c>
      <c r="B41" s="15">
        <v>31</v>
      </c>
      <c r="C41" s="42"/>
      <c r="D41" s="15" t="s">
        <v>542</v>
      </c>
      <c r="G41" s="33">
        <v>0</v>
      </c>
      <c r="H41" s="48"/>
      <c r="J41" s="24">
        <v>50000</v>
      </c>
      <c r="K41" s="48"/>
      <c r="M41" s="24">
        <v>50000</v>
      </c>
      <c r="O41" s="48" t="s">
        <v>97</v>
      </c>
      <c r="P41" s="48">
        <f>HEX2DEC(RIGHT(Table1323212714[[#This Row],[h1]],8))</f>
        <v>0</v>
      </c>
      <c r="Q41" s="48" t="s">
        <v>97</v>
      </c>
      <c r="R41" s="48">
        <f>HEX2DEC(RIGHT(Table1323212714[[#This Row],[h2]],8))</f>
        <v>0</v>
      </c>
    </row>
    <row r="42" spans="1:18" x14ac:dyDescent="0.3">
      <c r="A42" s="15" t="str">
        <f t="shared" si="5"/>
        <v>020</v>
      </c>
      <c r="B42" s="15">
        <v>32</v>
      </c>
      <c r="C42" s="42"/>
      <c r="D42" s="15" t="s">
        <v>543</v>
      </c>
      <c r="G42" s="33">
        <v>0</v>
      </c>
      <c r="H42" s="48"/>
      <c r="J42" s="24">
        <v>50000</v>
      </c>
      <c r="K42" s="48"/>
      <c r="M42" s="24">
        <v>50000</v>
      </c>
      <c r="O42" s="48" t="s">
        <v>97</v>
      </c>
      <c r="P42" s="48">
        <f>HEX2DEC(RIGHT(Table1323212714[[#This Row],[h1]],8))</f>
        <v>0</v>
      </c>
      <c r="Q42" s="48" t="s">
        <v>97</v>
      </c>
      <c r="R42" s="48">
        <f>HEX2DEC(RIGHT(Table1323212714[[#This Row],[h2]],8))</f>
        <v>0</v>
      </c>
    </row>
    <row r="43" spans="1:18" x14ac:dyDescent="0.3">
      <c r="A43" s="15" t="str">
        <f t="shared" si="5"/>
        <v>021</v>
      </c>
      <c r="B43" s="15">
        <v>33</v>
      </c>
      <c r="C43" s="42"/>
      <c r="D43" s="15" t="s">
        <v>544</v>
      </c>
      <c r="G43" s="33">
        <v>0</v>
      </c>
      <c r="H43" s="48"/>
      <c r="J43" s="24">
        <v>50000</v>
      </c>
      <c r="K43" s="48"/>
      <c r="M43" s="24">
        <v>50000</v>
      </c>
      <c r="O43" s="48" t="s">
        <v>97</v>
      </c>
      <c r="P43" s="48">
        <f>HEX2DEC(RIGHT(Table1323212714[[#This Row],[h1]],8))</f>
        <v>0</v>
      </c>
      <c r="Q43" s="48" t="s">
        <v>97</v>
      </c>
      <c r="R43" s="48">
        <f>HEX2DEC(RIGHT(Table1323212714[[#This Row],[h2]],8))</f>
        <v>0</v>
      </c>
    </row>
    <row r="44" spans="1:18" x14ac:dyDescent="0.3">
      <c r="A44" s="15" t="str">
        <f t="shared" si="5"/>
        <v>022</v>
      </c>
      <c r="B44" s="15">
        <v>34</v>
      </c>
      <c r="C44" s="42"/>
      <c r="D44" s="15" t="s">
        <v>545</v>
      </c>
      <c r="G44" s="33">
        <v>0</v>
      </c>
      <c r="H44" s="48"/>
      <c r="J44" s="24">
        <v>50000</v>
      </c>
      <c r="K44" s="48"/>
      <c r="M44" s="24">
        <v>50000</v>
      </c>
      <c r="O44" s="48" t="s">
        <v>97</v>
      </c>
      <c r="P44" s="48">
        <f>HEX2DEC(RIGHT(Table1323212714[[#This Row],[h1]],8))</f>
        <v>0</v>
      </c>
      <c r="Q44" s="48" t="s">
        <v>97</v>
      </c>
      <c r="R44" s="48">
        <f>HEX2DEC(RIGHT(Table1323212714[[#This Row],[h2]],8))</f>
        <v>0</v>
      </c>
    </row>
    <row r="45" spans="1:18" x14ac:dyDescent="0.3">
      <c r="A45" s="15" t="str">
        <f t="shared" si="5"/>
        <v>023</v>
      </c>
      <c r="B45" s="15">
        <v>35</v>
      </c>
      <c r="C45" s="42"/>
      <c r="D45" s="15" t="s">
        <v>546</v>
      </c>
      <c r="G45" s="33">
        <v>0</v>
      </c>
      <c r="H45" s="48"/>
      <c r="J45" s="24">
        <v>50000</v>
      </c>
      <c r="K45" s="48"/>
      <c r="M45" s="24">
        <v>50000</v>
      </c>
      <c r="O45" s="48" t="s">
        <v>97</v>
      </c>
      <c r="P45" s="48">
        <f>HEX2DEC(RIGHT(Table1323212714[[#This Row],[h1]],8))</f>
        <v>0</v>
      </c>
      <c r="Q45" s="48" t="s">
        <v>97</v>
      </c>
      <c r="R45" s="48">
        <f>HEX2DEC(RIGHT(Table1323212714[[#This Row],[h2]],8))</f>
        <v>0</v>
      </c>
    </row>
    <row r="46" spans="1:18" x14ac:dyDescent="0.3">
      <c r="A46" s="15" t="str">
        <f t="shared" si="5"/>
        <v>024</v>
      </c>
      <c r="B46" s="15">
        <v>36</v>
      </c>
      <c r="C46" s="42"/>
      <c r="D46" s="15" t="s">
        <v>547</v>
      </c>
      <c r="G46" s="33">
        <v>0</v>
      </c>
      <c r="H46" s="48"/>
      <c r="I46" s="20" t="s">
        <v>27</v>
      </c>
      <c r="J46" s="24">
        <v>50000</v>
      </c>
      <c r="K46" s="48"/>
      <c r="M46" s="24">
        <v>50000</v>
      </c>
      <c r="O46" s="48" t="s">
        <v>97</v>
      </c>
      <c r="P46" s="48">
        <f>HEX2DEC(RIGHT(Table1323212714[[#This Row],[h1]],8))</f>
        <v>0</v>
      </c>
      <c r="Q46" s="48" t="s">
        <v>97</v>
      </c>
      <c r="R46" s="48">
        <f>HEX2DEC(RIGHT(Table1323212714[[#This Row],[h2]],8))</f>
        <v>0</v>
      </c>
    </row>
    <row r="47" spans="1:18" x14ac:dyDescent="0.3">
      <c r="A47" s="15" t="str">
        <f t="shared" si="5"/>
        <v>025</v>
      </c>
      <c r="B47" s="15">
        <v>37</v>
      </c>
      <c r="C47" s="42"/>
      <c r="D47" s="15" t="s">
        <v>548</v>
      </c>
      <c r="G47" s="33">
        <v>0</v>
      </c>
      <c r="H47" s="48"/>
      <c r="J47" s="24">
        <v>50000</v>
      </c>
      <c r="K47" s="48"/>
      <c r="M47" s="24">
        <v>50000</v>
      </c>
      <c r="O47" s="48" t="s">
        <v>97</v>
      </c>
      <c r="P47" s="48">
        <f>HEX2DEC(RIGHT(Table1323212714[[#This Row],[h1]],8))</f>
        <v>0</v>
      </c>
      <c r="Q47" s="48" t="s">
        <v>97</v>
      </c>
      <c r="R47" s="48">
        <f>HEX2DEC(RIGHT(Table1323212714[[#This Row],[h2]],8))</f>
        <v>0</v>
      </c>
    </row>
    <row r="48" spans="1:18" x14ac:dyDescent="0.3">
      <c r="A48" s="15" t="str">
        <f t="shared" si="5"/>
        <v>026</v>
      </c>
      <c r="B48" s="15">
        <v>38</v>
      </c>
      <c r="C48" s="42"/>
      <c r="D48" s="15" t="s">
        <v>549</v>
      </c>
      <c r="G48" s="33">
        <v>0</v>
      </c>
      <c r="H48" s="48"/>
      <c r="J48" s="24">
        <v>50000</v>
      </c>
      <c r="K48" s="48"/>
      <c r="M48" s="24">
        <v>50000</v>
      </c>
      <c r="O48" s="48" t="s">
        <v>97</v>
      </c>
      <c r="P48" s="48">
        <f>HEX2DEC(RIGHT(Table1323212714[[#This Row],[h1]],8))</f>
        <v>0</v>
      </c>
      <c r="Q48" s="48" t="s">
        <v>97</v>
      </c>
      <c r="R48" s="48">
        <f>HEX2DEC(RIGHT(Table1323212714[[#This Row],[h2]],8))</f>
        <v>0</v>
      </c>
    </row>
    <row r="49" spans="1:18" x14ac:dyDescent="0.3">
      <c r="A49" s="15" t="str">
        <f t="shared" si="5"/>
        <v>027</v>
      </c>
      <c r="B49" s="15">
        <v>39</v>
      </c>
      <c r="C49" s="42"/>
      <c r="D49" s="15" t="s">
        <v>550</v>
      </c>
      <c r="G49" s="33">
        <v>0</v>
      </c>
      <c r="H49" s="48"/>
      <c r="J49" s="24">
        <v>50000</v>
      </c>
      <c r="K49" s="48"/>
      <c r="M49" s="24">
        <v>50000</v>
      </c>
      <c r="O49" s="48" t="s">
        <v>97</v>
      </c>
      <c r="P49" s="48">
        <f>HEX2DEC(RIGHT(Table1323212714[[#This Row],[h1]],8))</f>
        <v>0</v>
      </c>
      <c r="Q49" s="48" t="s">
        <v>97</v>
      </c>
      <c r="R49" s="48">
        <f>HEX2DEC(RIGHT(Table1323212714[[#This Row],[h2]],8))</f>
        <v>0</v>
      </c>
    </row>
    <row r="50" spans="1:18" x14ac:dyDescent="0.3">
      <c r="A50" s="15" t="str">
        <f t="shared" si="5"/>
        <v>028</v>
      </c>
      <c r="B50" s="15">
        <v>40</v>
      </c>
      <c r="C50" s="42"/>
      <c r="D50" s="15" t="s">
        <v>551</v>
      </c>
      <c r="G50" s="33">
        <v>0</v>
      </c>
      <c r="H50" s="48"/>
      <c r="J50" s="24">
        <v>50000</v>
      </c>
      <c r="K50" s="48"/>
      <c r="M50" s="24">
        <v>50000</v>
      </c>
      <c r="O50" s="48" t="s">
        <v>97</v>
      </c>
      <c r="P50" s="48">
        <f>HEX2DEC(RIGHT(Table1323212714[[#This Row],[h1]],8))</f>
        <v>0</v>
      </c>
      <c r="Q50" s="48" t="s">
        <v>97</v>
      </c>
      <c r="R50" s="48">
        <f>HEX2DEC(RIGHT(Table1323212714[[#This Row],[h2]],8))</f>
        <v>0</v>
      </c>
    </row>
    <row r="51" spans="1:18" x14ac:dyDescent="0.3">
      <c r="A51" s="15" t="str">
        <f t="shared" si="5"/>
        <v>029</v>
      </c>
      <c r="B51" s="15">
        <v>41</v>
      </c>
      <c r="C51" s="42"/>
      <c r="D51" s="15" t="s">
        <v>552</v>
      </c>
      <c r="G51" s="33">
        <v>0</v>
      </c>
      <c r="H51" s="48"/>
      <c r="J51" s="24">
        <v>50000</v>
      </c>
      <c r="K51" s="48"/>
      <c r="M51" s="24">
        <v>50000</v>
      </c>
      <c r="O51" s="48" t="s">
        <v>97</v>
      </c>
      <c r="P51" s="48">
        <f>HEX2DEC(RIGHT(Table1323212714[[#This Row],[h1]],8))</f>
        <v>0</v>
      </c>
      <c r="Q51" s="48" t="s">
        <v>97</v>
      </c>
      <c r="R51" s="48">
        <f>HEX2DEC(RIGHT(Table1323212714[[#This Row],[h2]],8))</f>
        <v>0</v>
      </c>
    </row>
    <row r="52" spans="1:18" x14ac:dyDescent="0.3">
      <c r="A52" s="15" t="str">
        <f t="shared" si="5"/>
        <v>02A</v>
      </c>
      <c r="B52" s="15">
        <v>42</v>
      </c>
      <c r="C52" s="42"/>
      <c r="D52" s="15" t="s">
        <v>553</v>
      </c>
      <c r="G52" s="33">
        <v>0</v>
      </c>
      <c r="H52" s="48"/>
      <c r="J52" s="24">
        <v>50000</v>
      </c>
      <c r="K52" s="48"/>
      <c r="M52" s="24">
        <v>50000</v>
      </c>
      <c r="O52" s="48" t="s">
        <v>97</v>
      </c>
      <c r="P52" s="48">
        <f>HEX2DEC(RIGHT(Table1323212714[[#This Row],[h1]],8))</f>
        <v>0</v>
      </c>
      <c r="Q52" s="48" t="s">
        <v>97</v>
      </c>
      <c r="R52" s="48">
        <f>HEX2DEC(RIGHT(Table1323212714[[#This Row],[h2]],8))</f>
        <v>0</v>
      </c>
    </row>
    <row r="53" spans="1:18" x14ac:dyDescent="0.3">
      <c r="A53" s="15" t="str">
        <f t="shared" si="5"/>
        <v>02B</v>
      </c>
      <c r="B53" s="15">
        <v>43</v>
      </c>
      <c r="C53" s="42"/>
      <c r="D53" s="15" t="s">
        <v>554</v>
      </c>
      <c r="G53" s="33">
        <v>0</v>
      </c>
      <c r="H53" s="48"/>
      <c r="J53" s="24">
        <v>50000</v>
      </c>
      <c r="K53" s="48"/>
      <c r="M53" s="24">
        <v>50000</v>
      </c>
      <c r="O53" s="48" t="s">
        <v>97</v>
      </c>
      <c r="P53" s="48">
        <f>HEX2DEC(RIGHT(Table1323212714[[#This Row],[h1]],8))</f>
        <v>0</v>
      </c>
      <c r="Q53" s="48" t="s">
        <v>97</v>
      </c>
      <c r="R53" s="48">
        <f>HEX2DEC(RIGHT(Table1323212714[[#This Row],[h2]],8))</f>
        <v>0</v>
      </c>
    </row>
    <row r="54" spans="1:18" x14ac:dyDescent="0.3">
      <c r="A54" s="15" t="str">
        <f t="shared" si="5"/>
        <v>02C</v>
      </c>
      <c r="B54" s="15">
        <v>44</v>
      </c>
      <c r="C54" s="42"/>
      <c r="D54" s="15" t="s">
        <v>555</v>
      </c>
      <c r="G54" s="33">
        <v>0</v>
      </c>
      <c r="H54" s="48"/>
      <c r="J54" s="24">
        <v>50000</v>
      </c>
      <c r="K54" s="48"/>
      <c r="M54" s="24">
        <v>50000</v>
      </c>
      <c r="O54" s="48" t="s">
        <v>97</v>
      </c>
      <c r="P54" s="48">
        <f>HEX2DEC(RIGHT(Table1323212714[[#This Row],[h1]],8))</f>
        <v>0</v>
      </c>
      <c r="Q54" s="48" t="s">
        <v>97</v>
      </c>
      <c r="R54" s="48">
        <f>HEX2DEC(RIGHT(Table1323212714[[#This Row],[h2]],8))</f>
        <v>0</v>
      </c>
    </row>
    <row r="55" spans="1:18" x14ac:dyDescent="0.3">
      <c r="A55" s="15" t="str">
        <f t="shared" si="5"/>
        <v>02D</v>
      </c>
      <c r="B55" s="15">
        <v>45</v>
      </c>
      <c r="C55" s="42"/>
      <c r="D55" s="15" t="s">
        <v>556</v>
      </c>
      <c r="G55" s="33">
        <v>0</v>
      </c>
      <c r="H55" s="48"/>
      <c r="J55" s="24">
        <v>50000</v>
      </c>
      <c r="K55" s="48"/>
      <c r="M55" s="24">
        <v>50000</v>
      </c>
      <c r="O55" s="48" t="s">
        <v>97</v>
      </c>
      <c r="P55" s="48">
        <f>HEX2DEC(RIGHT(Table1323212714[[#This Row],[h1]],8))</f>
        <v>0</v>
      </c>
      <c r="Q55" s="48" t="s">
        <v>97</v>
      </c>
      <c r="R55" s="48">
        <f>HEX2DEC(RIGHT(Table1323212714[[#This Row],[h2]],8))</f>
        <v>0</v>
      </c>
    </row>
    <row r="56" spans="1:18" x14ac:dyDescent="0.3">
      <c r="A56" s="15" t="str">
        <f t="shared" si="5"/>
        <v>02E</v>
      </c>
      <c r="B56" s="15">
        <v>46</v>
      </c>
      <c r="C56" s="42"/>
      <c r="D56" s="15" t="s">
        <v>557</v>
      </c>
      <c r="G56" s="33">
        <v>0</v>
      </c>
      <c r="H56" s="48"/>
      <c r="J56" s="24">
        <v>50000</v>
      </c>
      <c r="K56" s="48"/>
      <c r="M56" s="24">
        <v>50000</v>
      </c>
      <c r="O56" s="48" t="s">
        <v>97</v>
      </c>
      <c r="P56" s="48">
        <f>HEX2DEC(RIGHT(Table1323212714[[#This Row],[h1]],8))</f>
        <v>0</v>
      </c>
      <c r="Q56" s="48" t="s">
        <v>97</v>
      </c>
      <c r="R56" s="48">
        <f>HEX2DEC(RIGHT(Table1323212714[[#This Row],[h2]],8))</f>
        <v>0</v>
      </c>
    </row>
    <row r="57" spans="1:18" x14ac:dyDescent="0.3">
      <c r="A57" s="15" t="str">
        <f t="shared" si="5"/>
        <v>02F</v>
      </c>
      <c r="B57" s="15">
        <v>47</v>
      </c>
      <c r="C57" s="42"/>
      <c r="D57" s="15" t="s">
        <v>558</v>
      </c>
      <c r="G57" s="33">
        <v>0</v>
      </c>
      <c r="H57" s="48"/>
      <c r="J57" s="24">
        <v>50000</v>
      </c>
      <c r="K57" s="48"/>
      <c r="M57" s="24">
        <v>50000</v>
      </c>
      <c r="O57" s="48" t="s">
        <v>97</v>
      </c>
      <c r="P57" s="48">
        <f>HEX2DEC(RIGHT(Table1323212714[[#This Row],[h1]],8))</f>
        <v>0</v>
      </c>
      <c r="Q57" s="48" t="s">
        <v>97</v>
      </c>
      <c r="R57" s="48">
        <f>HEX2DEC(RIGHT(Table1323212714[[#This Row],[h2]],8))</f>
        <v>0</v>
      </c>
    </row>
    <row r="58" spans="1:18" x14ac:dyDescent="0.3">
      <c r="A58" s="15" t="str">
        <f t="shared" si="5"/>
        <v>030</v>
      </c>
      <c r="B58" s="15">
        <v>48</v>
      </c>
      <c r="C58" s="42"/>
      <c r="D58" s="15" t="s">
        <v>559</v>
      </c>
      <c r="G58" s="33">
        <v>0</v>
      </c>
      <c r="H58" s="48"/>
      <c r="J58" s="24">
        <v>50000</v>
      </c>
      <c r="K58" s="48"/>
      <c r="M58" s="24">
        <v>50000</v>
      </c>
      <c r="O58" s="48" t="s">
        <v>97</v>
      </c>
      <c r="P58" s="48">
        <f>HEX2DEC(RIGHT(Table1323212714[[#This Row],[h1]],8))</f>
        <v>0</v>
      </c>
      <c r="Q58" s="48" t="s">
        <v>97</v>
      </c>
      <c r="R58" s="48">
        <f>HEX2DEC(RIGHT(Table1323212714[[#This Row],[h2]],8))</f>
        <v>0</v>
      </c>
    </row>
    <row r="59" spans="1:18" x14ac:dyDescent="0.3">
      <c r="A59" s="15" t="str">
        <f t="shared" si="5"/>
        <v>031</v>
      </c>
      <c r="B59" s="15">
        <v>49</v>
      </c>
      <c r="C59" s="42"/>
      <c r="D59" s="15" t="s">
        <v>560</v>
      </c>
      <c r="G59" s="33">
        <v>0</v>
      </c>
      <c r="H59" s="48"/>
      <c r="J59" s="24">
        <v>50000</v>
      </c>
      <c r="K59" s="48"/>
      <c r="M59" s="24">
        <v>50000</v>
      </c>
      <c r="O59" s="48" t="s">
        <v>97</v>
      </c>
      <c r="P59" s="48">
        <f>HEX2DEC(RIGHT(Table1323212714[[#This Row],[h1]],8))</f>
        <v>0</v>
      </c>
      <c r="Q59" s="48" t="s">
        <v>97</v>
      </c>
      <c r="R59" s="48">
        <f>HEX2DEC(RIGHT(Table1323212714[[#This Row],[h2]],8))</f>
        <v>0</v>
      </c>
    </row>
    <row r="60" spans="1:18" x14ac:dyDescent="0.3">
      <c r="A60" s="15" t="str">
        <f t="shared" si="5"/>
        <v>032</v>
      </c>
      <c r="B60" s="15">
        <v>50</v>
      </c>
      <c r="C60" s="42"/>
      <c r="D60" s="15" t="s">
        <v>561</v>
      </c>
      <c r="G60" s="33">
        <v>0</v>
      </c>
      <c r="H60" s="48"/>
      <c r="J60" s="24">
        <v>50000</v>
      </c>
      <c r="K60" s="48"/>
      <c r="M60" s="24">
        <v>50000</v>
      </c>
      <c r="O60" s="48" t="s">
        <v>97</v>
      </c>
      <c r="P60" s="48">
        <f>HEX2DEC(RIGHT(Table1323212714[[#This Row],[h1]],8))</f>
        <v>0</v>
      </c>
      <c r="Q60" s="48" t="s">
        <v>97</v>
      </c>
      <c r="R60" s="48">
        <f>HEX2DEC(RIGHT(Table1323212714[[#This Row],[h2]],8))</f>
        <v>0</v>
      </c>
    </row>
    <row r="61" spans="1:18" x14ac:dyDescent="0.3">
      <c r="A61" s="15" t="str">
        <f t="shared" si="5"/>
        <v>033</v>
      </c>
      <c r="B61" s="15">
        <v>51</v>
      </c>
      <c r="C61" s="42"/>
      <c r="D61" s="15" t="s">
        <v>562</v>
      </c>
      <c r="G61" s="33">
        <v>0</v>
      </c>
      <c r="H61" s="48"/>
      <c r="J61" s="24">
        <v>50000</v>
      </c>
      <c r="K61" s="48"/>
      <c r="M61" s="24">
        <v>50000</v>
      </c>
      <c r="O61" s="48" t="s">
        <v>97</v>
      </c>
      <c r="P61" s="48">
        <f>HEX2DEC(RIGHT(Table1323212714[[#This Row],[h1]],8))</f>
        <v>0</v>
      </c>
      <c r="Q61" s="48" t="s">
        <v>97</v>
      </c>
      <c r="R61" s="48">
        <f>HEX2DEC(RIGHT(Table1323212714[[#This Row],[h2]],8))</f>
        <v>0</v>
      </c>
    </row>
    <row r="62" spans="1:18" x14ac:dyDescent="0.3">
      <c r="A62" s="15" t="str">
        <f t="shared" si="5"/>
        <v>034</v>
      </c>
      <c r="B62" s="15">
        <v>52</v>
      </c>
      <c r="C62" s="42"/>
      <c r="D62" s="15" t="s">
        <v>563</v>
      </c>
      <c r="G62" s="33">
        <v>0</v>
      </c>
      <c r="J62" s="24">
        <v>50000</v>
      </c>
      <c r="M62" s="24">
        <v>50000</v>
      </c>
      <c r="O62" s="48" t="s">
        <v>97</v>
      </c>
      <c r="P62" s="48">
        <f>HEX2DEC(RIGHT(Table1323212714[[#This Row],[h1]],8))</f>
        <v>0</v>
      </c>
      <c r="Q62" s="48" t="s">
        <v>97</v>
      </c>
      <c r="R62" s="48">
        <f>HEX2DEC(RIGHT(Table1323212714[[#This Row],[h2]],8))</f>
        <v>0</v>
      </c>
    </row>
    <row r="63" spans="1:18" x14ac:dyDescent="0.3">
      <c r="A63" s="15" t="str">
        <f t="shared" si="5"/>
        <v>035</v>
      </c>
      <c r="B63" s="15">
        <v>53</v>
      </c>
      <c r="C63" s="42"/>
      <c r="D63" s="15" t="s">
        <v>564</v>
      </c>
      <c r="G63" s="33">
        <v>0</v>
      </c>
      <c r="J63" s="24">
        <v>50000</v>
      </c>
      <c r="M63" s="24">
        <v>50000</v>
      </c>
      <c r="O63" s="48" t="s">
        <v>97</v>
      </c>
      <c r="P63" s="48">
        <f>HEX2DEC(RIGHT(Table1323212714[[#This Row],[h1]],8))</f>
        <v>0</v>
      </c>
      <c r="Q63" s="48" t="s">
        <v>97</v>
      </c>
      <c r="R63" s="48">
        <f>HEX2DEC(RIGHT(Table1323212714[[#This Row],[h2]],8))</f>
        <v>0</v>
      </c>
    </row>
    <row r="64" spans="1:18" x14ac:dyDescent="0.3">
      <c r="A64" s="15" t="str">
        <f t="shared" si="5"/>
        <v>036</v>
      </c>
      <c r="B64" s="15">
        <v>54</v>
      </c>
      <c r="C64" s="42"/>
      <c r="D64" s="15" t="s">
        <v>565</v>
      </c>
      <c r="G64" s="33">
        <v>0</v>
      </c>
      <c r="J64" s="24">
        <v>50000</v>
      </c>
      <c r="M64" s="24">
        <v>50000</v>
      </c>
      <c r="O64" s="48" t="s">
        <v>97</v>
      </c>
      <c r="P64" s="48">
        <f>HEX2DEC(RIGHT(Table1323212714[[#This Row],[h1]],8))</f>
        <v>0</v>
      </c>
      <c r="Q64" s="48" t="s">
        <v>97</v>
      </c>
      <c r="R64" s="48">
        <f>HEX2DEC(RIGHT(Table1323212714[[#This Row],[h2]],8))</f>
        <v>0</v>
      </c>
    </row>
    <row r="65" spans="1:18" x14ac:dyDescent="0.3">
      <c r="A65" s="15" t="str">
        <f t="shared" si="5"/>
        <v>037</v>
      </c>
      <c r="B65" s="15">
        <v>55</v>
      </c>
      <c r="C65" s="42"/>
      <c r="D65" s="15" t="s">
        <v>566</v>
      </c>
      <c r="G65" s="33">
        <v>0</v>
      </c>
      <c r="J65" s="24">
        <v>50000</v>
      </c>
      <c r="M65" s="24">
        <v>50000</v>
      </c>
      <c r="O65" s="48" t="s">
        <v>97</v>
      </c>
      <c r="P65" s="48">
        <f>HEX2DEC(RIGHT(Table1323212714[[#This Row],[h1]],8))</f>
        <v>0</v>
      </c>
      <c r="Q65" s="48" t="s">
        <v>97</v>
      </c>
      <c r="R65" s="48">
        <f>HEX2DEC(RIGHT(Table1323212714[[#This Row],[h2]],8))</f>
        <v>0</v>
      </c>
    </row>
    <row r="66" spans="1:18" x14ac:dyDescent="0.3">
      <c r="A66" s="15" t="str">
        <f t="shared" si="5"/>
        <v>038</v>
      </c>
      <c r="B66" s="15">
        <v>56</v>
      </c>
      <c r="C66" s="42"/>
      <c r="D66" s="15" t="s">
        <v>567</v>
      </c>
      <c r="G66" s="33">
        <v>0</v>
      </c>
      <c r="J66" s="24">
        <v>50000</v>
      </c>
      <c r="M66" s="24">
        <v>50000</v>
      </c>
      <c r="O66" s="48" t="s">
        <v>97</v>
      </c>
      <c r="P66" s="48">
        <f>HEX2DEC(RIGHT(Table1323212714[[#This Row],[h1]],8))</f>
        <v>0</v>
      </c>
      <c r="Q66" s="48" t="s">
        <v>97</v>
      </c>
      <c r="R66" s="48">
        <f>HEX2DEC(RIGHT(Table1323212714[[#This Row],[h2]],8))</f>
        <v>0</v>
      </c>
    </row>
    <row r="67" spans="1:18" x14ac:dyDescent="0.3">
      <c r="A67" s="15" t="str">
        <f t="shared" si="5"/>
        <v>039</v>
      </c>
      <c r="B67" s="15">
        <v>57</v>
      </c>
      <c r="C67" s="42"/>
      <c r="D67" s="15" t="s">
        <v>568</v>
      </c>
      <c r="G67" s="33">
        <v>0</v>
      </c>
      <c r="J67" s="24">
        <v>50000</v>
      </c>
      <c r="M67" s="24">
        <v>50000</v>
      </c>
      <c r="O67" s="48" t="s">
        <v>97</v>
      </c>
      <c r="P67" s="48">
        <f>HEX2DEC(RIGHT(Table1323212714[[#This Row],[h1]],8))</f>
        <v>0</v>
      </c>
      <c r="Q67" s="48" t="s">
        <v>97</v>
      </c>
      <c r="R67" s="48">
        <f>HEX2DEC(RIGHT(Table1323212714[[#This Row],[h2]],8))</f>
        <v>0</v>
      </c>
    </row>
    <row r="68" spans="1:18" x14ac:dyDescent="0.3">
      <c r="A68" s="15" t="str">
        <f t="shared" si="5"/>
        <v>03A</v>
      </c>
      <c r="B68" s="15">
        <v>58</v>
      </c>
      <c r="C68" s="42"/>
      <c r="D68" s="15" t="s">
        <v>569</v>
      </c>
      <c r="G68" s="33">
        <v>0</v>
      </c>
      <c r="J68" s="24">
        <v>50000</v>
      </c>
      <c r="M68" s="24">
        <v>50000</v>
      </c>
      <c r="O68" s="48" t="s">
        <v>97</v>
      </c>
      <c r="P68" s="48">
        <f>HEX2DEC(RIGHT(Table1323212714[[#This Row],[h1]],8))</f>
        <v>0</v>
      </c>
      <c r="Q68" s="48" t="s">
        <v>97</v>
      </c>
      <c r="R68" s="48">
        <f>HEX2DEC(RIGHT(Table1323212714[[#This Row],[h2]],8))</f>
        <v>0</v>
      </c>
    </row>
    <row r="69" spans="1:18" x14ac:dyDescent="0.3">
      <c r="A69" s="15" t="str">
        <f t="shared" si="5"/>
        <v>03B</v>
      </c>
      <c r="B69" s="15">
        <v>59</v>
      </c>
      <c r="C69" s="42"/>
      <c r="D69" s="15" t="s">
        <v>570</v>
      </c>
      <c r="G69" s="33">
        <v>0</v>
      </c>
      <c r="J69" s="24">
        <v>50000</v>
      </c>
      <c r="M69" s="24">
        <v>50000</v>
      </c>
      <c r="O69" s="48" t="s">
        <v>97</v>
      </c>
      <c r="P69" s="48">
        <f>HEX2DEC(RIGHT(Table1323212714[[#This Row],[h1]],8))</f>
        <v>0</v>
      </c>
      <c r="Q69" s="48" t="s">
        <v>97</v>
      </c>
      <c r="R69" s="48">
        <f>HEX2DEC(RIGHT(Table1323212714[[#This Row],[h2]],8))</f>
        <v>0</v>
      </c>
    </row>
    <row r="70" spans="1:18" x14ac:dyDescent="0.3">
      <c r="A70" s="15" t="str">
        <f t="shared" si="5"/>
        <v>03C</v>
      </c>
      <c r="B70" s="15">
        <v>60</v>
      </c>
      <c r="C70" s="42"/>
      <c r="D70" s="15" t="s">
        <v>571</v>
      </c>
      <c r="G70" s="33">
        <v>0</v>
      </c>
      <c r="J70" s="24">
        <v>50000</v>
      </c>
      <c r="M70" s="24">
        <v>50000</v>
      </c>
      <c r="O70" s="48" t="s">
        <v>97</v>
      </c>
      <c r="P70" s="48">
        <f>HEX2DEC(RIGHT(Table1323212714[[#This Row],[h1]],8))</f>
        <v>0</v>
      </c>
      <c r="Q70" s="48" t="s">
        <v>97</v>
      </c>
      <c r="R70" s="48">
        <f>HEX2DEC(RIGHT(Table1323212714[[#This Row],[h2]],8))</f>
        <v>0</v>
      </c>
    </row>
    <row r="71" spans="1:18" x14ac:dyDescent="0.3">
      <c r="A71" s="15" t="str">
        <f t="shared" si="5"/>
        <v>03D</v>
      </c>
      <c r="B71" s="15">
        <v>61</v>
      </c>
      <c r="C71" s="42"/>
      <c r="D71" s="15" t="s">
        <v>572</v>
      </c>
      <c r="G71" s="33">
        <v>0</v>
      </c>
      <c r="J71" s="24">
        <v>50000</v>
      </c>
      <c r="M71" s="24">
        <v>50000</v>
      </c>
      <c r="O71" s="48" t="s">
        <v>97</v>
      </c>
      <c r="P71" s="48">
        <f>HEX2DEC(RIGHT(Table1323212714[[#This Row],[h1]],8))</f>
        <v>0</v>
      </c>
      <c r="Q71" s="48" t="s">
        <v>97</v>
      </c>
      <c r="R71" s="48">
        <f>HEX2DEC(RIGHT(Table1323212714[[#This Row],[h2]],8))</f>
        <v>0</v>
      </c>
    </row>
    <row r="72" spans="1:18" x14ac:dyDescent="0.3">
      <c r="A72" s="15" t="str">
        <f t="shared" si="5"/>
        <v>03E</v>
      </c>
      <c r="B72" s="15">
        <v>62</v>
      </c>
      <c r="C72" s="42"/>
      <c r="D72" s="15" t="s">
        <v>573</v>
      </c>
      <c r="G72" s="33">
        <v>0</v>
      </c>
      <c r="J72" s="24">
        <v>50000</v>
      </c>
      <c r="M72" s="24">
        <v>50000</v>
      </c>
      <c r="O72" s="48" t="s">
        <v>97</v>
      </c>
      <c r="P72" s="48">
        <f>HEX2DEC(RIGHT(Table1323212714[[#This Row],[h1]],8))</f>
        <v>0</v>
      </c>
      <c r="Q72" s="48" t="s">
        <v>97</v>
      </c>
      <c r="R72" s="48">
        <f>HEX2DEC(RIGHT(Table1323212714[[#This Row],[h2]],8))</f>
        <v>0</v>
      </c>
    </row>
    <row r="73" spans="1:18" x14ac:dyDescent="0.3">
      <c r="A73" s="15" t="str">
        <f t="shared" si="5"/>
        <v>03F</v>
      </c>
      <c r="B73" s="15">
        <v>63</v>
      </c>
      <c r="C73" s="42"/>
      <c r="G73" s="33"/>
      <c r="J73" s="24">
        <v>50000</v>
      </c>
      <c r="M73" s="24">
        <v>50000</v>
      </c>
      <c r="O73" s="48" t="s">
        <v>97</v>
      </c>
      <c r="P73" s="48">
        <f>HEX2DEC(RIGHT(Table1323212714[[#This Row],[h1]],8))</f>
        <v>0</v>
      </c>
      <c r="Q73" s="48" t="s">
        <v>97</v>
      </c>
      <c r="R73" s="48">
        <f>HEX2DEC(RIGHT(Table1323212714[[#This Row],[h2]],8))</f>
        <v>0</v>
      </c>
    </row>
    <row r="74" spans="1:18" x14ac:dyDescent="0.3">
      <c r="A74" s="15" t="str">
        <f t="shared" si="5"/>
        <v>040</v>
      </c>
      <c r="B74" s="15">
        <v>64</v>
      </c>
      <c r="C74" s="42"/>
      <c r="D74" s="15" t="s">
        <v>574</v>
      </c>
      <c r="G74" s="33">
        <v>10</v>
      </c>
      <c r="J74" s="24">
        <v>50000</v>
      </c>
      <c r="M74" s="24">
        <v>50000</v>
      </c>
      <c r="O74" s="48" t="s">
        <v>97</v>
      </c>
      <c r="P74" s="48">
        <f>HEX2DEC(RIGHT(Table1323212714[[#This Row],[h1]],8))</f>
        <v>0</v>
      </c>
      <c r="Q74" s="48" t="s">
        <v>97</v>
      </c>
      <c r="R74" s="48">
        <f>HEX2DEC(RIGHT(Table1323212714[[#This Row],[h2]],8))</f>
        <v>0</v>
      </c>
    </row>
    <row r="75" spans="1:18" x14ac:dyDescent="0.3">
      <c r="A75" s="15" t="str">
        <f t="shared" ref="A75:A138" si="6">DEC2HEX(B75,3)</f>
        <v>041</v>
      </c>
      <c r="B75" s="15">
        <v>65</v>
      </c>
      <c r="C75" s="42"/>
      <c r="D75" s="15" t="s">
        <v>575</v>
      </c>
      <c r="G75" s="33">
        <v>20</v>
      </c>
      <c r="J75" s="24">
        <v>50000</v>
      </c>
      <c r="M75" s="24">
        <v>50000</v>
      </c>
      <c r="O75" s="48" t="s">
        <v>97</v>
      </c>
      <c r="P75" s="48">
        <f>HEX2DEC(RIGHT(Table1323212714[[#This Row],[h1]],8))</f>
        <v>0</v>
      </c>
      <c r="Q75" s="48" t="s">
        <v>97</v>
      </c>
      <c r="R75" s="48">
        <f>HEX2DEC(RIGHT(Table1323212714[[#This Row],[h2]],8))</f>
        <v>0</v>
      </c>
    </row>
    <row r="76" spans="1:18" x14ac:dyDescent="0.3">
      <c r="A76" s="15" t="str">
        <f t="shared" si="6"/>
        <v>042</v>
      </c>
      <c r="B76" s="15">
        <v>66</v>
      </c>
      <c r="C76" s="42"/>
      <c r="D76" s="15" t="s">
        <v>576</v>
      </c>
      <c r="G76" s="33">
        <v>50</v>
      </c>
      <c r="J76" s="24">
        <v>50000</v>
      </c>
      <c r="M76" s="24">
        <v>50000</v>
      </c>
      <c r="O76" s="48" t="s">
        <v>97</v>
      </c>
      <c r="P76" s="48">
        <f>HEX2DEC(RIGHT(Table1323212714[[#This Row],[h1]],8))</f>
        <v>0</v>
      </c>
      <c r="Q76" s="48" t="s">
        <v>97</v>
      </c>
      <c r="R76" s="48">
        <f>HEX2DEC(RIGHT(Table1323212714[[#This Row],[h2]],8))</f>
        <v>0</v>
      </c>
    </row>
    <row r="77" spans="1:18" x14ac:dyDescent="0.3">
      <c r="A77" s="15" t="str">
        <f t="shared" si="6"/>
        <v>043</v>
      </c>
      <c r="B77" s="15">
        <v>67</v>
      </c>
      <c r="C77" s="42"/>
      <c r="D77" s="15" t="s">
        <v>577</v>
      </c>
      <c r="G77" s="33">
        <v>0</v>
      </c>
      <c r="J77" s="24">
        <v>50000</v>
      </c>
      <c r="M77" s="24">
        <v>50000</v>
      </c>
      <c r="O77" s="48" t="s">
        <v>97</v>
      </c>
      <c r="P77" s="48">
        <f>HEX2DEC(RIGHT(Table1323212714[[#This Row],[h1]],8))</f>
        <v>0</v>
      </c>
      <c r="Q77" s="48" t="s">
        <v>97</v>
      </c>
      <c r="R77" s="48">
        <f>HEX2DEC(RIGHT(Table1323212714[[#This Row],[h2]],8))</f>
        <v>0</v>
      </c>
    </row>
    <row r="78" spans="1:18" x14ac:dyDescent="0.3">
      <c r="A78" s="15" t="str">
        <f t="shared" si="6"/>
        <v>044</v>
      </c>
      <c r="B78" s="15">
        <v>68</v>
      </c>
      <c r="C78" s="42"/>
      <c r="D78" s="15" t="s">
        <v>578</v>
      </c>
      <c r="G78" s="33">
        <v>0</v>
      </c>
      <c r="J78" s="24">
        <v>50000</v>
      </c>
      <c r="M78" s="24">
        <v>50000</v>
      </c>
      <c r="O78" s="48" t="s">
        <v>97</v>
      </c>
      <c r="P78" s="48">
        <f>HEX2DEC(RIGHT(Table1323212714[[#This Row],[h1]],8))</f>
        <v>0</v>
      </c>
      <c r="Q78" s="48" t="s">
        <v>97</v>
      </c>
      <c r="R78" s="48">
        <f>HEX2DEC(RIGHT(Table1323212714[[#This Row],[h2]],8))</f>
        <v>0</v>
      </c>
    </row>
    <row r="79" spans="1:18" x14ac:dyDescent="0.3">
      <c r="A79" s="15" t="str">
        <f t="shared" si="6"/>
        <v>045</v>
      </c>
      <c r="B79" s="15">
        <v>69</v>
      </c>
      <c r="C79" s="42"/>
      <c r="D79" s="15" t="s">
        <v>579</v>
      </c>
      <c r="G79" s="33">
        <v>0</v>
      </c>
      <c r="J79" s="24">
        <v>50000</v>
      </c>
      <c r="M79" s="24">
        <v>50000</v>
      </c>
      <c r="O79" s="48" t="s">
        <v>97</v>
      </c>
      <c r="P79" s="48">
        <f>HEX2DEC(RIGHT(Table1323212714[[#This Row],[h1]],8))</f>
        <v>0</v>
      </c>
      <c r="Q79" s="48" t="s">
        <v>97</v>
      </c>
      <c r="R79" s="48">
        <f>HEX2DEC(RIGHT(Table1323212714[[#This Row],[h2]],8))</f>
        <v>0</v>
      </c>
    </row>
    <row r="80" spans="1:18" x14ac:dyDescent="0.3">
      <c r="A80" s="15" t="str">
        <f t="shared" si="6"/>
        <v>046</v>
      </c>
      <c r="B80" s="15">
        <v>70</v>
      </c>
      <c r="C80" s="42"/>
      <c r="D80" s="15" t="s">
        <v>580</v>
      </c>
      <c r="G80" s="33">
        <v>0</v>
      </c>
      <c r="J80" s="24">
        <v>50000</v>
      </c>
      <c r="M80" s="24">
        <v>50000</v>
      </c>
      <c r="O80" s="48" t="s">
        <v>97</v>
      </c>
      <c r="P80" s="48">
        <f>HEX2DEC(RIGHT(Table1323212714[[#This Row],[h1]],8))</f>
        <v>0</v>
      </c>
      <c r="Q80" s="48" t="s">
        <v>97</v>
      </c>
      <c r="R80" s="48">
        <f>HEX2DEC(RIGHT(Table1323212714[[#This Row],[h2]],8))</f>
        <v>0</v>
      </c>
    </row>
    <row r="81" spans="1:18" x14ac:dyDescent="0.3">
      <c r="A81" s="15" t="str">
        <f t="shared" si="6"/>
        <v>047</v>
      </c>
      <c r="B81" s="15">
        <v>71</v>
      </c>
      <c r="C81" s="42"/>
      <c r="D81" s="15" t="s">
        <v>581</v>
      </c>
      <c r="G81" s="33">
        <v>0</v>
      </c>
      <c r="J81" s="24">
        <v>50000</v>
      </c>
      <c r="M81" s="24">
        <v>50000</v>
      </c>
      <c r="O81" s="48" t="s">
        <v>97</v>
      </c>
      <c r="P81" s="48">
        <f>HEX2DEC(RIGHT(Table1323212714[[#This Row],[h1]],8))</f>
        <v>0</v>
      </c>
      <c r="Q81" s="48" t="s">
        <v>97</v>
      </c>
      <c r="R81" s="48">
        <f>HEX2DEC(RIGHT(Table1323212714[[#This Row],[h2]],8))</f>
        <v>0</v>
      </c>
    </row>
    <row r="82" spans="1:18" x14ac:dyDescent="0.3">
      <c r="A82" s="15" t="str">
        <f t="shared" si="6"/>
        <v>048</v>
      </c>
      <c r="B82" s="15">
        <v>72</v>
      </c>
      <c r="C82" s="42"/>
      <c r="D82" s="15" t="s">
        <v>582</v>
      </c>
      <c r="G82" s="33">
        <v>0</v>
      </c>
      <c r="J82" s="24">
        <v>50000</v>
      </c>
      <c r="M82" s="24">
        <v>50000</v>
      </c>
      <c r="O82" s="48" t="s">
        <v>97</v>
      </c>
      <c r="P82" s="48">
        <f>HEX2DEC(RIGHT(Table1323212714[[#This Row],[h1]],8))</f>
        <v>0</v>
      </c>
      <c r="Q82" s="48" t="s">
        <v>97</v>
      </c>
      <c r="R82" s="48">
        <f>HEX2DEC(RIGHT(Table1323212714[[#This Row],[h2]],8))</f>
        <v>0</v>
      </c>
    </row>
    <row r="83" spans="1:18" x14ac:dyDescent="0.3">
      <c r="A83" s="15" t="str">
        <f t="shared" si="6"/>
        <v>049</v>
      </c>
      <c r="B83" s="15">
        <v>73</v>
      </c>
      <c r="C83" s="42"/>
      <c r="D83" s="15" t="s">
        <v>583</v>
      </c>
      <c r="G83" s="33">
        <v>0</v>
      </c>
      <c r="J83" s="24">
        <v>50000</v>
      </c>
      <c r="M83" s="24">
        <v>50000</v>
      </c>
      <c r="O83" s="48" t="s">
        <v>97</v>
      </c>
      <c r="P83" s="48">
        <f>HEX2DEC(RIGHT(Table1323212714[[#This Row],[h1]],8))</f>
        <v>0</v>
      </c>
      <c r="Q83" s="48" t="s">
        <v>97</v>
      </c>
      <c r="R83" s="48">
        <f>HEX2DEC(RIGHT(Table1323212714[[#This Row],[h2]],8))</f>
        <v>0</v>
      </c>
    </row>
    <row r="84" spans="1:18" x14ac:dyDescent="0.3">
      <c r="A84" s="15" t="str">
        <f t="shared" si="6"/>
        <v>04A</v>
      </c>
      <c r="B84" s="15">
        <v>74</v>
      </c>
      <c r="C84" s="42"/>
      <c r="D84" s="15" t="s">
        <v>584</v>
      </c>
      <c r="G84" s="33">
        <v>0</v>
      </c>
      <c r="J84" s="24">
        <v>50000</v>
      </c>
      <c r="M84" s="24">
        <v>50000</v>
      </c>
      <c r="O84" s="48" t="s">
        <v>97</v>
      </c>
      <c r="P84" s="48">
        <f>HEX2DEC(RIGHT(Table1323212714[[#This Row],[h1]],8))</f>
        <v>0</v>
      </c>
      <c r="Q84" s="48" t="s">
        <v>97</v>
      </c>
      <c r="R84" s="48">
        <f>HEX2DEC(RIGHT(Table1323212714[[#This Row],[h2]],8))</f>
        <v>0</v>
      </c>
    </row>
    <row r="85" spans="1:18" x14ac:dyDescent="0.3">
      <c r="A85" s="15" t="str">
        <f t="shared" si="6"/>
        <v>04B</v>
      </c>
      <c r="B85" s="15">
        <v>75</v>
      </c>
      <c r="C85" s="42"/>
      <c r="D85" s="15" t="s">
        <v>585</v>
      </c>
      <c r="G85" s="33">
        <v>0</v>
      </c>
      <c r="J85" s="24">
        <v>50000</v>
      </c>
      <c r="M85" s="24">
        <v>50000</v>
      </c>
      <c r="O85" s="48" t="s">
        <v>97</v>
      </c>
      <c r="P85" s="48">
        <f>HEX2DEC(RIGHT(Table1323212714[[#This Row],[h1]],8))</f>
        <v>0</v>
      </c>
      <c r="Q85" s="48" t="s">
        <v>97</v>
      </c>
      <c r="R85" s="48">
        <f>HEX2DEC(RIGHT(Table1323212714[[#This Row],[h2]],8))</f>
        <v>0</v>
      </c>
    </row>
    <row r="86" spans="1:18" x14ac:dyDescent="0.3">
      <c r="A86" s="15" t="str">
        <f t="shared" si="6"/>
        <v>04C</v>
      </c>
      <c r="B86" s="15">
        <v>76</v>
      </c>
      <c r="C86" s="42"/>
      <c r="D86" s="15" t="s">
        <v>586</v>
      </c>
      <c r="G86" s="33">
        <v>0</v>
      </c>
      <c r="J86" s="24">
        <v>50000</v>
      </c>
      <c r="M86" s="24">
        <v>50000</v>
      </c>
      <c r="O86" s="48" t="s">
        <v>97</v>
      </c>
      <c r="P86" s="48">
        <f>HEX2DEC(RIGHT(Table1323212714[[#This Row],[h1]],8))</f>
        <v>0</v>
      </c>
      <c r="Q86" s="48" t="s">
        <v>97</v>
      </c>
      <c r="R86" s="48">
        <f>HEX2DEC(RIGHT(Table1323212714[[#This Row],[h2]],8))</f>
        <v>0</v>
      </c>
    </row>
    <row r="87" spans="1:18" x14ac:dyDescent="0.3">
      <c r="A87" s="15" t="str">
        <f t="shared" si="6"/>
        <v>04D</v>
      </c>
      <c r="B87" s="15">
        <v>77</v>
      </c>
      <c r="C87" s="42"/>
      <c r="D87" s="15" t="s">
        <v>587</v>
      </c>
      <c r="G87" s="33">
        <v>0</v>
      </c>
      <c r="J87" s="24">
        <v>50000</v>
      </c>
      <c r="M87" s="24">
        <v>50000</v>
      </c>
      <c r="O87" s="48" t="s">
        <v>97</v>
      </c>
      <c r="P87" s="48">
        <f>HEX2DEC(RIGHT(Table1323212714[[#This Row],[h1]],8))</f>
        <v>0</v>
      </c>
      <c r="Q87" s="48" t="s">
        <v>97</v>
      </c>
      <c r="R87" s="48">
        <f>HEX2DEC(RIGHT(Table1323212714[[#This Row],[h2]],8))</f>
        <v>0</v>
      </c>
    </row>
    <row r="88" spans="1:18" x14ac:dyDescent="0.3">
      <c r="A88" s="15" t="str">
        <f t="shared" si="6"/>
        <v>04E</v>
      </c>
      <c r="B88" s="15">
        <v>78</v>
      </c>
      <c r="C88" s="42"/>
      <c r="D88" s="15" t="s">
        <v>588</v>
      </c>
      <c r="G88" s="33">
        <v>0</v>
      </c>
      <c r="J88" s="24">
        <v>50000</v>
      </c>
      <c r="M88" s="24">
        <v>50000</v>
      </c>
      <c r="O88" s="48" t="s">
        <v>97</v>
      </c>
      <c r="P88" s="48">
        <f>HEX2DEC(RIGHT(Table1323212714[[#This Row],[h1]],8))</f>
        <v>0</v>
      </c>
      <c r="Q88" s="48" t="s">
        <v>97</v>
      </c>
      <c r="R88" s="48">
        <f>HEX2DEC(RIGHT(Table1323212714[[#This Row],[h2]],8))</f>
        <v>0</v>
      </c>
    </row>
    <row r="89" spans="1:18" x14ac:dyDescent="0.3">
      <c r="A89" s="15" t="str">
        <f t="shared" si="6"/>
        <v>04F</v>
      </c>
      <c r="B89" s="15">
        <v>79</v>
      </c>
      <c r="C89" s="42"/>
      <c r="D89" s="15" t="s">
        <v>589</v>
      </c>
      <c r="G89" s="33">
        <v>0</v>
      </c>
      <c r="J89" s="24">
        <v>50000</v>
      </c>
      <c r="M89" s="24">
        <v>50000</v>
      </c>
      <c r="O89" s="48" t="s">
        <v>97</v>
      </c>
      <c r="P89" s="48">
        <f>HEX2DEC(RIGHT(Table1323212714[[#This Row],[h1]],8))</f>
        <v>0</v>
      </c>
      <c r="Q89" s="48" t="s">
        <v>97</v>
      </c>
      <c r="R89" s="48">
        <f>HEX2DEC(RIGHT(Table1323212714[[#This Row],[h2]],8))</f>
        <v>0</v>
      </c>
    </row>
    <row r="90" spans="1:18" x14ac:dyDescent="0.3">
      <c r="A90" s="15" t="str">
        <f t="shared" si="6"/>
        <v>050</v>
      </c>
      <c r="B90" s="15">
        <v>80</v>
      </c>
      <c r="C90" s="42"/>
      <c r="D90" s="15" t="s">
        <v>590</v>
      </c>
      <c r="G90" s="33">
        <v>0</v>
      </c>
      <c r="J90" s="24">
        <v>50000</v>
      </c>
      <c r="M90" s="24">
        <v>50000</v>
      </c>
      <c r="O90" s="48" t="s">
        <v>97</v>
      </c>
      <c r="P90" s="48">
        <f>HEX2DEC(RIGHT(Table1323212714[[#This Row],[h1]],8))</f>
        <v>0</v>
      </c>
      <c r="Q90" s="48" t="s">
        <v>97</v>
      </c>
      <c r="R90" s="48">
        <f>HEX2DEC(RIGHT(Table1323212714[[#This Row],[h2]],8))</f>
        <v>0</v>
      </c>
    </row>
    <row r="91" spans="1:18" x14ac:dyDescent="0.3">
      <c r="A91" s="15" t="str">
        <f t="shared" si="6"/>
        <v>051</v>
      </c>
      <c r="B91" s="15">
        <v>81</v>
      </c>
      <c r="C91" s="42"/>
      <c r="D91" s="15" t="s">
        <v>591</v>
      </c>
      <c r="G91" s="33">
        <v>0</v>
      </c>
      <c r="J91" s="24">
        <v>50000</v>
      </c>
      <c r="M91" s="24">
        <v>50000</v>
      </c>
      <c r="O91" s="48" t="s">
        <v>97</v>
      </c>
      <c r="P91" s="48">
        <f>HEX2DEC(RIGHT(Table1323212714[[#This Row],[h1]],8))</f>
        <v>0</v>
      </c>
      <c r="Q91" s="48" t="s">
        <v>97</v>
      </c>
      <c r="R91" s="48">
        <f>HEX2DEC(RIGHT(Table1323212714[[#This Row],[h2]],8))</f>
        <v>0</v>
      </c>
    </row>
    <row r="92" spans="1:18" x14ac:dyDescent="0.3">
      <c r="A92" s="15" t="str">
        <f t="shared" si="6"/>
        <v>052</v>
      </c>
      <c r="B92" s="15">
        <v>82</v>
      </c>
      <c r="C92" s="42"/>
      <c r="D92" s="15" t="s">
        <v>592</v>
      </c>
      <c r="G92" s="33">
        <v>0</v>
      </c>
      <c r="J92" s="24">
        <v>50000</v>
      </c>
      <c r="M92" s="24">
        <v>50000</v>
      </c>
      <c r="O92" s="48" t="s">
        <v>97</v>
      </c>
      <c r="P92" s="48">
        <f>HEX2DEC(RIGHT(Table1323212714[[#This Row],[h1]],8))</f>
        <v>0</v>
      </c>
      <c r="Q92" s="48" t="s">
        <v>97</v>
      </c>
      <c r="R92" s="48">
        <f>HEX2DEC(RIGHT(Table1323212714[[#This Row],[h2]],8))</f>
        <v>0</v>
      </c>
    </row>
    <row r="93" spans="1:18" x14ac:dyDescent="0.3">
      <c r="A93" s="15" t="str">
        <f t="shared" si="6"/>
        <v>053</v>
      </c>
      <c r="B93" s="15">
        <v>83</v>
      </c>
      <c r="C93" s="42"/>
      <c r="D93" s="15" t="s">
        <v>593</v>
      </c>
      <c r="G93" s="33">
        <v>0</v>
      </c>
      <c r="J93" s="24">
        <v>50000</v>
      </c>
      <c r="M93" s="24">
        <v>50000</v>
      </c>
      <c r="O93" s="48" t="s">
        <v>97</v>
      </c>
      <c r="P93" s="48">
        <f>HEX2DEC(RIGHT(Table1323212714[[#This Row],[h1]],8))</f>
        <v>0</v>
      </c>
      <c r="Q93" s="48" t="s">
        <v>97</v>
      </c>
      <c r="R93" s="48">
        <f>HEX2DEC(RIGHT(Table1323212714[[#This Row],[h2]],8))</f>
        <v>0</v>
      </c>
    </row>
    <row r="94" spans="1:18" x14ac:dyDescent="0.3">
      <c r="A94" s="15" t="str">
        <f t="shared" si="6"/>
        <v>054</v>
      </c>
      <c r="B94" s="15">
        <v>84</v>
      </c>
      <c r="C94" s="42"/>
      <c r="D94" s="15" t="s">
        <v>594</v>
      </c>
      <c r="G94" s="33">
        <v>0</v>
      </c>
      <c r="J94" s="24">
        <v>50000</v>
      </c>
      <c r="M94" s="24">
        <v>50000</v>
      </c>
      <c r="O94" s="48" t="s">
        <v>97</v>
      </c>
      <c r="P94" s="48">
        <f>HEX2DEC(RIGHT(Table1323212714[[#This Row],[h1]],8))</f>
        <v>0</v>
      </c>
      <c r="Q94" s="48" t="s">
        <v>97</v>
      </c>
      <c r="R94" s="48">
        <f>HEX2DEC(RIGHT(Table1323212714[[#This Row],[h2]],8))</f>
        <v>0</v>
      </c>
    </row>
    <row r="95" spans="1:18" x14ac:dyDescent="0.3">
      <c r="A95" s="15" t="str">
        <f t="shared" si="6"/>
        <v>055</v>
      </c>
      <c r="B95" s="15">
        <v>85</v>
      </c>
      <c r="C95" s="42"/>
      <c r="D95" s="15" t="s">
        <v>595</v>
      </c>
      <c r="G95" s="33">
        <v>0</v>
      </c>
      <c r="J95" s="24">
        <v>50000</v>
      </c>
      <c r="M95" s="24">
        <v>50000</v>
      </c>
      <c r="O95" s="48" t="s">
        <v>97</v>
      </c>
      <c r="P95" s="48">
        <f>HEX2DEC(RIGHT(Table1323212714[[#This Row],[h1]],8))</f>
        <v>0</v>
      </c>
      <c r="Q95" s="48" t="s">
        <v>97</v>
      </c>
      <c r="R95" s="48">
        <f>HEX2DEC(RIGHT(Table1323212714[[#This Row],[h2]],8))</f>
        <v>0</v>
      </c>
    </row>
    <row r="96" spans="1:18" x14ac:dyDescent="0.3">
      <c r="A96" s="15" t="str">
        <f t="shared" si="6"/>
        <v>056</v>
      </c>
      <c r="B96" s="15">
        <v>86</v>
      </c>
      <c r="C96" s="42"/>
      <c r="D96" s="15" t="s">
        <v>596</v>
      </c>
      <c r="G96" s="33">
        <v>0</v>
      </c>
      <c r="J96" s="24">
        <v>50000</v>
      </c>
      <c r="M96" s="24">
        <v>50000</v>
      </c>
      <c r="O96" s="48" t="s">
        <v>97</v>
      </c>
      <c r="P96" s="48">
        <f>HEX2DEC(RIGHT(Table1323212714[[#This Row],[h1]],8))</f>
        <v>0</v>
      </c>
      <c r="Q96" s="48" t="s">
        <v>97</v>
      </c>
      <c r="R96" s="48">
        <f>HEX2DEC(RIGHT(Table1323212714[[#This Row],[h2]],8))</f>
        <v>0</v>
      </c>
    </row>
    <row r="97" spans="1:18" x14ac:dyDescent="0.3">
      <c r="A97" s="15" t="str">
        <f t="shared" si="6"/>
        <v>057</v>
      </c>
      <c r="B97" s="15">
        <v>87</v>
      </c>
      <c r="C97" s="42"/>
      <c r="D97" s="15" t="s">
        <v>597</v>
      </c>
      <c r="G97" s="33">
        <v>0</v>
      </c>
      <c r="J97" s="24">
        <v>50000</v>
      </c>
      <c r="M97" s="24">
        <v>50000</v>
      </c>
      <c r="O97" s="48" t="s">
        <v>97</v>
      </c>
      <c r="P97" s="48">
        <f>HEX2DEC(RIGHT(Table1323212714[[#This Row],[h1]],8))</f>
        <v>0</v>
      </c>
      <c r="Q97" s="48" t="s">
        <v>97</v>
      </c>
      <c r="R97" s="48">
        <f>HEX2DEC(RIGHT(Table1323212714[[#This Row],[h2]],8))</f>
        <v>0</v>
      </c>
    </row>
    <row r="98" spans="1:18" x14ac:dyDescent="0.3">
      <c r="A98" s="15" t="str">
        <f t="shared" si="6"/>
        <v>058</v>
      </c>
      <c r="B98" s="15">
        <v>88</v>
      </c>
      <c r="C98" s="42"/>
      <c r="D98" s="15" t="s">
        <v>598</v>
      </c>
      <c r="G98" s="33">
        <v>0</v>
      </c>
      <c r="J98" s="24">
        <v>50000</v>
      </c>
      <c r="M98" s="24">
        <v>50000</v>
      </c>
      <c r="O98" s="48" t="s">
        <v>97</v>
      </c>
      <c r="P98" s="48">
        <f>HEX2DEC(RIGHT(Table1323212714[[#This Row],[h1]],8))</f>
        <v>0</v>
      </c>
      <c r="Q98" s="48" t="s">
        <v>97</v>
      </c>
      <c r="R98" s="48">
        <f>HEX2DEC(RIGHT(Table1323212714[[#This Row],[h2]],8))</f>
        <v>0</v>
      </c>
    </row>
    <row r="99" spans="1:18" x14ac:dyDescent="0.3">
      <c r="A99" s="15" t="str">
        <f t="shared" si="6"/>
        <v>059</v>
      </c>
      <c r="B99" s="15">
        <v>89</v>
      </c>
      <c r="C99" s="42"/>
      <c r="D99" s="15" t="s">
        <v>599</v>
      </c>
      <c r="G99" s="33">
        <v>0</v>
      </c>
      <c r="J99" s="24">
        <v>50000</v>
      </c>
      <c r="M99" s="24">
        <v>50000</v>
      </c>
      <c r="O99" s="48" t="s">
        <v>97</v>
      </c>
      <c r="P99" s="48">
        <f>HEX2DEC(RIGHT(Table1323212714[[#This Row],[h1]],8))</f>
        <v>0</v>
      </c>
      <c r="Q99" s="48" t="s">
        <v>97</v>
      </c>
      <c r="R99" s="48">
        <f>HEX2DEC(RIGHT(Table1323212714[[#This Row],[h2]],8))</f>
        <v>0</v>
      </c>
    </row>
    <row r="100" spans="1:18" x14ac:dyDescent="0.3">
      <c r="A100" s="15" t="str">
        <f t="shared" si="6"/>
        <v>05A</v>
      </c>
      <c r="B100" s="15">
        <v>90</v>
      </c>
      <c r="C100" s="42"/>
      <c r="D100" s="15" t="s">
        <v>600</v>
      </c>
      <c r="G100" s="33">
        <v>0</v>
      </c>
      <c r="J100" s="24">
        <v>50000</v>
      </c>
      <c r="M100" s="24">
        <v>50000</v>
      </c>
      <c r="O100" s="48" t="s">
        <v>97</v>
      </c>
      <c r="P100" s="48">
        <f>HEX2DEC(RIGHT(Table1323212714[[#This Row],[h1]],8))</f>
        <v>0</v>
      </c>
      <c r="Q100" s="48" t="s">
        <v>97</v>
      </c>
      <c r="R100" s="48">
        <f>HEX2DEC(RIGHT(Table1323212714[[#This Row],[h2]],8))</f>
        <v>0</v>
      </c>
    </row>
    <row r="101" spans="1:18" x14ac:dyDescent="0.3">
      <c r="A101" s="15" t="str">
        <f t="shared" si="6"/>
        <v>05B</v>
      </c>
      <c r="B101" s="15">
        <v>91</v>
      </c>
      <c r="C101" s="42"/>
      <c r="D101" s="15" t="s">
        <v>601</v>
      </c>
      <c r="G101" s="33">
        <v>0</v>
      </c>
      <c r="J101" s="24">
        <v>50000</v>
      </c>
      <c r="M101" s="24">
        <v>50000</v>
      </c>
      <c r="O101" s="48" t="s">
        <v>97</v>
      </c>
      <c r="P101" s="48">
        <f>HEX2DEC(RIGHT(Table1323212714[[#This Row],[h1]],8))</f>
        <v>0</v>
      </c>
      <c r="Q101" s="48" t="s">
        <v>97</v>
      </c>
      <c r="R101" s="48">
        <f>HEX2DEC(RIGHT(Table1323212714[[#This Row],[h2]],8))</f>
        <v>0</v>
      </c>
    </row>
    <row r="102" spans="1:18" x14ac:dyDescent="0.3">
      <c r="A102" s="15" t="str">
        <f t="shared" si="6"/>
        <v>05C</v>
      </c>
      <c r="B102" s="15">
        <v>92</v>
      </c>
      <c r="C102" s="42"/>
      <c r="D102" s="15" t="s">
        <v>602</v>
      </c>
      <c r="G102" s="33">
        <v>0</v>
      </c>
      <c r="J102" s="24">
        <v>50000</v>
      </c>
      <c r="M102" s="24">
        <v>50000</v>
      </c>
      <c r="O102" s="48" t="s">
        <v>97</v>
      </c>
      <c r="P102" s="48">
        <f>HEX2DEC(RIGHT(Table1323212714[[#This Row],[h1]],8))</f>
        <v>0</v>
      </c>
      <c r="Q102" s="48" t="s">
        <v>97</v>
      </c>
      <c r="R102" s="48">
        <f>HEX2DEC(RIGHT(Table1323212714[[#This Row],[h2]],8))</f>
        <v>0</v>
      </c>
    </row>
    <row r="103" spans="1:18" x14ac:dyDescent="0.3">
      <c r="A103" s="15" t="str">
        <f t="shared" si="6"/>
        <v>05D</v>
      </c>
      <c r="B103" s="15">
        <v>93</v>
      </c>
      <c r="C103" s="42"/>
      <c r="D103" s="15" t="s">
        <v>603</v>
      </c>
      <c r="G103" s="33">
        <v>0</v>
      </c>
      <c r="J103" s="24">
        <v>50000</v>
      </c>
      <c r="M103" s="24">
        <v>50000</v>
      </c>
      <c r="O103" s="48" t="s">
        <v>97</v>
      </c>
      <c r="P103" s="48">
        <f>HEX2DEC(RIGHT(Table1323212714[[#This Row],[h1]],8))</f>
        <v>0</v>
      </c>
      <c r="Q103" s="48" t="s">
        <v>97</v>
      </c>
      <c r="R103" s="48">
        <f>HEX2DEC(RIGHT(Table1323212714[[#This Row],[h2]],8))</f>
        <v>0</v>
      </c>
    </row>
    <row r="104" spans="1:18" x14ac:dyDescent="0.3">
      <c r="A104" s="15" t="str">
        <f t="shared" si="6"/>
        <v>05E</v>
      </c>
      <c r="B104" s="15">
        <v>94</v>
      </c>
      <c r="C104" s="42"/>
      <c r="D104" s="15" t="s">
        <v>604</v>
      </c>
      <c r="G104" s="33">
        <v>0</v>
      </c>
      <c r="J104" s="24">
        <v>50000</v>
      </c>
      <c r="M104" s="24">
        <v>50000</v>
      </c>
      <c r="O104" s="48" t="s">
        <v>97</v>
      </c>
      <c r="P104" s="48">
        <f>HEX2DEC(RIGHT(Table1323212714[[#This Row],[h1]],8))</f>
        <v>0</v>
      </c>
      <c r="Q104" s="48" t="s">
        <v>97</v>
      </c>
      <c r="R104" s="48">
        <f>HEX2DEC(RIGHT(Table1323212714[[#This Row],[h2]],8))</f>
        <v>0</v>
      </c>
    </row>
    <row r="105" spans="1:18" x14ac:dyDescent="0.3">
      <c r="A105" s="15" t="str">
        <f t="shared" si="6"/>
        <v>05F</v>
      </c>
      <c r="B105" s="15">
        <v>95</v>
      </c>
      <c r="C105" s="42"/>
      <c r="D105" s="15" t="s">
        <v>605</v>
      </c>
      <c r="G105" s="33">
        <v>0</v>
      </c>
      <c r="J105" s="24">
        <v>50000</v>
      </c>
      <c r="M105" s="24">
        <v>50000</v>
      </c>
      <c r="O105" s="48" t="s">
        <v>97</v>
      </c>
      <c r="P105" s="48">
        <f>HEX2DEC(RIGHT(Table1323212714[[#This Row],[h1]],8))</f>
        <v>0</v>
      </c>
      <c r="Q105" s="48" t="s">
        <v>97</v>
      </c>
      <c r="R105" s="48">
        <f>HEX2DEC(RIGHT(Table1323212714[[#This Row],[h2]],8))</f>
        <v>0</v>
      </c>
    </row>
    <row r="106" spans="1:18" x14ac:dyDescent="0.3">
      <c r="A106" s="15" t="str">
        <f t="shared" si="6"/>
        <v>060</v>
      </c>
      <c r="B106" s="15">
        <v>96</v>
      </c>
      <c r="C106" s="42"/>
      <c r="G106" s="33"/>
      <c r="J106" s="24">
        <v>50000</v>
      </c>
      <c r="M106" s="24">
        <v>50000</v>
      </c>
      <c r="O106" s="48" t="s">
        <v>97</v>
      </c>
      <c r="P106" s="48">
        <f>HEX2DEC(RIGHT(Table1323212714[[#This Row],[h1]],8))</f>
        <v>0</v>
      </c>
      <c r="Q106" s="48" t="s">
        <v>97</v>
      </c>
      <c r="R106" s="48">
        <f>HEX2DEC(RIGHT(Table1323212714[[#This Row],[h2]],8))</f>
        <v>0</v>
      </c>
    </row>
    <row r="107" spans="1:18" x14ac:dyDescent="0.3">
      <c r="A107" s="15" t="str">
        <f t="shared" si="6"/>
        <v>061</v>
      </c>
      <c r="B107" s="15">
        <v>97</v>
      </c>
      <c r="C107" s="42"/>
      <c r="D107" s="15" t="s">
        <v>606</v>
      </c>
      <c r="G107" s="33">
        <v>20</v>
      </c>
      <c r="J107" s="24">
        <v>50000</v>
      </c>
      <c r="M107" s="24">
        <v>50000</v>
      </c>
      <c r="O107" s="48" t="s">
        <v>97</v>
      </c>
      <c r="P107" s="48">
        <f>HEX2DEC(RIGHT(Table1323212714[[#This Row],[h1]],8))</f>
        <v>0</v>
      </c>
      <c r="Q107" s="48" t="s">
        <v>97</v>
      </c>
      <c r="R107" s="48">
        <f>HEX2DEC(RIGHT(Table1323212714[[#This Row],[h2]],8))</f>
        <v>0</v>
      </c>
    </row>
    <row r="108" spans="1:18" x14ac:dyDescent="0.3">
      <c r="A108" s="15" t="str">
        <f t="shared" si="6"/>
        <v>062</v>
      </c>
      <c r="B108" s="15">
        <v>98</v>
      </c>
      <c r="C108" s="42"/>
      <c r="D108" s="15" t="s">
        <v>607</v>
      </c>
      <c r="G108" s="33">
        <v>20</v>
      </c>
      <c r="J108" s="24">
        <v>50000</v>
      </c>
      <c r="M108" s="24">
        <v>50000</v>
      </c>
      <c r="O108" s="48" t="s">
        <v>97</v>
      </c>
      <c r="P108" s="48">
        <f>HEX2DEC(RIGHT(Table1323212714[[#This Row],[h1]],8))</f>
        <v>0</v>
      </c>
      <c r="Q108" s="48" t="s">
        <v>97</v>
      </c>
      <c r="R108" s="48">
        <f>HEX2DEC(RIGHT(Table1323212714[[#This Row],[h2]],8))</f>
        <v>0</v>
      </c>
    </row>
    <row r="109" spans="1:18" x14ac:dyDescent="0.3">
      <c r="A109" s="15" t="str">
        <f t="shared" si="6"/>
        <v>063</v>
      </c>
      <c r="B109" s="15">
        <v>99</v>
      </c>
      <c r="C109" s="42"/>
      <c r="D109" s="15" t="s">
        <v>608</v>
      </c>
      <c r="G109" s="33">
        <v>20</v>
      </c>
      <c r="J109" s="24">
        <v>50000</v>
      </c>
      <c r="M109" s="24">
        <v>50000</v>
      </c>
      <c r="O109" s="48" t="s">
        <v>97</v>
      </c>
      <c r="P109" s="48">
        <f>HEX2DEC(RIGHT(Table1323212714[[#This Row],[h1]],8))</f>
        <v>0</v>
      </c>
      <c r="Q109" s="48" t="s">
        <v>97</v>
      </c>
      <c r="R109" s="48">
        <f>HEX2DEC(RIGHT(Table1323212714[[#This Row],[h2]],8))</f>
        <v>0</v>
      </c>
    </row>
    <row r="110" spans="1:18" x14ac:dyDescent="0.3">
      <c r="A110" s="15" t="str">
        <f t="shared" si="6"/>
        <v>064</v>
      </c>
      <c r="B110" s="15">
        <v>100</v>
      </c>
      <c r="C110" s="42"/>
      <c r="D110" s="15" t="s">
        <v>609</v>
      </c>
      <c r="G110" s="33">
        <v>20</v>
      </c>
      <c r="J110" s="24">
        <v>50000</v>
      </c>
      <c r="M110" s="24">
        <v>50000</v>
      </c>
      <c r="O110" s="48" t="s">
        <v>97</v>
      </c>
      <c r="P110" s="48">
        <f>HEX2DEC(RIGHT(Table1323212714[[#This Row],[h1]],8))</f>
        <v>0</v>
      </c>
      <c r="Q110" s="48" t="s">
        <v>97</v>
      </c>
      <c r="R110" s="48">
        <f>HEX2DEC(RIGHT(Table1323212714[[#This Row],[h2]],8))</f>
        <v>0</v>
      </c>
    </row>
    <row r="111" spans="1:18" x14ac:dyDescent="0.3">
      <c r="A111" s="15" t="str">
        <f t="shared" si="6"/>
        <v>065</v>
      </c>
      <c r="B111" s="15">
        <v>101</v>
      </c>
      <c r="C111" s="42"/>
      <c r="D111" s="15" t="s">
        <v>610</v>
      </c>
      <c r="G111" s="33">
        <v>20</v>
      </c>
      <c r="J111" s="24">
        <v>50000</v>
      </c>
      <c r="M111" s="24">
        <v>50000</v>
      </c>
      <c r="O111" s="48" t="s">
        <v>97</v>
      </c>
      <c r="P111" s="48">
        <f>HEX2DEC(RIGHT(Table1323212714[[#This Row],[h1]],8))</f>
        <v>0</v>
      </c>
      <c r="Q111" s="48" t="s">
        <v>97</v>
      </c>
      <c r="R111" s="48">
        <f>HEX2DEC(RIGHT(Table1323212714[[#This Row],[h2]],8))</f>
        <v>0</v>
      </c>
    </row>
    <row r="112" spans="1:18" x14ac:dyDescent="0.3">
      <c r="A112" s="15" t="str">
        <f t="shared" si="6"/>
        <v>066</v>
      </c>
      <c r="B112" s="15">
        <v>102</v>
      </c>
      <c r="C112" s="42"/>
      <c r="D112" s="15" t="s">
        <v>611</v>
      </c>
      <c r="G112" s="33">
        <v>20</v>
      </c>
      <c r="J112" s="24">
        <v>50000</v>
      </c>
      <c r="M112" s="24">
        <v>50000</v>
      </c>
      <c r="O112" s="48" t="s">
        <v>97</v>
      </c>
      <c r="P112" s="48">
        <f>HEX2DEC(RIGHT(Table1323212714[[#This Row],[h1]],8))</f>
        <v>0</v>
      </c>
      <c r="Q112" s="48" t="s">
        <v>97</v>
      </c>
      <c r="R112" s="48">
        <f>HEX2DEC(RIGHT(Table1323212714[[#This Row],[h2]],8))</f>
        <v>0</v>
      </c>
    </row>
    <row r="113" spans="1:18" x14ac:dyDescent="0.3">
      <c r="A113" s="15" t="str">
        <f t="shared" si="6"/>
        <v>067</v>
      </c>
      <c r="B113" s="15">
        <v>103</v>
      </c>
      <c r="C113" s="42"/>
      <c r="D113" s="15" t="s">
        <v>612</v>
      </c>
      <c r="G113" s="33">
        <v>20</v>
      </c>
      <c r="J113" s="24">
        <v>50000</v>
      </c>
      <c r="M113" s="24">
        <v>50000</v>
      </c>
      <c r="O113" s="48" t="s">
        <v>97</v>
      </c>
      <c r="P113" s="48">
        <f>HEX2DEC(RIGHT(Table1323212714[[#This Row],[h1]],8))</f>
        <v>0</v>
      </c>
      <c r="Q113" s="48" t="s">
        <v>97</v>
      </c>
      <c r="R113" s="48">
        <f>HEX2DEC(RIGHT(Table1323212714[[#This Row],[h2]],8))</f>
        <v>0</v>
      </c>
    </row>
    <row r="114" spans="1:18" x14ac:dyDescent="0.3">
      <c r="A114" s="15" t="str">
        <f t="shared" si="6"/>
        <v>068</v>
      </c>
      <c r="B114" s="15">
        <v>104</v>
      </c>
      <c r="C114" s="42"/>
      <c r="D114" s="15" t="s">
        <v>613</v>
      </c>
      <c r="G114" s="33">
        <v>20</v>
      </c>
      <c r="J114" s="24">
        <v>50000</v>
      </c>
      <c r="M114" s="24">
        <v>50000</v>
      </c>
      <c r="O114" s="48" t="s">
        <v>97</v>
      </c>
      <c r="P114" s="48">
        <f>HEX2DEC(RIGHT(Table1323212714[[#This Row],[h1]],8))</f>
        <v>0</v>
      </c>
      <c r="Q114" s="48" t="s">
        <v>97</v>
      </c>
      <c r="R114" s="48">
        <f>HEX2DEC(RIGHT(Table1323212714[[#This Row],[h2]],8))</f>
        <v>0</v>
      </c>
    </row>
    <row r="115" spans="1:18" x14ac:dyDescent="0.3">
      <c r="A115" s="15" t="str">
        <f t="shared" si="6"/>
        <v>069</v>
      </c>
      <c r="B115" s="15">
        <v>105</v>
      </c>
      <c r="C115" s="42"/>
      <c r="D115" s="15" t="s">
        <v>614</v>
      </c>
      <c r="G115" s="33">
        <v>20</v>
      </c>
      <c r="J115" s="24">
        <v>50000</v>
      </c>
      <c r="M115" s="24">
        <v>50000</v>
      </c>
      <c r="O115" s="48" t="s">
        <v>97</v>
      </c>
      <c r="P115" s="48">
        <f>HEX2DEC(RIGHT(Table1323212714[[#This Row],[h1]],8))</f>
        <v>0</v>
      </c>
      <c r="Q115" s="48" t="s">
        <v>97</v>
      </c>
      <c r="R115" s="48">
        <f>HEX2DEC(RIGHT(Table1323212714[[#This Row],[h2]],8))</f>
        <v>0</v>
      </c>
    </row>
    <row r="116" spans="1:18" x14ac:dyDescent="0.3">
      <c r="A116" s="15" t="str">
        <f t="shared" si="6"/>
        <v>06A</v>
      </c>
      <c r="B116" s="15">
        <v>106</v>
      </c>
      <c r="C116" s="42"/>
      <c r="D116" s="15" t="s">
        <v>615</v>
      </c>
      <c r="G116" s="33">
        <v>20</v>
      </c>
      <c r="J116" s="24">
        <v>50000</v>
      </c>
      <c r="M116" s="24">
        <v>50000</v>
      </c>
      <c r="O116" s="48" t="s">
        <v>97</v>
      </c>
      <c r="P116" s="48">
        <f>HEX2DEC(RIGHT(Table1323212714[[#This Row],[h1]],8))</f>
        <v>0</v>
      </c>
      <c r="Q116" s="48" t="s">
        <v>97</v>
      </c>
      <c r="R116" s="48">
        <f>HEX2DEC(RIGHT(Table1323212714[[#This Row],[h2]],8))</f>
        <v>0</v>
      </c>
    </row>
    <row r="117" spans="1:18" x14ac:dyDescent="0.3">
      <c r="A117" s="15" t="str">
        <f t="shared" si="6"/>
        <v>06B</v>
      </c>
      <c r="B117" s="15">
        <v>107</v>
      </c>
      <c r="C117" s="42"/>
      <c r="D117" s="15" t="s">
        <v>616</v>
      </c>
      <c r="G117" s="33">
        <v>20</v>
      </c>
      <c r="J117" s="24">
        <v>50000</v>
      </c>
      <c r="M117" s="24">
        <v>50000</v>
      </c>
      <c r="O117" s="48" t="s">
        <v>97</v>
      </c>
      <c r="P117" s="48">
        <f>HEX2DEC(RIGHT(Table1323212714[[#This Row],[h1]],8))</f>
        <v>0</v>
      </c>
      <c r="Q117" s="48" t="s">
        <v>97</v>
      </c>
      <c r="R117" s="48">
        <f>HEX2DEC(RIGHT(Table1323212714[[#This Row],[h2]],8))</f>
        <v>0</v>
      </c>
    </row>
    <row r="118" spans="1:18" x14ac:dyDescent="0.3">
      <c r="A118" s="15" t="str">
        <f t="shared" si="6"/>
        <v>06C</v>
      </c>
      <c r="B118" s="15">
        <v>108</v>
      </c>
      <c r="C118" s="42"/>
      <c r="D118" s="15" t="s">
        <v>617</v>
      </c>
      <c r="G118" s="33">
        <v>20</v>
      </c>
      <c r="J118" s="24">
        <v>50000</v>
      </c>
      <c r="M118" s="24">
        <v>50000</v>
      </c>
      <c r="O118" s="48" t="s">
        <v>97</v>
      </c>
      <c r="P118" s="48">
        <f>HEX2DEC(RIGHT(Table1323212714[[#This Row],[h1]],8))</f>
        <v>0</v>
      </c>
      <c r="Q118" s="48" t="s">
        <v>97</v>
      </c>
      <c r="R118" s="48">
        <f>HEX2DEC(RIGHT(Table1323212714[[#This Row],[h2]],8))</f>
        <v>0</v>
      </c>
    </row>
    <row r="119" spans="1:18" x14ac:dyDescent="0.3">
      <c r="A119" s="15" t="str">
        <f t="shared" si="6"/>
        <v>06D</v>
      </c>
      <c r="B119" s="15">
        <v>109</v>
      </c>
      <c r="C119" s="42"/>
      <c r="D119" s="15" t="s">
        <v>618</v>
      </c>
      <c r="G119" s="33">
        <v>20</v>
      </c>
      <c r="J119" s="24">
        <v>50000</v>
      </c>
      <c r="M119" s="24">
        <v>50000</v>
      </c>
      <c r="O119" s="48" t="s">
        <v>97</v>
      </c>
      <c r="P119" s="48">
        <f>HEX2DEC(RIGHT(Table1323212714[[#This Row],[h1]],8))</f>
        <v>0</v>
      </c>
      <c r="Q119" s="48" t="s">
        <v>97</v>
      </c>
      <c r="R119" s="48">
        <f>HEX2DEC(RIGHT(Table1323212714[[#This Row],[h2]],8))</f>
        <v>0</v>
      </c>
    </row>
    <row r="120" spans="1:18" x14ac:dyDescent="0.3">
      <c r="A120" s="15" t="str">
        <f t="shared" si="6"/>
        <v>06E</v>
      </c>
      <c r="B120" s="15">
        <v>110</v>
      </c>
      <c r="C120" s="42"/>
      <c r="D120" s="15" t="s">
        <v>619</v>
      </c>
      <c r="G120" s="33">
        <v>20</v>
      </c>
      <c r="J120" s="24">
        <v>50000</v>
      </c>
      <c r="M120" s="24">
        <v>50000</v>
      </c>
      <c r="O120" s="48" t="s">
        <v>97</v>
      </c>
      <c r="P120" s="48">
        <f>HEX2DEC(RIGHT(Table1323212714[[#This Row],[h1]],8))</f>
        <v>0</v>
      </c>
      <c r="Q120" s="48" t="s">
        <v>97</v>
      </c>
      <c r="R120" s="48">
        <f>HEX2DEC(RIGHT(Table1323212714[[#This Row],[h2]],8))</f>
        <v>0</v>
      </c>
    </row>
    <row r="121" spans="1:18" x14ac:dyDescent="0.3">
      <c r="A121" s="15" t="str">
        <f t="shared" si="6"/>
        <v>06F</v>
      </c>
      <c r="B121" s="15">
        <v>111</v>
      </c>
      <c r="C121" s="42"/>
      <c r="D121" s="15" t="s">
        <v>620</v>
      </c>
      <c r="G121" s="33">
        <v>20</v>
      </c>
      <c r="J121" s="24">
        <v>50000</v>
      </c>
      <c r="M121" s="24">
        <v>50000</v>
      </c>
      <c r="O121" s="48" t="s">
        <v>97</v>
      </c>
      <c r="P121" s="48">
        <f>HEX2DEC(RIGHT(Table1323212714[[#This Row],[h1]],8))</f>
        <v>0</v>
      </c>
      <c r="Q121" s="48" t="s">
        <v>97</v>
      </c>
      <c r="R121" s="48">
        <f>HEX2DEC(RIGHT(Table1323212714[[#This Row],[h2]],8))</f>
        <v>0</v>
      </c>
    </row>
    <row r="122" spans="1:18" x14ac:dyDescent="0.3">
      <c r="A122" s="15" t="str">
        <f t="shared" si="6"/>
        <v>070</v>
      </c>
      <c r="B122" s="15">
        <v>112</v>
      </c>
      <c r="C122" s="42"/>
      <c r="D122" s="15" t="s">
        <v>621</v>
      </c>
      <c r="G122" s="33">
        <v>20</v>
      </c>
      <c r="J122" s="24">
        <v>50000</v>
      </c>
      <c r="M122" s="24">
        <v>50000</v>
      </c>
      <c r="O122" s="48" t="s">
        <v>97</v>
      </c>
      <c r="P122" s="48">
        <f>HEX2DEC(RIGHT(Table1323212714[[#This Row],[h1]],8))</f>
        <v>0</v>
      </c>
      <c r="Q122" s="48" t="s">
        <v>97</v>
      </c>
      <c r="R122" s="48">
        <f>HEX2DEC(RIGHT(Table1323212714[[#This Row],[h2]],8))</f>
        <v>0</v>
      </c>
    </row>
    <row r="123" spans="1:18" x14ac:dyDescent="0.3">
      <c r="A123" s="15" t="str">
        <f t="shared" si="6"/>
        <v>071</v>
      </c>
      <c r="B123" s="15">
        <v>113</v>
      </c>
      <c r="C123" s="42"/>
      <c r="D123" s="15" t="s">
        <v>622</v>
      </c>
      <c r="G123" s="33">
        <v>20</v>
      </c>
      <c r="J123" s="24">
        <v>50000</v>
      </c>
      <c r="M123" s="24">
        <v>50000</v>
      </c>
      <c r="O123" s="48" t="s">
        <v>97</v>
      </c>
      <c r="P123" s="48">
        <f>HEX2DEC(RIGHT(Table1323212714[[#This Row],[h1]],8))</f>
        <v>0</v>
      </c>
      <c r="Q123" s="48" t="s">
        <v>97</v>
      </c>
      <c r="R123" s="48">
        <f>HEX2DEC(RIGHT(Table1323212714[[#This Row],[h2]],8))</f>
        <v>0</v>
      </c>
    </row>
    <row r="124" spans="1:18" x14ac:dyDescent="0.3">
      <c r="A124" s="15" t="str">
        <f t="shared" si="6"/>
        <v>072</v>
      </c>
      <c r="B124" s="15">
        <v>114</v>
      </c>
      <c r="C124" s="42"/>
      <c r="D124" s="15" t="s">
        <v>623</v>
      </c>
      <c r="G124" s="33">
        <v>20</v>
      </c>
      <c r="J124" s="24">
        <v>50000</v>
      </c>
      <c r="M124" s="24">
        <v>50000</v>
      </c>
      <c r="O124" s="48" t="s">
        <v>97</v>
      </c>
      <c r="P124" s="48">
        <f>HEX2DEC(RIGHT(Table1323212714[[#This Row],[h1]],8))</f>
        <v>0</v>
      </c>
      <c r="Q124" s="48" t="s">
        <v>97</v>
      </c>
      <c r="R124" s="48">
        <f>HEX2DEC(RIGHT(Table1323212714[[#This Row],[h2]],8))</f>
        <v>0</v>
      </c>
    </row>
    <row r="125" spans="1:18" x14ac:dyDescent="0.3">
      <c r="A125" s="15" t="str">
        <f t="shared" si="6"/>
        <v>073</v>
      </c>
      <c r="B125" s="15">
        <v>115</v>
      </c>
      <c r="C125" s="42"/>
      <c r="D125" s="15" t="s">
        <v>624</v>
      </c>
      <c r="G125" s="33">
        <v>20</v>
      </c>
      <c r="J125" s="24">
        <v>50000</v>
      </c>
      <c r="M125" s="24">
        <v>50000</v>
      </c>
      <c r="O125" s="48" t="s">
        <v>97</v>
      </c>
      <c r="P125" s="48">
        <f>HEX2DEC(RIGHT(Table1323212714[[#This Row],[h1]],8))</f>
        <v>0</v>
      </c>
      <c r="Q125" s="48" t="s">
        <v>97</v>
      </c>
      <c r="R125" s="48">
        <f>HEX2DEC(RIGHT(Table1323212714[[#This Row],[h2]],8))</f>
        <v>0</v>
      </c>
    </row>
    <row r="126" spans="1:18" x14ac:dyDescent="0.3">
      <c r="A126" s="15" t="str">
        <f t="shared" si="6"/>
        <v>074</v>
      </c>
      <c r="B126" s="15">
        <v>116</v>
      </c>
      <c r="C126" s="42"/>
      <c r="D126" s="15" t="s">
        <v>625</v>
      </c>
      <c r="G126" s="33">
        <v>20</v>
      </c>
      <c r="J126" s="24">
        <v>50000</v>
      </c>
      <c r="M126" s="24">
        <v>50000</v>
      </c>
      <c r="O126" s="48" t="s">
        <v>97</v>
      </c>
      <c r="P126" s="48">
        <f>HEX2DEC(RIGHT(Table1323212714[[#This Row],[h1]],8))</f>
        <v>0</v>
      </c>
      <c r="Q126" s="48" t="s">
        <v>97</v>
      </c>
      <c r="R126" s="48">
        <f>HEX2DEC(RIGHT(Table1323212714[[#This Row],[h2]],8))</f>
        <v>0</v>
      </c>
    </row>
    <row r="127" spans="1:18" x14ac:dyDescent="0.3">
      <c r="A127" s="15" t="str">
        <f t="shared" si="6"/>
        <v>075</v>
      </c>
      <c r="B127" s="15">
        <v>117</v>
      </c>
      <c r="C127" s="42"/>
      <c r="D127" s="15" t="s">
        <v>626</v>
      </c>
      <c r="G127" s="33">
        <v>20</v>
      </c>
      <c r="J127" s="24">
        <v>50000</v>
      </c>
      <c r="M127" s="24">
        <v>50000</v>
      </c>
      <c r="O127" s="48" t="s">
        <v>97</v>
      </c>
      <c r="P127" s="48">
        <f>HEX2DEC(RIGHT(Table1323212714[[#This Row],[h1]],8))</f>
        <v>0</v>
      </c>
      <c r="Q127" s="48" t="s">
        <v>97</v>
      </c>
      <c r="R127" s="48">
        <f>HEX2DEC(RIGHT(Table1323212714[[#This Row],[h2]],8))</f>
        <v>0</v>
      </c>
    </row>
    <row r="128" spans="1:18" x14ac:dyDescent="0.3">
      <c r="A128" s="15" t="str">
        <f t="shared" si="6"/>
        <v>076</v>
      </c>
      <c r="B128" s="15">
        <v>118</v>
      </c>
      <c r="C128" s="42"/>
      <c r="D128" s="15" t="s">
        <v>627</v>
      </c>
      <c r="G128" s="33">
        <v>20</v>
      </c>
      <c r="J128" s="24">
        <v>50000</v>
      </c>
      <c r="M128" s="24">
        <v>50000</v>
      </c>
      <c r="O128" s="48" t="s">
        <v>97</v>
      </c>
      <c r="P128" s="48">
        <f>HEX2DEC(RIGHT(Table1323212714[[#This Row],[h1]],8))</f>
        <v>0</v>
      </c>
      <c r="Q128" s="48" t="s">
        <v>97</v>
      </c>
      <c r="R128" s="48">
        <f>HEX2DEC(RIGHT(Table1323212714[[#This Row],[h2]],8))</f>
        <v>0</v>
      </c>
    </row>
    <row r="129" spans="1:18" x14ac:dyDescent="0.3">
      <c r="A129" s="15" t="str">
        <f t="shared" si="6"/>
        <v>077</v>
      </c>
      <c r="B129" s="15">
        <v>119</v>
      </c>
      <c r="C129" s="42"/>
      <c r="D129" s="15" t="s">
        <v>628</v>
      </c>
      <c r="G129" s="33">
        <v>20</v>
      </c>
      <c r="J129" s="24">
        <v>50000</v>
      </c>
      <c r="M129" s="24">
        <v>50000</v>
      </c>
      <c r="O129" s="48" t="s">
        <v>97</v>
      </c>
      <c r="P129" s="48">
        <f>HEX2DEC(RIGHT(Table1323212714[[#This Row],[h1]],8))</f>
        <v>0</v>
      </c>
      <c r="Q129" s="48" t="s">
        <v>97</v>
      </c>
      <c r="R129" s="48">
        <f>HEX2DEC(RIGHT(Table1323212714[[#This Row],[h2]],8))</f>
        <v>0</v>
      </c>
    </row>
    <row r="130" spans="1:18" x14ac:dyDescent="0.3">
      <c r="A130" s="15" t="str">
        <f t="shared" si="6"/>
        <v>078</v>
      </c>
      <c r="B130" s="15">
        <v>120</v>
      </c>
      <c r="C130" s="42"/>
      <c r="D130" s="15" t="s">
        <v>629</v>
      </c>
      <c r="G130" s="33">
        <v>20</v>
      </c>
      <c r="J130" s="24">
        <v>50000</v>
      </c>
      <c r="M130" s="24">
        <v>50000</v>
      </c>
      <c r="O130" s="48" t="s">
        <v>97</v>
      </c>
      <c r="P130" s="48">
        <f>HEX2DEC(RIGHT(Table1323212714[[#This Row],[h1]],8))</f>
        <v>0</v>
      </c>
      <c r="Q130" s="48" t="s">
        <v>97</v>
      </c>
      <c r="R130" s="48">
        <f>HEX2DEC(RIGHT(Table1323212714[[#This Row],[h2]],8))</f>
        <v>0</v>
      </c>
    </row>
    <row r="131" spans="1:18" x14ac:dyDescent="0.3">
      <c r="A131" s="15" t="str">
        <f t="shared" si="6"/>
        <v>079</v>
      </c>
      <c r="B131" s="15">
        <v>121</v>
      </c>
      <c r="C131" s="42"/>
      <c r="D131" s="15" t="s">
        <v>630</v>
      </c>
      <c r="G131" s="33">
        <v>20</v>
      </c>
      <c r="J131" s="24">
        <v>50000</v>
      </c>
      <c r="M131" s="24">
        <v>50000</v>
      </c>
      <c r="O131" s="48" t="s">
        <v>97</v>
      </c>
      <c r="P131" s="48">
        <f>HEX2DEC(RIGHT(Table1323212714[[#This Row],[h1]],8))</f>
        <v>0</v>
      </c>
      <c r="Q131" s="48" t="s">
        <v>97</v>
      </c>
      <c r="R131" s="48">
        <f>HEX2DEC(RIGHT(Table1323212714[[#This Row],[h2]],8))</f>
        <v>0</v>
      </c>
    </row>
    <row r="132" spans="1:18" x14ac:dyDescent="0.3">
      <c r="A132" s="15" t="str">
        <f t="shared" si="6"/>
        <v>07A</v>
      </c>
      <c r="B132" s="15">
        <v>122</v>
      </c>
      <c r="C132" s="42"/>
      <c r="D132" s="15" t="s">
        <v>631</v>
      </c>
      <c r="G132" s="33">
        <v>20</v>
      </c>
      <c r="J132" s="24">
        <v>50000</v>
      </c>
      <c r="M132" s="24">
        <v>50000</v>
      </c>
      <c r="O132" s="48" t="s">
        <v>97</v>
      </c>
      <c r="P132" s="48">
        <f>HEX2DEC(RIGHT(Table1323212714[[#This Row],[h1]],8))</f>
        <v>0</v>
      </c>
      <c r="Q132" s="48" t="s">
        <v>97</v>
      </c>
      <c r="R132" s="48">
        <f>HEX2DEC(RIGHT(Table1323212714[[#This Row],[h2]],8))</f>
        <v>0</v>
      </c>
    </row>
    <row r="133" spans="1:18" x14ac:dyDescent="0.3">
      <c r="A133" s="15" t="str">
        <f t="shared" si="6"/>
        <v>07B</v>
      </c>
      <c r="B133" s="15">
        <v>123</v>
      </c>
      <c r="C133" s="42"/>
      <c r="D133" s="15" t="s">
        <v>632</v>
      </c>
      <c r="G133" s="33">
        <v>20</v>
      </c>
      <c r="J133" s="24">
        <v>50000</v>
      </c>
      <c r="M133" s="24">
        <v>50000</v>
      </c>
      <c r="O133" s="48" t="s">
        <v>97</v>
      </c>
      <c r="P133" s="48">
        <f>HEX2DEC(RIGHT(Table1323212714[[#This Row],[h1]],8))</f>
        <v>0</v>
      </c>
      <c r="Q133" s="48" t="s">
        <v>97</v>
      </c>
      <c r="R133" s="48">
        <f>HEX2DEC(RIGHT(Table1323212714[[#This Row],[h2]],8))</f>
        <v>0</v>
      </c>
    </row>
    <row r="134" spans="1:18" x14ac:dyDescent="0.3">
      <c r="A134" s="15" t="str">
        <f t="shared" si="6"/>
        <v>07C</v>
      </c>
      <c r="B134" s="15">
        <v>124</v>
      </c>
      <c r="C134" s="42"/>
      <c r="D134" s="15" t="s">
        <v>633</v>
      </c>
      <c r="F134" s="22"/>
      <c r="G134" s="33">
        <v>20</v>
      </c>
      <c r="J134" s="24">
        <v>50000</v>
      </c>
      <c r="M134" s="24">
        <v>50000</v>
      </c>
      <c r="O134" s="48" t="s">
        <v>97</v>
      </c>
      <c r="P134" s="48">
        <f>HEX2DEC(RIGHT(Table1323212714[[#This Row],[h1]],8))</f>
        <v>0</v>
      </c>
      <c r="Q134" s="48" t="s">
        <v>97</v>
      </c>
      <c r="R134" s="48">
        <f>HEX2DEC(RIGHT(Table1323212714[[#This Row],[h2]],8))</f>
        <v>0</v>
      </c>
    </row>
    <row r="135" spans="1:18" x14ac:dyDescent="0.3">
      <c r="A135" s="15" t="str">
        <f t="shared" si="6"/>
        <v>07D</v>
      </c>
      <c r="B135" s="15">
        <v>125</v>
      </c>
      <c r="C135" s="42"/>
      <c r="D135" s="15" t="s">
        <v>634</v>
      </c>
      <c r="F135" s="22"/>
      <c r="G135" s="33">
        <v>20</v>
      </c>
      <c r="J135" s="24">
        <v>50000</v>
      </c>
      <c r="M135" s="24">
        <v>50000</v>
      </c>
      <c r="O135" s="48" t="s">
        <v>97</v>
      </c>
      <c r="P135" s="48">
        <f>HEX2DEC(RIGHT(Table1323212714[[#This Row],[h1]],8))</f>
        <v>0</v>
      </c>
      <c r="Q135" s="48" t="s">
        <v>97</v>
      </c>
      <c r="R135" s="48">
        <f>HEX2DEC(RIGHT(Table1323212714[[#This Row],[h2]],8))</f>
        <v>0</v>
      </c>
    </row>
    <row r="136" spans="1:18" x14ac:dyDescent="0.3">
      <c r="A136" s="15" t="str">
        <f t="shared" si="6"/>
        <v>07E</v>
      </c>
      <c r="B136" s="15">
        <v>126</v>
      </c>
      <c r="C136" s="42"/>
      <c r="D136" s="15" t="s">
        <v>635</v>
      </c>
      <c r="F136" s="22"/>
      <c r="G136" s="33">
        <v>20</v>
      </c>
      <c r="J136" s="24">
        <v>50000</v>
      </c>
      <c r="M136" s="24">
        <v>50000</v>
      </c>
      <c r="O136" s="48" t="s">
        <v>97</v>
      </c>
      <c r="P136" s="48">
        <f>HEX2DEC(RIGHT(Table1323212714[[#This Row],[h1]],8))</f>
        <v>0</v>
      </c>
      <c r="Q136" s="48" t="s">
        <v>97</v>
      </c>
      <c r="R136" s="48">
        <f>HEX2DEC(RIGHT(Table1323212714[[#This Row],[h2]],8))</f>
        <v>0</v>
      </c>
    </row>
    <row r="137" spans="1:18" x14ac:dyDescent="0.3">
      <c r="A137" s="15" t="str">
        <f t="shared" si="6"/>
        <v>07F</v>
      </c>
      <c r="B137" s="15">
        <v>127</v>
      </c>
      <c r="C137" s="42"/>
      <c r="D137" s="15" t="s">
        <v>636</v>
      </c>
      <c r="F137" s="22"/>
      <c r="G137" s="33">
        <v>20</v>
      </c>
      <c r="J137" s="24">
        <v>50000</v>
      </c>
      <c r="M137" s="24">
        <v>50000</v>
      </c>
      <c r="O137" s="48" t="s">
        <v>97</v>
      </c>
      <c r="P137" s="48">
        <f>HEX2DEC(RIGHT(Table1323212714[[#This Row],[h1]],8))</f>
        <v>0</v>
      </c>
      <c r="Q137" s="48" t="s">
        <v>97</v>
      </c>
      <c r="R137" s="48">
        <f>HEX2DEC(RIGHT(Table1323212714[[#This Row],[h2]],8))</f>
        <v>0</v>
      </c>
    </row>
    <row r="138" spans="1:18" x14ac:dyDescent="0.3">
      <c r="A138" s="15" t="str">
        <f t="shared" si="6"/>
        <v>080</v>
      </c>
      <c r="B138" s="15">
        <v>128</v>
      </c>
      <c r="C138" s="42"/>
      <c r="D138" s="15" t="s">
        <v>637</v>
      </c>
      <c r="F138" s="22"/>
      <c r="G138" s="33">
        <v>20</v>
      </c>
      <c r="J138" s="24">
        <v>50000</v>
      </c>
      <c r="M138" s="24">
        <v>50000</v>
      </c>
      <c r="O138" s="48" t="s">
        <v>97</v>
      </c>
      <c r="P138" s="48">
        <f>HEX2DEC(RIGHT(Table1323212714[[#This Row],[h1]],8))</f>
        <v>0</v>
      </c>
      <c r="Q138" s="48" t="s">
        <v>97</v>
      </c>
      <c r="R138" s="48">
        <f>HEX2DEC(RIGHT(Table1323212714[[#This Row],[h2]],8))</f>
        <v>0</v>
      </c>
    </row>
    <row r="139" spans="1:18" x14ac:dyDescent="0.3">
      <c r="A139" s="15" t="str">
        <f t="shared" ref="A139:A202" si="7">DEC2HEX(B139,3)</f>
        <v>081</v>
      </c>
      <c r="B139" s="15">
        <v>129</v>
      </c>
      <c r="C139" s="42"/>
      <c r="F139" s="22"/>
      <c r="G139" s="33"/>
      <c r="J139" s="24">
        <v>50000</v>
      </c>
      <c r="M139" s="24">
        <v>50000</v>
      </c>
      <c r="O139" s="48" t="s">
        <v>97</v>
      </c>
      <c r="P139" s="48">
        <f>HEX2DEC(RIGHT(Table1323212714[[#This Row],[h1]],8))</f>
        <v>0</v>
      </c>
      <c r="Q139" s="48" t="s">
        <v>97</v>
      </c>
      <c r="R139" s="48">
        <f>HEX2DEC(RIGHT(Table1323212714[[#This Row],[h2]],8))</f>
        <v>0</v>
      </c>
    </row>
    <row r="140" spans="1:18" x14ac:dyDescent="0.3">
      <c r="A140" s="15" t="str">
        <f t="shared" si="7"/>
        <v>082</v>
      </c>
      <c r="B140" s="15">
        <v>130</v>
      </c>
      <c r="C140" s="42"/>
      <c r="D140" s="35" t="s">
        <v>638</v>
      </c>
      <c r="F140" s="22"/>
      <c r="G140" s="36">
        <v>1</v>
      </c>
      <c r="J140" s="24">
        <v>50000</v>
      </c>
      <c r="M140" s="24">
        <v>50000</v>
      </c>
      <c r="O140" s="48" t="s">
        <v>97</v>
      </c>
      <c r="P140" s="48">
        <f>HEX2DEC(RIGHT(Table1323212714[[#This Row],[h1]],8))</f>
        <v>0</v>
      </c>
      <c r="Q140" s="48" t="s">
        <v>97</v>
      </c>
      <c r="R140" s="48">
        <f>HEX2DEC(RIGHT(Table1323212714[[#This Row],[h2]],8))</f>
        <v>0</v>
      </c>
    </row>
    <row r="141" spans="1:18" x14ac:dyDescent="0.3">
      <c r="A141" s="15" t="str">
        <f t="shared" si="7"/>
        <v>083</v>
      </c>
      <c r="B141" s="15">
        <v>131</v>
      </c>
      <c r="C141" s="42"/>
      <c r="D141" s="35" t="s">
        <v>638</v>
      </c>
      <c r="F141" s="22"/>
      <c r="G141" s="36">
        <v>0</v>
      </c>
      <c r="J141" s="24">
        <v>50000</v>
      </c>
      <c r="M141" s="24">
        <v>50000</v>
      </c>
      <c r="O141" s="48" t="s">
        <v>97</v>
      </c>
      <c r="P141" s="48">
        <f>HEX2DEC(RIGHT(Table1323212714[[#This Row],[h1]],8))</f>
        <v>0</v>
      </c>
      <c r="Q141" s="48" t="s">
        <v>97</v>
      </c>
      <c r="R141" s="48">
        <f>HEX2DEC(RIGHT(Table1323212714[[#This Row],[h2]],8))</f>
        <v>0</v>
      </c>
    </row>
    <row r="142" spans="1:18" x14ac:dyDescent="0.3">
      <c r="A142" s="15" t="str">
        <f t="shared" si="7"/>
        <v>084</v>
      </c>
      <c r="B142" s="15">
        <v>132</v>
      </c>
      <c r="C142" s="42"/>
      <c r="F142" s="22"/>
      <c r="G142" s="33"/>
      <c r="J142" s="24">
        <v>50000</v>
      </c>
      <c r="M142" s="24">
        <v>50000</v>
      </c>
      <c r="O142" s="48" t="s">
        <v>97</v>
      </c>
      <c r="P142" s="48">
        <f>HEX2DEC(RIGHT(Table1323212714[[#This Row],[h1]],8))</f>
        <v>0</v>
      </c>
      <c r="Q142" s="48" t="s">
        <v>97</v>
      </c>
      <c r="R142" s="48">
        <f>HEX2DEC(RIGHT(Table1323212714[[#This Row],[h2]],8))</f>
        <v>0</v>
      </c>
    </row>
    <row r="143" spans="1:18" x14ac:dyDescent="0.3">
      <c r="A143" s="15" t="str">
        <f t="shared" si="7"/>
        <v>085</v>
      </c>
      <c r="B143" s="15">
        <v>133</v>
      </c>
      <c r="C143" s="42"/>
      <c r="D143" s="15" t="s">
        <v>639</v>
      </c>
      <c r="F143" s="22"/>
      <c r="G143" s="32">
        <v>0</v>
      </c>
      <c r="J143" s="24">
        <v>50000</v>
      </c>
      <c r="M143" s="24">
        <v>50000</v>
      </c>
      <c r="O143" s="48" t="s">
        <v>97</v>
      </c>
      <c r="P143" s="48">
        <f>HEX2DEC(RIGHT(Table1323212714[[#This Row],[h1]],8))</f>
        <v>0</v>
      </c>
      <c r="Q143" s="48" t="s">
        <v>97</v>
      </c>
      <c r="R143" s="48">
        <f>HEX2DEC(RIGHT(Table1323212714[[#This Row],[h2]],8))</f>
        <v>0</v>
      </c>
    </row>
    <row r="144" spans="1:18" x14ac:dyDescent="0.3">
      <c r="A144" s="15" t="str">
        <f t="shared" si="7"/>
        <v>086</v>
      </c>
      <c r="B144" s="15">
        <v>134</v>
      </c>
      <c r="C144" s="42"/>
      <c r="D144" s="15" t="s">
        <v>640</v>
      </c>
      <c r="F144" s="22"/>
      <c r="G144" s="32">
        <v>0</v>
      </c>
      <c r="J144" s="24">
        <v>50000</v>
      </c>
      <c r="M144" s="24">
        <v>50000</v>
      </c>
      <c r="O144" s="48" t="s">
        <v>97</v>
      </c>
      <c r="P144" s="48">
        <f>HEX2DEC(RIGHT(Table1323212714[[#This Row],[h1]],8))</f>
        <v>0</v>
      </c>
      <c r="Q144" s="48" t="s">
        <v>97</v>
      </c>
      <c r="R144" s="48">
        <f>HEX2DEC(RIGHT(Table1323212714[[#This Row],[h2]],8))</f>
        <v>0</v>
      </c>
    </row>
    <row r="145" spans="1:18" x14ac:dyDescent="0.3">
      <c r="A145" s="15" t="str">
        <f t="shared" si="7"/>
        <v>087</v>
      </c>
      <c r="B145" s="15">
        <v>135</v>
      </c>
      <c r="C145" s="42"/>
      <c r="D145" s="15" t="s">
        <v>641</v>
      </c>
      <c r="F145" s="22"/>
      <c r="G145" s="32">
        <v>0</v>
      </c>
      <c r="J145" s="24">
        <v>50000</v>
      </c>
      <c r="M145" s="24">
        <v>50000</v>
      </c>
      <c r="O145" s="48" t="s">
        <v>97</v>
      </c>
      <c r="P145" s="48">
        <f>HEX2DEC(RIGHT(Table1323212714[[#This Row],[h1]],8))</f>
        <v>0</v>
      </c>
      <c r="Q145" s="48" t="s">
        <v>97</v>
      </c>
      <c r="R145" s="48">
        <f>HEX2DEC(RIGHT(Table1323212714[[#This Row],[h2]],8))</f>
        <v>0</v>
      </c>
    </row>
    <row r="146" spans="1:18" x14ac:dyDescent="0.3">
      <c r="A146" s="15" t="str">
        <f t="shared" si="7"/>
        <v>088</v>
      </c>
      <c r="B146" s="15">
        <v>136</v>
      </c>
      <c r="C146" s="42"/>
      <c r="F146" s="22"/>
      <c r="G146" s="32"/>
      <c r="J146" s="24">
        <v>50000</v>
      </c>
      <c r="M146" s="24">
        <v>50000</v>
      </c>
      <c r="O146" s="48" t="s">
        <v>97</v>
      </c>
      <c r="P146" s="48">
        <f>HEX2DEC(RIGHT(Table1323212714[[#This Row],[h1]],8))</f>
        <v>0</v>
      </c>
      <c r="Q146" s="48" t="s">
        <v>97</v>
      </c>
      <c r="R146" s="48">
        <f>HEX2DEC(RIGHT(Table1323212714[[#This Row],[h2]],8))</f>
        <v>0</v>
      </c>
    </row>
    <row r="147" spans="1:18" x14ac:dyDescent="0.3">
      <c r="A147" s="15" t="str">
        <f t="shared" si="7"/>
        <v>089</v>
      </c>
      <c r="B147" s="15">
        <v>137</v>
      </c>
      <c r="C147" s="42"/>
      <c r="D147" s="15" t="s">
        <v>642</v>
      </c>
      <c r="F147" s="22"/>
      <c r="G147" s="32">
        <v>1</v>
      </c>
      <c r="J147" s="24">
        <v>50000</v>
      </c>
      <c r="M147" s="24">
        <v>50000</v>
      </c>
      <c r="O147" s="48" t="s">
        <v>97</v>
      </c>
      <c r="P147" s="48">
        <f>HEX2DEC(RIGHT(Table1323212714[[#This Row],[h1]],8))</f>
        <v>0</v>
      </c>
      <c r="Q147" s="48" t="s">
        <v>97</v>
      </c>
      <c r="R147" s="48">
        <f>HEX2DEC(RIGHT(Table1323212714[[#This Row],[h2]],8))</f>
        <v>0</v>
      </c>
    </row>
    <row r="148" spans="1:18" x14ac:dyDescent="0.3">
      <c r="A148" s="15" t="str">
        <f t="shared" si="7"/>
        <v>08A</v>
      </c>
      <c r="B148" s="15">
        <v>138</v>
      </c>
      <c r="C148" s="42"/>
      <c r="D148" s="15" t="s">
        <v>643</v>
      </c>
      <c r="F148" s="22"/>
      <c r="G148" s="32">
        <v>1</v>
      </c>
      <c r="J148" s="24">
        <v>50000</v>
      </c>
      <c r="M148" s="24">
        <v>50000</v>
      </c>
      <c r="O148" s="48" t="s">
        <v>97</v>
      </c>
      <c r="P148" s="48">
        <f>HEX2DEC(RIGHT(Table1323212714[[#This Row],[h1]],8))</f>
        <v>0</v>
      </c>
      <c r="Q148" s="48" t="s">
        <v>97</v>
      </c>
      <c r="R148" s="48">
        <f>HEX2DEC(RIGHT(Table1323212714[[#This Row],[h2]],8))</f>
        <v>0</v>
      </c>
    </row>
    <row r="149" spans="1:18" x14ac:dyDescent="0.3">
      <c r="A149" s="15" t="str">
        <f t="shared" si="7"/>
        <v>08B</v>
      </c>
      <c r="B149" s="15">
        <v>139</v>
      </c>
      <c r="C149" s="42"/>
      <c r="D149" s="15" t="s">
        <v>644</v>
      </c>
      <c r="F149" s="22"/>
      <c r="G149" s="32">
        <v>1</v>
      </c>
      <c r="J149" s="24">
        <v>50000</v>
      </c>
      <c r="M149" s="24">
        <v>50000</v>
      </c>
      <c r="O149" s="48" t="s">
        <v>97</v>
      </c>
      <c r="P149" s="48">
        <f>HEX2DEC(RIGHT(Table1323212714[[#This Row],[h1]],8))</f>
        <v>0</v>
      </c>
      <c r="Q149" s="48" t="s">
        <v>97</v>
      </c>
      <c r="R149" s="48">
        <f>HEX2DEC(RIGHT(Table1323212714[[#This Row],[h2]],8))</f>
        <v>0</v>
      </c>
    </row>
    <row r="150" spans="1:18" x14ac:dyDescent="0.3">
      <c r="A150" s="15" t="str">
        <f t="shared" si="7"/>
        <v>08C</v>
      </c>
      <c r="B150" s="15">
        <v>140</v>
      </c>
      <c r="C150" s="42"/>
      <c r="G150" s="33"/>
      <c r="J150" s="24">
        <v>50000</v>
      </c>
      <c r="M150" s="24">
        <v>50000</v>
      </c>
      <c r="O150" s="48" t="s">
        <v>97</v>
      </c>
      <c r="P150" s="48">
        <f>HEX2DEC(RIGHT(Table1323212714[[#This Row],[h1]],8))</f>
        <v>0</v>
      </c>
      <c r="Q150" s="48" t="s">
        <v>97</v>
      </c>
      <c r="R150" s="48">
        <f>HEX2DEC(RIGHT(Table1323212714[[#This Row],[h2]],8))</f>
        <v>0</v>
      </c>
    </row>
    <row r="151" spans="1:18" x14ac:dyDescent="0.3">
      <c r="A151" s="15" t="str">
        <f t="shared" si="7"/>
        <v>08D</v>
      </c>
      <c r="B151" s="15">
        <v>141</v>
      </c>
      <c r="C151" s="42"/>
      <c r="G151" s="33"/>
      <c r="J151" s="24">
        <v>50000</v>
      </c>
      <c r="M151" s="24">
        <v>50000</v>
      </c>
      <c r="O151" s="48" t="s">
        <v>97</v>
      </c>
      <c r="P151" s="48">
        <f>HEX2DEC(RIGHT(Table1323212714[[#This Row],[h1]],8))</f>
        <v>0</v>
      </c>
      <c r="Q151" s="48" t="s">
        <v>97</v>
      </c>
      <c r="R151" s="48">
        <f>HEX2DEC(RIGHT(Table1323212714[[#This Row],[h2]],8))</f>
        <v>0</v>
      </c>
    </row>
    <row r="152" spans="1:18" x14ac:dyDescent="0.3">
      <c r="A152" s="15" t="str">
        <f t="shared" si="7"/>
        <v>08E</v>
      </c>
      <c r="B152" s="15">
        <v>142</v>
      </c>
      <c r="C152" s="42"/>
      <c r="G152" s="33"/>
      <c r="J152" s="24">
        <v>50000</v>
      </c>
      <c r="M152" s="24">
        <v>50000</v>
      </c>
      <c r="O152" s="48" t="s">
        <v>97</v>
      </c>
      <c r="P152" s="48">
        <f>HEX2DEC(RIGHT(Table1323212714[[#This Row],[h1]],8))</f>
        <v>0</v>
      </c>
      <c r="Q152" s="48" t="s">
        <v>97</v>
      </c>
      <c r="R152" s="48">
        <f>HEX2DEC(RIGHT(Table1323212714[[#This Row],[h2]],8))</f>
        <v>0</v>
      </c>
    </row>
    <row r="153" spans="1:18" x14ac:dyDescent="0.3">
      <c r="A153" s="15" t="str">
        <f t="shared" si="7"/>
        <v>08F</v>
      </c>
      <c r="B153" s="15">
        <v>143</v>
      </c>
      <c r="C153" s="42"/>
      <c r="G153" s="33"/>
      <c r="J153" s="24">
        <v>50000</v>
      </c>
      <c r="M153" s="24">
        <v>50000</v>
      </c>
      <c r="O153" s="48" t="s">
        <v>97</v>
      </c>
      <c r="P153" s="48">
        <f>HEX2DEC(RIGHT(Table1323212714[[#This Row],[h1]],8))</f>
        <v>0</v>
      </c>
      <c r="Q153" s="48" t="s">
        <v>97</v>
      </c>
      <c r="R153" s="48">
        <f>HEX2DEC(RIGHT(Table1323212714[[#This Row],[h2]],8))</f>
        <v>0</v>
      </c>
    </row>
    <row r="154" spans="1:18" x14ac:dyDescent="0.3">
      <c r="A154" s="15" t="str">
        <f t="shared" si="7"/>
        <v>090</v>
      </c>
      <c r="B154" s="15">
        <v>144</v>
      </c>
      <c r="C154" s="42"/>
      <c r="G154" s="33"/>
      <c r="J154" s="24">
        <v>50000</v>
      </c>
      <c r="M154" s="24">
        <v>50000</v>
      </c>
      <c r="O154" s="48" t="s">
        <v>97</v>
      </c>
      <c r="P154" s="48">
        <f>HEX2DEC(RIGHT(Table1323212714[[#This Row],[h1]],8))</f>
        <v>0</v>
      </c>
      <c r="Q154" s="48" t="s">
        <v>97</v>
      </c>
      <c r="R154" s="48">
        <f>HEX2DEC(RIGHT(Table1323212714[[#This Row],[h2]],8))</f>
        <v>0</v>
      </c>
    </row>
    <row r="155" spans="1:18" x14ac:dyDescent="0.3">
      <c r="A155" s="15" t="str">
        <f t="shared" si="7"/>
        <v>091</v>
      </c>
      <c r="B155" s="15">
        <v>145</v>
      </c>
      <c r="C155" s="42"/>
      <c r="G155" s="33"/>
      <c r="J155" s="24">
        <v>50000</v>
      </c>
      <c r="M155" s="24">
        <v>50000</v>
      </c>
      <c r="O155" s="48" t="s">
        <v>97</v>
      </c>
      <c r="P155" s="48">
        <f>HEX2DEC(RIGHT(Table1323212714[[#This Row],[h1]],8))</f>
        <v>0</v>
      </c>
      <c r="Q155" s="48" t="s">
        <v>97</v>
      </c>
      <c r="R155" s="48">
        <f>HEX2DEC(RIGHT(Table1323212714[[#This Row],[h2]],8))</f>
        <v>0</v>
      </c>
    </row>
    <row r="156" spans="1:18" x14ac:dyDescent="0.3">
      <c r="A156" s="15" t="str">
        <f t="shared" si="7"/>
        <v>092</v>
      </c>
      <c r="B156" s="15">
        <v>146</v>
      </c>
      <c r="C156" s="42"/>
      <c r="D156" s="15" t="s">
        <v>108</v>
      </c>
      <c r="G156" s="33">
        <v>0</v>
      </c>
      <c r="J156" s="24">
        <v>50000</v>
      </c>
      <c r="M156" s="24">
        <v>50000</v>
      </c>
      <c r="O156" s="48" t="s">
        <v>97</v>
      </c>
      <c r="P156" s="48">
        <f>HEX2DEC(RIGHT(Table1323212714[[#This Row],[h1]],8))</f>
        <v>0</v>
      </c>
      <c r="Q156" s="48" t="s">
        <v>97</v>
      </c>
      <c r="R156" s="48">
        <f>HEX2DEC(RIGHT(Table1323212714[[#This Row],[h2]],8))</f>
        <v>0</v>
      </c>
    </row>
    <row r="157" spans="1:18" x14ac:dyDescent="0.3">
      <c r="A157" s="15" t="str">
        <f t="shared" si="7"/>
        <v>093</v>
      </c>
      <c r="B157" s="15">
        <v>147</v>
      </c>
      <c r="C157" s="42"/>
      <c r="D157" s="15" t="s">
        <v>109</v>
      </c>
      <c r="G157" s="33">
        <v>1</v>
      </c>
      <c r="J157" s="24">
        <v>50000</v>
      </c>
      <c r="M157" s="24">
        <v>50000</v>
      </c>
      <c r="O157" s="48" t="s">
        <v>97</v>
      </c>
      <c r="P157" s="48">
        <f>HEX2DEC(RIGHT(Table1323212714[[#This Row],[h1]],8))</f>
        <v>0</v>
      </c>
      <c r="Q157" s="48" t="s">
        <v>97</v>
      </c>
      <c r="R157" s="48">
        <f>HEX2DEC(RIGHT(Table1323212714[[#This Row],[h2]],8))</f>
        <v>0</v>
      </c>
    </row>
    <row r="158" spans="1:18" x14ac:dyDescent="0.3">
      <c r="A158" s="15" t="str">
        <f t="shared" si="7"/>
        <v>094</v>
      </c>
      <c r="B158" s="15">
        <v>148</v>
      </c>
      <c r="C158" s="42"/>
      <c r="D158" s="15" t="s">
        <v>110</v>
      </c>
      <c r="G158" s="33">
        <v>1</v>
      </c>
      <c r="J158" s="24">
        <v>50000</v>
      </c>
      <c r="M158" s="24">
        <v>50000</v>
      </c>
      <c r="O158" s="48" t="s">
        <v>97</v>
      </c>
      <c r="P158" s="48">
        <f>HEX2DEC(RIGHT(Table1323212714[[#This Row],[h1]],8))</f>
        <v>0</v>
      </c>
      <c r="Q158" s="48" t="s">
        <v>97</v>
      </c>
      <c r="R158" s="48">
        <f>HEX2DEC(RIGHT(Table1323212714[[#This Row],[h2]],8))</f>
        <v>0</v>
      </c>
    </row>
    <row r="159" spans="1:18" x14ac:dyDescent="0.3">
      <c r="A159" s="15" t="str">
        <f t="shared" si="7"/>
        <v>095</v>
      </c>
      <c r="B159" s="15">
        <v>149</v>
      </c>
      <c r="C159" s="42"/>
      <c r="D159" s="15" t="s">
        <v>111</v>
      </c>
      <c r="G159" s="33">
        <v>1</v>
      </c>
      <c r="J159" s="24">
        <v>50000</v>
      </c>
      <c r="M159" s="24">
        <v>50000</v>
      </c>
      <c r="O159" s="48" t="s">
        <v>97</v>
      </c>
      <c r="P159" s="48">
        <f>HEX2DEC(RIGHT(Table1323212714[[#This Row],[h1]],8))</f>
        <v>0</v>
      </c>
      <c r="Q159" s="48" t="s">
        <v>97</v>
      </c>
      <c r="R159" s="48">
        <f>HEX2DEC(RIGHT(Table1323212714[[#This Row],[h2]],8))</f>
        <v>0</v>
      </c>
    </row>
    <row r="160" spans="1:18" x14ac:dyDescent="0.3">
      <c r="A160" s="15" t="str">
        <f t="shared" si="7"/>
        <v>096</v>
      </c>
      <c r="B160" s="15">
        <v>150</v>
      </c>
      <c r="C160" s="42"/>
      <c r="E160" s="16"/>
      <c r="F160" s="16"/>
      <c r="G160" s="39" t="s">
        <v>106</v>
      </c>
      <c r="J160" s="24">
        <v>50000</v>
      </c>
      <c r="M160" s="24">
        <v>50000</v>
      </c>
      <c r="O160" s="48" t="s">
        <v>97</v>
      </c>
      <c r="P160" s="48">
        <f>HEX2DEC(RIGHT(Table1323212714[[#This Row],[h1]],8))</f>
        <v>0</v>
      </c>
      <c r="Q160" s="48" t="s">
        <v>97</v>
      </c>
      <c r="R160" s="48">
        <f>HEX2DEC(RIGHT(Table1323212714[[#This Row],[h2]],8))</f>
        <v>0</v>
      </c>
    </row>
    <row r="161" spans="1:18" x14ac:dyDescent="0.3">
      <c r="A161" s="15" t="str">
        <f t="shared" si="7"/>
        <v>097</v>
      </c>
      <c r="B161" s="15">
        <v>151</v>
      </c>
      <c r="C161" s="42"/>
      <c r="J161" s="24">
        <v>50000</v>
      </c>
      <c r="M161" s="24">
        <v>50000</v>
      </c>
      <c r="O161" s="48" t="s">
        <v>97</v>
      </c>
      <c r="P161" s="48">
        <f>HEX2DEC(RIGHT(Table1323212714[[#This Row],[h1]],8))</f>
        <v>0</v>
      </c>
      <c r="Q161" s="48" t="s">
        <v>97</v>
      </c>
      <c r="R161" s="48">
        <f>HEX2DEC(RIGHT(Table1323212714[[#This Row],[h2]],8))</f>
        <v>0</v>
      </c>
    </row>
    <row r="162" spans="1:18" x14ac:dyDescent="0.3">
      <c r="A162" s="15" t="str">
        <f t="shared" si="7"/>
        <v>098</v>
      </c>
      <c r="B162" s="15">
        <v>152</v>
      </c>
      <c r="C162" s="42"/>
      <c r="J162" s="24">
        <v>50000</v>
      </c>
      <c r="M162" s="24">
        <v>50000</v>
      </c>
      <c r="O162" s="48" t="s">
        <v>97</v>
      </c>
      <c r="P162" s="48">
        <f>HEX2DEC(RIGHT(Table1323212714[[#This Row],[h1]],8))</f>
        <v>0</v>
      </c>
      <c r="Q162" s="48" t="s">
        <v>97</v>
      </c>
      <c r="R162" s="48">
        <f>HEX2DEC(RIGHT(Table1323212714[[#This Row],[h2]],8))</f>
        <v>0</v>
      </c>
    </row>
    <row r="163" spans="1:18" x14ac:dyDescent="0.3">
      <c r="A163" s="15" t="str">
        <f t="shared" si="7"/>
        <v>099</v>
      </c>
      <c r="B163" s="15">
        <v>153</v>
      </c>
      <c r="C163" s="40"/>
      <c r="D163" s="43" t="s">
        <v>645</v>
      </c>
      <c r="E163" s="38"/>
      <c r="F163" s="38"/>
      <c r="G163" s="38"/>
      <c r="J163" s="24">
        <v>50000</v>
      </c>
      <c r="M163" s="24">
        <v>50000</v>
      </c>
      <c r="O163" s="48" t="s">
        <v>97</v>
      </c>
      <c r="P163" s="48">
        <f>HEX2DEC(RIGHT(Table1323212714[[#This Row],[h1]],8))</f>
        <v>0</v>
      </c>
      <c r="Q163" s="48" t="s">
        <v>97</v>
      </c>
      <c r="R163" s="48">
        <f>HEX2DEC(RIGHT(Table1323212714[[#This Row],[h2]],8))</f>
        <v>0</v>
      </c>
    </row>
    <row r="164" spans="1:18" x14ac:dyDescent="0.3">
      <c r="A164" s="15" t="str">
        <f t="shared" si="7"/>
        <v>09A</v>
      </c>
      <c r="B164" s="15">
        <v>154</v>
      </c>
      <c r="C164" s="42"/>
      <c r="E164" s="15">
        <v>125000000</v>
      </c>
      <c r="G164" s="33"/>
      <c r="J164" s="24">
        <v>50000</v>
      </c>
      <c r="M164" s="24">
        <v>50000</v>
      </c>
      <c r="O164" s="48" t="s">
        <v>97</v>
      </c>
      <c r="P164" s="48">
        <f>HEX2DEC(RIGHT(Table1323212714[[#This Row],[h1]],8))</f>
        <v>0</v>
      </c>
      <c r="Q164" s="48" t="s">
        <v>97</v>
      </c>
      <c r="R164" s="48">
        <f>HEX2DEC(RIGHT(Table1323212714[[#This Row],[h2]],8))</f>
        <v>0</v>
      </c>
    </row>
    <row r="165" spans="1:18" x14ac:dyDescent="0.3">
      <c r="A165" s="15" t="str">
        <f t="shared" si="7"/>
        <v>09B</v>
      </c>
      <c r="B165" s="15">
        <v>155</v>
      </c>
      <c r="C165" s="42"/>
      <c r="D165" s="15" t="s">
        <v>292</v>
      </c>
      <c r="E165" s="52">
        <v>1</v>
      </c>
      <c r="F165" s="53">
        <v>0</v>
      </c>
      <c r="G16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62499999</v>
      </c>
      <c r="J165" s="24">
        <v>50000</v>
      </c>
      <c r="M165" s="24">
        <v>50000</v>
      </c>
      <c r="O165" s="48" t="s">
        <v>97</v>
      </c>
      <c r="P165" s="48">
        <f>HEX2DEC(RIGHT(Table1323212714[[#This Row],[h1]],8))</f>
        <v>0</v>
      </c>
      <c r="Q165" s="48" t="s">
        <v>97</v>
      </c>
      <c r="R165" s="48">
        <f>HEX2DEC(RIGHT(Table1323212714[[#This Row],[h2]],8))</f>
        <v>0</v>
      </c>
    </row>
    <row r="166" spans="1:18" x14ac:dyDescent="0.3">
      <c r="A166" s="15" t="str">
        <f t="shared" si="7"/>
        <v>09C</v>
      </c>
      <c r="B166" s="15">
        <v>156</v>
      </c>
      <c r="C166" s="42"/>
      <c r="D166" s="15" t="s">
        <v>293</v>
      </c>
      <c r="E166" s="52">
        <v>10</v>
      </c>
      <c r="F166" s="53">
        <v>1</v>
      </c>
      <c r="G16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6249999</v>
      </c>
      <c r="J166" s="24">
        <v>50000</v>
      </c>
      <c r="M166" s="24">
        <v>50000</v>
      </c>
      <c r="O166" s="48" t="s">
        <v>97</v>
      </c>
      <c r="P166" s="48">
        <f>HEX2DEC(RIGHT(Table1323212714[[#This Row],[h1]],8))</f>
        <v>0</v>
      </c>
      <c r="Q166" s="48" t="s">
        <v>97</v>
      </c>
      <c r="R166" s="48">
        <f>HEX2DEC(RIGHT(Table1323212714[[#This Row],[h2]],8))</f>
        <v>0</v>
      </c>
    </row>
    <row r="167" spans="1:18" x14ac:dyDescent="0.3">
      <c r="A167" s="15" t="str">
        <f t="shared" si="7"/>
        <v>09D</v>
      </c>
      <c r="B167" s="15">
        <v>157</v>
      </c>
      <c r="C167" s="42"/>
      <c r="D167" s="15" t="s">
        <v>294</v>
      </c>
      <c r="E167" s="52">
        <v>100</v>
      </c>
      <c r="F167" s="53">
        <v>2</v>
      </c>
      <c r="G16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624999</v>
      </c>
      <c r="J167" s="24">
        <v>50000</v>
      </c>
      <c r="M167" s="24">
        <v>50000</v>
      </c>
      <c r="O167" s="48" t="s">
        <v>97</v>
      </c>
      <c r="P167" s="48">
        <f>HEX2DEC(RIGHT(Table1323212714[[#This Row],[h1]],8))</f>
        <v>0</v>
      </c>
      <c r="Q167" s="48" t="s">
        <v>97</v>
      </c>
      <c r="R167" s="48">
        <f>HEX2DEC(RIGHT(Table1323212714[[#This Row],[h2]],8))</f>
        <v>0</v>
      </c>
    </row>
    <row r="168" spans="1:18" x14ac:dyDescent="0.3">
      <c r="A168" s="15" t="str">
        <f t="shared" si="7"/>
        <v>09E</v>
      </c>
      <c r="B168" s="15">
        <v>158</v>
      </c>
      <c r="C168" s="42"/>
      <c r="D168" s="15" t="s">
        <v>295</v>
      </c>
      <c r="E168" s="52">
        <v>1000</v>
      </c>
      <c r="F168" s="53">
        <v>3</v>
      </c>
      <c r="G16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62499</v>
      </c>
      <c r="J168" s="24">
        <v>50000</v>
      </c>
      <c r="M168" s="24">
        <v>50000</v>
      </c>
      <c r="O168" s="48" t="s">
        <v>97</v>
      </c>
      <c r="P168" s="48">
        <f>HEX2DEC(RIGHT(Table1323212714[[#This Row],[h1]],8))</f>
        <v>0</v>
      </c>
      <c r="Q168" s="48" t="s">
        <v>97</v>
      </c>
      <c r="R168" s="48">
        <f>HEX2DEC(RIGHT(Table1323212714[[#This Row],[h2]],8))</f>
        <v>0</v>
      </c>
    </row>
    <row r="169" spans="1:18" x14ac:dyDescent="0.3">
      <c r="A169" s="15" t="str">
        <f t="shared" si="7"/>
        <v>09F</v>
      </c>
      <c r="B169" s="15">
        <v>159</v>
      </c>
      <c r="C169" s="42"/>
      <c r="D169" s="15" t="s">
        <v>296</v>
      </c>
      <c r="E169" s="52">
        <v>10000</v>
      </c>
      <c r="F169" s="53">
        <v>4</v>
      </c>
      <c r="G169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6249</v>
      </c>
      <c r="J169" s="24">
        <v>50000</v>
      </c>
      <c r="M169" s="24">
        <v>50000</v>
      </c>
      <c r="O169" s="48" t="s">
        <v>97</v>
      </c>
      <c r="P169" s="48">
        <f>HEX2DEC(RIGHT(Table1323212714[[#This Row],[h1]],8))</f>
        <v>0</v>
      </c>
      <c r="Q169" s="48" t="s">
        <v>97</v>
      </c>
      <c r="R169" s="48">
        <f>HEX2DEC(RIGHT(Table1323212714[[#This Row],[h2]],8))</f>
        <v>0</v>
      </c>
    </row>
    <row r="170" spans="1:18" x14ac:dyDescent="0.3">
      <c r="A170" s="15" t="str">
        <f t="shared" si="7"/>
        <v>0A0</v>
      </c>
      <c r="B170" s="15">
        <v>160</v>
      </c>
      <c r="C170" s="42"/>
      <c r="D170" s="15" t="s">
        <v>297</v>
      </c>
      <c r="E170" s="52">
        <v>100000</v>
      </c>
      <c r="F170" s="53">
        <v>5</v>
      </c>
      <c r="G170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624</v>
      </c>
      <c r="J170" s="24">
        <v>50000</v>
      </c>
      <c r="M170" s="24">
        <v>50000</v>
      </c>
      <c r="O170" s="48" t="s">
        <v>97</v>
      </c>
      <c r="P170" s="48">
        <f>HEX2DEC(RIGHT(Table1323212714[[#This Row],[h1]],8))</f>
        <v>0</v>
      </c>
      <c r="Q170" s="48" t="s">
        <v>97</v>
      </c>
      <c r="R170" s="48">
        <f>HEX2DEC(RIGHT(Table1323212714[[#This Row],[h2]],8))</f>
        <v>0</v>
      </c>
    </row>
    <row r="171" spans="1:18" x14ac:dyDescent="0.3">
      <c r="A171" s="15" t="str">
        <f t="shared" si="7"/>
        <v>0A1</v>
      </c>
      <c r="B171" s="15">
        <v>161</v>
      </c>
      <c r="C171" s="42"/>
      <c r="D171" s="15" t="s">
        <v>298</v>
      </c>
      <c r="E171" s="52">
        <v>200000</v>
      </c>
      <c r="F171" s="53">
        <v>6</v>
      </c>
      <c r="G171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311.5</v>
      </c>
      <c r="J171" s="24">
        <v>50000</v>
      </c>
      <c r="M171" s="24">
        <v>50000</v>
      </c>
      <c r="O171" s="48" t="s">
        <v>97</v>
      </c>
      <c r="P171" s="48">
        <f>HEX2DEC(RIGHT(Table1323212714[[#This Row],[h1]],8))</f>
        <v>0</v>
      </c>
      <c r="Q171" s="48" t="s">
        <v>97</v>
      </c>
      <c r="R171" s="48">
        <f>HEX2DEC(RIGHT(Table1323212714[[#This Row],[h2]],8))</f>
        <v>0</v>
      </c>
    </row>
    <row r="172" spans="1:18" x14ac:dyDescent="0.3">
      <c r="A172" s="15" t="str">
        <f t="shared" si="7"/>
        <v>0A2</v>
      </c>
      <c r="B172" s="15">
        <v>162</v>
      </c>
      <c r="C172" s="42"/>
      <c r="D172" s="15" t="s">
        <v>299</v>
      </c>
      <c r="E172" s="52">
        <v>300000</v>
      </c>
      <c r="F172" s="53">
        <v>7</v>
      </c>
      <c r="G172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207.33333333333334</v>
      </c>
      <c r="J172" s="24">
        <v>50000</v>
      </c>
      <c r="M172" s="24">
        <v>50000</v>
      </c>
      <c r="O172" s="48" t="s">
        <v>97</v>
      </c>
      <c r="P172" s="48">
        <f>HEX2DEC(RIGHT(Table1323212714[[#This Row],[h1]],8))</f>
        <v>0</v>
      </c>
      <c r="Q172" s="48" t="s">
        <v>97</v>
      </c>
      <c r="R172" s="48">
        <f>HEX2DEC(RIGHT(Table1323212714[[#This Row],[h2]],8))</f>
        <v>0</v>
      </c>
    </row>
    <row r="173" spans="1:18" x14ac:dyDescent="0.3">
      <c r="A173" s="15" t="str">
        <f t="shared" si="7"/>
        <v>0A3</v>
      </c>
      <c r="B173" s="15">
        <v>163</v>
      </c>
      <c r="C173" s="42"/>
      <c r="D173" s="15" t="s">
        <v>300</v>
      </c>
      <c r="E173" s="52">
        <v>400000</v>
      </c>
      <c r="F173" s="53">
        <v>8</v>
      </c>
      <c r="G173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155.25</v>
      </c>
      <c r="J173" s="24">
        <v>50000</v>
      </c>
      <c r="M173" s="24">
        <v>50000</v>
      </c>
      <c r="O173" s="48" t="s">
        <v>97</v>
      </c>
      <c r="P173" s="48">
        <f>HEX2DEC(RIGHT(Table1323212714[[#This Row],[h1]],8))</f>
        <v>0</v>
      </c>
      <c r="Q173" s="48" t="s">
        <v>97</v>
      </c>
      <c r="R173" s="48">
        <f>HEX2DEC(RIGHT(Table1323212714[[#This Row],[h2]],8))</f>
        <v>0</v>
      </c>
    </row>
    <row r="174" spans="1:18" x14ac:dyDescent="0.3">
      <c r="A174" s="15" t="str">
        <f t="shared" si="7"/>
        <v>0A4</v>
      </c>
      <c r="B174" s="15">
        <v>164</v>
      </c>
      <c r="C174" s="42"/>
      <c r="D174" s="15" t="s">
        <v>301</v>
      </c>
      <c r="E174" s="52">
        <v>500000</v>
      </c>
      <c r="F174" s="53">
        <v>9</v>
      </c>
      <c r="G174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124</v>
      </c>
      <c r="J174" s="24">
        <v>50000</v>
      </c>
      <c r="M174" s="24">
        <v>50000</v>
      </c>
      <c r="O174" s="48" t="s">
        <v>97</v>
      </c>
      <c r="P174" s="48">
        <f>HEX2DEC(RIGHT(Table1323212714[[#This Row],[h1]],8))</f>
        <v>0</v>
      </c>
      <c r="Q174" s="48" t="s">
        <v>97</v>
      </c>
      <c r="R174" s="48">
        <f>HEX2DEC(RIGHT(Table1323212714[[#This Row],[h2]],8))</f>
        <v>0</v>
      </c>
    </row>
    <row r="175" spans="1:18" x14ac:dyDescent="0.3">
      <c r="A175" s="15" t="str">
        <f t="shared" si="7"/>
        <v>0A5</v>
      </c>
      <c r="B175" s="15">
        <v>165</v>
      </c>
      <c r="C175" s="42"/>
      <c r="D175" s="15" t="s">
        <v>302</v>
      </c>
      <c r="E175" s="52">
        <v>600000</v>
      </c>
      <c r="F175" s="53">
        <v>10</v>
      </c>
      <c r="G175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103.16666666666667</v>
      </c>
      <c r="J175" s="24">
        <v>50000</v>
      </c>
      <c r="M175" s="24">
        <v>50000</v>
      </c>
      <c r="O175" s="48" t="s">
        <v>97</v>
      </c>
      <c r="P175" s="48">
        <f>HEX2DEC(RIGHT(Table1323212714[[#This Row],[h1]],8))</f>
        <v>0</v>
      </c>
      <c r="Q175" s="48" t="s">
        <v>97</v>
      </c>
      <c r="R175" s="48">
        <f>HEX2DEC(RIGHT(Table1323212714[[#This Row],[h2]],8))</f>
        <v>0</v>
      </c>
    </row>
    <row r="176" spans="1:18" x14ac:dyDescent="0.3">
      <c r="A176" s="15" t="str">
        <f t="shared" si="7"/>
        <v>0A6</v>
      </c>
      <c r="B176" s="15">
        <v>166</v>
      </c>
      <c r="C176" s="42"/>
      <c r="D176" s="15" t="s">
        <v>303</v>
      </c>
      <c r="E176" s="52">
        <v>700000</v>
      </c>
      <c r="F176" s="53">
        <v>11</v>
      </c>
      <c r="G176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88.285714285714292</v>
      </c>
      <c r="J176" s="24">
        <v>50000</v>
      </c>
      <c r="M176" s="24">
        <v>50000</v>
      </c>
      <c r="O176" s="48" t="s">
        <v>97</v>
      </c>
      <c r="P176" s="48">
        <f>HEX2DEC(RIGHT(Table1323212714[[#This Row],[h1]],8))</f>
        <v>0</v>
      </c>
      <c r="Q176" s="48" t="s">
        <v>97</v>
      </c>
      <c r="R176" s="48">
        <f>HEX2DEC(RIGHT(Table1323212714[[#This Row],[h2]],8))</f>
        <v>0</v>
      </c>
    </row>
    <row r="177" spans="1:18" x14ac:dyDescent="0.3">
      <c r="A177" s="15" t="str">
        <f t="shared" si="7"/>
        <v>0A7</v>
      </c>
      <c r="B177" s="15">
        <v>167</v>
      </c>
      <c r="C177" s="42"/>
      <c r="D177" s="15" t="s">
        <v>304</v>
      </c>
      <c r="E177" s="52">
        <v>800000</v>
      </c>
      <c r="F177" s="53">
        <v>12</v>
      </c>
      <c r="G177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77.125</v>
      </c>
      <c r="J177" s="24">
        <v>50000</v>
      </c>
      <c r="M177" s="24">
        <v>50000</v>
      </c>
      <c r="O177" s="48" t="s">
        <v>97</v>
      </c>
      <c r="P177" s="48">
        <f>HEX2DEC(RIGHT(Table1323212714[[#This Row],[h1]],8))</f>
        <v>0</v>
      </c>
      <c r="Q177" s="48" t="s">
        <v>97</v>
      </c>
      <c r="R177" s="48">
        <f>HEX2DEC(RIGHT(Table1323212714[[#This Row],[h2]],8))</f>
        <v>0</v>
      </c>
    </row>
    <row r="178" spans="1:18" x14ac:dyDescent="0.3">
      <c r="A178" s="15" t="str">
        <f t="shared" si="7"/>
        <v>0A8</v>
      </c>
      <c r="B178" s="15">
        <v>168</v>
      </c>
      <c r="C178" s="42"/>
      <c r="D178" s="15" t="s">
        <v>305</v>
      </c>
      <c r="E178" s="52">
        <v>900000</v>
      </c>
      <c r="F178" s="53">
        <v>13</v>
      </c>
      <c r="G178" s="23">
        <f>IF(IF(Table13192512[[#This Row],[value]]="",Table13192512[[#This Row],[dec val]],1/(2*Table13192512[[#This Row],[value]])*$E$164-1)&lt;0,0,IF(Table13192512[[#This Row],[value]]="",Table13192512[[#This Row],[dec val]],1/(2*Table13192512[[#This Row],[value]])*$E$164-1))</f>
        <v>68.444444444444443</v>
      </c>
      <c r="J178" s="24">
        <v>50000</v>
      </c>
      <c r="M178" s="24">
        <v>50000</v>
      </c>
      <c r="O178" s="48" t="s">
        <v>97</v>
      </c>
      <c r="P178" s="48">
        <f>HEX2DEC(RIGHT(Table1323212714[[#This Row],[h1]],8))</f>
        <v>0</v>
      </c>
      <c r="Q178" s="48" t="s">
        <v>97</v>
      </c>
      <c r="R178" s="48">
        <f>HEX2DEC(RIGHT(Table1323212714[[#This Row],[h2]],8))</f>
        <v>0</v>
      </c>
    </row>
    <row r="179" spans="1:18" x14ac:dyDescent="0.3">
      <c r="A179" s="15" t="str">
        <f t="shared" si="7"/>
        <v>0A9</v>
      </c>
      <c r="B179" s="15">
        <v>169</v>
      </c>
      <c r="C179" s="42"/>
      <c r="E179" s="25"/>
      <c r="F179" s="22"/>
      <c r="G179" s="23"/>
      <c r="J179" s="24">
        <v>50000</v>
      </c>
      <c r="M179" s="24">
        <v>50000</v>
      </c>
      <c r="O179" s="48" t="s">
        <v>97</v>
      </c>
      <c r="P179" s="48">
        <f>HEX2DEC(RIGHT(Table1323212714[[#This Row],[h1]],8))</f>
        <v>0</v>
      </c>
      <c r="Q179" s="48" t="s">
        <v>97</v>
      </c>
      <c r="R179" s="48">
        <f>HEX2DEC(RIGHT(Table1323212714[[#This Row],[h2]],8))</f>
        <v>0</v>
      </c>
    </row>
    <row r="180" spans="1:18" x14ac:dyDescent="0.3">
      <c r="A180" s="15" t="str">
        <f t="shared" si="7"/>
        <v>0AA</v>
      </c>
      <c r="B180" s="15">
        <v>170</v>
      </c>
      <c r="C180" s="42"/>
      <c r="D180" s="15" t="s">
        <v>306</v>
      </c>
      <c r="G180" s="48" t="s">
        <v>42</v>
      </c>
      <c r="J180" s="24">
        <v>50000</v>
      </c>
      <c r="M180" s="24">
        <v>50000</v>
      </c>
      <c r="O180" s="48" t="s">
        <v>97</v>
      </c>
      <c r="P180" s="48">
        <f>HEX2DEC(RIGHT(Table1323212714[[#This Row],[h1]],8))</f>
        <v>0</v>
      </c>
      <c r="Q180" s="48" t="s">
        <v>97</v>
      </c>
      <c r="R180" s="48">
        <f>HEX2DEC(RIGHT(Table1323212714[[#This Row],[h2]],8))</f>
        <v>0</v>
      </c>
    </row>
    <row r="181" spans="1:18" x14ac:dyDescent="0.3">
      <c r="A181" s="15" t="str">
        <f t="shared" si="7"/>
        <v>0AB</v>
      </c>
      <c r="B181" s="15">
        <v>171</v>
      </c>
      <c r="C181" s="42"/>
      <c r="D181" s="15" t="s">
        <v>307</v>
      </c>
      <c r="G181" s="48" t="s">
        <v>42</v>
      </c>
      <c r="J181" s="24">
        <v>50000</v>
      </c>
      <c r="M181" s="24">
        <v>50000</v>
      </c>
      <c r="O181" s="48" t="s">
        <v>97</v>
      </c>
      <c r="P181" s="48">
        <f>HEX2DEC(RIGHT(Table1323212714[[#This Row],[h1]],8))</f>
        <v>0</v>
      </c>
      <c r="Q181" s="48" t="s">
        <v>97</v>
      </c>
      <c r="R181" s="48">
        <f>HEX2DEC(RIGHT(Table1323212714[[#This Row],[h2]],8))</f>
        <v>0</v>
      </c>
    </row>
    <row r="182" spans="1:18" x14ac:dyDescent="0.3">
      <c r="A182" s="15" t="str">
        <f t="shared" si="7"/>
        <v>0AC</v>
      </c>
      <c r="B182" s="15">
        <v>172</v>
      </c>
      <c r="C182" s="42"/>
      <c r="D182" s="15" t="s">
        <v>308</v>
      </c>
      <c r="G182" s="48" t="s">
        <v>42</v>
      </c>
      <c r="J182" s="24">
        <v>50000</v>
      </c>
      <c r="M182" s="24">
        <v>50000</v>
      </c>
      <c r="O182" s="48" t="s">
        <v>97</v>
      </c>
      <c r="P182" s="48">
        <f>HEX2DEC(RIGHT(Table1323212714[[#This Row],[h1]],8))</f>
        <v>0</v>
      </c>
      <c r="Q182" s="48" t="s">
        <v>97</v>
      </c>
      <c r="R182" s="48">
        <f>HEX2DEC(RIGHT(Table1323212714[[#This Row],[h2]],8))</f>
        <v>0</v>
      </c>
    </row>
    <row r="183" spans="1:18" x14ac:dyDescent="0.3">
      <c r="A183" s="15" t="str">
        <f t="shared" si="7"/>
        <v>0AD</v>
      </c>
      <c r="B183" s="15">
        <v>173</v>
      </c>
      <c r="C183" s="42"/>
      <c r="D183" s="15" t="s">
        <v>309</v>
      </c>
      <c r="G183" s="48" t="s">
        <v>42</v>
      </c>
      <c r="J183" s="24">
        <v>50000</v>
      </c>
      <c r="M183" s="24">
        <v>50000</v>
      </c>
      <c r="O183" s="48" t="s">
        <v>97</v>
      </c>
      <c r="P183" s="48">
        <f>HEX2DEC(RIGHT(Table1323212714[[#This Row],[h1]],8))</f>
        <v>0</v>
      </c>
      <c r="Q183" s="48" t="s">
        <v>97</v>
      </c>
      <c r="R183" s="48">
        <f>HEX2DEC(RIGHT(Table1323212714[[#This Row],[h2]],8))</f>
        <v>0</v>
      </c>
    </row>
    <row r="184" spans="1:18" x14ac:dyDescent="0.3">
      <c r="A184" s="15" t="str">
        <f t="shared" si="7"/>
        <v>0AE</v>
      </c>
      <c r="B184" s="15">
        <v>174</v>
      </c>
      <c r="C184" s="42"/>
      <c r="D184" s="15" t="s">
        <v>310</v>
      </c>
      <c r="G184" s="48" t="s">
        <v>42</v>
      </c>
      <c r="J184" s="24">
        <v>50000</v>
      </c>
      <c r="M184" s="24">
        <v>50000</v>
      </c>
      <c r="O184" s="48" t="s">
        <v>97</v>
      </c>
      <c r="P184" s="48">
        <f>HEX2DEC(RIGHT(Table1323212714[[#This Row],[h1]],8))</f>
        <v>0</v>
      </c>
      <c r="Q184" s="48" t="s">
        <v>97</v>
      </c>
      <c r="R184" s="48">
        <f>HEX2DEC(RIGHT(Table1323212714[[#This Row],[h2]],8))</f>
        <v>0</v>
      </c>
    </row>
    <row r="185" spans="1:18" x14ac:dyDescent="0.3">
      <c r="A185" s="15" t="str">
        <f t="shared" si="7"/>
        <v>0AF</v>
      </c>
      <c r="B185" s="15">
        <v>175</v>
      </c>
      <c r="C185" s="42"/>
      <c r="D185" s="15" t="s">
        <v>311</v>
      </c>
      <c r="G185" s="48" t="s">
        <v>42</v>
      </c>
      <c r="J185" s="24">
        <v>50000</v>
      </c>
      <c r="M185" s="24">
        <v>50000</v>
      </c>
      <c r="O185" s="48" t="s">
        <v>97</v>
      </c>
      <c r="P185" s="48">
        <f>HEX2DEC(RIGHT(Table1323212714[[#This Row],[h1]],8))</f>
        <v>0</v>
      </c>
      <c r="Q185" s="48" t="s">
        <v>97</v>
      </c>
      <c r="R185" s="48">
        <f>HEX2DEC(RIGHT(Table1323212714[[#This Row],[h2]],8))</f>
        <v>0</v>
      </c>
    </row>
    <row r="186" spans="1:18" x14ac:dyDescent="0.3">
      <c r="A186" s="15" t="str">
        <f t="shared" si="7"/>
        <v>0B0</v>
      </c>
      <c r="B186" s="15">
        <v>176</v>
      </c>
      <c r="C186" s="42"/>
      <c r="D186" s="15" t="s">
        <v>312</v>
      </c>
      <c r="G186" s="48" t="s">
        <v>42</v>
      </c>
      <c r="J186" s="24">
        <v>50000</v>
      </c>
      <c r="M186" s="24">
        <v>50000</v>
      </c>
      <c r="O186" s="48" t="s">
        <v>97</v>
      </c>
      <c r="P186" s="48">
        <f>HEX2DEC(RIGHT(Table1323212714[[#This Row],[h1]],8))</f>
        <v>0</v>
      </c>
      <c r="Q186" s="48" t="s">
        <v>97</v>
      </c>
      <c r="R186" s="48">
        <f>HEX2DEC(RIGHT(Table1323212714[[#This Row],[h2]],8))</f>
        <v>0</v>
      </c>
    </row>
    <row r="187" spans="1:18" x14ac:dyDescent="0.3">
      <c r="A187" s="15" t="str">
        <f t="shared" si="7"/>
        <v>0B1</v>
      </c>
      <c r="B187" s="15">
        <v>177</v>
      </c>
      <c r="C187" s="42"/>
      <c r="D187" s="15" t="s">
        <v>313</v>
      </c>
      <c r="G187" s="48" t="s">
        <v>42</v>
      </c>
      <c r="J187" s="24">
        <v>50000</v>
      </c>
      <c r="M187" s="24">
        <v>50000</v>
      </c>
      <c r="O187" s="48" t="s">
        <v>97</v>
      </c>
      <c r="P187" s="48">
        <f>HEX2DEC(RIGHT(Table1323212714[[#This Row],[h1]],8))</f>
        <v>0</v>
      </c>
      <c r="Q187" s="48" t="s">
        <v>97</v>
      </c>
      <c r="R187" s="48">
        <f>HEX2DEC(RIGHT(Table1323212714[[#This Row],[h2]],8))</f>
        <v>0</v>
      </c>
    </row>
    <row r="188" spans="1:18" x14ac:dyDescent="0.3">
      <c r="A188" s="15" t="str">
        <f t="shared" si="7"/>
        <v>0B2</v>
      </c>
      <c r="B188" s="15">
        <v>178</v>
      </c>
      <c r="C188" s="42"/>
      <c r="G188" s="48"/>
      <c r="J188" s="24">
        <v>50000</v>
      </c>
      <c r="M188" s="24">
        <v>50000</v>
      </c>
      <c r="O188" s="48" t="s">
        <v>97</v>
      </c>
      <c r="P188" s="48">
        <f>HEX2DEC(RIGHT(Table1323212714[[#This Row],[h1]],8))</f>
        <v>0</v>
      </c>
      <c r="Q188" s="48" t="s">
        <v>97</v>
      </c>
      <c r="R188" s="48">
        <f>HEX2DEC(RIGHT(Table1323212714[[#This Row],[h2]],8))</f>
        <v>0</v>
      </c>
    </row>
    <row r="189" spans="1:18" x14ac:dyDescent="0.3">
      <c r="A189" s="15" t="str">
        <f t="shared" si="7"/>
        <v>0B3</v>
      </c>
      <c r="B189" s="15">
        <v>179</v>
      </c>
      <c r="C189" s="42"/>
      <c r="D189" s="15" t="s">
        <v>314</v>
      </c>
      <c r="G189" s="48" t="s">
        <v>42</v>
      </c>
      <c r="J189" s="24">
        <v>50000</v>
      </c>
      <c r="M189" s="24">
        <v>50000</v>
      </c>
      <c r="O189" s="48" t="s">
        <v>97</v>
      </c>
      <c r="P189" s="48">
        <f>HEX2DEC(RIGHT(Table1323212714[[#This Row],[h1]],8))</f>
        <v>0</v>
      </c>
      <c r="Q189" s="48" t="s">
        <v>97</v>
      </c>
      <c r="R189" s="48">
        <f>HEX2DEC(RIGHT(Table1323212714[[#This Row],[h2]],8))</f>
        <v>0</v>
      </c>
    </row>
    <row r="190" spans="1:18" x14ac:dyDescent="0.3">
      <c r="A190" s="15" t="str">
        <f t="shared" si="7"/>
        <v>0B4</v>
      </c>
      <c r="B190" s="15">
        <v>180</v>
      </c>
      <c r="C190" s="42"/>
      <c r="D190" s="15" t="s">
        <v>315</v>
      </c>
      <c r="G190" s="48" t="s">
        <v>42</v>
      </c>
      <c r="J190" s="24">
        <v>50000</v>
      </c>
      <c r="M190" s="24">
        <v>50000</v>
      </c>
      <c r="O190" s="48" t="s">
        <v>97</v>
      </c>
      <c r="P190" s="48">
        <f>HEX2DEC(RIGHT(Table1323212714[[#This Row],[h1]],8))</f>
        <v>0</v>
      </c>
      <c r="Q190" s="48" t="s">
        <v>97</v>
      </c>
      <c r="R190" s="48">
        <f>HEX2DEC(RIGHT(Table1323212714[[#This Row],[h2]],8))</f>
        <v>0</v>
      </c>
    </row>
    <row r="191" spans="1:18" x14ac:dyDescent="0.3">
      <c r="A191" s="15" t="str">
        <f t="shared" si="7"/>
        <v>0B5</v>
      </c>
      <c r="B191" s="15">
        <v>181</v>
      </c>
      <c r="C191" s="42"/>
      <c r="D191" s="15" t="s">
        <v>316</v>
      </c>
      <c r="G191" s="48" t="s">
        <v>42</v>
      </c>
      <c r="J191" s="24">
        <v>50000</v>
      </c>
      <c r="M191" s="24">
        <v>50000</v>
      </c>
      <c r="O191" s="48" t="s">
        <v>97</v>
      </c>
      <c r="P191" s="48">
        <f>HEX2DEC(RIGHT(Table1323212714[[#This Row],[h1]],8))</f>
        <v>0</v>
      </c>
      <c r="Q191" s="48" t="s">
        <v>97</v>
      </c>
      <c r="R191" s="48">
        <f>HEX2DEC(RIGHT(Table1323212714[[#This Row],[h2]],8))</f>
        <v>0</v>
      </c>
    </row>
    <row r="192" spans="1:18" x14ac:dyDescent="0.3">
      <c r="A192" s="15" t="str">
        <f t="shared" si="7"/>
        <v>0B6</v>
      </c>
      <c r="B192" s="15">
        <v>182</v>
      </c>
      <c r="C192" s="42"/>
      <c r="D192" s="15" t="s">
        <v>317</v>
      </c>
      <c r="G192" s="48" t="s">
        <v>42</v>
      </c>
      <c r="J192" s="24">
        <v>50000</v>
      </c>
      <c r="M192" s="24">
        <v>50000</v>
      </c>
      <c r="O192" s="48" t="s">
        <v>97</v>
      </c>
      <c r="P192" s="48">
        <f>HEX2DEC(RIGHT(Table1323212714[[#This Row],[h1]],8))</f>
        <v>0</v>
      </c>
      <c r="Q192" s="48" t="s">
        <v>97</v>
      </c>
      <c r="R192" s="48">
        <f>HEX2DEC(RIGHT(Table1323212714[[#This Row],[h2]],8))</f>
        <v>0</v>
      </c>
    </row>
    <row r="193" spans="1:18" x14ac:dyDescent="0.3">
      <c r="A193" s="15" t="str">
        <f t="shared" si="7"/>
        <v>0B7</v>
      </c>
      <c r="B193" s="15">
        <v>183</v>
      </c>
      <c r="C193" s="42"/>
      <c r="D193" s="15" t="s">
        <v>318</v>
      </c>
      <c r="G193" s="48" t="s">
        <v>42</v>
      </c>
      <c r="J193" s="24">
        <v>50000</v>
      </c>
      <c r="M193" s="24">
        <v>50000</v>
      </c>
      <c r="O193" s="48" t="s">
        <v>97</v>
      </c>
      <c r="P193" s="48">
        <f>HEX2DEC(RIGHT(Table1323212714[[#This Row],[h1]],8))</f>
        <v>0</v>
      </c>
      <c r="Q193" s="48" t="s">
        <v>97</v>
      </c>
      <c r="R193" s="48">
        <f>HEX2DEC(RIGHT(Table1323212714[[#This Row],[h2]],8))</f>
        <v>0</v>
      </c>
    </row>
    <row r="194" spans="1:18" x14ac:dyDescent="0.3">
      <c r="A194" s="15" t="str">
        <f t="shared" si="7"/>
        <v>0B8</v>
      </c>
      <c r="B194" s="15">
        <v>184</v>
      </c>
      <c r="C194" s="42"/>
      <c r="D194" s="15" t="s">
        <v>319</v>
      </c>
      <c r="G194" s="48" t="s">
        <v>42</v>
      </c>
      <c r="J194" s="24">
        <v>50000</v>
      </c>
      <c r="M194" s="24">
        <v>50000</v>
      </c>
      <c r="O194" s="48" t="s">
        <v>97</v>
      </c>
      <c r="P194" s="48">
        <f>HEX2DEC(RIGHT(Table1323212714[[#This Row],[h1]],8))</f>
        <v>0</v>
      </c>
      <c r="Q194" s="48" t="s">
        <v>97</v>
      </c>
      <c r="R194" s="48">
        <f>HEX2DEC(RIGHT(Table1323212714[[#This Row],[h2]],8))</f>
        <v>0</v>
      </c>
    </row>
    <row r="195" spans="1:18" x14ac:dyDescent="0.3">
      <c r="A195" s="15" t="str">
        <f t="shared" si="7"/>
        <v>0B9</v>
      </c>
      <c r="B195" s="15">
        <v>185</v>
      </c>
      <c r="C195" s="42"/>
      <c r="D195" s="15" t="s">
        <v>320</v>
      </c>
      <c r="G195" s="48" t="s">
        <v>42</v>
      </c>
      <c r="J195" s="24">
        <v>50000</v>
      </c>
      <c r="M195" s="24">
        <v>50000</v>
      </c>
      <c r="O195" s="48" t="s">
        <v>97</v>
      </c>
      <c r="P195" s="48">
        <f>HEX2DEC(RIGHT(Table1323212714[[#This Row],[h1]],8))</f>
        <v>0</v>
      </c>
      <c r="Q195" s="48" t="s">
        <v>97</v>
      </c>
      <c r="R195" s="48">
        <f>HEX2DEC(RIGHT(Table1323212714[[#This Row],[h2]],8))</f>
        <v>0</v>
      </c>
    </row>
    <row r="196" spans="1:18" x14ac:dyDescent="0.3">
      <c r="A196" s="15" t="str">
        <f t="shared" si="7"/>
        <v>0BA</v>
      </c>
      <c r="B196" s="15">
        <v>186</v>
      </c>
      <c r="C196" s="42"/>
      <c r="D196" s="15" t="s">
        <v>321</v>
      </c>
      <c r="G196" s="48" t="s">
        <v>42</v>
      </c>
      <c r="J196" s="24">
        <v>50000</v>
      </c>
      <c r="M196" s="24">
        <v>50000</v>
      </c>
      <c r="O196" s="48" t="s">
        <v>97</v>
      </c>
      <c r="P196" s="48">
        <f>HEX2DEC(RIGHT(Table1323212714[[#This Row],[h1]],8))</f>
        <v>0</v>
      </c>
      <c r="Q196" s="48" t="s">
        <v>97</v>
      </c>
      <c r="R196" s="48">
        <f>HEX2DEC(RIGHT(Table1323212714[[#This Row],[h2]],8))</f>
        <v>0</v>
      </c>
    </row>
    <row r="197" spans="1:18" x14ac:dyDescent="0.3">
      <c r="A197" s="15" t="str">
        <f t="shared" si="7"/>
        <v>0BB</v>
      </c>
      <c r="B197" s="15">
        <v>187</v>
      </c>
      <c r="C197" s="42"/>
      <c r="D197" s="15" t="s">
        <v>322</v>
      </c>
      <c r="G197" s="48" t="s">
        <v>42</v>
      </c>
      <c r="J197" s="24">
        <v>50000</v>
      </c>
      <c r="M197" s="24">
        <v>50000</v>
      </c>
      <c r="O197" s="48" t="s">
        <v>97</v>
      </c>
      <c r="P197" s="48">
        <f>HEX2DEC(RIGHT(Table1323212714[[#This Row],[h1]],8))</f>
        <v>0</v>
      </c>
      <c r="Q197" s="48" t="s">
        <v>97</v>
      </c>
      <c r="R197" s="48">
        <f>HEX2DEC(RIGHT(Table1323212714[[#This Row],[h2]],8))</f>
        <v>0</v>
      </c>
    </row>
    <row r="198" spans="1:18" x14ac:dyDescent="0.3">
      <c r="A198" s="15" t="str">
        <f t="shared" si="7"/>
        <v>0BC</v>
      </c>
      <c r="B198" s="15">
        <v>188</v>
      </c>
      <c r="C198" s="42"/>
      <c r="D198" s="15" t="s">
        <v>323</v>
      </c>
      <c r="G198" s="48" t="s">
        <v>42</v>
      </c>
      <c r="J198" s="24">
        <v>50000</v>
      </c>
      <c r="M198" s="24">
        <v>50000</v>
      </c>
      <c r="O198" s="48" t="s">
        <v>97</v>
      </c>
      <c r="P198" s="48">
        <f>HEX2DEC(RIGHT(Table1323212714[[#This Row],[h1]],8))</f>
        <v>0</v>
      </c>
      <c r="Q198" s="48" t="s">
        <v>97</v>
      </c>
      <c r="R198" s="48">
        <f>HEX2DEC(RIGHT(Table1323212714[[#This Row],[h2]],8))</f>
        <v>0</v>
      </c>
    </row>
    <row r="199" spans="1:18" x14ac:dyDescent="0.3">
      <c r="A199" s="15" t="str">
        <f t="shared" si="7"/>
        <v>0BD</v>
      </c>
      <c r="B199" s="15">
        <v>189</v>
      </c>
      <c r="C199" s="42"/>
      <c r="D199" s="15" t="s">
        <v>324</v>
      </c>
      <c r="G199" s="48" t="s">
        <v>42</v>
      </c>
      <c r="J199" s="24">
        <v>50000</v>
      </c>
      <c r="M199" s="24">
        <v>50000</v>
      </c>
      <c r="O199" s="48" t="s">
        <v>97</v>
      </c>
      <c r="P199" s="48">
        <f>HEX2DEC(RIGHT(Table1323212714[[#This Row],[h1]],8))</f>
        <v>0</v>
      </c>
      <c r="Q199" s="48" t="s">
        <v>97</v>
      </c>
      <c r="R199" s="48">
        <f>HEX2DEC(RIGHT(Table1323212714[[#This Row],[h2]],8))</f>
        <v>0</v>
      </c>
    </row>
    <row r="200" spans="1:18" x14ac:dyDescent="0.3">
      <c r="A200" s="15" t="str">
        <f t="shared" si="7"/>
        <v>0BE</v>
      </c>
      <c r="B200" s="15">
        <v>190</v>
      </c>
      <c r="C200" s="42"/>
      <c r="D200" s="15" t="s">
        <v>325</v>
      </c>
      <c r="G200" s="48" t="s">
        <v>42</v>
      </c>
      <c r="J200" s="24">
        <v>50000</v>
      </c>
      <c r="M200" s="24">
        <v>50000</v>
      </c>
      <c r="O200" s="48" t="s">
        <v>97</v>
      </c>
      <c r="P200" s="48">
        <f>HEX2DEC(RIGHT(Table1323212714[[#This Row],[h1]],8))</f>
        <v>0</v>
      </c>
      <c r="Q200" s="48" t="s">
        <v>97</v>
      </c>
      <c r="R200" s="48">
        <f>HEX2DEC(RIGHT(Table1323212714[[#This Row],[h2]],8))</f>
        <v>0</v>
      </c>
    </row>
    <row r="201" spans="1:18" x14ac:dyDescent="0.3">
      <c r="A201" s="15" t="str">
        <f t="shared" si="7"/>
        <v>0BF</v>
      </c>
      <c r="B201" s="15">
        <v>191</v>
      </c>
      <c r="C201" s="42"/>
      <c r="D201" s="15" t="s">
        <v>326</v>
      </c>
      <c r="G201" s="48" t="s">
        <v>42</v>
      </c>
      <c r="J201" s="24">
        <v>50000</v>
      </c>
      <c r="M201" s="24">
        <v>50000</v>
      </c>
      <c r="O201" s="48" t="s">
        <v>97</v>
      </c>
      <c r="P201" s="48">
        <f>HEX2DEC(RIGHT(Table1323212714[[#This Row],[h1]],8))</f>
        <v>0</v>
      </c>
      <c r="Q201" s="48" t="s">
        <v>97</v>
      </c>
      <c r="R201" s="48">
        <f>HEX2DEC(RIGHT(Table1323212714[[#This Row],[h2]],8))</f>
        <v>0</v>
      </c>
    </row>
    <row r="202" spans="1:18" x14ac:dyDescent="0.3">
      <c r="A202" s="15" t="str">
        <f t="shared" si="7"/>
        <v>0C0</v>
      </c>
      <c r="B202" s="15">
        <v>192</v>
      </c>
      <c r="C202" s="42"/>
      <c r="D202" s="15" t="s">
        <v>327</v>
      </c>
      <c r="G202" s="48" t="s">
        <v>42</v>
      </c>
      <c r="J202" s="24">
        <v>50000</v>
      </c>
      <c r="M202" s="24">
        <v>50000</v>
      </c>
      <c r="O202" s="48" t="s">
        <v>97</v>
      </c>
      <c r="P202" s="48">
        <f>HEX2DEC(RIGHT(Table1323212714[[#This Row],[h1]],8))</f>
        <v>0</v>
      </c>
      <c r="Q202" s="48" t="s">
        <v>97</v>
      </c>
      <c r="R202" s="48">
        <f>HEX2DEC(RIGHT(Table1323212714[[#This Row],[h2]],8))</f>
        <v>0</v>
      </c>
    </row>
    <row r="203" spans="1:18" x14ac:dyDescent="0.3">
      <c r="A203" s="15" t="str">
        <f t="shared" ref="A203:A266" si="8">DEC2HEX(B203,3)</f>
        <v>0C1</v>
      </c>
      <c r="B203" s="15">
        <v>193</v>
      </c>
      <c r="C203" s="42"/>
      <c r="D203" s="15" t="s">
        <v>328</v>
      </c>
      <c r="G203" s="48" t="s">
        <v>42</v>
      </c>
      <c r="J203" s="24">
        <v>50000</v>
      </c>
      <c r="M203" s="24">
        <v>50000</v>
      </c>
      <c r="O203" s="48" t="s">
        <v>97</v>
      </c>
      <c r="P203" s="48">
        <f>HEX2DEC(RIGHT(Table1323212714[[#This Row],[h1]],8))</f>
        <v>0</v>
      </c>
      <c r="Q203" s="48" t="s">
        <v>97</v>
      </c>
      <c r="R203" s="48">
        <f>HEX2DEC(RIGHT(Table1323212714[[#This Row],[h2]],8))</f>
        <v>0</v>
      </c>
    </row>
    <row r="204" spans="1:18" x14ac:dyDescent="0.3">
      <c r="A204" s="15" t="str">
        <f t="shared" si="8"/>
        <v>0C2</v>
      </c>
      <c r="B204" s="15">
        <v>194</v>
      </c>
      <c r="C204" s="42"/>
      <c r="D204" s="27" t="s">
        <v>329</v>
      </c>
      <c r="E204" s="27"/>
      <c r="F204" s="27"/>
      <c r="G204" s="48" t="s">
        <v>42</v>
      </c>
      <c r="J204" s="24">
        <v>50000</v>
      </c>
      <c r="M204" s="24">
        <v>50000</v>
      </c>
      <c r="O204" s="48" t="s">
        <v>97</v>
      </c>
      <c r="P204" s="48">
        <f>HEX2DEC(RIGHT(Table1323212714[[#This Row],[h1]],8))</f>
        <v>0</v>
      </c>
      <c r="Q204" s="48" t="s">
        <v>97</v>
      </c>
      <c r="R204" s="48">
        <f>HEX2DEC(RIGHT(Table1323212714[[#This Row],[h2]],8))</f>
        <v>0</v>
      </c>
    </row>
    <row r="205" spans="1:18" x14ac:dyDescent="0.3">
      <c r="A205" s="15" t="str">
        <f t="shared" si="8"/>
        <v>0C3</v>
      </c>
      <c r="B205" s="15">
        <v>195</v>
      </c>
      <c r="C205" s="42"/>
      <c r="D205" s="15" t="s">
        <v>330</v>
      </c>
      <c r="G205" s="48" t="s">
        <v>42</v>
      </c>
      <c r="J205" s="24">
        <v>50000</v>
      </c>
      <c r="M205" s="24">
        <v>50000</v>
      </c>
      <c r="O205" s="48" t="s">
        <v>97</v>
      </c>
      <c r="P205" s="48">
        <f>HEX2DEC(RIGHT(Table1323212714[[#This Row],[h1]],8))</f>
        <v>0</v>
      </c>
      <c r="Q205" s="48" t="s">
        <v>97</v>
      </c>
      <c r="R205" s="48">
        <f>HEX2DEC(RIGHT(Table1323212714[[#This Row],[h2]],8))</f>
        <v>0</v>
      </c>
    </row>
    <row r="206" spans="1:18" x14ac:dyDescent="0.3">
      <c r="A206" s="15" t="str">
        <f t="shared" si="8"/>
        <v>0C4</v>
      </c>
      <c r="B206" s="15">
        <v>196</v>
      </c>
      <c r="C206" s="42"/>
      <c r="D206" s="15" t="s">
        <v>331</v>
      </c>
      <c r="G206" s="48" t="s">
        <v>42</v>
      </c>
      <c r="J206" s="24">
        <v>50000</v>
      </c>
      <c r="M206" s="24">
        <v>50000</v>
      </c>
      <c r="O206" s="48" t="s">
        <v>97</v>
      </c>
      <c r="P206" s="48">
        <f>HEX2DEC(RIGHT(Table1323212714[[#This Row],[h1]],8))</f>
        <v>0</v>
      </c>
      <c r="Q206" s="48" t="s">
        <v>97</v>
      </c>
      <c r="R206" s="48">
        <f>HEX2DEC(RIGHT(Table1323212714[[#This Row],[h2]],8))</f>
        <v>0</v>
      </c>
    </row>
    <row r="207" spans="1:18" x14ac:dyDescent="0.3">
      <c r="A207" s="15" t="str">
        <f t="shared" si="8"/>
        <v>0C5</v>
      </c>
      <c r="B207" s="15">
        <v>197</v>
      </c>
      <c r="C207" s="42"/>
      <c r="D207" s="15" t="s">
        <v>332</v>
      </c>
      <c r="G207" s="48" t="s">
        <v>42</v>
      </c>
      <c r="J207" s="24">
        <v>50000</v>
      </c>
      <c r="M207" s="24">
        <v>50000</v>
      </c>
      <c r="O207" s="48" t="s">
        <v>97</v>
      </c>
      <c r="P207" s="48">
        <f>HEX2DEC(RIGHT(Table1323212714[[#This Row],[h1]],8))</f>
        <v>0</v>
      </c>
      <c r="Q207" s="48" t="s">
        <v>97</v>
      </c>
      <c r="R207" s="48">
        <f>HEX2DEC(RIGHT(Table1323212714[[#This Row],[h2]],8))</f>
        <v>0</v>
      </c>
    </row>
    <row r="208" spans="1:18" x14ac:dyDescent="0.3">
      <c r="A208" s="15" t="str">
        <f t="shared" si="8"/>
        <v>0C6</v>
      </c>
      <c r="B208" s="15">
        <v>198</v>
      </c>
      <c r="C208" s="42"/>
      <c r="D208" s="15" t="s">
        <v>333</v>
      </c>
      <c r="G208" s="48" t="s">
        <v>42</v>
      </c>
      <c r="J208" s="24">
        <v>50000</v>
      </c>
      <c r="M208" s="24">
        <v>50000</v>
      </c>
      <c r="O208" s="48" t="s">
        <v>97</v>
      </c>
      <c r="P208" s="48">
        <f>HEX2DEC(RIGHT(Table1323212714[[#This Row],[h1]],8))</f>
        <v>0</v>
      </c>
      <c r="Q208" s="48" t="s">
        <v>97</v>
      </c>
      <c r="R208" s="48">
        <f>HEX2DEC(RIGHT(Table1323212714[[#This Row],[h2]],8))</f>
        <v>0</v>
      </c>
    </row>
    <row r="209" spans="1:18" x14ac:dyDescent="0.3">
      <c r="A209" s="15" t="str">
        <f t="shared" si="8"/>
        <v>0C7</v>
      </c>
      <c r="B209" s="15">
        <v>199</v>
      </c>
      <c r="C209" s="42"/>
      <c r="D209" s="15" t="s">
        <v>334</v>
      </c>
      <c r="G209" s="48" t="s">
        <v>42</v>
      </c>
      <c r="J209" s="24">
        <v>50000</v>
      </c>
      <c r="M209" s="24">
        <v>50000</v>
      </c>
      <c r="O209" s="48" t="s">
        <v>97</v>
      </c>
      <c r="P209" s="48">
        <f>HEX2DEC(RIGHT(Table1323212714[[#This Row],[h1]],8))</f>
        <v>0</v>
      </c>
      <c r="Q209" s="48" t="s">
        <v>97</v>
      </c>
      <c r="R209" s="48">
        <f>HEX2DEC(RIGHT(Table1323212714[[#This Row],[h2]],8))</f>
        <v>0</v>
      </c>
    </row>
    <row r="210" spans="1:18" x14ac:dyDescent="0.3">
      <c r="A210" s="15" t="str">
        <f t="shared" si="8"/>
        <v>0C8</v>
      </c>
      <c r="B210" s="15">
        <v>200</v>
      </c>
      <c r="C210" s="42"/>
      <c r="D210" s="15" t="s">
        <v>335</v>
      </c>
      <c r="G210" s="48" t="s">
        <v>42</v>
      </c>
      <c r="J210" s="24">
        <v>50000</v>
      </c>
      <c r="M210" s="24">
        <v>50000</v>
      </c>
      <c r="O210" s="48" t="s">
        <v>97</v>
      </c>
      <c r="P210" s="48">
        <f>HEX2DEC(RIGHT(Table1323212714[[#This Row],[h1]],8))</f>
        <v>0</v>
      </c>
      <c r="Q210" s="48" t="s">
        <v>97</v>
      </c>
      <c r="R210" s="48">
        <f>HEX2DEC(RIGHT(Table1323212714[[#This Row],[h2]],8))</f>
        <v>0</v>
      </c>
    </row>
    <row r="211" spans="1:18" x14ac:dyDescent="0.3">
      <c r="A211" s="15" t="str">
        <f t="shared" si="8"/>
        <v>0C9</v>
      </c>
      <c r="B211" s="15">
        <v>201</v>
      </c>
      <c r="C211" s="42"/>
      <c r="D211" s="15" t="s">
        <v>336</v>
      </c>
      <c r="G211" s="48" t="s">
        <v>42</v>
      </c>
      <c r="J211" s="24">
        <v>50000</v>
      </c>
      <c r="M211" s="24">
        <v>50000</v>
      </c>
      <c r="O211" s="48" t="s">
        <v>97</v>
      </c>
      <c r="P211" s="48">
        <f>HEX2DEC(RIGHT(Table1323212714[[#This Row],[h1]],8))</f>
        <v>0</v>
      </c>
      <c r="Q211" s="48" t="s">
        <v>97</v>
      </c>
      <c r="R211" s="48">
        <f>HEX2DEC(RIGHT(Table1323212714[[#This Row],[h2]],8))</f>
        <v>0</v>
      </c>
    </row>
    <row r="212" spans="1:18" x14ac:dyDescent="0.3">
      <c r="A212" s="15" t="str">
        <f t="shared" si="8"/>
        <v>0CA</v>
      </c>
      <c r="B212" s="15">
        <v>202</v>
      </c>
      <c r="C212" s="42"/>
      <c r="D212" s="15" t="s">
        <v>337</v>
      </c>
      <c r="G212" s="48" t="s">
        <v>42</v>
      </c>
      <c r="J212" s="24">
        <v>50000</v>
      </c>
      <c r="M212" s="24">
        <v>50000</v>
      </c>
      <c r="O212" s="48" t="s">
        <v>97</v>
      </c>
      <c r="P212" s="48">
        <f>HEX2DEC(RIGHT(Table1323212714[[#This Row],[h1]],8))</f>
        <v>0</v>
      </c>
      <c r="Q212" s="48" t="s">
        <v>97</v>
      </c>
      <c r="R212" s="48">
        <f>HEX2DEC(RIGHT(Table1323212714[[#This Row],[h2]],8))</f>
        <v>0</v>
      </c>
    </row>
    <row r="213" spans="1:18" x14ac:dyDescent="0.3">
      <c r="A213" s="15" t="str">
        <f t="shared" si="8"/>
        <v>0CB</v>
      </c>
      <c r="B213" s="15">
        <v>203</v>
      </c>
      <c r="C213" s="42"/>
      <c r="D213" s="15" t="s">
        <v>338</v>
      </c>
      <c r="G213" s="48" t="s">
        <v>42</v>
      </c>
      <c r="J213" s="24">
        <v>50000</v>
      </c>
      <c r="M213" s="24">
        <v>50000</v>
      </c>
      <c r="O213" s="48" t="s">
        <v>97</v>
      </c>
      <c r="P213" s="48">
        <f>HEX2DEC(RIGHT(Table1323212714[[#This Row],[h1]],8))</f>
        <v>0</v>
      </c>
      <c r="Q213" s="48" t="s">
        <v>97</v>
      </c>
      <c r="R213" s="48">
        <f>HEX2DEC(RIGHT(Table1323212714[[#This Row],[h2]],8))</f>
        <v>0</v>
      </c>
    </row>
    <row r="214" spans="1:18" x14ac:dyDescent="0.3">
      <c r="A214" s="15" t="str">
        <f t="shared" si="8"/>
        <v>0CC</v>
      </c>
      <c r="B214" s="15">
        <v>204</v>
      </c>
      <c r="C214" s="42"/>
      <c r="D214" s="15" t="s">
        <v>339</v>
      </c>
      <c r="G214" s="48" t="s">
        <v>42</v>
      </c>
      <c r="J214" s="24">
        <v>50000</v>
      </c>
      <c r="M214" s="24">
        <v>50000</v>
      </c>
      <c r="O214" s="48" t="s">
        <v>97</v>
      </c>
      <c r="P214" s="48">
        <f>HEX2DEC(RIGHT(Table1323212714[[#This Row],[h1]],8))</f>
        <v>0</v>
      </c>
      <c r="Q214" s="48" t="s">
        <v>97</v>
      </c>
      <c r="R214" s="48">
        <f>HEX2DEC(RIGHT(Table1323212714[[#This Row],[h2]],8))</f>
        <v>0</v>
      </c>
    </row>
    <row r="215" spans="1:18" x14ac:dyDescent="0.3">
      <c r="A215" s="15" t="str">
        <f t="shared" si="8"/>
        <v>0CD</v>
      </c>
      <c r="B215" s="15">
        <v>205</v>
      </c>
      <c r="C215" s="42"/>
      <c r="D215" s="15" t="s">
        <v>340</v>
      </c>
      <c r="G215" s="48" t="s">
        <v>42</v>
      </c>
      <c r="J215" s="24">
        <v>50000</v>
      </c>
      <c r="M215" s="24">
        <v>50000</v>
      </c>
      <c r="O215" s="48" t="s">
        <v>97</v>
      </c>
      <c r="P215" s="48">
        <f>HEX2DEC(RIGHT(Table1323212714[[#This Row],[h1]],8))</f>
        <v>0</v>
      </c>
      <c r="Q215" s="48" t="s">
        <v>97</v>
      </c>
      <c r="R215" s="48">
        <f>HEX2DEC(RIGHT(Table1323212714[[#This Row],[h2]],8))</f>
        <v>0</v>
      </c>
    </row>
    <row r="216" spans="1:18" x14ac:dyDescent="0.3">
      <c r="A216" s="15" t="str">
        <f t="shared" si="8"/>
        <v>0CE</v>
      </c>
      <c r="B216" s="15">
        <v>206</v>
      </c>
      <c r="C216" s="42"/>
      <c r="D216" s="15" t="s">
        <v>341</v>
      </c>
      <c r="G216" s="48" t="s">
        <v>42</v>
      </c>
      <c r="J216" s="24">
        <v>50000</v>
      </c>
      <c r="M216" s="24">
        <v>50000</v>
      </c>
      <c r="O216" s="48" t="s">
        <v>97</v>
      </c>
      <c r="P216" s="48">
        <f>HEX2DEC(RIGHT(Table1323212714[[#This Row],[h1]],8))</f>
        <v>0</v>
      </c>
      <c r="Q216" s="48" t="s">
        <v>97</v>
      </c>
      <c r="R216" s="48">
        <f>HEX2DEC(RIGHT(Table1323212714[[#This Row],[h2]],8))</f>
        <v>0</v>
      </c>
    </row>
    <row r="217" spans="1:18" x14ac:dyDescent="0.3">
      <c r="A217" s="15" t="str">
        <f t="shared" si="8"/>
        <v>0CF</v>
      </c>
      <c r="B217" s="15">
        <v>207</v>
      </c>
      <c r="C217" s="42"/>
      <c r="D217" s="15" t="s">
        <v>342</v>
      </c>
      <c r="G217" s="48" t="s">
        <v>42</v>
      </c>
      <c r="J217" s="24">
        <v>50000</v>
      </c>
      <c r="M217" s="24">
        <v>50000</v>
      </c>
      <c r="O217" s="48" t="s">
        <v>97</v>
      </c>
      <c r="P217" s="48">
        <f>HEX2DEC(RIGHT(Table1323212714[[#This Row],[h1]],8))</f>
        <v>0</v>
      </c>
      <c r="Q217" s="48" t="s">
        <v>97</v>
      </c>
      <c r="R217" s="48">
        <f>HEX2DEC(RIGHT(Table1323212714[[#This Row],[h2]],8))</f>
        <v>0</v>
      </c>
    </row>
    <row r="218" spans="1:18" x14ac:dyDescent="0.3">
      <c r="A218" s="15" t="str">
        <f t="shared" si="8"/>
        <v>0D0</v>
      </c>
      <c r="B218" s="15">
        <v>208</v>
      </c>
      <c r="C218" s="42"/>
      <c r="D218" s="15" t="s">
        <v>343</v>
      </c>
      <c r="G218" s="48" t="s">
        <v>42</v>
      </c>
      <c r="J218" s="24">
        <v>50000</v>
      </c>
      <c r="M218" s="24">
        <v>50000</v>
      </c>
      <c r="O218" s="48" t="s">
        <v>97</v>
      </c>
      <c r="P218" s="48">
        <f>HEX2DEC(RIGHT(Table1323212714[[#This Row],[h1]],8))</f>
        <v>0</v>
      </c>
      <c r="Q218" s="48" t="s">
        <v>97</v>
      </c>
      <c r="R218" s="48">
        <f>HEX2DEC(RIGHT(Table1323212714[[#This Row],[h2]],8))</f>
        <v>0</v>
      </c>
    </row>
    <row r="219" spans="1:18" x14ac:dyDescent="0.3">
      <c r="A219" s="15" t="str">
        <f t="shared" si="8"/>
        <v>0D1</v>
      </c>
      <c r="B219" s="15">
        <v>209</v>
      </c>
      <c r="C219" s="42"/>
      <c r="D219" s="15" t="s">
        <v>344</v>
      </c>
      <c r="G219" s="48" t="s">
        <v>42</v>
      </c>
      <c r="J219" s="24">
        <v>50000</v>
      </c>
      <c r="M219" s="24">
        <v>50000</v>
      </c>
      <c r="O219" s="48" t="s">
        <v>97</v>
      </c>
      <c r="P219" s="48">
        <f>HEX2DEC(RIGHT(Table1323212714[[#This Row],[h1]],8))</f>
        <v>0</v>
      </c>
      <c r="Q219" s="48" t="s">
        <v>97</v>
      </c>
      <c r="R219" s="48">
        <f>HEX2DEC(RIGHT(Table1323212714[[#This Row],[h2]],8))</f>
        <v>0</v>
      </c>
    </row>
    <row r="220" spans="1:18" x14ac:dyDescent="0.3">
      <c r="A220" s="15" t="str">
        <f t="shared" si="8"/>
        <v>0D2</v>
      </c>
      <c r="B220" s="15">
        <v>210</v>
      </c>
      <c r="C220" s="42"/>
      <c r="J220" s="24">
        <v>50000</v>
      </c>
      <c r="M220" s="24">
        <v>50000</v>
      </c>
      <c r="O220" s="48" t="s">
        <v>97</v>
      </c>
      <c r="P220" s="48">
        <f>HEX2DEC(RIGHT(Table1323212714[[#This Row],[h1]],8))</f>
        <v>0</v>
      </c>
      <c r="Q220" s="48" t="s">
        <v>97</v>
      </c>
      <c r="R220" s="48">
        <f>HEX2DEC(RIGHT(Table1323212714[[#This Row],[h2]],8))</f>
        <v>0</v>
      </c>
    </row>
    <row r="221" spans="1:18" x14ac:dyDescent="0.3">
      <c r="A221" s="15" t="str">
        <f t="shared" si="8"/>
        <v>0D3</v>
      </c>
      <c r="B221" s="15">
        <v>211</v>
      </c>
      <c r="C221" s="42"/>
      <c r="D221" s="15" t="s">
        <v>345</v>
      </c>
      <c r="G221" s="48">
        <v>0</v>
      </c>
      <c r="J221" s="24">
        <v>50000</v>
      </c>
      <c r="M221" s="24">
        <v>50000</v>
      </c>
      <c r="O221" s="48" t="s">
        <v>97</v>
      </c>
      <c r="P221" s="48">
        <f>HEX2DEC(RIGHT(Table1323212714[[#This Row],[h1]],8))</f>
        <v>0</v>
      </c>
      <c r="Q221" s="48" t="s">
        <v>97</v>
      </c>
      <c r="R221" s="48">
        <f>HEX2DEC(RIGHT(Table1323212714[[#This Row],[h2]],8))</f>
        <v>0</v>
      </c>
    </row>
    <row r="222" spans="1:18" x14ac:dyDescent="0.3">
      <c r="A222" s="15" t="str">
        <f t="shared" si="8"/>
        <v>0D4</v>
      </c>
      <c r="B222" s="15">
        <v>212</v>
      </c>
      <c r="C222" s="42"/>
      <c r="D222" s="15" t="s">
        <v>346</v>
      </c>
      <c r="G222" s="48">
        <v>0</v>
      </c>
      <c r="J222" s="24">
        <v>50000</v>
      </c>
      <c r="M222" s="24">
        <v>50000</v>
      </c>
      <c r="O222" s="48" t="s">
        <v>97</v>
      </c>
      <c r="P222" s="48">
        <f>HEX2DEC(RIGHT(Table1323212714[[#This Row],[h1]],8))</f>
        <v>0</v>
      </c>
      <c r="Q222" s="48" t="s">
        <v>97</v>
      </c>
      <c r="R222" s="48">
        <f>HEX2DEC(RIGHT(Table1323212714[[#This Row],[h2]],8))</f>
        <v>0</v>
      </c>
    </row>
    <row r="223" spans="1:18" x14ac:dyDescent="0.3">
      <c r="A223" s="15" t="str">
        <f t="shared" si="8"/>
        <v>0D5</v>
      </c>
      <c r="B223" s="15">
        <v>213</v>
      </c>
      <c r="C223" s="42"/>
      <c r="D223" s="15" t="s">
        <v>347</v>
      </c>
      <c r="G223" s="48">
        <v>0</v>
      </c>
      <c r="J223" s="24">
        <v>50000</v>
      </c>
      <c r="M223" s="24">
        <v>50000</v>
      </c>
      <c r="O223" s="48" t="s">
        <v>97</v>
      </c>
      <c r="P223" s="48">
        <f>HEX2DEC(RIGHT(Table1323212714[[#This Row],[h1]],8))</f>
        <v>0</v>
      </c>
      <c r="Q223" s="48" t="s">
        <v>97</v>
      </c>
      <c r="R223" s="48">
        <f>HEX2DEC(RIGHT(Table1323212714[[#This Row],[h2]],8))</f>
        <v>0</v>
      </c>
    </row>
    <row r="224" spans="1:18" x14ac:dyDescent="0.3">
      <c r="A224" s="15" t="str">
        <f t="shared" si="8"/>
        <v>0D6</v>
      </c>
      <c r="B224" s="15">
        <v>214</v>
      </c>
      <c r="C224" s="42"/>
      <c r="D224" s="15" t="s">
        <v>348</v>
      </c>
      <c r="G224" s="48">
        <v>0</v>
      </c>
      <c r="J224" s="24">
        <v>50000</v>
      </c>
      <c r="M224" s="24">
        <v>50000</v>
      </c>
      <c r="O224" s="48" t="s">
        <v>97</v>
      </c>
      <c r="P224" s="48">
        <f>HEX2DEC(RIGHT(Table1323212714[[#This Row],[h1]],8))</f>
        <v>0</v>
      </c>
      <c r="Q224" s="48" t="s">
        <v>97</v>
      </c>
      <c r="R224" s="48">
        <f>HEX2DEC(RIGHT(Table1323212714[[#This Row],[h2]],8))</f>
        <v>0</v>
      </c>
    </row>
    <row r="225" spans="1:18" x14ac:dyDescent="0.3">
      <c r="A225" s="15" t="str">
        <f t="shared" si="8"/>
        <v>0D7</v>
      </c>
      <c r="B225" s="15">
        <v>215</v>
      </c>
      <c r="C225" s="42"/>
      <c r="D225" s="15" t="s">
        <v>349</v>
      </c>
      <c r="G225" s="48">
        <v>0</v>
      </c>
      <c r="J225" s="24">
        <v>50000</v>
      </c>
      <c r="M225" s="24">
        <v>50000</v>
      </c>
      <c r="O225" s="48" t="s">
        <v>97</v>
      </c>
      <c r="P225" s="48">
        <f>HEX2DEC(RIGHT(Table1323212714[[#This Row],[h1]],8))</f>
        <v>0</v>
      </c>
      <c r="Q225" s="48" t="s">
        <v>97</v>
      </c>
      <c r="R225" s="48">
        <f>HEX2DEC(RIGHT(Table1323212714[[#This Row],[h2]],8))</f>
        <v>0</v>
      </c>
    </row>
    <row r="226" spans="1:18" x14ac:dyDescent="0.3">
      <c r="A226" s="15" t="str">
        <f t="shared" si="8"/>
        <v>0D8</v>
      </c>
      <c r="B226" s="15">
        <v>216</v>
      </c>
      <c r="C226" s="42"/>
      <c r="D226" s="15" t="s">
        <v>350</v>
      </c>
      <c r="G226" s="48">
        <v>0</v>
      </c>
      <c r="J226" s="24">
        <v>50000</v>
      </c>
      <c r="M226" s="24">
        <v>50000</v>
      </c>
      <c r="O226" s="48" t="s">
        <v>97</v>
      </c>
      <c r="P226" s="48">
        <f>HEX2DEC(RIGHT(Table1323212714[[#This Row],[h1]],8))</f>
        <v>0</v>
      </c>
      <c r="Q226" s="48" t="s">
        <v>97</v>
      </c>
      <c r="R226" s="48">
        <f>HEX2DEC(RIGHT(Table1323212714[[#This Row],[h2]],8))</f>
        <v>0</v>
      </c>
    </row>
    <row r="227" spans="1:18" x14ac:dyDescent="0.3">
      <c r="A227" s="15" t="str">
        <f t="shared" si="8"/>
        <v>0D9</v>
      </c>
      <c r="B227" s="15">
        <v>217</v>
      </c>
      <c r="C227" s="42"/>
      <c r="D227" s="15" t="s">
        <v>351</v>
      </c>
      <c r="G227" s="48">
        <v>0</v>
      </c>
      <c r="J227" s="24">
        <v>50000</v>
      </c>
      <c r="M227" s="24">
        <v>50000</v>
      </c>
      <c r="O227" s="48" t="s">
        <v>97</v>
      </c>
      <c r="P227" s="48">
        <f>HEX2DEC(RIGHT(Table1323212714[[#This Row],[h1]],8))</f>
        <v>0</v>
      </c>
      <c r="Q227" s="48" t="s">
        <v>97</v>
      </c>
      <c r="R227" s="48">
        <f>HEX2DEC(RIGHT(Table1323212714[[#This Row],[h2]],8))</f>
        <v>0</v>
      </c>
    </row>
    <row r="228" spans="1:18" x14ac:dyDescent="0.3">
      <c r="A228" s="15" t="str">
        <f t="shared" si="8"/>
        <v>0DA</v>
      </c>
      <c r="B228" s="15">
        <v>218</v>
      </c>
      <c r="C228" s="42"/>
      <c r="D228" s="15" t="s">
        <v>352</v>
      </c>
      <c r="G228" s="48">
        <v>0</v>
      </c>
      <c r="J228" s="24">
        <v>50000</v>
      </c>
      <c r="M228" s="24">
        <v>50000</v>
      </c>
      <c r="O228" s="48" t="s">
        <v>97</v>
      </c>
      <c r="P228" s="48">
        <f>HEX2DEC(RIGHT(Table1323212714[[#This Row],[h1]],8))</f>
        <v>0</v>
      </c>
      <c r="Q228" s="48" t="s">
        <v>97</v>
      </c>
      <c r="R228" s="48">
        <f>HEX2DEC(RIGHT(Table1323212714[[#This Row],[h2]],8))</f>
        <v>0</v>
      </c>
    </row>
    <row r="229" spans="1:18" x14ac:dyDescent="0.3">
      <c r="A229" s="15" t="str">
        <f t="shared" si="8"/>
        <v>0DB</v>
      </c>
      <c r="B229" s="15">
        <v>219</v>
      </c>
      <c r="C229" s="42"/>
      <c r="D229" s="15" t="s">
        <v>353</v>
      </c>
      <c r="G229" s="48">
        <v>0</v>
      </c>
      <c r="J229" s="24">
        <v>50000</v>
      </c>
      <c r="M229" s="24">
        <v>50000</v>
      </c>
      <c r="O229" s="48" t="s">
        <v>97</v>
      </c>
      <c r="P229" s="48">
        <f>HEX2DEC(RIGHT(Table1323212714[[#This Row],[h1]],8))</f>
        <v>0</v>
      </c>
      <c r="Q229" s="48" t="s">
        <v>97</v>
      </c>
      <c r="R229" s="48">
        <f>HEX2DEC(RIGHT(Table1323212714[[#This Row],[h2]],8))</f>
        <v>0</v>
      </c>
    </row>
    <row r="230" spans="1:18" x14ac:dyDescent="0.3">
      <c r="A230" s="15" t="str">
        <f t="shared" si="8"/>
        <v>0DC</v>
      </c>
      <c r="B230" s="15">
        <v>220</v>
      </c>
      <c r="C230" s="42"/>
      <c r="D230" s="15" t="s">
        <v>354</v>
      </c>
      <c r="G230" s="48">
        <v>0</v>
      </c>
      <c r="J230" s="24">
        <v>50000</v>
      </c>
      <c r="M230" s="24">
        <v>50000</v>
      </c>
      <c r="O230" s="48" t="s">
        <v>97</v>
      </c>
      <c r="P230" s="48">
        <f>HEX2DEC(RIGHT(Table1323212714[[#This Row],[h1]],8))</f>
        <v>0</v>
      </c>
      <c r="Q230" s="48" t="s">
        <v>97</v>
      </c>
      <c r="R230" s="48">
        <f>HEX2DEC(RIGHT(Table1323212714[[#This Row],[h2]],8))</f>
        <v>0</v>
      </c>
    </row>
    <row r="231" spans="1:18" x14ac:dyDescent="0.3">
      <c r="A231" s="15" t="str">
        <f t="shared" si="8"/>
        <v>0DD</v>
      </c>
      <c r="B231" s="15">
        <v>221</v>
      </c>
      <c r="C231" s="42"/>
      <c r="D231" s="15" t="s">
        <v>355</v>
      </c>
      <c r="G231" s="48">
        <v>0</v>
      </c>
      <c r="J231" s="24">
        <v>50000</v>
      </c>
      <c r="M231" s="24">
        <v>50000</v>
      </c>
      <c r="O231" s="48" t="s">
        <v>97</v>
      </c>
      <c r="P231" s="48">
        <f>HEX2DEC(RIGHT(Table1323212714[[#This Row],[h1]],8))</f>
        <v>0</v>
      </c>
      <c r="Q231" s="48" t="s">
        <v>97</v>
      </c>
      <c r="R231" s="48">
        <f>HEX2DEC(RIGHT(Table1323212714[[#This Row],[h2]],8))</f>
        <v>0</v>
      </c>
    </row>
    <row r="232" spans="1:18" x14ac:dyDescent="0.3">
      <c r="A232" s="15" t="str">
        <f t="shared" si="8"/>
        <v>0DE</v>
      </c>
      <c r="B232" s="15">
        <v>222</v>
      </c>
      <c r="C232" s="42"/>
      <c r="D232" s="15" t="s">
        <v>356</v>
      </c>
      <c r="G232" s="48">
        <v>0</v>
      </c>
      <c r="J232" s="24">
        <v>50000</v>
      </c>
      <c r="M232" s="24">
        <v>50000</v>
      </c>
      <c r="O232" s="48" t="s">
        <v>97</v>
      </c>
      <c r="P232" s="48">
        <f>HEX2DEC(RIGHT(Table1323212714[[#This Row],[h1]],8))</f>
        <v>0</v>
      </c>
      <c r="Q232" s="48" t="s">
        <v>97</v>
      </c>
      <c r="R232" s="48">
        <f>HEX2DEC(RIGHT(Table1323212714[[#This Row],[h2]],8))</f>
        <v>0</v>
      </c>
    </row>
    <row r="233" spans="1:18" x14ac:dyDescent="0.3">
      <c r="A233" s="15" t="str">
        <f t="shared" si="8"/>
        <v>0DF</v>
      </c>
      <c r="B233" s="15">
        <v>223</v>
      </c>
      <c r="C233" s="42"/>
      <c r="D233" s="15" t="s">
        <v>357</v>
      </c>
      <c r="G233" s="48">
        <v>0</v>
      </c>
      <c r="J233" s="24">
        <v>50000</v>
      </c>
      <c r="M233" s="24">
        <v>50000</v>
      </c>
      <c r="O233" s="48" t="s">
        <v>97</v>
      </c>
      <c r="P233" s="48">
        <f>HEX2DEC(RIGHT(Table1323212714[[#This Row],[h1]],8))</f>
        <v>0</v>
      </c>
      <c r="Q233" s="48" t="s">
        <v>97</v>
      </c>
      <c r="R233" s="48">
        <f>HEX2DEC(RIGHT(Table1323212714[[#This Row],[h2]],8))</f>
        <v>0</v>
      </c>
    </row>
    <row r="234" spans="1:18" x14ac:dyDescent="0.3">
      <c r="A234" s="15" t="str">
        <f t="shared" si="8"/>
        <v>0E0</v>
      </c>
      <c r="B234" s="15">
        <v>224</v>
      </c>
      <c r="C234" s="42"/>
      <c r="D234" s="15" t="s">
        <v>358</v>
      </c>
      <c r="G234" s="48">
        <v>0</v>
      </c>
      <c r="J234" s="24">
        <v>50000</v>
      </c>
      <c r="M234" s="24">
        <v>50000</v>
      </c>
      <c r="O234" s="48" t="s">
        <v>97</v>
      </c>
      <c r="P234" s="48">
        <f>HEX2DEC(RIGHT(Table1323212714[[#This Row],[h1]],8))</f>
        <v>0</v>
      </c>
      <c r="Q234" s="48" t="s">
        <v>97</v>
      </c>
      <c r="R234" s="48">
        <f>HEX2DEC(RIGHT(Table1323212714[[#This Row],[h2]],8))</f>
        <v>0</v>
      </c>
    </row>
    <row r="235" spans="1:18" x14ac:dyDescent="0.3">
      <c r="A235" s="15" t="str">
        <f t="shared" si="8"/>
        <v>0E1</v>
      </c>
      <c r="B235" s="15">
        <v>225</v>
      </c>
      <c r="C235" s="42"/>
      <c r="D235" s="15" t="s">
        <v>359</v>
      </c>
      <c r="G235" s="48">
        <v>0</v>
      </c>
      <c r="J235" s="24">
        <v>50000</v>
      </c>
      <c r="M235" s="24">
        <v>50000</v>
      </c>
      <c r="O235" s="48" t="s">
        <v>97</v>
      </c>
      <c r="P235" s="48">
        <f>HEX2DEC(RIGHT(Table1323212714[[#This Row],[h1]],8))</f>
        <v>0</v>
      </c>
      <c r="Q235" s="48" t="s">
        <v>97</v>
      </c>
      <c r="R235" s="48">
        <f>HEX2DEC(RIGHT(Table1323212714[[#This Row],[h2]],8))</f>
        <v>0</v>
      </c>
    </row>
    <row r="236" spans="1:18" x14ac:dyDescent="0.3">
      <c r="A236" s="15" t="str">
        <f t="shared" si="8"/>
        <v>0E2</v>
      </c>
      <c r="B236" s="15">
        <v>226</v>
      </c>
      <c r="C236" s="42"/>
      <c r="D236" s="15" t="s">
        <v>360</v>
      </c>
      <c r="G236" s="48">
        <v>0</v>
      </c>
      <c r="J236" s="24">
        <v>50000</v>
      </c>
      <c r="M236" s="24">
        <v>50000</v>
      </c>
      <c r="O236" s="48" t="s">
        <v>97</v>
      </c>
      <c r="P236" s="48">
        <f>HEX2DEC(RIGHT(Table1323212714[[#This Row],[h1]],8))</f>
        <v>0</v>
      </c>
      <c r="Q236" s="48" t="s">
        <v>97</v>
      </c>
      <c r="R236" s="48">
        <f>HEX2DEC(RIGHT(Table1323212714[[#This Row],[h2]],8))</f>
        <v>0</v>
      </c>
    </row>
    <row r="237" spans="1:18" x14ac:dyDescent="0.3">
      <c r="A237" s="15" t="str">
        <f t="shared" si="8"/>
        <v>0E3</v>
      </c>
      <c r="B237" s="15">
        <v>227</v>
      </c>
      <c r="C237" s="42"/>
      <c r="D237" s="15" t="s">
        <v>361</v>
      </c>
      <c r="G237" s="48">
        <v>0</v>
      </c>
      <c r="J237" s="24">
        <v>50000</v>
      </c>
      <c r="M237" s="24">
        <v>50000</v>
      </c>
      <c r="O237" s="48" t="s">
        <v>97</v>
      </c>
      <c r="P237" s="48">
        <f>HEX2DEC(RIGHT(Table1323212714[[#This Row],[h1]],8))</f>
        <v>0</v>
      </c>
      <c r="Q237" s="48" t="s">
        <v>97</v>
      </c>
      <c r="R237" s="48">
        <f>HEX2DEC(RIGHT(Table1323212714[[#This Row],[h2]],8))</f>
        <v>0</v>
      </c>
    </row>
    <row r="238" spans="1:18" x14ac:dyDescent="0.3">
      <c r="A238" s="15" t="str">
        <f t="shared" si="8"/>
        <v>0E4</v>
      </c>
      <c r="B238" s="15">
        <v>228</v>
      </c>
      <c r="C238" s="42"/>
      <c r="D238" s="15" t="s">
        <v>362</v>
      </c>
      <c r="G238" s="48">
        <v>0</v>
      </c>
      <c r="J238" s="24">
        <v>50000</v>
      </c>
      <c r="M238" s="24">
        <v>50000</v>
      </c>
      <c r="O238" s="48" t="s">
        <v>97</v>
      </c>
      <c r="P238" s="48">
        <f>HEX2DEC(RIGHT(Table1323212714[[#This Row],[h1]],8))</f>
        <v>0</v>
      </c>
      <c r="Q238" s="48" t="s">
        <v>97</v>
      </c>
      <c r="R238" s="48">
        <f>HEX2DEC(RIGHT(Table1323212714[[#This Row],[h2]],8))</f>
        <v>0</v>
      </c>
    </row>
    <row r="239" spans="1:18" x14ac:dyDescent="0.3">
      <c r="A239" s="15" t="str">
        <f t="shared" si="8"/>
        <v>0E5</v>
      </c>
      <c r="B239" s="15">
        <v>229</v>
      </c>
      <c r="C239" s="42"/>
      <c r="D239" s="15" t="s">
        <v>363</v>
      </c>
      <c r="G239" s="48">
        <v>0</v>
      </c>
      <c r="J239" s="24">
        <v>50000</v>
      </c>
      <c r="M239" s="24">
        <v>50000</v>
      </c>
      <c r="O239" s="48" t="s">
        <v>97</v>
      </c>
      <c r="P239" s="48">
        <f>HEX2DEC(RIGHT(Table1323212714[[#This Row],[h1]],8))</f>
        <v>0</v>
      </c>
      <c r="Q239" s="48" t="s">
        <v>97</v>
      </c>
      <c r="R239" s="48">
        <f>HEX2DEC(RIGHT(Table1323212714[[#This Row],[h2]],8))</f>
        <v>0</v>
      </c>
    </row>
    <row r="240" spans="1:18" x14ac:dyDescent="0.3">
      <c r="A240" s="15" t="str">
        <f t="shared" si="8"/>
        <v>0E6</v>
      </c>
      <c r="B240" s="15">
        <v>230</v>
      </c>
      <c r="C240" s="42"/>
      <c r="D240" s="15" t="s">
        <v>364</v>
      </c>
      <c r="G240" s="48">
        <v>0</v>
      </c>
      <c r="J240" s="24">
        <v>50000</v>
      </c>
      <c r="M240" s="24">
        <v>50000</v>
      </c>
      <c r="O240" s="48" t="s">
        <v>97</v>
      </c>
      <c r="P240" s="48">
        <f>HEX2DEC(RIGHT(Table1323212714[[#This Row],[h1]],8))</f>
        <v>0</v>
      </c>
      <c r="Q240" s="48" t="s">
        <v>97</v>
      </c>
      <c r="R240" s="48">
        <f>HEX2DEC(RIGHT(Table1323212714[[#This Row],[h2]],8))</f>
        <v>0</v>
      </c>
    </row>
    <row r="241" spans="1:18" x14ac:dyDescent="0.3">
      <c r="A241" s="15" t="str">
        <f t="shared" si="8"/>
        <v>0E7</v>
      </c>
      <c r="B241" s="15">
        <v>231</v>
      </c>
      <c r="C241" s="42"/>
      <c r="D241" s="15" t="s">
        <v>365</v>
      </c>
      <c r="G241" s="48">
        <v>0</v>
      </c>
      <c r="J241" s="24">
        <v>50000</v>
      </c>
      <c r="M241" s="24">
        <v>50000</v>
      </c>
      <c r="O241" s="48" t="s">
        <v>97</v>
      </c>
      <c r="P241" s="48">
        <f>HEX2DEC(RIGHT(Table1323212714[[#This Row],[h1]],8))</f>
        <v>0</v>
      </c>
      <c r="Q241" s="48" t="s">
        <v>97</v>
      </c>
      <c r="R241" s="48">
        <f>HEX2DEC(RIGHT(Table1323212714[[#This Row],[h2]],8))</f>
        <v>0</v>
      </c>
    </row>
    <row r="242" spans="1:18" x14ac:dyDescent="0.3">
      <c r="A242" s="15" t="str">
        <f t="shared" si="8"/>
        <v>0E8</v>
      </c>
      <c r="B242" s="15">
        <v>232</v>
      </c>
      <c r="C242" s="42"/>
      <c r="D242" s="15" t="s">
        <v>366</v>
      </c>
      <c r="G242" s="48">
        <v>0</v>
      </c>
      <c r="J242" s="24">
        <v>50000</v>
      </c>
      <c r="M242" s="24">
        <v>50000</v>
      </c>
      <c r="O242" s="48" t="s">
        <v>97</v>
      </c>
      <c r="P242" s="48">
        <f>HEX2DEC(RIGHT(Table1323212714[[#This Row],[h1]],8))</f>
        <v>0</v>
      </c>
      <c r="Q242" s="48" t="s">
        <v>97</v>
      </c>
      <c r="R242" s="48">
        <f>HEX2DEC(RIGHT(Table1323212714[[#This Row],[h2]],8))</f>
        <v>0</v>
      </c>
    </row>
    <row r="243" spans="1:18" x14ac:dyDescent="0.3">
      <c r="A243" s="15" t="str">
        <f t="shared" si="8"/>
        <v>0E9</v>
      </c>
      <c r="B243" s="15">
        <v>233</v>
      </c>
      <c r="C243" s="42"/>
      <c r="D243" s="15" t="s">
        <v>367</v>
      </c>
      <c r="G243" s="48">
        <v>0</v>
      </c>
      <c r="J243" s="24">
        <v>50000</v>
      </c>
      <c r="M243" s="24">
        <v>50000</v>
      </c>
      <c r="O243" s="48" t="s">
        <v>97</v>
      </c>
      <c r="P243" s="48">
        <f>HEX2DEC(RIGHT(Table1323212714[[#This Row],[h1]],8))</f>
        <v>0</v>
      </c>
      <c r="Q243" s="48" t="s">
        <v>97</v>
      </c>
      <c r="R243" s="48">
        <f>HEX2DEC(RIGHT(Table1323212714[[#This Row],[h2]],8))</f>
        <v>0</v>
      </c>
    </row>
    <row r="244" spans="1:18" x14ac:dyDescent="0.3">
      <c r="A244" s="15" t="str">
        <f t="shared" si="8"/>
        <v>0EA</v>
      </c>
      <c r="B244" s="15">
        <v>234</v>
      </c>
      <c r="C244" s="42"/>
      <c r="D244" s="15" t="s">
        <v>368</v>
      </c>
      <c r="G244" s="48">
        <v>0</v>
      </c>
      <c r="J244" s="24">
        <v>50000</v>
      </c>
      <c r="M244" s="24">
        <v>50000</v>
      </c>
      <c r="O244" s="48" t="s">
        <v>97</v>
      </c>
      <c r="P244" s="48">
        <f>HEX2DEC(RIGHT(Table1323212714[[#This Row],[h1]],8))</f>
        <v>0</v>
      </c>
      <c r="Q244" s="48" t="s">
        <v>97</v>
      </c>
      <c r="R244" s="48">
        <f>HEX2DEC(RIGHT(Table1323212714[[#This Row],[h2]],8))</f>
        <v>0</v>
      </c>
    </row>
    <row r="245" spans="1:18" x14ac:dyDescent="0.3">
      <c r="A245" s="15" t="str">
        <f t="shared" si="8"/>
        <v>0EB</v>
      </c>
      <c r="B245" s="15">
        <v>235</v>
      </c>
      <c r="C245" s="42"/>
      <c r="D245" s="15" t="s">
        <v>369</v>
      </c>
      <c r="G245" s="48">
        <v>0</v>
      </c>
      <c r="J245" s="24">
        <v>50000</v>
      </c>
      <c r="M245" s="24">
        <v>50000</v>
      </c>
      <c r="O245" s="48" t="s">
        <v>97</v>
      </c>
      <c r="P245" s="48">
        <f>HEX2DEC(RIGHT(Table1323212714[[#This Row],[h1]],8))</f>
        <v>0</v>
      </c>
      <c r="Q245" s="48" t="s">
        <v>97</v>
      </c>
      <c r="R245" s="48">
        <f>HEX2DEC(RIGHT(Table1323212714[[#This Row],[h2]],8))</f>
        <v>0</v>
      </c>
    </row>
    <row r="246" spans="1:18" x14ac:dyDescent="0.3">
      <c r="A246" s="15" t="str">
        <f t="shared" si="8"/>
        <v>0EC</v>
      </c>
      <c r="B246" s="15">
        <v>236</v>
      </c>
      <c r="C246" s="42"/>
      <c r="D246" s="15" t="s">
        <v>370</v>
      </c>
      <c r="G246" s="48">
        <v>0</v>
      </c>
      <c r="J246" s="24">
        <v>50000</v>
      </c>
      <c r="M246" s="24">
        <v>50000</v>
      </c>
      <c r="O246" s="48" t="s">
        <v>97</v>
      </c>
      <c r="P246" s="48">
        <f>HEX2DEC(RIGHT(Table1323212714[[#This Row],[h1]],8))</f>
        <v>0</v>
      </c>
      <c r="Q246" s="48" t="s">
        <v>97</v>
      </c>
      <c r="R246" s="48">
        <f>HEX2DEC(RIGHT(Table1323212714[[#This Row],[h2]],8))</f>
        <v>0</v>
      </c>
    </row>
    <row r="247" spans="1:18" x14ac:dyDescent="0.3">
      <c r="A247" s="15" t="str">
        <f t="shared" si="8"/>
        <v>0ED</v>
      </c>
      <c r="B247" s="15">
        <v>237</v>
      </c>
      <c r="C247" s="42"/>
      <c r="D247" s="15" t="s">
        <v>371</v>
      </c>
      <c r="G247" s="48">
        <v>0</v>
      </c>
      <c r="J247" s="24">
        <v>50000</v>
      </c>
      <c r="M247" s="24">
        <v>50000</v>
      </c>
      <c r="O247" s="48" t="s">
        <v>97</v>
      </c>
      <c r="P247" s="48">
        <f>HEX2DEC(RIGHT(Table1323212714[[#This Row],[h1]],8))</f>
        <v>0</v>
      </c>
      <c r="Q247" s="48" t="s">
        <v>97</v>
      </c>
      <c r="R247" s="48">
        <f>HEX2DEC(RIGHT(Table1323212714[[#This Row],[h2]],8))</f>
        <v>0</v>
      </c>
    </row>
    <row r="248" spans="1:18" x14ac:dyDescent="0.3">
      <c r="A248" s="15" t="str">
        <f t="shared" si="8"/>
        <v>0EE</v>
      </c>
      <c r="B248" s="15">
        <v>238</v>
      </c>
      <c r="C248" s="42"/>
      <c r="D248" s="15" t="s">
        <v>372</v>
      </c>
      <c r="G248" s="48">
        <v>0</v>
      </c>
      <c r="J248" s="24">
        <v>50000</v>
      </c>
      <c r="M248" s="24">
        <v>50000</v>
      </c>
      <c r="O248" s="48" t="s">
        <v>97</v>
      </c>
      <c r="P248" s="48">
        <f>HEX2DEC(RIGHT(Table1323212714[[#This Row],[h1]],8))</f>
        <v>0</v>
      </c>
      <c r="Q248" s="48" t="s">
        <v>97</v>
      </c>
      <c r="R248" s="48">
        <f>HEX2DEC(RIGHT(Table1323212714[[#This Row],[h2]],8))</f>
        <v>0</v>
      </c>
    </row>
    <row r="249" spans="1:18" x14ac:dyDescent="0.3">
      <c r="A249" s="15" t="str">
        <f t="shared" si="8"/>
        <v>0EF</v>
      </c>
      <c r="B249" s="15">
        <v>239</v>
      </c>
      <c r="C249" s="42"/>
      <c r="D249" s="15" t="s">
        <v>373</v>
      </c>
      <c r="G249" s="48">
        <v>0</v>
      </c>
      <c r="J249" s="24">
        <v>50000</v>
      </c>
      <c r="M249" s="24">
        <v>50000</v>
      </c>
      <c r="O249" s="48" t="s">
        <v>97</v>
      </c>
      <c r="P249" s="48">
        <f>HEX2DEC(RIGHT(Table1323212714[[#This Row],[h1]],8))</f>
        <v>0</v>
      </c>
      <c r="Q249" s="48" t="s">
        <v>97</v>
      </c>
      <c r="R249" s="48">
        <f>HEX2DEC(RIGHT(Table1323212714[[#This Row],[h2]],8))</f>
        <v>0</v>
      </c>
    </row>
    <row r="250" spans="1:18" x14ac:dyDescent="0.3">
      <c r="A250" s="15" t="str">
        <f t="shared" si="8"/>
        <v>0F0</v>
      </c>
      <c r="B250" s="15">
        <v>240</v>
      </c>
      <c r="C250" s="42"/>
      <c r="D250" s="15" t="s">
        <v>374</v>
      </c>
      <c r="G250" s="48">
        <v>0</v>
      </c>
      <c r="J250" s="24">
        <v>50000</v>
      </c>
      <c r="M250" s="24">
        <v>50000</v>
      </c>
      <c r="O250" s="48" t="s">
        <v>97</v>
      </c>
      <c r="P250" s="48">
        <f>HEX2DEC(RIGHT(Table1323212714[[#This Row],[h1]],8))</f>
        <v>0</v>
      </c>
      <c r="Q250" s="48" t="s">
        <v>97</v>
      </c>
      <c r="R250" s="48">
        <f>HEX2DEC(RIGHT(Table1323212714[[#This Row],[h2]],8))</f>
        <v>0</v>
      </c>
    </row>
    <row r="251" spans="1:18" x14ac:dyDescent="0.3">
      <c r="A251" s="15" t="str">
        <f t="shared" si="8"/>
        <v>0F1</v>
      </c>
      <c r="B251" s="15">
        <v>241</v>
      </c>
      <c r="C251" s="42"/>
      <c r="D251" s="15" t="s">
        <v>375</v>
      </c>
      <c r="G251" s="48">
        <v>0</v>
      </c>
      <c r="J251" s="24">
        <v>50000</v>
      </c>
      <c r="M251" s="24">
        <v>50000</v>
      </c>
      <c r="O251" s="48" t="s">
        <v>97</v>
      </c>
      <c r="P251" s="48">
        <f>HEX2DEC(RIGHT(Table1323212714[[#This Row],[h1]],8))</f>
        <v>0</v>
      </c>
      <c r="Q251" s="48" t="s">
        <v>97</v>
      </c>
      <c r="R251" s="48">
        <f>HEX2DEC(RIGHT(Table1323212714[[#This Row],[h2]],8))</f>
        <v>0</v>
      </c>
    </row>
    <row r="252" spans="1:18" x14ac:dyDescent="0.3">
      <c r="A252" s="15" t="str">
        <f t="shared" si="8"/>
        <v>0F2</v>
      </c>
      <c r="B252" s="15">
        <v>242</v>
      </c>
      <c r="C252" s="42"/>
      <c r="J252" s="24">
        <v>50000</v>
      </c>
      <c r="M252" s="24">
        <v>50000</v>
      </c>
      <c r="O252" s="48" t="s">
        <v>97</v>
      </c>
      <c r="P252" s="48">
        <f>HEX2DEC(RIGHT(Table1323212714[[#This Row],[h1]],8))</f>
        <v>0</v>
      </c>
      <c r="Q252" s="48" t="s">
        <v>97</v>
      </c>
      <c r="R252" s="48">
        <f>HEX2DEC(RIGHT(Table1323212714[[#This Row],[h2]],8))</f>
        <v>0</v>
      </c>
    </row>
    <row r="253" spans="1:18" x14ac:dyDescent="0.3">
      <c r="A253" s="15" t="str">
        <f t="shared" si="8"/>
        <v>0F3</v>
      </c>
      <c r="B253" s="15">
        <v>243</v>
      </c>
      <c r="C253" s="42"/>
      <c r="J253" s="24">
        <v>50000</v>
      </c>
      <c r="M253" s="24">
        <v>50000</v>
      </c>
      <c r="O253" s="48" t="s">
        <v>97</v>
      </c>
      <c r="P253" s="48">
        <f>HEX2DEC(RIGHT(Table1323212714[[#This Row],[h1]],8))</f>
        <v>0</v>
      </c>
      <c r="Q253" s="48" t="s">
        <v>97</v>
      </c>
      <c r="R253" s="48">
        <f>HEX2DEC(RIGHT(Table1323212714[[#This Row],[h2]],8))</f>
        <v>0</v>
      </c>
    </row>
    <row r="254" spans="1:18" x14ac:dyDescent="0.3">
      <c r="A254" s="15" t="str">
        <f t="shared" si="8"/>
        <v>0F4</v>
      </c>
      <c r="B254" s="15">
        <v>244</v>
      </c>
      <c r="C254" s="42"/>
      <c r="G254" s="35" t="s">
        <v>25</v>
      </c>
      <c r="J254" s="24">
        <v>50000</v>
      </c>
      <c r="M254" s="24">
        <v>50000</v>
      </c>
      <c r="O254" s="48" t="s">
        <v>97</v>
      </c>
      <c r="P254" s="48">
        <f>HEX2DEC(RIGHT(Table1323212714[[#This Row],[h1]],8))</f>
        <v>0</v>
      </c>
      <c r="Q254" s="48" t="s">
        <v>97</v>
      </c>
      <c r="R254" s="48">
        <f>HEX2DEC(RIGHT(Table1323212714[[#This Row],[h2]],8))</f>
        <v>0</v>
      </c>
    </row>
    <row r="255" spans="1:18" x14ac:dyDescent="0.3">
      <c r="A255" s="15" t="str">
        <f t="shared" si="8"/>
        <v>0F5</v>
      </c>
      <c r="B255" s="15">
        <v>245</v>
      </c>
      <c r="C255" s="42"/>
      <c r="F255" s="26"/>
      <c r="G255" s="37" t="s">
        <v>49</v>
      </c>
      <c r="J255" s="24">
        <v>50000</v>
      </c>
      <c r="M255" s="24">
        <v>50000</v>
      </c>
      <c r="O255" s="48" t="s">
        <v>97</v>
      </c>
      <c r="P255" s="48">
        <f>HEX2DEC(RIGHT(Table1323212714[[#This Row],[h1]],8))</f>
        <v>0</v>
      </c>
      <c r="Q255" s="48" t="s">
        <v>97</v>
      </c>
      <c r="R255" s="48">
        <f>HEX2DEC(RIGHT(Table1323212714[[#This Row],[h2]],8))</f>
        <v>0</v>
      </c>
    </row>
    <row r="256" spans="1:18" x14ac:dyDescent="0.3">
      <c r="A256" s="15" t="str">
        <f t="shared" si="8"/>
        <v>0F6</v>
      </c>
      <c r="B256" s="15">
        <v>246</v>
      </c>
      <c r="C256" s="42"/>
      <c r="D256" s="15" t="s">
        <v>376</v>
      </c>
      <c r="F256" s="26"/>
      <c r="G256" s="15">
        <v>-1</v>
      </c>
      <c r="J256" s="24">
        <v>50000</v>
      </c>
      <c r="M256" s="24">
        <v>50000</v>
      </c>
      <c r="O256" s="48" t="s">
        <v>97</v>
      </c>
      <c r="P256" s="48">
        <f>HEX2DEC(RIGHT(Table1323212714[[#This Row],[h1]],8))</f>
        <v>0</v>
      </c>
      <c r="Q256" s="48" t="s">
        <v>97</v>
      </c>
      <c r="R256" s="48">
        <f>HEX2DEC(RIGHT(Table1323212714[[#This Row],[h2]],8))</f>
        <v>0</v>
      </c>
    </row>
    <row r="257" spans="1:18" x14ac:dyDescent="0.3">
      <c r="A257" s="15" t="str">
        <f t="shared" si="8"/>
        <v>0F7</v>
      </c>
      <c r="B257" s="15">
        <v>247</v>
      </c>
      <c r="C257" s="42"/>
      <c r="D257" s="15" t="s">
        <v>377</v>
      </c>
      <c r="G257" s="15">
        <v>1000</v>
      </c>
      <c r="J257" s="24">
        <v>50000</v>
      </c>
      <c r="M257" s="24">
        <v>50000</v>
      </c>
      <c r="O257" s="48" t="s">
        <v>97</v>
      </c>
      <c r="P257" s="48">
        <f>HEX2DEC(RIGHT(Table1323212714[[#This Row],[h1]],8))</f>
        <v>0</v>
      </c>
      <c r="Q257" s="48" t="s">
        <v>97</v>
      </c>
      <c r="R257" s="48">
        <f>HEX2DEC(RIGHT(Table1323212714[[#This Row],[h2]],8))</f>
        <v>0</v>
      </c>
    </row>
    <row r="258" spans="1:18" x14ac:dyDescent="0.3">
      <c r="A258" s="15" t="str">
        <f t="shared" si="8"/>
        <v>0F8</v>
      </c>
      <c r="B258" s="15">
        <v>248</v>
      </c>
      <c r="C258" s="42"/>
      <c r="J258" s="24">
        <v>50000</v>
      </c>
      <c r="M258" s="24">
        <v>50000</v>
      </c>
      <c r="O258" s="48" t="s">
        <v>97</v>
      </c>
      <c r="P258" s="48">
        <f>HEX2DEC(RIGHT(Table1323212714[[#This Row],[h1]],8))</f>
        <v>0</v>
      </c>
      <c r="Q258" s="48" t="s">
        <v>97</v>
      </c>
      <c r="R258" s="48">
        <f>HEX2DEC(RIGHT(Table1323212714[[#This Row],[h2]],8))</f>
        <v>0</v>
      </c>
    </row>
    <row r="259" spans="1:18" x14ac:dyDescent="0.3">
      <c r="A259" s="15" t="str">
        <f t="shared" si="8"/>
        <v>0F9</v>
      </c>
      <c r="B259" s="15">
        <v>249</v>
      </c>
      <c r="C259" s="42"/>
      <c r="J259" s="24">
        <v>50000</v>
      </c>
      <c r="M259" s="24">
        <v>50000</v>
      </c>
      <c r="O259" s="48" t="s">
        <v>97</v>
      </c>
      <c r="P259" s="48">
        <f>HEX2DEC(RIGHT(Table1323212714[[#This Row],[h1]],8))</f>
        <v>0</v>
      </c>
      <c r="Q259" s="48" t="s">
        <v>97</v>
      </c>
      <c r="R259" s="48">
        <f>HEX2DEC(RIGHT(Table1323212714[[#This Row],[h2]],8))</f>
        <v>0</v>
      </c>
    </row>
    <row r="260" spans="1:18" x14ac:dyDescent="0.3">
      <c r="A260" s="15" t="str">
        <f t="shared" si="8"/>
        <v>0FA</v>
      </c>
      <c r="B260" s="15">
        <v>250</v>
      </c>
      <c r="C260" s="42"/>
      <c r="D260" s="15" t="s">
        <v>378</v>
      </c>
      <c r="G260" s="15" t="s">
        <v>102</v>
      </c>
      <c r="J260" s="24">
        <v>50000</v>
      </c>
      <c r="M260" s="24">
        <v>50000</v>
      </c>
      <c r="O260" s="48" t="s">
        <v>97</v>
      </c>
      <c r="P260" s="48">
        <f>HEX2DEC(RIGHT(Table1323212714[[#This Row],[h1]],8))</f>
        <v>0</v>
      </c>
      <c r="Q260" s="48" t="s">
        <v>97</v>
      </c>
      <c r="R260" s="48">
        <f>HEX2DEC(RIGHT(Table1323212714[[#This Row],[h2]],8))</f>
        <v>0</v>
      </c>
    </row>
    <row r="261" spans="1:18" x14ac:dyDescent="0.3">
      <c r="A261" s="15" t="str">
        <f t="shared" si="8"/>
        <v>0FB</v>
      </c>
      <c r="B261" s="15">
        <v>251</v>
      </c>
      <c r="C261" s="42"/>
      <c r="D261" s="15" t="s">
        <v>379</v>
      </c>
      <c r="G261" s="15" t="s">
        <v>94</v>
      </c>
      <c r="J261" s="24">
        <v>50000</v>
      </c>
      <c r="M261" s="24">
        <v>50000</v>
      </c>
      <c r="O261" s="48" t="s">
        <v>97</v>
      </c>
      <c r="P261" s="48">
        <f>HEX2DEC(RIGHT(Table1323212714[[#This Row],[h1]],8))</f>
        <v>0</v>
      </c>
      <c r="Q261" s="48" t="s">
        <v>97</v>
      </c>
      <c r="R261" s="48">
        <f>HEX2DEC(RIGHT(Table1323212714[[#This Row],[h2]],8))</f>
        <v>0</v>
      </c>
    </row>
    <row r="262" spans="1:18" x14ac:dyDescent="0.3">
      <c r="A262" s="15" t="str">
        <f t="shared" si="8"/>
        <v>0FC</v>
      </c>
      <c r="B262" s="15">
        <v>252</v>
      </c>
      <c r="C262" s="42"/>
      <c r="J262" s="24">
        <v>50000</v>
      </c>
      <c r="M262" s="24">
        <v>50000</v>
      </c>
      <c r="O262" s="48" t="s">
        <v>97</v>
      </c>
      <c r="P262" s="48">
        <f>HEX2DEC(RIGHT(Table1323212714[[#This Row],[h1]],8))</f>
        <v>0</v>
      </c>
      <c r="Q262" s="48" t="s">
        <v>97</v>
      </c>
      <c r="R262" s="48">
        <f>HEX2DEC(RIGHT(Table1323212714[[#This Row],[h2]],8))</f>
        <v>0</v>
      </c>
    </row>
    <row r="263" spans="1:18" x14ac:dyDescent="0.3">
      <c r="A263" s="15" t="str">
        <f t="shared" si="8"/>
        <v>0FD</v>
      </c>
      <c r="B263" s="15">
        <v>253</v>
      </c>
      <c r="C263" s="42"/>
      <c r="J263" s="24">
        <v>50000</v>
      </c>
      <c r="M263" s="24">
        <v>50000</v>
      </c>
      <c r="O263" s="48" t="s">
        <v>97</v>
      </c>
      <c r="P263" s="48">
        <f>HEX2DEC(RIGHT(Table1323212714[[#This Row],[h1]],8))</f>
        <v>0</v>
      </c>
      <c r="Q263" s="48" t="s">
        <v>97</v>
      </c>
      <c r="R263" s="48">
        <f>HEX2DEC(RIGHT(Table1323212714[[#This Row],[h2]],8))</f>
        <v>0</v>
      </c>
    </row>
    <row r="264" spans="1:18" x14ac:dyDescent="0.3">
      <c r="A264" s="15" t="str">
        <f t="shared" si="8"/>
        <v>0FE</v>
      </c>
      <c r="B264" s="15">
        <v>254</v>
      </c>
      <c r="C264" s="42"/>
      <c r="F264" s="35" t="s">
        <v>24</v>
      </c>
      <c r="J264" s="24">
        <v>50000</v>
      </c>
      <c r="M264" s="24">
        <v>50000</v>
      </c>
      <c r="O264" s="48" t="s">
        <v>97</v>
      </c>
      <c r="P264" s="48">
        <f>HEX2DEC(RIGHT(Table1323212714[[#This Row],[h1]],8))</f>
        <v>0</v>
      </c>
      <c r="Q264" s="48" t="s">
        <v>97</v>
      </c>
      <c r="R264" s="48">
        <f>HEX2DEC(RIGHT(Table1323212714[[#This Row],[h2]],8))</f>
        <v>0</v>
      </c>
    </row>
    <row r="265" spans="1:18" x14ac:dyDescent="0.3">
      <c r="A265" s="15" t="str">
        <f t="shared" si="8"/>
        <v>0FF</v>
      </c>
      <c r="B265" s="15">
        <v>255</v>
      </c>
      <c r="C265" s="42"/>
      <c r="D265" s="15" t="s">
        <v>380</v>
      </c>
      <c r="E265" s="15" t="s">
        <v>54</v>
      </c>
      <c r="G265" s="15">
        <f>IF(Table13192512[[#This Row],[dec val]]="",0,1)</f>
        <v>0</v>
      </c>
      <c r="J265" s="24">
        <v>50000</v>
      </c>
      <c r="M265" s="24">
        <v>50000</v>
      </c>
      <c r="O265" s="48" t="s">
        <v>97</v>
      </c>
      <c r="P265" s="48">
        <f>HEX2DEC(RIGHT(Table1323212714[[#This Row],[h1]],8))</f>
        <v>0</v>
      </c>
      <c r="Q265" s="48" t="s">
        <v>97</v>
      </c>
      <c r="R265" s="48">
        <f>HEX2DEC(RIGHT(Table1323212714[[#This Row],[h2]],8))</f>
        <v>0</v>
      </c>
    </row>
    <row r="266" spans="1:18" x14ac:dyDescent="0.3">
      <c r="A266" s="15" t="str">
        <f t="shared" si="8"/>
        <v>100</v>
      </c>
      <c r="B266" s="15">
        <v>256</v>
      </c>
      <c r="C266" s="42"/>
      <c r="D266" s="15" t="s">
        <v>381</v>
      </c>
      <c r="E266" s="15" t="s">
        <v>55</v>
      </c>
      <c r="G266" s="15">
        <f>IF(Table13192512[[#This Row],[dec val]]="",0,1)</f>
        <v>0</v>
      </c>
      <c r="J266" s="24">
        <v>50000</v>
      </c>
      <c r="M266" s="24">
        <v>50000</v>
      </c>
      <c r="O266" s="48" t="s">
        <v>97</v>
      </c>
      <c r="P266" s="48">
        <f>HEX2DEC(RIGHT(Table1323212714[[#This Row],[h1]],8))</f>
        <v>0</v>
      </c>
      <c r="Q266" s="48" t="s">
        <v>97</v>
      </c>
      <c r="R266" s="48">
        <f>HEX2DEC(RIGHT(Table1323212714[[#This Row],[h2]],8))</f>
        <v>0</v>
      </c>
    </row>
    <row r="267" spans="1:18" x14ac:dyDescent="0.3">
      <c r="A267" s="15" t="str">
        <f t="shared" ref="A267:A330" si="9">DEC2HEX(B267,3)</f>
        <v>101</v>
      </c>
      <c r="B267" s="15">
        <v>257</v>
      </c>
      <c r="C267" s="42"/>
      <c r="D267" s="15" t="s">
        <v>382</v>
      </c>
      <c r="E267" s="15" t="s">
        <v>56</v>
      </c>
      <c r="G267" s="15">
        <f>IF(Table13192512[[#This Row],[dec val]]="",0,1)</f>
        <v>0</v>
      </c>
      <c r="J267" s="24">
        <v>50000</v>
      </c>
      <c r="M267" s="24">
        <v>50000</v>
      </c>
      <c r="O267" s="48" t="s">
        <v>97</v>
      </c>
      <c r="P267" s="48">
        <f>HEX2DEC(RIGHT(Table1323212714[[#This Row],[h1]],8))</f>
        <v>0</v>
      </c>
      <c r="Q267" s="48" t="s">
        <v>97</v>
      </c>
      <c r="R267" s="48">
        <f>HEX2DEC(RIGHT(Table1323212714[[#This Row],[h2]],8))</f>
        <v>0</v>
      </c>
    </row>
    <row r="268" spans="1:18" x14ac:dyDescent="0.3">
      <c r="A268" s="15" t="str">
        <f t="shared" si="9"/>
        <v>102</v>
      </c>
      <c r="B268" s="15">
        <v>258</v>
      </c>
      <c r="C268" s="42"/>
      <c r="D268" s="15" t="s">
        <v>383</v>
      </c>
      <c r="E268" s="15" t="s">
        <v>57</v>
      </c>
      <c r="G268" s="15">
        <f>IF(Table13192512[[#This Row],[dec val]]="",0,1)</f>
        <v>0</v>
      </c>
      <c r="J268" s="24">
        <v>50000</v>
      </c>
      <c r="M268" s="24">
        <v>50000</v>
      </c>
      <c r="O268" s="48" t="s">
        <v>97</v>
      </c>
      <c r="P268" s="48">
        <f>HEX2DEC(RIGHT(Table1323212714[[#This Row],[h1]],8))</f>
        <v>0</v>
      </c>
      <c r="Q268" s="48" t="s">
        <v>97</v>
      </c>
      <c r="R268" s="48">
        <f>HEX2DEC(RIGHT(Table1323212714[[#This Row],[h2]],8))</f>
        <v>0</v>
      </c>
    </row>
    <row r="269" spans="1:18" x14ac:dyDescent="0.3">
      <c r="A269" s="15" t="str">
        <f t="shared" si="9"/>
        <v>103</v>
      </c>
      <c r="B269" s="15">
        <v>259</v>
      </c>
      <c r="C269" s="42"/>
      <c r="D269" s="15" t="s">
        <v>384</v>
      </c>
      <c r="E269" s="15" t="s">
        <v>58</v>
      </c>
      <c r="G269" s="15">
        <f>IF(Table13192512[[#This Row],[dec val]]="",0,1)</f>
        <v>0</v>
      </c>
      <c r="J269" s="24">
        <v>50000</v>
      </c>
      <c r="M269" s="24">
        <v>50000</v>
      </c>
      <c r="O269" s="48" t="s">
        <v>97</v>
      </c>
      <c r="P269" s="48">
        <f>HEX2DEC(RIGHT(Table1323212714[[#This Row],[h1]],8))</f>
        <v>0</v>
      </c>
      <c r="Q269" s="48" t="s">
        <v>97</v>
      </c>
      <c r="R269" s="48">
        <f>HEX2DEC(RIGHT(Table1323212714[[#This Row],[h2]],8))</f>
        <v>0</v>
      </c>
    </row>
    <row r="270" spans="1:18" x14ac:dyDescent="0.3">
      <c r="A270" s="15" t="str">
        <f t="shared" si="9"/>
        <v>104</v>
      </c>
      <c r="B270" s="15">
        <v>260</v>
      </c>
      <c r="C270" s="42"/>
      <c r="D270" s="15" t="s">
        <v>385</v>
      </c>
      <c r="E270" s="15" t="s">
        <v>59</v>
      </c>
      <c r="G270" s="15">
        <f>IF(Table13192512[[#This Row],[dec val]]="",0,1)</f>
        <v>0</v>
      </c>
      <c r="J270" s="24">
        <v>50000</v>
      </c>
      <c r="M270" s="24">
        <v>50000</v>
      </c>
      <c r="O270" s="48" t="s">
        <v>97</v>
      </c>
      <c r="P270" s="48">
        <f>HEX2DEC(RIGHT(Table1323212714[[#This Row],[h1]],8))</f>
        <v>0</v>
      </c>
      <c r="Q270" s="48" t="s">
        <v>97</v>
      </c>
      <c r="R270" s="48">
        <f>HEX2DEC(RIGHT(Table1323212714[[#This Row],[h2]],8))</f>
        <v>0</v>
      </c>
    </row>
    <row r="271" spans="1:18" x14ac:dyDescent="0.3">
      <c r="A271" s="15" t="str">
        <f t="shared" si="9"/>
        <v>105</v>
      </c>
      <c r="B271" s="15">
        <v>261</v>
      </c>
      <c r="C271" s="42"/>
      <c r="D271" s="15" t="s">
        <v>386</v>
      </c>
      <c r="E271" s="15" t="s">
        <v>60</v>
      </c>
      <c r="G271" s="15">
        <f>IF(Table13192512[[#This Row],[dec val]]="",0,1)</f>
        <v>0</v>
      </c>
      <c r="J271" s="24">
        <v>50000</v>
      </c>
      <c r="M271" s="24">
        <v>50000</v>
      </c>
      <c r="O271" s="48" t="s">
        <v>97</v>
      </c>
      <c r="P271" s="48">
        <f>HEX2DEC(RIGHT(Table1323212714[[#This Row],[h1]],8))</f>
        <v>0</v>
      </c>
      <c r="Q271" s="48" t="s">
        <v>97</v>
      </c>
      <c r="R271" s="48">
        <f>HEX2DEC(RIGHT(Table1323212714[[#This Row],[h2]],8))</f>
        <v>0</v>
      </c>
    </row>
    <row r="272" spans="1:18" x14ac:dyDescent="0.3">
      <c r="A272" s="15" t="str">
        <f t="shared" si="9"/>
        <v>106</v>
      </c>
      <c r="B272" s="15">
        <v>262</v>
      </c>
      <c r="C272" s="42"/>
      <c r="D272" s="15" t="s">
        <v>387</v>
      </c>
      <c r="E272" s="15" t="s">
        <v>61</v>
      </c>
      <c r="G272" s="15">
        <f>IF(Table13192512[[#This Row],[dec val]]="",0,1)</f>
        <v>0</v>
      </c>
      <c r="J272" s="24">
        <v>50000</v>
      </c>
      <c r="M272" s="24">
        <v>50000</v>
      </c>
      <c r="O272" s="48" t="s">
        <v>97</v>
      </c>
      <c r="P272" s="48">
        <f>HEX2DEC(RIGHT(Table1323212714[[#This Row],[h1]],8))</f>
        <v>0</v>
      </c>
      <c r="Q272" s="48" t="s">
        <v>97</v>
      </c>
      <c r="R272" s="48">
        <f>HEX2DEC(RIGHT(Table1323212714[[#This Row],[h2]],8))</f>
        <v>0</v>
      </c>
    </row>
    <row r="273" spans="1:18" x14ac:dyDescent="0.3">
      <c r="A273" s="15" t="str">
        <f t="shared" si="9"/>
        <v>107</v>
      </c>
      <c r="B273" s="15">
        <v>263</v>
      </c>
      <c r="C273" s="42"/>
      <c r="D273" s="15" t="s">
        <v>388</v>
      </c>
      <c r="E273" s="15" t="s">
        <v>62</v>
      </c>
      <c r="G273" s="15">
        <f>IF(Table13192512[[#This Row],[dec val]]="",0,1)</f>
        <v>0</v>
      </c>
      <c r="J273" s="24">
        <v>50000</v>
      </c>
      <c r="M273" s="24">
        <v>50000</v>
      </c>
      <c r="O273" s="48" t="s">
        <v>97</v>
      </c>
      <c r="P273" s="48">
        <f>HEX2DEC(RIGHT(Table1323212714[[#This Row],[h1]],8))</f>
        <v>0</v>
      </c>
      <c r="Q273" s="48" t="s">
        <v>97</v>
      </c>
      <c r="R273" s="48">
        <f>HEX2DEC(RIGHT(Table1323212714[[#This Row],[h2]],8))</f>
        <v>0</v>
      </c>
    </row>
    <row r="274" spans="1:18" x14ac:dyDescent="0.3">
      <c r="A274" s="15" t="str">
        <f t="shared" si="9"/>
        <v>108</v>
      </c>
      <c r="B274" s="15">
        <v>264</v>
      </c>
      <c r="C274" s="42"/>
      <c r="D274" s="15" t="s">
        <v>389</v>
      </c>
      <c r="E274" s="15" t="s">
        <v>63</v>
      </c>
      <c r="G274" s="15">
        <f>IF(Table13192512[[#This Row],[dec val]]="",0,1)</f>
        <v>0</v>
      </c>
      <c r="J274" s="24">
        <v>50000</v>
      </c>
      <c r="M274" s="24">
        <v>50000</v>
      </c>
      <c r="O274" s="48" t="s">
        <v>97</v>
      </c>
      <c r="P274" s="48">
        <f>HEX2DEC(RIGHT(Table1323212714[[#This Row],[h1]],8))</f>
        <v>0</v>
      </c>
      <c r="Q274" s="48" t="s">
        <v>97</v>
      </c>
      <c r="R274" s="48">
        <f>HEX2DEC(RIGHT(Table1323212714[[#This Row],[h2]],8))</f>
        <v>0</v>
      </c>
    </row>
    <row r="275" spans="1:18" x14ac:dyDescent="0.3">
      <c r="A275" s="15" t="str">
        <f t="shared" si="9"/>
        <v>109</v>
      </c>
      <c r="B275" s="15">
        <v>265</v>
      </c>
      <c r="C275" s="42"/>
      <c r="D275" s="15" t="s">
        <v>390</v>
      </c>
      <c r="E275" s="15" t="s">
        <v>64</v>
      </c>
      <c r="G275" s="15">
        <f>IF(Table13192512[[#This Row],[dec val]]="",0,1)</f>
        <v>0</v>
      </c>
      <c r="J275" s="24">
        <v>50000</v>
      </c>
      <c r="M275" s="24">
        <v>50000</v>
      </c>
      <c r="O275" s="48" t="s">
        <v>97</v>
      </c>
      <c r="P275" s="48">
        <f>HEX2DEC(RIGHT(Table1323212714[[#This Row],[h1]],8))</f>
        <v>0</v>
      </c>
      <c r="Q275" s="48" t="s">
        <v>97</v>
      </c>
      <c r="R275" s="48">
        <f>HEX2DEC(RIGHT(Table1323212714[[#This Row],[h2]],8))</f>
        <v>0</v>
      </c>
    </row>
    <row r="276" spans="1:18" x14ac:dyDescent="0.3">
      <c r="A276" s="15" t="str">
        <f t="shared" si="9"/>
        <v>10A</v>
      </c>
      <c r="B276" s="15">
        <v>266</v>
      </c>
      <c r="C276" s="42"/>
      <c r="D276" s="15" t="s">
        <v>391</v>
      </c>
      <c r="E276" s="15" t="s">
        <v>65</v>
      </c>
      <c r="G276" s="15">
        <f>IF(Table13192512[[#This Row],[dec val]]="",0,1)</f>
        <v>0</v>
      </c>
      <c r="J276" s="24">
        <v>50000</v>
      </c>
      <c r="M276" s="24">
        <v>50000</v>
      </c>
      <c r="O276" s="48" t="s">
        <v>97</v>
      </c>
      <c r="P276" s="48">
        <f>HEX2DEC(RIGHT(Table1323212714[[#This Row],[h1]],8))</f>
        <v>0</v>
      </c>
      <c r="Q276" s="48" t="s">
        <v>97</v>
      </c>
      <c r="R276" s="48">
        <f>HEX2DEC(RIGHT(Table1323212714[[#This Row],[h2]],8))</f>
        <v>0</v>
      </c>
    </row>
    <row r="277" spans="1:18" x14ac:dyDescent="0.3">
      <c r="A277" s="15" t="str">
        <f t="shared" si="9"/>
        <v>10B</v>
      </c>
      <c r="B277" s="15">
        <v>267</v>
      </c>
      <c r="C277" s="42"/>
      <c r="D277" s="15" t="s">
        <v>392</v>
      </c>
      <c r="E277" s="15" t="s">
        <v>66</v>
      </c>
      <c r="G277" s="15">
        <f>IF(Table13192512[[#This Row],[dec val]]="",0,1)</f>
        <v>0</v>
      </c>
      <c r="J277" s="24">
        <v>50000</v>
      </c>
      <c r="M277" s="24">
        <v>50000</v>
      </c>
      <c r="O277" s="48" t="s">
        <v>97</v>
      </c>
      <c r="P277" s="48">
        <f>HEX2DEC(RIGHT(Table1323212714[[#This Row],[h1]],8))</f>
        <v>0</v>
      </c>
      <c r="Q277" s="48" t="s">
        <v>97</v>
      </c>
      <c r="R277" s="48">
        <f>HEX2DEC(RIGHT(Table1323212714[[#This Row],[h2]],8))</f>
        <v>0</v>
      </c>
    </row>
    <row r="278" spans="1:18" x14ac:dyDescent="0.3">
      <c r="A278" s="15" t="str">
        <f t="shared" si="9"/>
        <v>10C</v>
      </c>
      <c r="B278" s="15">
        <v>268</v>
      </c>
      <c r="C278" s="42"/>
      <c r="D278" s="15" t="s">
        <v>393</v>
      </c>
      <c r="E278" s="15" t="s">
        <v>67</v>
      </c>
      <c r="G278" s="15">
        <f>IF(Table13192512[[#This Row],[dec val]]="",0,1)</f>
        <v>0</v>
      </c>
      <c r="J278" s="24">
        <v>50000</v>
      </c>
      <c r="M278" s="24">
        <v>50000</v>
      </c>
      <c r="O278" s="48" t="s">
        <v>97</v>
      </c>
      <c r="P278" s="48">
        <f>HEX2DEC(RIGHT(Table1323212714[[#This Row],[h1]],8))</f>
        <v>0</v>
      </c>
      <c r="Q278" s="48" t="s">
        <v>97</v>
      </c>
      <c r="R278" s="48">
        <f>HEX2DEC(RIGHT(Table1323212714[[#This Row],[h2]],8))</f>
        <v>0</v>
      </c>
    </row>
    <row r="279" spans="1:18" x14ac:dyDescent="0.3">
      <c r="A279" s="15" t="str">
        <f t="shared" si="9"/>
        <v>10D</v>
      </c>
      <c r="B279" s="15">
        <v>269</v>
      </c>
      <c r="C279" s="42"/>
      <c r="D279" s="15" t="s">
        <v>394</v>
      </c>
      <c r="E279" s="15" t="s">
        <v>68</v>
      </c>
      <c r="G279" s="15">
        <f>IF(Table13192512[[#This Row],[dec val]]="",0,1)</f>
        <v>0</v>
      </c>
      <c r="J279" s="24">
        <v>50000</v>
      </c>
      <c r="M279" s="24">
        <v>50000</v>
      </c>
      <c r="O279" s="48" t="s">
        <v>97</v>
      </c>
      <c r="P279" s="48">
        <f>HEX2DEC(RIGHT(Table1323212714[[#This Row],[h1]],8))</f>
        <v>0</v>
      </c>
      <c r="Q279" s="48" t="s">
        <v>97</v>
      </c>
      <c r="R279" s="48">
        <f>HEX2DEC(RIGHT(Table1323212714[[#This Row],[h2]],8))</f>
        <v>0</v>
      </c>
    </row>
    <row r="280" spans="1:18" x14ac:dyDescent="0.3">
      <c r="A280" s="15" t="str">
        <f t="shared" si="9"/>
        <v>10E</v>
      </c>
      <c r="B280" s="15">
        <v>270</v>
      </c>
      <c r="C280" s="42"/>
      <c r="D280" s="15" t="s">
        <v>395</v>
      </c>
      <c r="E280" s="15" t="s">
        <v>69</v>
      </c>
      <c r="G280" s="15">
        <f>IF(Table13192512[[#This Row],[dec val]]="",0,1)</f>
        <v>0</v>
      </c>
      <c r="J280" s="24">
        <v>50000</v>
      </c>
      <c r="M280" s="24">
        <v>50000</v>
      </c>
      <c r="O280" s="48" t="s">
        <v>97</v>
      </c>
      <c r="P280" s="48">
        <f>HEX2DEC(RIGHT(Table1323212714[[#This Row],[h1]],8))</f>
        <v>0</v>
      </c>
      <c r="Q280" s="48" t="s">
        <v>97</v>
      </c>
      <c r="R280" s="48">
        <f>HEX2DEC(RIGHT(Table1323212714[[#This Row],[h2]],8))</f>
        <v>0</v>
      </c>
    </row>
    <row r="281" spans="1:18" x14ac:dyDescent="0.3">
      <c r="A281" s="15" t="str">
        <f t="shared" si="9"/>
        <v>10F</v>
      </c>
      <c r="B281" s="15">
        <v>271</v>
      </c>
      <c r="C281" s="42"/>
      <c r="D281" s="15" t="s">
        <v>396</v>
      </c>
      <c r="E281" s="15" t="s">
        <v>70</v>
      </c>
      <c r="G281" s="15">
        <f>IF(Table13192512[[#This Row],[dec val]]="",0,1)</f>
        <v>0</v>
      </c>
      <c r="J281" s="24">
        <v>50000</v>
      </c>
      <c r="M281" s="24">
        <v>50000</v>
      </c>
      <c r="O281" s="48" t="s">
        <v>97</v>
      </c>
      <c r="P281" s="48">
        <f>HEX2DEC(RIGHT(Table1323212714[[#This Row],[h1]],8))</f>
        <v>0</v>
      </c>
      <c r="Q281" s="48" t="s">
        <v>97</v>
      </c>
      <c r="R281" s="48">
        <f>HEX2DEC(RIGHT(Table1323212714[[#This Row],[h2]],8))</f>
        <v>0</v>
      </c>
    </row>
    <row r="282" spans="1:18" x14ac:dyDescent="0.3">
      <c r="A282" s="15" t="str">
        <f t="shared" si="9"/>
        <v>110</v>
      </c>
      <c r="B282" s="15">
        <v>272</v>
      </c>
      <c r="C282" s="42"/>
      <c r="D282" s="15" t="s">
        <v>397</v>
      </c>
      <c r="E282" s="15" t="s">
        <v>71</v>
      </c>
      <c r="G282" s="15">
        <f>IF(Table13192512[[#This Row],[dec val]]="",0,1)</f>
        <v>0</v>
      </c>
      <c r="J282" s="24">
        <v>50000</v>
      </c>
      <c r="M282" s="24">
        <v>50000</v>
      </c>
      <c r="O282" s="48" t="s">
        <v>97</v>
      </c>
      <c r="P282" s="48">
        <f>HEX2DEC(RIGHT(Table1323212714[[#This Row],[h1]],8))</f>
        <v>0</v>
      </c>
      <c r="Q282" s="48" t="s">
        <v>97</v>
      </c>
      <c r="R282" s="48">
        <f>HEX2DEC(RIGHT(Table1323212714[[#This Row],[h2]],8))</f>
        <v>0</v>
      </c>
    </row>
    <row r="283" spans="1:18" x14ac:dyDescent="0.3">
      <c r="A283" s="15" t="str">
        <f t="shared" si="9"/>
        <v>111</v>
      </c>
      <c r="B283" s="15">
        <v>273</v>
      </c>
      <c r="C283" s="42"/>
      <c r="D283" s="15" t="s">
        <v>398</v>
      </c>
      <c r="E283" s="15" t="s">
        <v>72</v>
      </c>
      <c r="G283" s="15">
        <f>IF(Table13192512[[#This Row],[dec val]]="",0,1)</f>
        <v>0</v>
      </c>
      <c r="J283" s="24">
        <v>50000</v>
      </c>
      <c r="M283" s="24">
        <v>50000</v>
      </c>
      <c r="O283" s="48" t="s">
        <v>97</v>
      </c>
      <c r="P283" s="48">
        <f>HEX2DEC(RIGHT(Table1323212714[[#This Row],[h1]],8))</f>
        <v>0</v>
      </c>
      <c r="Q283" s="48" t="s">
        <v>97</v>
      </c>
      <c r="R283" s="48">
        <f>HEX2DEC(RIGHT(Table1323212714[[#This Row],[h2]],8))</f>
        <v>0</v>
      </c>
    </row>
    <row r="284" spans="1:18" x14ac:dyDescent="0.3">
      <c r="A284" s="15" t="str">
        <f t="shared" si="9"/>
        <v>112</v>
      </c>
      <c r="B284" s="15">
        <v>274</v>
      </c>
      <c r="C284" s="42"/>
      <c r="D284" s="15" t="s">
        <v>399</v>
      </c>
      <c r="E284" s="15" t="s">
        <v>73</v>
      </c>
      <c r="G284" s="15">
        <f>IF(Table13192512[[#This Row],[dec val]]="",0,1)</f>
        <v>0</v>
      </c>
      <c r="J284" s="24">
        <v>50000</v>
      </c>
      <c r="M284" s="24">
        <v>50000</v>
      </c>
      <c r="O284" s="48" t="s">
        <v>97</v>
      </c>
      <c r="P284" s="48">
        <f>HEX2DEC(RIGHT(Table1323212714[[#This Row],[h1]],8))</f>
        <v>0</v>
      </c>
      <c r="Q284" s="48" t="s">
        <v>97</v>
      </c>
      <c r="R284" s="48">
        <f>HEX2DEC(RIGHT(Table1323212714[[#This Row],[h2]],8))</f>
        <v>0</v>
      </c>
    </row>
    <row r="285" spans="1:18" x14ac:dyDescent="0.3">
      <c r="A285" s="15" t="str">
        <f t="shared" si="9"/>
        <v>113</v>
      </c>
      <c r="B285" s="15">
        <v>275</v>
      </c>
      <c r="C285" s="42"/>
      <c r="D285" s="15" t="s">
        <v>400</v>
      </c>
      <c r="E285" s="15" t="s">
        <v>74</v>
      </c>
      <c r="G285" s="15">
        <f>IF(Table13192512[[#This Row],[dec val]]="",0,1)</f>
        <v>0</v>
      </c>
      <c r="J285" s="24">
        <v>50000</v>
      </c>
      <c r="M285" s="24">
        <v>50000</v>
      </c>
      <c r="O285" s="48" t="s">
        <v>97</v>
      </c>
      <c r="P285" s="48">
        <f>HEX2DEC(RIGHT(Table1323212714[[#This Row],[h1]],8))</f>
        <v>0</v>
      </c>
      <c r="Q285" s="48" t="s">
        <v>97</v>
      </c>
      <c r="R285" s="48">
        <f>HEX2DEC(RIGHT(Table1323212714[[#This Row],[h2]],8))</f>
        <v>0</v>
      </c>
    </row>
    <row r="286" spans="1:18" x14ac:dyDescent="0.3">
      <c r="A286" s="15" t="str">
        <f t="shared" si="9"/>
        <v>114</v>
      </c>
      <c r="B286" s="15">
        <v>276</v>
      </c>
      <c r="C286" s="42"/>
      <c r="D286" s="15" t="s">
        <v>401</v>
      </c>
      <c r="E286" s="15" t="s">
        <v>75</v>
      </c>
      <c r="G286" s="15">
        <f>IF(Table13192512[[#This Row],[dec val]]="",0,1)</f>
        <v>0</v>
      </c>
      <c r="J286" s="24">
        <v>50000</v>
      </c>
      <c r="M286" s="24">
        <v>50000</v>
      </c>
      <c r="O286" s="48" t="s">
        <v>97</v>
      </c>
      <c r="P286" s="48">
        <f>HEX2DEC(RIGHT(Table1323212714[[#This Row],[h1]],8))</f>
        <v>0</v>
      </c>
      <c r="Q286" s="48" t="s">
        <v>97</v>
      </c>
      <c r="R286" s="48">
        <f>HEX2DEC(RIGHT(Table1323212714[[#This Row],[h2]],8))</f>
        <v>0</v>
      </c>
    </row>
    <row r="287" spans="1:18" x14ac:dyDescent="0.3">
      <c r="A287" s="15" t="str">
        <f t="shared" si="9"/>
        <v>115</v>
      </c>
      <c r="B287" s="15">
        <v>277</v>
      </c>
      <c r="C287" s="42"/>
      <c r="D287" s="15" t="s">
        <v>402</v>
      </c>
      <c r="E287" s="15" t="s">
        <v>76</v>
      </c>
      <c r="G287" s="15">
        <f>IF(Table13192512[[#This Row],[dec val]]="",0,1)</f>
        <v>0</v>
      </c>
      <c r="J287" s="24">
        <v>50000</v>
      </c>
      <c r="M287" s="24">
        <v>50000</v>
      </c>
      <c r="O287" s="48" t="s">
        <v>97</v>
      </c>
      <c r="P287" s="48">
        <f>HEX2DEC(RIGHT(Table1323212714[[#This Row],[h1]],8))</f>
        <v>0</v>
      </c>
      <c r="Q287" s="48" t="s">
        <v>97</v>
      </c>
      <c r="R287" s="48">
        <f>HEX2DEC(RIGHT(Table1323212714[[#This Row],[h2]],8))</f>
        <v>0</v>
      </c>
    </row>
    <row r="288" spans="1:18" x14ac:dyDescent="0.3">
      <c r="A288" s="15" t="str">
        <f t="shared" si="9"/>
        <v>116</v>
      </c>
      <c r="B288" s="15">
        <v>278</v>
      </c>
      <c r="C288" s="42"/>
      <c r="D288" s="15" t="s">
        <v>403</v>
      </c>
      <c r="E288" s="15" t="s">
        <v>77</v>
      </c>
      <c r="G288" s="15">
        <f>IF(Table13192512[[#This Row],[dec val]]="",0,1)</f>
        <v>0</v>
      </c>
      <c r="J288" s="24">
        <v>50000</v>
      </c>
      <c r="M288" s="24">
        <v>50000</v>
      </c>
      <c r="O288" s="48" t="s">
        <v>97</v>
      </c>
      <c r="P288" s="48">
        <f>HEX2DEC(RIGHT(Table1323212714[[#This Row],[h1]],8))</f>
        <v>0</v>
      </c>
      <c r="Q288" s="48" t="s">
        <v>97</v>
      </c>
      <c r="R288" s="48">
        <f>HEX2DEC(RIGHT(Table1323212714[[#This Row],[h2]],8))</f>
        <v>0</v>
      </c>
    </row>
    <row r="289" spans="1:18" x14ac:dyDescent="0.3">
      <c r="A289" s="15" t="str">
        <f t="shared" si="9"/>
        <v>117</v>
      </c>
      <c r="B289" s="15">
        <v>279</v>
      </c>
      <c r="C289" s="42"/>
      <c r="D289" s="15" t="s">
        <v>404</v>
      </c>
      <c r="E289" s="15" t="s">
        <v>78</v>
      </c>
      <c r="G289" s="15">
        <f>IF(Table13192512[[#This Row],[dec val]]="",0,1)</f>
        <v>0</v>
      </c>
      <c r="J289" s="24">
        <v>50000</v>
      </c>
      <c r="M289" s="24">
        <v>50000</v>
      </c>
      <c r="O289" s="48" t="s">
        <v>97</v>
      </c>
      <c r="P289" s="48">
        <f>HEX2DEC(RIGHT(Table1323212714[[#This Row],[h1]],8))</f>
        <v>0</v>
      </c>
      <c r="Q289" s="48" t="s">
        <v>97</v>
      </c>
      <c r="R289" s="48">
        <f>HEX2DEC(RIGHT(Table1323212714[[#This Row],[h2]],8))</f>
        <v>0</v>
      </c>
    </row>
    <row r="290" spans="1:18" x14ac:dyDescent="0.3">
      <c r="A290" s="15" t="str">
        <f t="shared" si="9"/>
        <v>118</v>
      </c>
      <c r="B290" s="15">
        <v>280</v>
      </c>
      <c r="C290" s="42"/>
      <c r="D290" s="15" t="s">
        <v>405</v>
      </c>
      <c r="E290" s="15" t="s">
        <v>79</v>
      </c>
      <c r="G290" s="15">
        <f>IF(Table13192512[[#This Row],[dec val]]="",0,1)</f>
        <v>0</v>
      </c>
      <c r="J290" s="24">
        <v>50000</v>
      </c>
      <c r="M290" s="24">
        <v>50000</v>
      </c>
      <c r="O290" s="48" t="s">
        <v>97</v>
      </c>
      <c r="P290" s="48">
        <f>HEX2DEC(RIGHT(Table1323212714[[#This Row],[h1]],8))</f>
        <v>0</v>
      </c>
      <c r="Q290" s="48" t="s">
        <v>97</v>
      </c>
      <c r="R290" s="48">
        <f>HEX2DEC(RIGHT(Table1323212714[[#This Row],[h2]],8))</f>
        <v>0</v>
      </c>
    </row>
    <row r="291" spans="1:18" x14ac:dyDescent="0.3">
      <c r="A291" s="15" t="str">
        <f t="shared" si="9"/>
        <v>119</v>
      </c>
      <c r="B291" s="15">
        <v>281</v>
      </c>
      <c r="C291" s="42"/>
      <c r="D291" s="15" t="s">
        <v>406</v>
      </c>
      <c r="E291" s="15" t="s">
        <v>80</v>
      </c>
      <c r="G291" s="15">
        <f>IF(Table13192512[[#This Row],[dec val]]="",0,1)</f>
        <v>0</v>
      </c>
      <c r="J291" s="24">
        <v>50000</v>
      </c>
      <c r="M291" s="24">
        <v>50000</v>
      </c>
      <c r="O291" s="48" t="s">
        <v>97</v>
      </c>
      <c r="P291" s="48">
        <f>HEX2DEC(RIGHT(Table1323212714[[#This Row],[h1]],8))</f>
        <v>0</v>
      </c>
      <c r="Q291" s="48" t="s">
        <v>97</v>
      </c>
      <c r="R291" s="48">
        <f>HEX2DEC(RIGHT(Table1323212714[[#This Row],[h2]],8))</f>
        <v>0</v>
      </c>
    </row>
    <row r="292" spans="1:18" x14ac:dyDescent="0.3">
      <c r="A292" s="15" t="str">
        <f t="shared" si="9"/>
        <v>11A</v>
      </c>
      <c r="B292" s="15">
        <v>282</v>
      </c>
      <c r="C292" s="42"/>
      <c r="D292" s="15" t="s">
        <v>407</v>
      </c>
      <c r="E292" s="15" t="s">
        <v>81</v>
      </c>
      <c r="G292" s="15">
        <f>IF(Table13192512[[#This Row],[dec val]]="",0,1)</f>
        <v>0</v>
      </c>
      <c r="J292" s="24">
        <v>50000</v>
      </c>
      <c r="M292" s="24">
        <v>50000</v>
      </c>
      <c r="O292" s="48" t="s">
        <v>97</v>
      </c>
      <c r="P292" s="48">
        <f>HEX2DEC(RIGHT(Table1323212714[[#This Row],[h1]],8))</f>
        <v>0</v>
      </c>
      <c r="Q292" s="48" t="s">
        <v>97</v>
      </c>
      <c r="R292" s="48">
        <f>HEX2DEC(RIGHT(Table1323212714[[#This Row],[h2]],8))</f>
        <v>0</v>
      </c>
    </row>
    <row r="293" spans="1:18" x14ac:dyDescent="0.3">
      <c r="A293" s="15" t="str">
        <f t="shared" si="9"/>
        <v>11B</v>
      </c>
      <c r="B293" s="15">
        <v>283</v>
      </c>
      <c r="C293" s="42"/>
      <c r="D293" s="15" t="s">
        <v>408</v>
      </c>
      <c r="E293" s="15" t="s">
        <v>82</v>
      </c>
      <c r="G293" s="15">
        <f>IF(Table13192512[[#This Row],[dec val]]="",0,1)</f>
        <v>0</v>
      </c>
      <c r="J293" s="24">
        <v>50000</v>
      </c>
      <c r="M293" s="24">
        <v>50000</v>
      </c>
      <c r="O293" s="48" t="s">
        <v>97</v>
      </c>
      <c r="P293" s="48">
        <f>HEX2DEC(RIGHT(Table1323212714[[#This Row],[h1]],8))</f>
        <v>0</v>
      </c>
      <c r="Q293" s="48" t="s">
        <v>97</v>
      </c>
      <c r="R293" s="48">
        <f>HEX2DEC(RIGHT(Table1323212714[[#This Row],[h2]],8))</f>
        <v>0</v>
      </c>
    </row>
    <row r="294" spans="1:18" x14ac:dyDescent="0.3">
      <c r="A294" s="15" t="str">
        <f t="shared" si="9"/>
        <v>11C</v>
      </c>
      <c r="B294" s="15">
        <v>284</v>
      </c>
      <c r="C294" s="42"/>
      <c r="D294" s="15" t="s">
        <v>409</v>
      </c>
      <c r="E294" s="15" t="s">
        <v>83</v>
      </c>
      <c r="G294" s="15">
        <f>IF(Table13192512[[#This Row],[dec val]]="",0,1)</f>
        <v>0</v>
      </c>
      <c r="J294" s="24">
        <v>50000</v>
      </c>
      <c r="M294" s="24">
        <v>50000</v>
      </c>
      <c r="O294" s="48" t="s">
        <v>97</v>
      </c>
      <c r="P294" s="48">
        <f>HEX2DEC(RIGHT(Table1323212714[[#This Row],[h1]],8))</f>
        <v>0</v>
      </c>
      <c r="Q294" s="48" t="s">
        <v>97</v>
      </c>
      <c r="R294" s="48">
        <f>HEX2DEC(RIGHT(Table1323212714[[#This Row],[h2]],8))</f>
        <v>0</v>
      </c>
    </row>
    <row r="295" spans="1:18" x14ac:dyDescent="0.3">
      <c r="A295" s="15" t="str">
        <f t="shared" si="9"/>
        <v>11D</v>
      </c>
      <c r="B295" s="15">
        <v>285</v>
      </c>
      <c r="C295" s="42"/>
      <c r="D295" s="15" t="s">
        <v>410</v>
      </c>
      <c r="E295" s="15" t="s">
        <v>84</v>
      </c>
      <c r="G295" s="15">
        <f>IF(Table13192512[[#This Row],[dec val]]="",0,1)</f>
        <v>0</v>
      </c>
      <c r="J295" s="24">
        <v>50000</v>
      </c>
      <c r="M295" s="24">
        <v>50000</v>
      </c>
      <c r="O295" s="48" t="s">
        <v>97</v>
      </c>
      <c r="P295" s="48">
        <f>HEX2DEC(RIGHT(Table1323212714[[#This Row],[h1]],8))</f>
        <v>0</v>
      </c>
      <c r="Q295" s="48" t="s">
        <v>97</v>
      </c>
      <c r="R295" s="48">
        <f>HEX2DEC(RIGHT(Table1323212714[[#This Row],[h2]],8))</f>
        <v>0</v>
      </c>
    </row>
    <row r="296" spans="1:18" x14ac:dyDescent="0.3">
      <c r="A296" s="15" t="str">
        <f t="shared" si="9"/>
        <v>11E</v>
      </c>
      <c r="B296" s="15">
        <v>286</v>
      </c>
      <c r="C296" s="42"/>
      <c r="J296" s="24">
        <v>50000</v>
      </c>
      <c r="M296" s="24">
        <v>50000</v>
      </c>
      <c r="O296" s="48" t="s">
        <v>97</v>
      </c>
      <c r="P296" s="48">
        <f>HEX2DEC(RIGHT(Table1323212714[[#This Row],[h1]],8))</f>
        <v>0</v>
      </c>
      <c r="Q296" s="48" t="s">
        <v>97</v>
      </c>
      <c r="R296" s="48">
        <f>HEX2DEC(RIGHT(Table1323212714[[#This Row],[h2]],8))</f>
        <v>0</v>
      </c>
    </row>
    <row r="297" spans="1:18" x14ac:dyDescent="0.3">
      <c r="A297" s="15" t="str">
        <f t="shared" si="9"/>
        <v>11F</v>
      </c>
      <c r="B297" s="15">
        <v>287</v>
      </c>
      <c r="C297" s="42"/>
      <c r="D297" s="15" t="s">
        <v>411</v>
      </c>
      <c r="E297" s="15" t="s">
        <v>54</v>
      </c>
      <c r="G297" s="15">
        <f>IF(Table13192512[[#This Row],[dec val]]="",0,1)</f>
        <v>0</v>
      </c>
      <c r="J297" s="24">
        <v>50000</v>
      </c>
      <c r="M297" s="24">
        <v>50000</v>
      </c>
      <c r="O297" s="48" t="s">
        <v>97</v>
      </c>
      <c r="P297" s="48">
        <f>HEX2DEC(RIGHT(Table1323212714[[#This Row],[h1]],8))</f>
        <v>0</v>
      </c>
      <c r="Q297" s="48" t="s">
        <v>97</v>
      </c>
      <c r="R297" s="48">
        <f>HEX2DEC(RIGHT(Table1323212714[[#This Row],[h2]],8))</f>
        <v>0</v>
      </c>
    </row>
    <row r="298" spans="1:18" x14ac:dyDescent="0.3">
      <c r="A298" s="15" t="str">
        <f t="shared" si="9"/>
        <v>120</v>
      </c>
      <c r="B298" s="15">
        <v>288</v>
      </c>
      <c r="C298" s="42"/>
      <c r="D298" s="15" t="s">
        <v>412</v>
      </c>
      <c r="E298" s="15" t="s">
        <v>55</v>
      </c>
      <c r="G298" s="15">
        <f>IF(Table13192512[[#This Row],[dec val]]="",0,1)</f>
        <v>0</v>
      </c>
      <c r="J298" s="24">
        <v>50000</v>
      </c>
      <c r="M298" s="24">
        <v>50000</v>
      </c>
      <c r="O298" s="48" t="s">
        <v>97</v>
      </c>
      <c r="P298" s="48">
        <f>HEX2DEC(RIGHT(Table1323212714[[#This Row],[h1]],8))</f>
        <v>0</v>
      </c>
      <c r="Q298" s="48" t="s">
        <v>97</v>
      </c>
      <c r="R298" s="48">
        <f>HEX2DEC(RIGHT(Table1323212714[[#This Row],[h2]],8))</f>
        <v>0</v>
      </c>
    </row>
    <row r="299" spans="1:18" x14ac:dyDescent="0.3">
      <c r="A299" s="15" t="str">
        <f t="shared" si="9"/>
        <v>121</v>
      </c>
      <c r="B299" s="15">
        <v>289</v>
      </c>
      <c r="C299" s="42"/>
      <c r="D299" s="15" t="s">
        <v>413</v>
      </c>
      <c r="E299" s="15" t="s">
        <v>56</v>
      </c>
      <c r="G299" s="15">
        <f>IF(Table13192512[[#This Row],[dec val]]="",0,1)</f>
        <v>0</v>
      </c>
      <c r="J299" s="24">
        <v>50000</v>
      </c>
      <c r="M299" s="24">
        <v>50000</v>
      </c>
      <c r="O299" s="48" t="s">
        <v>97</v>
      </c>
      <c r="P299" s="48">
        <f>HEX2DEC(RIGHT(Table1323212714[[#This Row],[h1]],8))</f>
        <v>0</v>
      </c>
      <c r="Q299" s="48" t="s">
        <v>97</v>
      </c>
      <c r="R299" s="48">
        <f>HEX2DEC(RIGHT(Table1323212714[[#This Row],[h2]],8))</f>
        <v>0</v>
      </c>
    </row>
    <row r="300" spans="1:18" x14ac:dyDescent="0.3">
      <c r="A300" s="15" t="str">
        <f t="shared" si="9"/>
        <v>122</v>
      </c>
      <c r="B300" s="15">
        <v>290</v>
      </c>
      <c r="C300" s="42"/>
      <c r="D300" s="15" t="s">
        <v>414</v>
      </c>
      <c r="E300" s="15" t="s">
        <v>57</v>
      </c>
      <c r="G300" s="15">
        <f>IF(Table13192512[[#This Row],[dec val]]="",0,1)</f>
        <v>0</v>
      </c>
      <c r="J300" s="24">
        <v>50000</v>
      </c>
      <c r="M300" s="24">
        <v>50000</v>
      </c>
      <c r="O300" s="48" t="s">
        <v>97</v>
      </c>
      <c r="P300" s="48">
        <f>HEX2DEC(RIGHT(Table1323212714[[#This Row],[h1]],8))</f>
        <v>0</v>
      </c>
      <c r="Q300" s="48" t="s">
        <v>97</v>
      </c>
      <c r="R300" s="48">
        <f>HEX2DEC(RIGHT(Table1323212714[[#This Row],[h2]],8))</f>
        <v>0</v>
      </c>
    </row>
    <row r="301" spans="1:18" x14ac:dyDescent="0.3">
      <c r="A301" s="15" t="str">
        <f t="shared" si="9"/>
        <v>123</v>
      </c>
      <c r="B301" s="15">
        <v>291</v>
      </c>
      <c r="C301" s="42"/>
      <c r="D301" s="15" t="s">
        <v>415</v>
      </c>
      <c r="E301" s="15" t="s">
        <v>58</v>
      </c>
      <c r="G301" s="15">
        <f>IF(Table13192512[[#This Row],[dec val]]="",0,1)</f>
        <v>0</v>
      </c>
      <c r="J301" s="24">
        <v>50000</v>
      </c>
      <c r="M301" s="24">
        <v>50000</v>
      </c>
      <c r="O301" s="48" t="s">
        <v>97</v>
      </c>
      <c r="P301" s="48">
        <f>HEX2DEC(RIGHT(Table1323212714[[#This Row],[h1]],8))</f>
        <v>0</v>
      </c>
      <c r="Q301" s="48" t="s">
        <v>97</v>
      </c>
      <c r="R301" s="48">
        <f>HEX2DEC(RIGHT(Table1323212714[[#This Row],[h2]],8))</f>
        <v>0</v>
      </c>
    </row>
    <row r="302" spans="1:18" x14ac:dyDescent="0.3">
      <c r="A302" s="15" t="str">
        <f t="shared" si="9"/>
        <v>124</v>
      </c>
      <c r="B302" s="15">
        <v>292</v>
      </c>
      <c r="C302" s="42"/>
      <c r="D302" s="15" t="s">
        <v>416</v>
      </c>
      <c r="E302" s="15" t="s">
        <v>59</v>
      </c>
      <c r="G302" s="15">
        <f>IF(Table13192512[[#This Row],[dec val]]="",0,1)</f>
        <v>0</v>
      </c>
      <c r="J302" s="24">
        <v>50000</v>
      </c>
      <c r="M302" s="24">
        <v>50000</v>
      </c>
      <c r="O302" s="48" t="s">
        <v>97</v>
      </c>
      <c r="P302" s="48">
        <f>HEX2DEC(RIGHT(Table1323212714[[#This Row],[h1]],8))</f>
        <v>0</v>
      </c>
      <c r="Q302" s="48" t="s">
        <v>97</v>
      </c>
      <c r="R302" s="48">
        <f>HEX2DEC(RIGHT(Table1323212714[[#This Row],[h2]],8))</f>
        <v>0</v>
      </c>
    </row>
    <row r="303" spans="1:18" x14ac:dyDescent="0.3">
      <c r="A303" s="15" t="str">
        <f t="shared" si="9"/>
        <v>125</v>
      </c>
      <c r="B303" s="15">
        <v>293</v>
      </c>
      <c r="C303" s="42"/>
      <c r="D303" s="15" t="s">
        <v>417</v>
      </c>
      <c r="E303" s="15" t="s">
        <v>60</v>
      </c>
      <c r="G303" s="15">
        <f>IF(Table13192512[[#This Row],[dec val]]="",0,1)</f>
        <v>0</v>
      </c>
      <c r="J303" s="24">
        <v>50000</v>
      </c>
      <c r="M303" s="24">
        <v>50000</v>
      </c>
      <c r="O303" s="48" t="s">
        <v>97</v>
      </c>
      <c r="P303" s="48">
        <f>HEX2DEC(RIGHT(Table1323212714[[#This Row],[h1]],8))</f>
        <v>0</v>
      </c>
      <c r="Q303" s="48" t="s">
        <v>97</v>
      </c>
      <c r="R303" s="48">
        <f>HEX2DEC(RIGHT(Table1323212714[[#This Row],[h2]],8))</f>
        <v>0</v>
      </c>
    </row>
    <row r="304" spans="1:18" x14ac:dyDescent="0.3">
      <c r="A304" s="15" t="str">
        <f t="shared" si="9"/>
        <v>126</v>
      </c>
      <c r="B304" s="15">
        <v>294</v>
      </c>
      <c r="C304" s="42"/>
      <c r="D304" s="15" t="s">
        <v>418</v>
      </c>
      <c r="E304" s="15" t="s">
        <v>61</v>
      </c>
      <c r="G304" s="15">
        <f>IF(Table13192512[[#This Row],[dec val]]="",0,1)</f>
        <v>0</v>
      </c>
      <c r="J304" s="24">
        <v>50000</v>
      </c>
      <c r="M304" s="24">
        <v>50000</v>
      </c>
      <c r="O304" s="48" t="s">
        <v>97</v>
      </c>
      <c r="P304" s="48">
        <f>HEX2DEC(RIGHT(Table1323212714[[#This Row],[h1]],8))</f>
        <v>0</v>
      </c>
      <c r="Q304" s="48" t="s">
        <v>97</v>
      </c>
      <c r="R304" s="48">
        <f>HEX2DEC(RIGHT(Table1323212714[[#This Row],[h2]],8))</f>
        <v>0</v>
      </c>
    </row>
    <row r="305" spans="1:18" x14ac:dyDescent="0.3">
      <c r="A305" s="15" t="str">
        <f t="shared" si="9"/>
        <v>127</v>
      </c>
      <c r="B305" s="15">
        <v>295</v>
      </c>
      <c r="C305" s="42"/>
      <c r="D305" s="15" t="s">
        <v>419</v>
      </c>
      <c r="E305" s="15" t="s">
        <v>62</v>
      </c>
      <c r="G305" s="15">
        <f>IF(Table13192512[[#This Row],[dec val]]="",0,1)</f>
        <v>0</v>
      </c>
      <c r="J305" s="24">
        <v>50000</v>
      </c>
      <c r="M305" s="24">
        <v>50000</v>
      </c>
      <c r="O305" s="48" t="s">
        <v>97</v>
      </c>
      <c r="P305" s="48">
        <f>HEX2DEC(RIGHT(Table1323212714[[#This Row],[h1]],8))</f>
        <v>0</v>
      </c>
      <c r="Q305" s="48" t="s">
        <v>97</v>
      </c>
      <c r="R305" s="48">
        <f>HEX2DEC(RIGHT(Table1323212714[[#This Row],[h2]],8))</f>
        <v>0</v>
      </c>
    </row>
    <row r="306" spans="1:18" x14ac:dyDescent="0.3">
      <c r="A306" s="15" t="str">
        <f t="shared" si="9"/>
        <v>128</v>
      </c>
      <c r="B306" s="15">
        <v>296</v>
      </c>
      <c r="C306" s="42"/>
      <c r="D306" s="15" t="s">
        <v>420</v>
      </c>
      <c r="E306" s="15" t="s">
        <v>63</v>
      </c>
      <c r="G306" s="15">
        <f>IF(Table13192512[[#This Row],[dec val]]="",0,1)</f>
        <v>0</v>
      </c>
      <c r="J306" s="24">
        <v>50000</v>
      </c>
      <c r="M306" s="24">
        <v>50000</v>
      </c>
      <c r="O306" s="48" t="s">
        <v>97</v>
      </c>
      <c r="P306" s="48">
        <f>HEX2DEC(RIGHT(Table1323212714[[#This Row],[h1]],8))</f>
        <v>0</v>
      </c>
      <c r="Q306" s="48" t="s">
        <v>97</v>
      </c>
      <c r="R306" s="48">
        <f>HEX2DEC(RIGHT(Table1323212714[[#This Row],[h2]],8))</f>
        <v>0</v>
      </c>
    </row>
    <row r="307" spans="1:18" x14ac:dyDescent="0.3">
      <c r="A307" s="15" t="str">
        <f t="shared" si="9"/>
        <v>129</v>
      </c>
      <c r="B307" s="15">
        <v>297</v>
      </c>
      <c r="C307" s="42"/>
      <c r="D307" s="15" t="s">
        <v>421</v>
      </c>
      <c r="E307" s="15" t="s">
        <v>64</v>
      </c>
      <c r="G307" s="15">
        <f>IF(Table13192512[[#This Row],[dec val]]="",0,1)</f>
        <v>0</v>
      </c>
      <c r="J307" s="24">
        <v>50000</v>
      </c>
      <c r="M307" s="24">
        <v>50000</v>
      </c>
      <c r="O307" s="48" t="s">
        <v>97</v>
      </c>
      <c r="P307" s="48">
        <f>HEX2DEC(RIGHT(Table1323212714[[#This Row],[h1]],8))</f>
        <v>0</v>
      </c>
      <c r="Q307" s="48" t="s">
        <v>97</v>
      </c>
      <c r="R307" s="48">
        <f>HEX2DEC(RIGHT(Table1323212714[[#This Row],[h2]],8))</f>
        <v>0</v>
      </c>
    </row>
    <row r="308" spans="1:18" x14ac:dyDescent="0.3">
      <c r="A308" s="15" t="str">
        <f t="shared" si="9"/>
        <v>12A</v>
      </c>
      <c r="B308" s="15">
        <v>298</v>
      </c>
      <c r="C308" s="42"/>
      <c r="D308" s="15" t="s">
        <v>422</v>
      </c>
      <c r="E308" s="15" t="s">
        <v>65</v>
      </c>
      <c r="G308" s="15">
        <f>IF(Table13192512[[#This Row],[dec val]]="",0,1)</f>
        <v>0</v>
      </c>
      <c r="J308" s="24">
        <v>50000</v>
      </c>
      <c r="M308" s="24">
        <v>50000</v>
      </c>
      <c r="O308" s="48" t="s">
        <v>97</v>
      </c>
      <c r="P308" s="48">
        <f>HEX2DEC(RIGHT(Table1323212714[[#This Row],[h1]],8))</f>
        <v>0</v>
      </c>
      <c r="Q308" s="48" t="s">
        <v>97</v>
      </c>
      <c r="R308" s="48">
        <f>HEX2DEC(RIGHT(Table1323212714[[#This Row],[h2]],8))</f>
        <v>0</v>
      </c>
    </row>
    <row r="309" spans="1:18" x14ac:dyDescent="0.3">
      <c r="A309" s="15" t="str">
        <f t="shared" si="9"/>
        <v>12B</v>
      </c>
      <c r="B309" s="15">
        <v>299</v>
      </c>
      <c r="C309" s="42"/>
      <c r="D309" s="15" t="s">
        <v>423</v>
      </c>
      <c r="E309" s="15" t="s">
        <v>66</v>
      </c>
      <c r="G309" s="15">
        <f>IF(Table13192512[[#This Row],[dec val]]="",0,1)</f>
        <v>0</v>
      </c>
      <c r="J309" s="24">
        <v>50000</v>
      </c>
      <c r="M309" s="24">
        <v>50000</v>
      </c>
      <c r="O309" s="48" t="s">
        <v>97</v>
      </c>
      <c r="P309" s="48">
        <f>HEX2DEC(RIGHT(Table1323212714[[#This Row],[h1]],8))</f>
        <v>0</v>
      </c>
      <c r="Q309" s="48" t="s">
        <v>97</v>
      </c>
      <c r="R309" s="48">
        <f>HEX2DEC(RIGHT(Table1323212714[[#This Row],[h2]],8))</f>
        <v>0</v>
      </c>
    </row>
    <row r="310" spans="1:18" x14ac:dyDescent="0.3">
      <c r="A310" s="15" t="str">
        <f t="shared" si="9"/>
        <v>12C</v>
      </c>
      <c r="B310" s="15">
        <v>300</v>
      </c>
      <c r="C310" s="42"/>
      <c r="D310" s="15" t="s">
        <v>424</v>
      </c>
      <c r="E310" s="15" t="s">
        <v>67</v>
      </c>
      <c r="G310" s="15">
        <f>IF(Table13192512[[#This Row],[dec val]]="",0,1)</f>
        <v>0</v>
      </c>
      <c r="J310" s="24">
        <v>50000</v>
      </c>
      <c r="M310" s="24">
        <v>50000</v>
      </c>
      <c r="O310" s="48" t="s">
        <v>97</v>
      </c>
      <c r="P310" s="48">
        <f>HEX2DEC(RIGHT(Table1323212714[[#This Row],[h1]],8))</f>
        <v>0</v>
      </c>
      <c r="Q310" s="48" t="s">
        <v>97</v>
      </c>
      <c r="R310" s="48">
        <f>HEX2DEC(RIGHT(Table1323212714[[#This Row],[h2]],8))</f>
        <v>0</v>
      </c>
    </row>
    <row r="311" spans="1:18" x14ac:dyDescent="0.3">
      <c r="A311" s="15" t="str">
        <f t="shared" si="9"/>
        <v>12D</v>
      </c>
      <c r="B311" s="15">
        <v>301</v>
      </c>
      <c r="C311" s="42"/>
      <c r="D311" s="15" t="s">
        <v>425</v>
      </c>
      <c r="E311" s="15" t="s">
        <v>68</v>
      </c>
      <c r="G311" s="15">
        <f>IF(Table13192512[[#This Row],[dec val]]="",0,1)</f>
        <v>0</v>
      </c>
      <c r="J311" s="24">
        <v>50000</v>
      </c>
      <c r="M311" s="24">
        <v>50000</v>
      </c>
      <c r="O311" s="48" t="s">
        <v>97</v>
      </c>
      <c r="P311" s="48">
        <f>HEX2DEC(RIGHT(Table1323212714[[#This Row],[h1]],8))</f>
        <v>0</v>
      </c>
      <c r="Q311" s="48" t="s">
        <v>97</v>
      </c>
      <c r="R311" s="48">
        <f>HEX2DEC(RIGHT(Table1323212714[[#This Row],[h2]],8))</f>
        <v>0</v>
      </c>
    </row>
    <row r="312" spans="1:18" x14ac:dyDescent="0.3">
      <c r="A312" s="15" t="str">
        <f t="shared" si="9"/>
        <v>12E</v>
      </c>
      <c r="B312" s="15">
        <v>302</v>
      </c>
      <c r="C312" s="42"/>
      <c r="D312" s="15" t="s">
        <v>426</v>
      </c>
      <c r="E312" s="15" t="s">
        <v>69</v>
      </c>
      <c r="G312" s="15">
        <f>IF(Table13192512[[#This Row],[dec val]]="",0,1)</f>
        <v>0</v>
      </c>
      <c r="J312" s="24">
        <v>50000</v>
      </c>
      <c r="M312" s="24">
        <v>50000</v>
      </c>
      <c r="O312" s="48" t="s">
        <v>97</v>
      </c>
      <c r="P312" s="48">
        <f>HEX2DEC(RIGHT(Table1323212714[[#This Row],[h1]],8))</f>
        <v>0</v>
      </c>
      <c r="Q312" s="48" t="s">
        <v>97</v>
      </c>
      <c r="R312" s="48">
        <f>HEX2DEC(RIGHT(Table1323212714[[#This Row],[h2]],8))</f>
        <v>0</v>
      </c>
    </row>
    <row r="313" spans="1:18" x14ac:dyDescent="0.3">
      <c r="A313" s="15" t="str">
        <f t="shared" si="9"/>
        <v>12F</v>
      </c>
      <c r="B313" s="15">
        <v>303</v>
      </c>
      <c r="C313" s="42"/>
      <c r="D313" s="15" t="s">
        <v>427</v>
      </c>
      <c r="E313" s="15" t="s">
        <v>70</v>
      </c>
      <c r="G313" s="15">
        <f>IF(Table13192512[[#This Row],[dec val]]="",0,1)</f>
        <v>0</v>
      </c>
      <c r="J313" s="24">
        <v>50000</v>
      </c>
      <c r="M313" s="24">
        <v>50000</v>
      </c>
      <c r="O313" s="48" t="s">
        <v>97</v>
      </c>
      <c r="P313" s="48">
        <f>HEX2DEC(RIGHT(Table1323212714[[#This Row],[h1]],8))</f>
        <v>0</v>
      </c>
      <c r="Q313" s="48" t="s">
        <v>97</v>
      </c>
      <c r="R313" s="48">
        <f>HEX2DEC(RIGHT(Table1323212714[[#This Row],[h2]],8))</f>
        <v>0</v>
      </c>
    </row>
    <row r="314" spans="1:18" x14ac:dyDescent="0.3">
      <c r="A314" s="15" t="str">
        <f t="shared" si="9"/>
        <v>130</v>
      </c>
      <c r="B314" s="15">
        <v>304</v>
      </c>
      <c r="C314" s="42"/>
      <c r="D314" s="15" t="s">
        <v>428</v>
      </c>
      <c r="E314" s="15" t="s">
        <v>71</v>
      </c>
      <c r="G314" s="15">
        <f>IF(Table13192512[[#This Row],[dec val]]="",0,1)</f>
        <v>0</v>
      </c>
      <c r="J314" s="24">
        <v>50000</v>
      </c>
      <c r="M314" s="24">
        <v>50000</v>
      </c>
      <c r="O314" s="48" t="s">
        <v>97</v>
      </c>
      <c r="P314" s="48">
        <f>HEX2DEC(RIGHT(Table1323212714[[#This Row],[h1]],8))</f>
        <v>0</v>
      </c>
      <c r="Q314" s="48" t="s">
        <v>97</v>
      </c>
      <c r="R314" s="48">
        <f>HEX2DEC(RIGHT(Table1323212714[[#This Row],[h2]],8))</f>
        <v>0</v>
      </c>
    </row>
    <row r="315" spans="1:18" x14ac:dyDescent="0.3">
      <c r="A315" s="15" t="str">
        <f t="shared" si="9"/>
        <v>131</v>
      </c>
      <c r="B315" s="15">
        <v>305</v>
      </c>
      <c r="C315" s="42"/>
      <c r="D315" s="15" t="s">
        <v>429</v>
      </c>
      <c r="E315" s="15" t="s">
        <v>72</v>
      </c>
      <c r="G315" s="15">
        <f>IF(Table13192512[[#This Row],[dec val]]="",0,1)</f>
        <v>0</v>
      </c>
      <c r="J315" s="24">
        <v>50000</v>
      </c>
      <c r="M315" s="24">
        <v>50000</v>
      </c>
      <c r="O315" s="48" t="s">
        <v>97</v>
      </c>
      <c r="P315" s="48">
        <f>HEX2DEC(RIGHT(Table1323212714[[#This Row],[h1]],8))</f>
        <v>0</v>
      </c>
      <c r="Q315" s="48" t="s">
        <v>97</v>
      </c>
      <c r="R315" s="48">
        <f>HEX2DEC(RIGHT(Table1323212714[[#This Row],[h2]],8))</f>
        <v>0</v>
      </c>
    </row>
    <row r="316" spans="1:18" x14ac:dyDescent="0.3">
      <c r="A316" s="15" t="str">
        <f t="shared" si="9"/>
        <v>132</v>
      </c>
      <c r="B316" s="15">
        <v>306</v>
      </c>
      <c r="C316" s="42"/>
      <c r="D316" s="15" t="s">
        <v>430</v>
      </c>
      <c r="E316" s="15" t="s">
        <v>73</v>
      </c>
      <c r="G316" s="15">
        <f>IF(Table13192512[[#This Row],[dec val]]="",0,1)</f>
        <v>0</v>
      </c>
      <c r="J316" s="24">
        <v>50000</v>
      </c>
      <c r="M316" s="24">
        <v>50000</v>
      </c>
      <c r="O316" s="48" t="s">
        <v>97</v>
      </c>
      <c r="P316" s="48">
        <f>HEX2DEC(RIGHT(Table1323212714[[#This Row],[h1]],8))</f>
        <v>0</v>
      </c>
      <c r="Q316" s="48" t="s">
        <v>97</v>
      </c>
      <c r="R316" s="48">
        <f>HEX2DEC(RIGHT(Table1323212714[[#This Row],[h2]],8))</f>
        <v>0</v>
      </c>
    </row>
    <row r="317" spans="1:18" x14ac:dyDescent="0.3">
      <c r="A317" s="15" t="str">
        <f t="shared" si="9"/>
        <v>133</v>
      </c>
      <c r="B317" s="15">
        <v>307</v>
      </c>
      <c r="C317" s="42"/>
      <c r="D317" s="15" t="s">
        <v>431</v>
      </c>
      <c r="E317" s="15" t="s">
        <v>74</v>
      </c>
      <c r="G317" s="15">
        <f>IF(Table13192512[[#This Row],[dec val]]="",0,1)</f>
        <v>0</v>
      </c>
      <c r="J317" s="24">
        <v>50000</v>
      </c>
      <c r="M317" s="24">
        <v>50000</v>
      </c>
      <c r="O317" s="48" t="s">
        <v>97</v>
      </c>
      <c r="P317" s="48">
        <f>HEX2DEC(RIGHT(Table1323212714[[#This Row],[h1]],8))</f>
        <v>0</v>
      </c>
      <c r="Q317" s="48" t="s">
        <v>97</v>
      </c>
      <c r="R317" s="48">
        <f>HEX2DEC(RIGHT(Table1323212714[[#This Row],[h2]],8))</f>
        <v>0</v>
      </c>
    </row>
    <row r="318" spans="1:18" x14ac:dyDescent="0.3">
      <c r="A318" s="15" t="str">
        <f t="shared" si="9"/>
        <v>134</v>
      </c>
      <c r="B318" s="15">
        <v>308</v>
      </c>
      <c r="C318" s="42"/>
      <c r="D318" s="15" t="s">
        <v>432</v>
      </c>
      <c r="E318" s="15" t="s">
        <v>75</v>
      </c>
      <c r="G318" s="15">
        <f>IF(Table13192512[[#This Row],[dec val]]="",0,1)</f>
        <v>0</v>
      </c>
      <c r="J318" s="24">
        <v>50000</v>
      </c>
      <c r="M318" s="24">
        <v>50000</v>
      </c>
      <c r="O318" s="48" t="s">
        <v>97</v>
      </c>
      <c r="P318" s="48">
        <f>HEX2DEC(RIGHT(Table1323212714[[#This Row],[h1]],8))</f>
        <v>0</v>
      </c>
      <c r="Q318" s="48" t="s">
        <v>97</v>
      </c>
      <c r="R318" s="48">
        <f>HEX2DEC(RIGHT(Table1323212714[[#This Row],[h2]],8))</f>
        <v>0</v>
      </c>
    </row>
    <row r="319" spans="1:18" x14ac:dyDescent="0.3">
      <c r="A319" s="15" t="str">
        <f t="shared" si="9"/>
        <v>135</v>
      </c>
      <c r="B319" s="15">
        <v>309</v>
      </c>
      <c r="C319" s="42"/>
      <c r="D319" s="15" t="s">
        <v>433</v>
      </c>
      <c r="E319" s="15" t="s">
        <v>76</v>
      </c>
      <c r="G319" s="15">
        <f>IF(Table13192512[[#This Row],[dec val]]="",0,1)</f>
        <v>0</v>
      </c>
      <c r="J319" s="24">
        <v>50000</v>
      </c>
      <c r="M319" s="24">
        <v>50000</v>
      </c>
      <c r="O319" s="48" t="s">
        <v>97</v>
      </c>
      <c r="P319" s="48">
        <f>HEX2DEC(RIGHT(Table1323212714[[#This Row],[h1]],8))</f>
        <v>0</v>
      </c>
      <c r="Q319" s="48" t="s">
        <v>97</v>
      </c>
      <c r="R319" s="48">
        <f>HEX2DEC(RIGHT(Table1323212714[[#This Row],[h2]],8))</f>
        <v>0</v>
      </c>
    </row>
    <row r="320" spans="1:18" x14ac:dyDescent="0.3">
      <c r="A320" s="15" t="str">
        <f t="shared" si="9"/>
        <v>136</v>
      </c>
      <c r="B320" s="15">
        <v>310</v>
      </c>
      <c r="C320" s="42"/>
      <c r="D320" s="15" t="s">
        <v>434</v>
      </c>
      <c r="E320" s="15" t="s">
        <v>77</v>
      </c>
      <c r="G320" s="15">
        <f>IF(Table13192512[[#This Row],[dec val]]="",0,1)</f>
        <v>0</v>
      </c>
      <c r="J320" s="24">
        <v>50000</v>
      </c>
      <c r="M320" s="24">
        <v>50000</v>
      </c>
      <c r="O320" s="48" t="s">
        <v>97</v>
      </c>
      <c r="P320" s="48">
        <f>HEX2DEC(RIGHT(Table1323212714[[#This Row],[h1]],8))</f>
        <v>0</v>
      </c>
      <c r="Q320" s="48" t="s">
        <v>97</v>
      </c>
      <c r="R320" s="48">
        <f>HEX2DEC(RIGHT(Table1323212714[[#This Row],[h2]],8))</f>
        <v>0</v>
      </c>
    </row>
    <row r="321" spans="1:18" x14ac:dyDescent="0.3">
      <c r="A321" s="15" t="str">
        <f t="shared" si="9"/>
        <v>137</v>
      </c>
      <c r="B321" s="15">
        <v>311</v>
      </c>
      <c r="C321" s="42"/>
      <c r="D321" s="15" t="s">
        <v>435</v>
      </c>
      <c r="E321" s="15" t="s">
        <v>78</v>
      </c>
      <c r="G321" s="15">
        <f>IF(Table13192512[[#This Row],[dec val]]="",0,1)</f>
        <v>0</v>
      </c>
      <c r="J321" s="24">
        <v>50000</v>
      </c>
      <c r="M321" s="24">
        <v>50000</v>
      </c>
      <c r="O321" s="48" t="s">
        <v>97</v>
      </c>
      <c r="P321" s="48">
        <f>HEX2DEC(RIGHT(Table1323212714[[#This Row],[h1]],8))</f>
        <v>0</v>
      </c>
      <c r="Q321" s="48" t="s">
        <v>97</v>
      </c>
      <c r="R321" s="48">
        <f>HEX2DEC(RIGHT(Table1323212714[[#This Row],[h2]],8))</f>
        <v>0</v>
      </c>
    </row>
    <row r="322" spans="1:18" x14ac:dyDescent="0.3">
      <c r="A322" s="15" t="str">
        <f t="shared" si="9"/>
        <v>138</v>
      </c>
      <c r="B322" s="15">
        <v>312</v>
      </c>
      <c r="C322" s="42"/>
      <c r="D322" s="15" t="s">
        <v>436</v>
      </c>
      <c r="E322" s="15" t="s">
        <v>79</v>
      </c>
      <c r="G322" s="15">
        <f>IF(Table13192512[[#This Row],[dec val]]="",0,1)</f>
        <v>0</v>
      </c>
      <c r="J322" s="24">
        <v>50000</v>
      </c>
      <c r="M322" s="24">
        <v>50000</v>
      </c>
      <c r="O322" s="48" t="s">
        <v>97</v>
      </c>
      <c r="P322" s="48">
        <f>HEX2DEC(RIGHT(Table1323212714[[#This Row],[h1]],8))</f>
        <v>0</v>
      </c>
      <c r="Q322" s="48" t="s">
        <v>97</v>
      </c>
      <c r="R322" s="48">
        <f>HEX2DEC(RIGHT(Table1323212714[[#This Row],[h2]],8))</f>
        <v>0</v>
      </c>
    </row>
    <row r="323" spans="1:18" x14ac:dyDescent="0.3">
      <c r="A323" s="15" t="str">
        <f t="shared" si="9"/>
        <v>139</v>
      </c>
      <c r="B323" s="15">
        <v>313</v>
      </c>
      <c r="C323" s="42"/>
      <c r="D323" s="15" t="s">
        <v>437</v>
      </c>
      <c r="E323" s="15" t="s">
        <v>80</v>
      </c>
      <c r="G323" s="15">
        <f>IF(Table13192512[[#This Row],[dec val]]="",0,1)</f>
        <v>0</v>
      </c>
      <c r="J323" s="24">
        <v>50000</v>
      </c>
      <c r="M323" s="24">
        <v>50000</v>
      </c>
      <c r="O323" s="48" t="s">
        <v>97</v>
      </c>
      <c r="P323" s="48">
        <f>HEX2DEC(RIGHT(Table1323212714[[#This Row],[h1]],8))</f>
        <v>0</v>
      </c>
      <c r="Q323" s="48" t="s">
        <v>97</v>
      </c>
      <c r="R323" s="48">
        <f>HEX2DEC(RIGHT(Table1323212714[[#This Row],[h2]],8))</f>
        <v>0</v>
      </c>
    </row>
    <row r="324" spans="1:18" x14ac:dyDescent="0.3">
      <c r="A324" s="15" t="str">
        <f t="shared" si="9"/>
        <v>13A</v>
      </c>
      <c r="B324" s="15">
        <v>314</v>
      </c>
      <c r="C324" s="42"/>
      <c r="D324" s="15" t="s">
        <v>438</v>
      </c>
      <c r="E324" s="15" t="s">
        <v>81</v>
      </c>
      <c r="G324" s="15">
        <f>IF(Table13192512[[#This Row],[dec val]]="",0,1)</f>
        <v>0</v>
      </c>
      <c r="J324" s="24">
        <v>50000</v>
      </c>
      <c r="M324" s="24">
        <v>50000</v>
      </c>
      <c r="O324" s="48" t="s">
        <v>97</v>
      </c>
      <c r="P324" s="48">
        <f>HEX2DEC(RIGHT(Table1323212714[[#This Row],[h1]],8))</f>
        <v>0</v>
      </c>
      <c r="Q324" s="48" t="s">
        <v>97</v>
      </c>
      <c r="R324" s="48">
        <f>HEX2DEC(RIGHT(Table1323212714[[#This Row],[h2]],8))</f>
        <v>0</v>
      </c>
    </row>
    <row r="325" spans="1:18" x14ac:dyDescent="0.3">
      <c r="A325" s="15" t="str">
        <f t="shared" si="9"/>
        <v>13B</v>
      </c>
      <c r="B325" s="15">
        <v>315</v>
      </c>
      <c r="C325" s="42"/>
      <c r="D325" s="15" t="s">
        <v>439</v>
      </c>
      <c r="E325" s="15" t="s">
        <v>82</v>
      </c>
      <c r="G325" s="15">
        <f>IF(Table13192512[[#This Row],[dec val]]="",0,1)</f>
        <v>0</v>
      </c>
      <c r="J325" s="24">
        <v>50000</v>
      </c>
      <c r="M325" s="24">
        <v>50000</v>
      </c>
      <c r="O325" s="48" t="s">
        <v>97</v>
      </c>
      <c r="P325" s="48">
        <f>HEX2DEC(RIGHT(Table1323212714[[#This Row],[h1]],8))</f>
        <v>0</v>
      </c>
      <c r="Q325" s="48" t="s">
        <v>97</v>
      </c>
      <c r="R325" s="48">
        <f>HEX2DEC(RIGHT(Table1323212714[[#This Row],[h2]],8))</f>
        <v>0</v>
      </c>
    </row>
    <row r="326" spans="1:18" x14ac:dyDescent="0.3">
      <c r="A326" s="15" t="str">
        <f t="shared" si="9"/>
        <v>13C</v>
      </c>
      <c r="B326" s="15">
        <v>316</v>
      </c>
      <c r="C326" s="42"/>
      <c r="D326" s="15" t="s">
        <v>440</v>
      </c>
      <c r="E326" s="15" t="s">
        <v>83</v>
      </c>
      <c r="G326" s="15">
        <f>IF(Table13192512[[#This Row],[dec val]]="",0,1)</f>
        <v>0</v>
      </c>
      <c r="J326" s="24">
        <v>50000</v>
      </c>
      <c r="M326" s="24">
        <v>50000</v>
      </c>
      <c r="O326" s="48" t="s">
        <v>97</v>
      </c>
      <c r="P326" s="48">
        <f>HEX2DEC(RIGHT(Table1323212714[[#This Row],[h1]],8))</f>
        <v>0</v>
      </c>
      <c r="Q326" s="48" t="s">
        <v>97</v>
      </c>
      <c r="R326" s="48">
        <f>HEX2DEC(RIGHT(Table1323212714[[#This Row],[h2]],8))</f>
        <v>0</v>
      </c>
    </row>
    <row r="327" spans="1:18" x14ac:dyDescent="0.3">
      <c r="A327" s="15" t="str">
        <f t="shared" si="9"/>
        <v>13D</v>
      </c>
      <c r="B327" s="15">
        <v>317</v>
      </c>
      <c r="C327" s="42"/>
      <c r="D327" s="15" t="s">
        <v>441</v>
      </c>
      <c r="E327" s="15" t="s">
        <v>84</v>
      </c>
      <c r="G327" s="15">
        <f>IF(Table13192512[[#This Row],[dec val]]="",0,1)</f>
        <v>0</v>
      </c>
      <c r="J327" s="24">
        <v>50000</v>
      </c>
      <c r="M327" s="24">
        <v>50000</v>
      </c>
      <c r="O327" s="48" t="s">
        <v>97</v>
      </c>
      <c r="P327" s="48">
        <f>HEX2DEC(RIGHT(Table1323212714[[#This Row],[h1]],8))</f>
        <v>0</v>
      </c>
      <c r="Q327" s="48" t="s">
        <v>97</v>
      </c>
      <c r="R327" s="48">
        <f>HEX2DEC(RIGHT(Table1323212714[[#This Row],[h2]],8))</f>
        <v>0</v>
      </c>
    </row>
    <row r="328" spans="1:18" x14ac:dyDescent="0.3">
      <c r="A328" s="15" t="str">
        <f t="shared" si="9"/>
        <v>13E</v>
      </c>
      <c r="B328" s="15">
        <v>318</v>
      </c>
      <c r="C328" s="42"/>
      <c r="J328" s="24">
        <v>50000</v>
      </c>
      <c r="M328" s="24">
        <v>50000</v>
      </c>
      <c r="O328" s="48" t="s">
        <v>97</v>
      </c>
      <c r="P328" s="48">
        <f>HEX2DEC(RIGHT(Table1323212714[[#This Row],[h1]],8))</f>
        <v>0</v>
      </c>
      <c r="Q328" s="48" t="s">
        <v>97</v>
      </c>
      <c r="R328" s="48">
        <f>HEX2DEC(RIGHT(Table1323212714[[#This Row],[h2]],8))</f>
        <v>0</v>
      </c>
    </row>
    <row r="329" spans="1:18" x14ac:dyDescent="0.3">
      <c r="A329" s="15" t="str">
        <f t="shared" si="9"/>
        <v>13F</v>
      </c>
      <c r="B329" s="15">
        <v>319</v>
      </c>
      <c r="C329" s="42"/>
      <c r="D329" s="15" t="s">
        <v>442</v>
      </c>
      <c r="E329" s="15" t="s">
        <v>54</v>
      </c>
      <c r="G329" s="15">
        <f>IF(Table13192512[[#This Row],[dec val]]="",0,1)</f>
        <v>0</v>
      </c>
      <c r="J329" s="24">
        <v>50000</v>
      </c>
      <c r="M329" s="24">
        <v>50000</v>
      </c>
      <c r="O329" s="48" t="s">
        <v>97</v>
      </c>
      <c r="P329" s="48">
        <f>HEX2DEC(RIGHT(Table1323212714[[#This Row],[h1]],8))</f>
        <v>0</v>
      </c>
      <c r="Q329" s="48" t="s">
        <v>97</v>
      </c>
      <c r="R329" s="48">
        <f>HEX2DEC(RIGHT(Table1323212714[[#This Row],[h2]],8))</f>
        <v>0</v>
      </c>
    </row>
    <row r="330" spans="1:18" x14ac:dyDescent="0.3">
      <c r="A330" s="15" t="str">
        <f t="shared" si="9"/>
        <v>140</v>
      </c>
      <c r="B330" s="15">
        <v>320</v>
      </c>
      <c r="C330" s="42"/>
      <c r="D330" s="15" t="s">
        <v>443</v>
      </c>
      <c r="E330" s="15" t="s">
        <v>55</v>
      </c>
      <c r="G330" s="15">
        <f>IF(Table13192512[[#This Row],[dec val]]="",0,1)</f>
        <v>0</v>
      </c>
      <c r="J330" s="24">
        <v>50000</v>
      </c>
      <c r="M330" s="24">
        <v>50000</v>
      </c>
      <c r="O330" s="48" t="s">
        <v>97</v>
      </c>
      <c r="P330" s="48">
        <f>HEX2DEC(RIGHT(Table1323212714[[#This Row],[h1]],8))</f>
        <v>0</v>
      </c>
      <c r="Q330" s="48" t="s">
        <v>97</v>
      </c>
      <c r="R330" s="48">
        <f>HEX2DEC(RIGHT(Table1323212714[[#This Row],[h2]],8))</f>
        <v>0</v>
      </c>
    </row>
    <row r="331" spans="1:18" x14ac:dyDescent="0.3">
      <c r="A331" s="15" t="str">
        <f t="shared" ref="A331:A394" si="10">DEC2HEX(B331,3)</f>
        <v>141</v>
      </c>
      <c r="B331" s="15">
        <v>321</v>
      </c>
      <c r="C331" s="42"/>
      <c r="D331" s="15" t="s">
        <v>444</v>
      </c>
      <c r="E331" s="15" t="s">
        <v>56</v>
      </c>
      <c r="G331" s="15">
        <f>IF(Table13192512[[#This Row],[dec val]]="",0,1)</f>
        <v>0</v>
      </c>
      <c r="J331" s="24">
        <v>50000</v>
      </c>
      <c r="M331" s="24">
        <v>50000</v>
      </c>
      <c r="O331" s="48" t="s">
        <v>97</v>
      </c>
      <c r="P331" s="48">
        <f>HEX2DEC(RIGHT(Table1323212714[[#This Row],[h1]],8))</f>
        <v>0</v>
      </c>
      <c r="Q331" s="48" t="s">
        <v>97</v>
      </c>
      <c r="R331" s="48">
        <f>HEX2DEC(RIGHT(Table1323212714[[#This Row],[h2]],8))</f>
        <v>0</v>
      </c>
    </row>
    <row r="332" spans="1:18" x14ac:dyDescent="0.3">
      <c r="A332" s="15" t="str">
        <f t="shared" si="10"/>
        <v>142</v>
      </c>
      <c r="B332" s="15">
        <v>322</v>
      </c>
      <c r="C332" s="42"/>
      <c r="D332" s="15" t="s">
        <v>445</v>
      </c>
      <c r="E332" s="15" t="s">
        <v>57</v>
      </c>
      <c r="G332" s="15">
        <f>IF(Table13192512[[#This Row],[dec val]]="",0,1)</f>
        <v>0</v>
      </c>
      <c r="J332" s="24">
        <v>50000</v>
      </c>
      <c r="M332" s="24">
        <v>50000</v>
      </c>
      <c r="O332" s="48" t="s">
        <v>97</v>
      </c>
      <c r="P332" s="48">
        <f>HEX2DEC(RIGHT(Table1323212714[[#This Row],[h1]],8))</f>
        <v>0</v>
      </c>
      <c r="Q332" s="48" t="s">
        <v>97</v>
      </c>
      <c r="R332" s="48">
        <f>HEX2DEC(RIGHT(Table1323212714[[#This Row],[h2]],8))</f>
        <v>0</v>
      </c>
    </row>
    <row r="333" spans="1:18" x14ac:dyDescent="0.3">
      <c r="A333" s="15" t="str">
        <f t="shared" si="10"/>
        <v>143</v>
      </c>
      <c r="B333" s="15">
        <v>323</v>
      </c>
      <c r="C333" s="42"/>
      <c r="D333" s="15" t="s">
        <v>446</v>
      </c>
      <c r="E333" s="15" t="s">
        <v>58</v>
      </c>
      <c r="G333" s="15">
        <f>IF(Table13192512[[#This Row],[dec val]]="",0,1)</f>
        <v>0</v>
      </c>
      <c r="J333" s="24">
        <v>50000</v>
      </c>
      <c r="M333" s="24">
        <v>50000</v>
      </c>
      <c r="O333" s="48" t="s">
        <v>97</v>
      </c>
      <c r="P333" s="48">
        <f>HEX2DEC(RIGHT(Table1323212714[[#This Row],[h1]],8))</f>
        <v>0</v>
      </c>
      <c r="Q333" s="48" t="s">
        <v>97</v>
      </c>
      <c r="R333" s="48">
        <f>HEX2DEC(RIGHT(Table1323212714[[#This Row],[h2]],8))</f>
        <v>0</v>
      </c>
    </row>
    <row r="334" spans="1:18" x14ac:dyDescent="0.3">
      <c r="A334" s="15" t="str">
        <f t="shared" si="10"/>
        <v>144</v>
      </c>
      <c r="B334" s="15">
        <v>324</v>
      </c>
      <c r="C334" s="42"/>
      <c r="D334" s="15" t="s">
        <v>447</v>
      </c>
      <c r="E334" s="15" t="s">
        <v>59</v>
      </c>
      <c r="G334" s="15">
        <f>IF(Table13192512[[#This Row],[dec val]]="",0,1)</f>
        <v>0</v>
      </c>
      <c r="J334" s="24">
        <v>50000</v>
      </c>
      <c r="M334" s="24">
        <v>50000</v>
      </c>
      <c r="O334" s="48" t="s">
        <v>97</v>
      </c>
      <c r="P334" s="48">
        <f>HEX2DEC(RIGHT(Table1323212714[[#This Row],[h1]],8))</f>
        <v>0</v>
      </c>
      <c r="Q334" s="48" t="s">
        <v>97</v>
      </c>
      <c r="R334" s="48">
        <f>HEX2DEC(RIGHT(Table1323212714[[#This Row],[h2]],8))</f>
        <v>0</v>
      </c>
    </row>
    <row r="335" spans="1:18" x14ac:dyDescent="0.3">
      <c r="A335" s="15" t="str">
        <f t="shared" si="10"/>
        <v>145</v>
      </c>
      <c r="B335" s="15">
        <v>325</v>
      </c>
      <c r="C335" s="42"/>
      <c r="D335" s="15" t="s">
        <v>448</v>
      </c>
      <c r="E335" s="15" t="s">
        <v>60</v>
      </c>
      <c r="G335" s="15">
        <f>IF(Table13192512[[#This Row],[dec val]]="",0,1)</f>
        <v>0</v>
      </c>
      <c r="J335" s="24">
        <v>50000</v>
      </c>
      <c r="M335" s="24">
        <v>50000</v>
      </c>
      <c r="O335" s="48" t="s">
        <v>97</v>
      </c>
      <c r="P335" s="48">
        <f>HEX2DEC(RIGHT(Table1323212714[[#This Row],[h1]],8))</f>
        <v>0</v>
      </c>
      <c r="Q335" s="48" t="s">
        <v>97</v>
      </c>
      <c r="R335" s="48">
        <f>HEX2DEC(RIGHT(Table1323212714[[#This Row],[h2]],8))</f>
        <v>0</v>
      </c>
    </row>
    <row r="336" spans="1:18" x14ac:dyDescent="0.3">
      <c r="A336" s="15" t="str">
        <f t="shared" si="10"/>
        <v>146</v>
      </c>
      <c r="B336" s="15">
        <v>326</v>
      </c>
      <c r="C336" s="42"/>
      <c r="D336" s="15" t="s">
        <v>449</v>
      </c>
      <c r="E336" s="15" t="s">
        <v>61</v>
      </c>
      <c r="G336" s="15">
        <f>IF(Table13192512[[#This Row],[dec val]]="",0,1)</f>
        <v>0</v>
      </c>
      <c r="J336" s="24">
        <v>50000</v>
      </c>
      <c r="M336" s="24">
        <v>50000</v>
      </c>
      <c r="O336" s="48" t="s">
        <v>97</v>
      </c>
      <c r="P336" s="48">
        <f>HEX2DEC(RIGHT(Table1323212714[[#This Row],[h1]],8))</f>
        <v>0</v>
      </c>
      <c r="Q336" s="48" t="s">
        <v>97</v>
      </c>
      <c r="R336" s="48">
        <f>HEX2DEC(RIGHT(Table1323212714[[#This Row],[h2]],8))</f>
        <v>0</v>
      </c>
    </row>
    <row r="337" spans="1:18" x14ac:dyDescent="0.3">
      <c r="A337" s="15" t="str">
        <f t="shared" si="10"/>
        <v>147</v>
      </c>
      <c r="B337" s="15">
        <v>327</v>
      </c>
      <c r="C337" s="42"/>
      <c r="D337" s="15" t="s">
        <v>450</v>
      </c>
      <c r="E337" s="15" t="s">
        <v>62</v>
      </c>
      <c r="G337" s="15">
        <f>IF(Table13192512[[#This Row],[dec val]]="",0,1)</f>
        <v>0</v>
      </c>
      <c r="J337" s="24">
        <v>50000</v>
      </c>
      <c r="M337" s="24">
        <v>50000</v>
      </c>
      <c r="O337" s="48" t="s">
        <v>97</v>
      </c>
      <c r="P337" s="48">
        <f>HEX2DEC(RIGHT(Table1323212714[[#This Row],[h1]],8))</f>
        <v>0</v>
      </c>
      <c r="Q337" s="48" t="s">
        <v>97</v>
      </c>
      <c r="R337" s="48">
        <f>HEX2DEC(RIGHT(Table1323212714[[#This Row],[h2]],8))</f>
        <v>0</v>
      </c>
    </row>
    <row r="338" spans="1:18" x14ac:dyDescent="0.3">
      <c r="A338" s="15" t="str">
        <f t="shared" si="10"/>
        <v>148</v>
      </c>
      <c r="B338" s="15">
        <v>328</v>
      </c>
      <c r="C338" s="42"/>
      <c r="D338" s="15" t="s">
        <v>451</v>
      </c>
      <c r="E338" s="15" t="s">
        <v>63</v>
      </c>
      <c r="G338" s="15">
        <f>IF(Table13192512[[#This Row],[dec val]]="",0,1)</f>
        <v>0</v>
      </c>
      <c r="J338" s="24">
        <v>50000</v>
      </c>
      <c r="M338" s="24">
        <v>50000</v>
      </c>
      <c r="O338" s="48" t="s">
        <v>97</v>
      </c>
      <c r="P338" s="48">
        <f>HEX2DEC(RIGHT(Table1323212714[[#This Row],[h1]],8))</f>
        <v>0</v>
      </c>
      <c r="Q338" s="48" t="s">
        <v>97</v>
      </c>
      <c r="R338" s="48">
        <f>HEX2DEC(RIGHT(Table1323212714[[#This Row],[h2]],8))</f>
        <v>0</v>
      </c>
    </row>
    <row r="339" spans="1:18" x14ac:dyDescent="0.3">
      <c r="A339" s="15" t="str">
        <f t="shared" si="10"/>
        <v>149</v>
      </c>
      <c r="B339" s="15">
        <v>329</v>
      </c>
      <c r="C339" s="42"/>
      <c r="D339" s="15" t="s">
        <v>452</v>
      </c>
      <c r="E339" s="15" t="s">
        <v>64</v>
      </c>
      <c r="G339" s="15">
        <f>IF(Table13192512[[#This Row],[dec val]]="",0,1)</f>
        <v>0</v>
      </c>
      <c r="J339" s="24">
        <v>50000</v>
      </c>
      <c r="M339" s="24">
        <v>50000</v>
      </c>
      <c r="O339" s="48" t="s">
        <v>97</v>
      </c>
      <c r="P339" s="48">
        <f>HEX2DEC(RIGHT(Table1323212714[[#This Row],[h1]],8))</f>
        <v>0</v>
      </c>
      <c r="Q339" s="48" t="s">
        <v>97</v>
      </c>
      <c r="R339" s="48">
        <f>HEX2DEC(RIGHT(Table1323212714[[#This Row],[h2]],8))</f>
        <v>0</v>
      </c>
    </row>
    <row r="340" spans="1:18" x14ac:dyDescent="0.3">
      <c r="A340" s="15" t="str">
        <f t="shared" si="10"/>
        <v>14A</v>
      </c>
      <c r="B340" s="15">
        <v>330</v>
      </c>
      <c r="C340" s="42"/>
      <c r="D340" s="15" t="s">
        <v>453</v>
      </c>
      <c r="E340" s="15" t="s">
        <v>65</v>
      </c>
      <c r="G340" s="15">
        <f>IF(Table13192512[[#This Row],[dec val]]="",0,1)</f>
        <v>0</v>
      </c>
      <c r="J340" s="24">
        <v>50000</v>
      </c>
      <c r="M340" s="24">
        <v>50000</v>
      </c>
      <c r="O340" s="48" t="s">
        <v>97</v>
      </c>
      <c r="P340" s="48">
        <f>HEX2DEC(RIGHT(Table1323212714[[#This Row],[h1]],8))</f>
        <v>0</v>
      </c>
      <c r="Q340" s="48" t="s">
        <v>97</v>
      </c>
      <c r="R340" s="48">
        <f>HEX2DEC(RIGHT(Table1323212714[[#This Row],[h2]],8))</f>
        <v>0</v>
      </c>
    </row>
    <row r="341" spans="1:18" x14ac:dyDescent="0.3">
      <c r="A341" s="15" t="str">
        <f t="shared" si="10"/>
        <v>14B</v>
      </c>
      <c r="B341" s="15">
        <v>331</v>
      </c>
      <c r="C341" s="42"/>
      <c r="D341" s="15" t="s">
        <v>454</v>
      </c>
      <c r="E341" s="15" t="s">
        <v>66</v>
      </c>
      <c r="G341" s="15">
        <f>IF(Table13192512[[#This Row],[dec val]]="",0,1)</f>
        <v>0</v>
      </c>
      <c r="J341" s="24">
        <v>50000</v>
      </c>
      <c r="M341" s="24">
        <v>50000</v>
      </c>
      <c r="O341" s="48" t="s">
        <v>97</v>
      </c>
      <c r="P341" s="48">
        <f>HEX2DEC(RIGHT(Table1323212714[[#This Row],[h1]],8))</f>
        <v>0</v>
      </c>
      <c r="Q341" s="48" t="s">
        <v>97</v>
      </c>
      <c r="R341" s="48">
        <f>HEX2DEC(RIGHT(Table1323212714[[#This Row],[h2]],8))</f>
        <v>0</v>
      </c>
    </row>
    <row r="342" spans="1:18" x14ac:dyDescent="0.3">
      <c r="A342" s="15" t="str">
        <f t="shared" si="10"/>
        <v>14C</v>
      </c>
      <c r="B342" s="15">
        <v>332</v>
      </c>
      <c r="C342" s="42"/>
      <c r="D342" s="15" t="s">
        <v>455</v>
      </c>
      <c r="E342" s="15" t="s">
        <v>67</v>
      </c>
      <c r="G342" s="15">
        <f>IF(Table13192512[[#This Row],[dec val]]="",0,1)</f>
        <v>0</v>
      </c>
      <c r="J342" s="24">
        <v>50000</v>
      </c>
      <c r="M342" s="24">
        <v>50000</v>
      </c>
      <c r="O342" s="48" t="s">
        <v>97</v>
      </c>
      <c r="P342" s="48">
        <f>HEX2DEC(RIGHT(Table1323212714[[#This Row],[h1]],8))</f>
        <v>0</v>
      </c>
      <c r="Q342" s="48" t="s">
        <v>97</v>
      </c>
      <c r="R342" s="48">
        <f>HEX2DEC(RIGHT(Table1323212714[[#This Row],[h2]],8))</f>
        <v>0</v>
      </c>
    </row>
    <row r="343" spans="1:18" x14ac:dyDescent="0.3">
      <c r="A343" s="15" t="str">
        <f t="shared" si="10"/>
        <v>14D</v>
      </c>
      <c r="B343" s="15">
        <v>333</v>
      </c>
      <c r="C343" s="42"/>
      <c r="D343" s="15" t="s">
        <v>456</v>
      </c>
      <c r="E343" s="15" t="s">
        <v>68</v>
      </c>
      <c r="G343" s="15">
        <f>IF(Table13192512[[#This Row],[dec val]]="",0,1)</f>
        <v>0</v>
      </c>
      <c r="J343" s="24">
        <v>50000</v>
      </c>
      <c r="M343" s="24">
        <v>50000</v>
      </c>
      <c r="O343" s="48" t="s">
        <v>97</v>
      </c>
      <c r="P343" s="48">
        <f>HEX2DEC(RIGHT(Table1323212714[[#This Row],[h1]],8))</f>
        <v>0</v>
      </c>
      <c r="Q343" s="48" t="s">
        <v>97</v>
      </c>
      <c r="R343" s="48">
        <f>HEX2DEC(RIGHT(Table1323212714[[#This Row],[h2]],8))</f>
        <v>0</v>
      </c>
    </row>
    <row r="344" spans="1:18" x14ac:dyDescent="0.3">
      <c r="A344" s="15" t="str">
        <f t="shared" si="10"/>
        <v>14E</v>
      </c>
      <c r="B344" s="15">
        <v>334</v>
      </c>
      <c r="C344" s="42"/>
      <c r="D344" s="15" t="s">
        <v>457</v>
      </c>
      <c r="E344" s="15" t="s">
        <v>69</v>
      </c>
      <c r="G344" s="15">
        <f>IF(Table13192512[[#This Row],[dec val]]="",0,1)</f>
        <v>0</v>
      </c>
      <c r="J344" s="24">
        <v>50000</v>
      </c>
      <c r="M344" s="24">
        <v>50000</v>
      </c>
      <c r="O344" s="48" t="s">
        <v>97</v>
      </c>
      <c r="P344" s="48">
        <f>HEX2DEC(RIGHT(Table1323212714[[#This Row],[h1]],8))</f>
        <v>0</v>
      </c>
      <c r="Q344" s="48" t="s">
        <v>97</v>
      </c>
      <c r="R344" s="48">
        <f>HEX2DEC(RIGHT(Table1323212714[[#This Row],[h2]],8))</f>
        <v>0</v>
      </c>
    </row>
    <row r="345" spans="1:18" x14ac:dyDescent="0.3">
      <c r="A345" s="15" t="str">
        <f t="shared" si="10"/>
        <v>14F</v>
      </c>
      <c r="B345" s="15">
        <v>335</v>
      </c>
      <c r="C345" s="42"/>
      <c r="D345" s="15" t="s">
        <v>458</v>
      </c>
      <c r="E345" s="15" t="s">
        <v>70</v>
      </c>
      <c r="G345" s="15">
        <f>IF(Table13192512[[#This Row],[dec val]]="",0,1)</f>
        <v>0</v>
      </c>
      <c r="J345" s="24">
        <v>50000</v>
      </c>
      <c r="M345" s="24">
        <v>50000</v>
      </c>
      <c r="O345" s="48" t="s">
        <v>97</v>
      </c>
      <c r="P345" s="48">
        <f>HEX2DEC(RIGHT(Table1323212714[[#This Row],[h1]],8))</f>
        <v>0</v>
      </c>
      <c r="Q345" s="48" t="s">
        <v>97</v>
      </c>
      <c r="R345" s="48">
        <f>HEX2DEC(RIGHT(Table1323212714[[#This Row],[h2]],8))</f>
        <v>0</v>
      </c>
    </row>
    <row r="346" spans="1:18" x14ac:dyDescent="0.3">
      <c r="A346" s="15" t="str">
        <f t="shared" si="10"/>
        <v>150</v>
      </c>
      <c r="B346" s="15">
        <v>336</v>
      </c>
      <c r="C346" s="42"/>
      <c r="D346" s="15" t="s">
        <v>459</v>
      </c>
      <c r="E346" s="15" t="s">
        <v>71</v>
      </c>
      <c r="G346" s="15">
        <f>IF(Table13192512[[#This Row],[dec val]]="",0,1)</f>
        <v>0</v>
      </c>
      <c r="J346" s="24">
        <v>50000</v>
      </c>
      <c r="M346" s="24">
        <v>50000</v>
      </c>
      <c r="O346" s="48" t="s">
        <v>97</v>
      </c>
      <c r="P346" s="48">
        <f>HEX2DEC(RIGHT(Table1323212714[[#This Row],[h1]],8))</f>
        <v>0</v>
      </c>
      <c r="Q346" s="48" t="s">
        <v>97</v>
      </c>
      <c r="R346" s="48">
        <f>HEX2DEC(RIGHT(Table1323212714[[#This Row],[h2]],8))</f>
        <v>0</v>
      </c>
    </row>
    <row r="347" spans="1:18" x14ac:dyDescent="0.3">
      <c r="A347" s="15" t="str">
        <f t="shared" si="10"/>
        <v>151</v>
      </c>
      <c r="B347" s="15">
        <v>337</v>
      </c>
      <c r="C347" s="42"/>
      <c r="D347" s="15" t="s">
        <v>460</v>
      </c>
      <c r="E347" s="15" t="s">
        <v>72</v>
      </c>
      <c r="G347" s="15">
        <f>IF(Table13192512[[#This Row],[dec val]]="",0,1)</f>
        <v>0</v>
      </c>
      <c r="J347" s="24">
        <v>50000</v>
      </c>
      <c r="M347" s="24">
        <v>50000</v>
      </c>
      <c r="O347" s="48" t="s">
        <v>97</v>
      </c>
      <c r="P347" s="48">
        <f>HEX2DEC(RIGHT(Table1323212714[[#This Row],[h1]],8))</f>
        <v>0</v>
      </c>
      <c r="Q347" s="48" t="s">
        <v>97</v>
      </c>
      <c r="R347" s="48">
        <f>HEX2DEC(RIGHT(Table1323212714[[#This Row],[h2]],8))</f>
        <v>0</v>
      </c>
    </row>
    <row r="348" spans="1:18" x14ac:dyDescent="0.3">
      <c r="A348" s="15" t="str">
        <f t="shared" si="10"/>
        <v>152</v>
      </c>
      <c r="B348" s="15">
        <v>338</v>
      </c>
      <c r="C348" s="42"/>
      <c r="D348" s="15" t="s">
        <v>461</v>
      </c>
      <c r="E348" s="15" t="s">
        <v>73</v>
      </c>
      <c r="G348" s="15">
        <f>IF(Table13192512[[#This Row],[dec val]]="",0,1)</f>
        <v>0</v>
      </c>
      <c r="J348" s="24">
        <v>50000</v>
      </c>
      <c r="M348" s="24">
        <v>50000</v>
      </c>
      <c r="O348" s="48" t="s">
        <v>97</v>
      </c>
      <c r="P348" s="48">
        <f>HEX2DEC(RIGHT(Table1323212714[[#This Row],[h1]],8))</f>
        <v>0</v>
      </c>
      <c r="Q348" s="48" t="s">
        <v>97</v>
      </c>
      <c r="R348" s="48">
        <f>HEX2DEC(RIGHT(Table1323212714[[#This Row],[h2]],8))</f>
        <v>0</v>
      </c>
    </row>
    <row r="349" spans="1:18" x14ac:dyDescent="0.3">
      <c r="A349" s="15" t="str">
        <f t="shared" si="10"/>
        <v>153</v>
      </c>
      <c r="B349" s="15">
        <v>339</v>
      </c>
      <c r="C349" s="42"/>
      <c r="D349" s="15" t="s">
        <v>462</v>
      </c>
      <c r="E349" s="15" t="s">
        <v>74</v>
      </c>
      <c r="G349" s="15">
        <f>IF(Table13192512[[#This Row],[dec val]]="",0,1)</f>
        <v>0</v>
      </c>
      <c r="J349" s="24">
        <v>50000</v>
      </c>
      <c r="M349" s="24">
        <v>50000</v>
      </c>
      <c r="O349" s="48" t="s">
        <v>97</v>
      </c>
      <c r="P349" s="48">
        <f>HEX2DEC(RIGHT(Table1323212714[[#This Row],[h1]],8))</f>
        <v>0</v>
      </c>
      <c r="Q349" s="48" t="s">
        <v>97</v>
      </c>
      <c r="R349" s="48">
        <f>HEX2DEC(RIGHT(Table1323212714[[#This Row],[h2]],8))</f>
        <v>0</v>
      </c>
    </row>
    <row r="350" spans="1:18" x14ac:dyDescent="0.3">
      <c r="A350" s="15" t="str">
        <f t="shared" si="10"/>
        <v>154</v>
      </c>
      <c r="B350" s="15">
        <v>340</v>
      </c>
      <c r="C350" s="42"/>
      <c r="D350" s="15" t="s">
        <v>463</v>
      </c>
      <c r="E350" s="15" t="s">
        <v>75</v>
      </c>
      <c r="G350" s="15">
        <f>IF(Table13192512[[#This Row],[dec val]]="",0,1)</f>
        <v>0</v>
      </c>
      <c r="J350" s="24">
        <v>50000</v>
      </c>
      <c r="M350" s="24">
        <v>50000</v>
      </c>
      <c r="O350" s="48" t="s">
        <v>97</v>
      </c>
      <c r="P350" s="48">
        <f>HEX2DEC(RIGHT(Table1323212714[[#This Row],[h1]],8))</f>
        <v>0</v>
      </c>
      <c r="Q350" s="48" t="s">
        <v>97</v>
      </c>
      <c r="R350" s="48">
        <f>HEX2DEC(RIGHT(Table1323212714[[#This Row],[h2]],8))</f>
        <v>0</v>
      </c>
    </row>
    <row r="351" spans="1:18" x14ac:dyDescent="0.3">
      <c r="A351" s="15" t="str">
        <f t="shared" si="10"/>
        <v>155</v>
      </c>
      <c r="B351" s="15">
        <v>341</v>
      </c>
      <c r="C351" s="42"/>
      <c r="D351" s="15" t="s">
        <v>464</v>
      </c>
      <c r="E351" s="15" t="s">
        <v>76</v>
      </c>
      <c r="G351" s="15">
        <f>IF(Table13192512[[#This Row],[dec val]]="",0,1)</f>
        <v>0</v>
      </c>
      <c r="J351" s="24">
        <v>50000</v>
      </c>
      <c r="M351" s="24">
        <v>50000</v>
      </c>
      <c r="O351" s="48" t="s">
        <v>97</v>
      </c>
      <c r="P351" s="48">
        <f>HEX2DEC(RIGHT(Table1323212714[[#This Row],[h1]],8))</f>
        <v>0</v>
      </c>
      <c r="Q351" s="48" t="s">
        <v>97</v>
      </c>
      <c r="R351" s="48">
        <f>HEX2DEC(RIGHT(Table1323212714[[#This Row],[h2]],8))</f>
        <v>0</v>
      </c>
    </row>
    <row r="352" spans="1:18" x14ac:dyDescent="0.3">
      <c r="A352" s="15" t="str">
        <f t="shared" si="10"/>
        <v>156</v>
      </c>
      <c r="B352" s="15">
        <v>342</v>
      </c>
      <c r="C352" s="42"/>
      <c r="D352" s="15" t="s">
        <v>465</v>
      </c>
      <c r="E352" s="15" t="s">
        <v>77</v>
      </c>
      <c r="G352" s="15">
        <f>IF(Table13192512[[#This Row],[dec val]]="",0,1)</f>
        <v>0</v>
      </c>
      <c r="J352" s="24">
        <v>50000</v>
      </c>
      <c r="M352" s="24">
        <v>50000</v>
      </c>
      <c r="O352" s="48" t="s">
        <v>97</v>
      </c>
      <c r="P352" s="48">
        <f>HEX2DEC(RIGHT(Table1323212714[[#This Row],[h1]],8))</f>
        <v>0</v>
      </c>
      <c r="Q352" s="48" t="s">
        <v>97</v>
      </c>
      <c r="R352" s="48">
        <f>HEX2DEC(RIGHT(Table1323212714[[#This Row],[h2]],8))</f>
        <v>0</v>
      </c>
    </row>
    <row r="353" spans="1:18" x14ac:dyDescent="0.3">
      <c r="A353" s="15" t="str">
        <f t="shared" si="10"/>
        <v>157</v>
      </c>
      <c r="B353" s="15">
        <v>343</v>
      </c>
      <c r="C353" s="42"/>
      <c r="D353" s="15" t="s">
        <v>466</v>
      </c>
      <c r="E353" s="15" t="s">
        <v>78</v>
      </c>
      <c r="G353" s="15">
        <f>IF(Table13192512[[#This Row],[dec val]]="",0,1)</f>
        <v>0</v>
      </c>
      <c r="J353" s="24">
        <v>50000</v>
      </c>
      <c r="M353" s="24">
        <v>50000</v>
      </c>
      <c r="O353" s="48" t="s">
        <v>97</v>
      </c>
      <c r="P353" s="48">
        <f>HEX2DEC(RIGHT(Table1323212714[[#This Row],[h1]],8))</f>
        <v>0</v>
      </c>
      <c r="Q353" s="48" t="s">
        <v>97</v>
      </c>
      <c r="R353" s="48">
        <f>HEX2DEC(RIGHT(Table1323212714[[#This Row],[h2]],8))</f>
        <v>0</v>
      </c>
    </row>
    <row r="354" spans="1:18" x14ac:dyDescent="0.3">
      <c r="A354" s="15" t="str">
        <f t="shared" si="10"/>
        <v>158</v>
      </c>
      <c r="B354" s="15">
        <v>344</v>
      </c>
      <c r="C354" s="42"/>
      <c r="D354" s="15" t="s">
        <v>467</v>
      </c>
      <c r="E354" s="15" t="s">
        <v>79</v>
      </c>
      <c r="G354" s="15">
        <f>IF(Table13192512[[#This Row],[dec val]]="",0,1)</f>
        <v>0</v>
      </c>
      <c r="J354" s="24">
        <v>50000</v>
      </c>
      <c r="M354" s="24">
        <v>50000</v>
      </c>
      <c r="O354" s="48" t="s">
        <v>97</v>
      </c>
      <c r="P354" s="48">
        <f>HEX2DEC(RIGHT(Table1323212714[[#This Row],[h1]],8))</f>
        <v>0</v>
      </c>
      <c r="Q354" s="48" t="s">
        <v>97</v>
      </c>
      <c r="R354" s="48">
        <f>HEX2DEC(RIGHT(Table1323212714[[#This Row],[h2]],8))</f>
        <v>0</v>
      </c>
    </row>
    <row r="355" spans="1:18" x14ac:dyDescent="0.3">
      <c r="A355" s="15" t="str">
        <f t="shared" si="10"/>
        <v>159</v>
      </c>
      <c r="B355" s="15">
        <v>345</v>
      </c>
      <c r="C355" s="42"/>
      <c r="D355" s="15" t="s">
        <v>468</v>
      </c>
      <c r="E355" s="15" t="s">
        <v>80</v>
      </c>
      <c r="G355" s="15">
        <f>IF(Table13192512[[#This Row],[dec val]]="",0,1)</f>
        <v>0</v>
      </c>
      <c r="J355" s="24">
        <v>50000</v>
      </c>
      <c r="M355" s="24">
        <v>50000</v>
      </c>
      <c r="O355" s="48" t="s">
        <v>97</v>
      </c>
      <c r="P355" s="48">
        <f>HEX2DEC(RIGHT(Table1323212714[[#This Row],[h1]],8))</f>
        <v>0</v>
      </c>
      <c r="Q355" s="48" t="s">
        <v>97</v>
      </c>
      <c r="R355" s="48">
        <f>HEX2DEC(RIGHT(Table1323212714[[#This Row],[h2]],8))</f>
        <v>0</v>
      </c>
    </row>
    <row r="356" spans="1:18" x14ac:dyDescent="0.3">
      <c r="A356" s="15" t="str">
        <f t="shared" si="10"/>
        <v>15A</v>
      </c>
      <c r="B356" s="15">
        <v>346</v>
      </c>
      <c r="C356" s="42"/>
      <c r="D356" s="15" t="s">
        <v>469</v>
      </c>
      <c r="E356" s="15" t="s">
        <v>81</v>
      </c>
      <c r="G356" s="15">
        <f>IF(Table13192512[[#This Row],[dec val]]="",0,1)</f>
        <v>0</v>
      </c>
      <c r="J356" s="24">
        <v>50000</v>
      </c>
      <c r="M356" s="24">
        <v>50000</v>
      </c>
      <c r="O356" s="48" t="s">
        <v>97</v>
      </c>
      <c r="P356" s="48">
        <f>HEX2DEC(RIGHT(Table1323212714[[#This Row],[h1]],8))</f>
        <v>0</v>
      </c>
      <c r="Q356" s="48" t="s">
        <v>97</v>
      </c>
      <c r="R356" s="48">
        <f>HEX2DEC(RIGHT(Table1323212714[[#This Row],[h2]],8))</f>
        <v>0</v>
      </c>
    </row>
    <row r="357" spans="1:18" x14ac:dyDescent="0.3">
      <c r="A357" s="15" t="str">
        <f t="shared" si="10"/>
        <v>15B</v>
      </c>
      <c r="B357" s="15">
        <v>347</v>
      </c>
      <c r="C357" s="42"/>
      <c r="D357" s="15" t="s">
        <v>470</v>
      </c>
      <c r="E357" s="15" t="s">
        <v>82</v>
      </c>
      <c r="G357" s="15">
        <f>IF(Table13192512[[#This Row],[dec val]]="",0,1)</f>
        <v>0</v>
      </c>
      <c r="J357" s="24">
        <v>50000</v>
      </c>
      <c r="M357" s="24">
        <v>50000</v>
      </c>
      <c r="O357" s="48" t="s">
        <v>97</v>
      </c>
      <c r="P357" s="48">
        <f>HEX2DEC(RIGHT(Table1323212714[[#This Row],[h1]],8))</f>
        <v>0</v>
      </c>
      <c r="Q357" s="48" t="s">
        <v>97</v>
      </c>
      <c r="R357" s="48">
        <f>HEX2DEC(RIGHT(Table1323212714[[#This Row],[h2]],8))</f>
        <v>0</v>
      </c>
    </row>
    <row r="358" spans="1:18" x14ac:dyDescent="0.3">
      <c r="A358" s="15" t="str">
        <f t="shared" si="10"/>
        <v>15C</v>
      </c>
      <c r="B358" s="15">
        <v>348</v>
      </c>
      <c r="C358" s="42"/>
      <c r="D358" s="15" t="s">
        <v>471</v>
      </c>
      <c r="E358" s="15" t="s">
        <v>83</v>
      </c>
      <c r="G358" s="15">
        <f>IF(Table13192512[[#This Row],[dec val]]="",0,1)</f>
        <v>0</v>
      </c>
      <c r="J358" s="24">
        <v>50000</v>
      </c>
      <c r="M358" s="24">
        <v>50000</v>
      </c>
      <c r="O358" s="48" t="s">
        <v>97</v>
      </c>
      <c r="P358" s="48">
        <f>HEX2DEC(RIGHT(Table1323212714[[#This Row],[h1]],8))</f>
        <v>0</v>
      </c>
      <c r="Q358" s="48" t="s">
        <v>97</v>
      </c>
      <c r="R358" s="48">
        <f>HEX2DEC(RIGHT(Table1323212714[[#This Row],[h2]],8))</f>
        <v>0</v>
      </c>
    </row>
    <row r="359" spans="1:18" x14ac:dyDescent="0.3">
      <c r="A359" s="15" t="str">
        <f t="shared" si="10"/>
        <v>15D</v>
      </c>
      <c r="B359" s="15">
        <v>349</v>
      </c>
      <c r="C359" s="42"/>
      <c r="D359" s="15" t="s">
        <v>472</v>
      </c>
      <c r="E359" s="15" t="s">
        <v>84</v>
      </c>
      <c r="G359" s="15">
        <f>IF(Table13192512[[#This Row],[dec val]]="",0,1)</f>
        <v>0</v>
      </c>
      <c r="J359" s="24">
        <v>50000</v>
      </c>
      <c r="M359" s="24">
        <v>50000</v>
      </c>
      <c r="O359" s="48" t="s">
        <v>97</v>
      </c>
      <c r="P359" s="48">
        <f>HEX2DEC(RIGHT(Table1323212714[[#This Row],[h1]],8))</f>
        <v>0</v>
      </c>
      <c r="Q359" s="48" t="s">
        <v>97</v>
      </c>
      <c r="R359" s="48">
        <f>HEX2DEC(RIGHT(Table1323212714[[#This Row],[h2]],8))</f>
        <v>0</v>
      </c>
    </row>
    <row r="360" spans="1:18" x14ac:dyDescent="0.3">
      <c r="A360" s="15" t="str">
        <f t="shared" si="10"/>
        <v>15E</v>
      </c>
      <c r="B360" s="15">
        <v>350</v>
      </c>
      <c r="C360" s="42"/>
      <c r="J360" s="24">
        <v>50000</v>
      </c>
      <c r="M360" s="24">
        <v>50000</v>
      </c>
      <c r="O360" s="48" t="s">
        <v>97</v>
      </c>
      <c r="P360" s="48">
        <f>HEX2DEC(RIGHT(Table1323212714[[#This Row],[h1]],8))</f>
        <v>0</v>
      </c>
      <c r="Q360" s="48" t="s">
        <v>97</v>
      </c>
      <c r="R360" s="48">
        <f>HEX2DEC(RIGHT(Table1323212714[[#This Row],[h2]],8))</f>
        <v>0</v>
      </c>
    </row>
    <row r="361" spans="1:18" x14ac:dyDescent="0.3">
      <c r="A361" s="15" t="str">
        <f t="shared" si="10"/>
        <v>15F</v>
      </c>
      <c r="B361" s="15">
        <v>351</v>
      </c>
      <c r="C361" s="42"/>
      <c r="D361" s="15" t="s">
        <v>473</v>
      </c>
      <c r="E361" s="15" t="s">
        <v>54</v>
      </c>
      <c r="G361" s="15">
        <f>IF(Table13192512[[#This Row],[dec val]]="",0,1)</f>
        <v>0</v>
      </c>
      <c r="J361" s="24">
        <v>50000</v>
      </c>
      <c r="M361" s="24">
        <v>50000</v>
      </c>
      <c r="O361" s="48" t="s">
        <v>97</v>
      </c>
      <c r="P361" s="48">
        <f>HEX2DEC(RIGHT(Table1323212714[[#This Row],[h1]],8))</f>
        <v>0</v>
      </c>
      <c r="Q361" s="48" t="s">
        <v>97</v>
      </c>
      <c r="R361" s="48">
        <f>HEX2DEC(RIGHT(Table1323212714[[#This Row],[h2]],8))</f>
        <v>0</v>
      </c>
    </row>
    <row r="362" spans="1:18" x14ac:dyDescent="0.3">
      <c r="A362" s="15" t="str">
        <f t="shared" si="10"/>
        <v>160</v>
      </c>
      <c r="B362" s="15">
        <v>352</v>
      </c>
      <c r="C362" s="42"/>
      <c r="D362" s="15" t="s">
        <v>474</v>
      </c>
      <c r="E362" s="15" t="s">
        <v>55</v>
      </c>
      <c r="G362" s="15">
        <f>IF(Table13192512[[#This Row],[dec val]]="",0,1)</f>
        <v>0</v>
      </c>
      <c r="J362" s="24">
        <v>50000</v>
      </c>
      <c r="M362" s="24">
        <v>50000</v>
      </c>
      <c r="O362" s="48" t="s">
        <v>97</v>
      </c>
      <c r="P362" s="48">
        <f>HEX2DEC(RIGHT(Table1323212714[[#This Row],[h1]],8))</f>
        <v>0</v>
      </c>
      <c r="Q362" s="48" t="s">
        <v>97</v>
      </c>
      <c r="R362" s="48">
        <f>HEX2DEC(RIGHT(Table1323212714[[#This Row],[h2]],8))</f>
        <v>0</v>
      </c>
    </row>
    <row r="363" spans="1:18" x14ac:dyDescent="0.3">
      <c r="A363" s="15" t="str">
        <f t="shared" si="10"/>
        <v>161</v>
      </c>
      <c r="B363" s="15">
        <v>353</v>
      </c>
      <c r="C363" s="42"/>
      <c r="D363" s="15" t="s">
        <v>475</v>
      </c>
      <c r="E363" s="15" t="s">
        <v>56</v>
      </c>
      <c r="G363" s="15">
        <f>IF(Table13192512[[#This Row],[dec val]]="",0,1)</f>
        <v>0</v>
      </c>
      <c r="J363" s="24">
        <v>50000</v>
      </c>
      <c r="M363" s="24">
        <v>50000</v>
      </c>
      <c r="O363" s="48" t="s">
        <v>97</v>
      </c>
      <c r="P363" s="48">
        <f>HEX2DEC(RIGHT(Table1323212714[[#This Row],[h1]],8))</f>
        <v>0</v>
      </c>
      <c r="Q363" s="48" t="s">
        <v>97</v>
      </c>
      <c r="R363" s="48">
        <f>HEX2DEC(RIGHT(Table1323212714[[#This Row],[h2]],8))</f>
        <v>0</v>
      </c>
    </row>
    <row r="364" spans="1:18" x14ac:dyDescent="0.3">
      <c r="A364" s="15" t="str">
        <f t="shared" si="10"/>
        <v>162</v>
      </c>
      <c r="B364" s="15">
        <v>354</v>
      </c>
      <c r="C364" s="42"/>
      <c r="D364" s="15" t="s">
        <v>476</v>
      </c>
      <c r="E364" s="15" t="s">
        <v>57</v>
      </c>
      <c r="G364" s="15">
        <f>IF(Table13192512[[#This Row],[dec val]]="",0,1)</f>
        <v>0</v>
      </c>
      <c r="J364" s="24">
        <v>50000</v>
      </c>
      <c r="M364" s="24">
        <v>50000</v>
      </c>
      <c r="O364" s="48" t="s">
        <v>97</v>
      </c>
      <c r="P364" s="48">
        <f>HEX2DEC(RIGHT(Table1323212714[[#This Row],[h1]],8))</f>
        <v>0</v>
      </c>
      <c r="Q364" s="48" t="s">
        <v>97</v>
      </c>
      <c r="R364" s="48">
        <f>HEX2DEC(RIGHT(Table1323212714[[#This Row],[h2]],8))</f>
        <v>0</v>
      </c>
    </row>
    <row r="365" spans="1:18" x14ac:dyDescent="0.3">
      <c r="A365" s="15" t="str">
        <f t="shared" si="10"/>
        <v>163</v>
      </c>
      <c r="B365" s="15">
        <v>355</v>
      </c>
      <c r="C365" s="42"/>
      <c r="D365" s="15" t="s">
        <v>477</v>
      </c>
      <c r="E365" s="15" t="s">
        <v>58</v>
      </c>
      <c r="G365" s="15">
        <f>IF(Table13192512[[#This Row],[dec val]]="",0,1)</f>
        <v>0</v>
      </c>
      <c r="J365" s="24">
        <v>50000</v>
      </c>
      <c r="M365" s="24">
        <v>50000</v>
      </c>
      <c r="O365" s="48" t="s">
        <v>97</v>
      </c>
      <c r="P365" s="48">
        <f>HEX2DEC(RIGHT(Table1323212714[[#This Row],[h1]],8))</f>
        <v>0</v>
      </c>
      <c r="Q365" s="48" t="s">
        <v>97</v>
      </c>
      <c r="R365" s="48">
        <f>HEX2DEC(RIGHT(Table1323212714[[#This Row],[h2]],8))</f>
        <v>0</v>
      </c>
    </row>
    <row r="366" spans="1:18" x14ac:dyDescent="0.3">
      <c r="A366" s="15" t="str">
        <f t="shared" si="10"/>
        <v>164</v>
      </c>
      <c r="B366" s="15">
        <v>356</v>
      </c>
      <c r="C366" s="42"/>
      <c r="D366" s="15" t="s">
        <v>478</v>
      </c>
      <c r="E366" s="15" t="s">
        <v>59</v>
      </c>
      <c r="G366" s="15">
        <f>IF(Table13192512[[#This Row],[dec val]]="",0,1)</f>
        <v>0</v>
      </c>
      <c r="J366" s="24">
        <v>50000</v>
      </c>
      <c r="M366" s="24">
        <v>50000</v>
      </c>
      <c r="O366" s="48" t="s">
        <v>97</v>
      </c>
      <c r="P366" s="48">
        <f>HEX2DEC(RIGHT(Table1323212714[[#This Row],[h1]],8))</f>
        <v>0</v>
      </c>
      <c r="Q366" s="48" t="s">
        <v>97</v>
      </c>
      <c r="R366" s="48">
        <f>HEX2DEC(RIGHT(Table1323212714[[#This Row],[h2]],8))</f>
        <v>0</v>
      </c>
    </row>
    <row r="367" spans="1:18" x14ac:dyDescent="0.3">
      <c r="A367" s="15" t="str">
        <f t="shared" si="10"/>
        <v>165</v>
      </c>
      <c r="B367" s="15">
        <v>357</v>
      </c>
      <c r="C367" s="42"/>
      <c r="D367" s="15" t="s">
        <v>479</v>
      </c>
      <c r="E367" s="15" t="s">
        <v>60</v>
      </c>
      <c r="G367" s="15">
        <f>IF(Table13192512[[#This Row],[dec val]]="",0,1)</f>
        <v>0</v>
      </c>
      <c r="J367" s="24">
        <v>50000</v>
      </c>
      <c r="M367" s="24">
        <v>50000</v>
      </c>
      <c r="O367" s="48" t="s">
        <v>97</v>
      </c>
      <c r="P367" s="48">
        <f>HEX2DEC(RIGHT(Table1323212714[[#This Row],[h1]],8))</f>
        <v>0</v>
      </c>
      <c r="Q367" s="48" t="s">
        <v>97</v>
      </c>
      <c r="R367" s="48">
        <f>HEX2DEC(RIGHT(Table1323212714[[#This Row],[h2]],8))</f>
        <v>0</v>
      </c>
    </row>
    <row r="368" spans="1:18" x14ac:dyDescent="0.3">
      <c r="A368" s="15" t="str">
        <f t="shared" si="10"/>
        <v>166</v>
      </c>
      <c r="B368" s="15">
        <v>358</v>
      </c>
      <c r="C368" s="42"/>
      <c r="D368" s="15" t="s">
        <v>480</v>
      </c>
      <c r="E368" s="15" t="s">
        <v>61</v>
      </c>
      <c r="G368" s="15">
        <f>IF(Table13192512[[#This Row],[dec val]]="",0,1)</f>
        <v>0</v>
      </c>
      <c r="J368" s="24">
        <v>50000</v>
      </c>
      <c r="M368" s="24">
        <v>50000</v>
      </c>
      <c r="O368" s="48" t="s">
        <v>97</v>
      </c>
      <c r="P368" s="48">
        <f>HEX2DEC(RIGHT(Table1323212714[[#This Row],[h1]],8))</f>
        <v>0</v>
      </c>
      <c r="Q368" s="48" t="s">
        <v>97</v>
      </c>
      <c r="R368" s="48">
        <f>HEX2DEC(RIGHT(Table1323212714[[#This Row],[h2]],8))</f>
        <v>0</v>
      </c>
    </row>
    <row r="369" spans="1:18" x14ac:dyDescent="0.3">
      <c r="A369" s="15" t="str">
        <f t="shared" si="10"/>
        <v>167</v>
      </c>
      <c r="B369" s="15">
        <v>359</v>
      </c>
      <c r="C369" s="42"/>
      <c r="D369" s="15" t="s">
        <v>481</v>
      </c>
      <c r="E369" s="15" t="s">
        <v>62</v>
      </c>
      <c r="G369" s="15">
        <f>IF(Table13192512[[#This Row],[dec val]]="",0,1)</f>
        <v>0</v>
      </c>
      <c r="J369" s="24">
        <v>50000</v>
      </c>
      <c r="M369" s="24">
        <v>50000</v>
      </c>
      <c r="O369" s="48" t="s">
        <v>97</v>
      </c>
      <c r="P369" s="48">
        <f>HEX2DEC(RIGHT(Table1323212714[[#This Row],[h1]],8))</f>
        <v>0</v>
      </c>
      <c r="Q369" s="48" t="s">
        <v>97</v>
      </c>
      <c r="R369" s="48">
        <f>HEX2DEC(RIGHT(Table1323212714[[#This Row],[h2]],8))</f>
        <v>0</v>
      </c>
    </row>
    <row r="370" spans="1:18" x14ac:dyDescent="0.3">
      <c r="A370" s="15" t="str">
        <f t="shared" si="10"/>
        <v>168</v>
      </c>
      <c r="B370" s="15">
        <v>360</v>
      </c>
      <c r="C370" s="42"/>
      <c r="D370" s="15" t="s">
        <v>482</v>
      </c>
      <c r="E370" s="15" t="s">
        <v>63</v>
      </c>
      <c r="G370" s="15">
        <f>IF(Table13192512[[#This Row],[dec val]]="",0,1)</f>
        <v>0</v>
      </c>
      <c r="J370" s="24">
        <v>50000</v>
      </c>
      <c r="M370" s="24">
        <v>50000</v>
      </c>
      <c r="O370" s="48" t="s">
        <v>97</v>
      </c>
      <c r="P370" s="48">
        <f>HEX2DEC(RIGHT(Table1323212714[[#This Row],[h1]],8))</f>
        <v>0</v>
      </c>
      <c r="Q370" s="48" t="s">
        <v>97</v>
      </c>
      <c r="R370" s="48">
        <f>HEX2DEC(RIGHT(Table1323212714[[#This Row],[h2]],8))</f>
        <v>0</v>
      </c>
    </row>
    <row r="371" spans="1:18" x14ac:dyDescent="0.3">
      <c r="A371" s="15" t="str">
        <f t="shared" si="10"/>
        <v>169</v>
      </c>
      <c r="B371" s="15">
        <v>361</v>
      </c>
      <c r="C371" s="42"/>
      <c r="D371" s="15" t="s">
        <v>483</v>
      </c>
      <c r="E371" s="15" t="s">
        <v>64</v>
      </c>
      <c r="G371" s="15">
        <f>IF(Table13192512[[#This Row],[dec val]]="",0,1)</f>
        <v>0</v>
      </c>
      <c r="J371" s="24">
        <v>50000</v>
      </c>
      <c r="M371" s="24">
        <v>50000</v>
      </c>
      <c r="O371" s="48" t="s">
        <v>97</v>
      </c>
      <c r="P371" s="48">
        <f>HEX2DEC(RIGHT(Table1323212714[[#This Row],[h1]],8))</f>
        <v>0</v>
      </c>
      <c r="Q371" s="48" t="s">
        <v>97</v>
      </c>
      <c r="R371" s="48">
        <f>HEX2DEC(RIGHT(Table1323212714[[#This Row],[h2]],8))</f>
        <v>0</v>
      </c>
    </row>
    <row r="372" spans="1:18" x14ac:dyDescent="0.3">
      <c r="A372" s="15" t="str">
        <f t="shared" si="10"/>
        <v>16A</v>
      </c>
      <c r="B372" s="15">
        <v>362</v>
      </c>
      <c r="C372" s="42"/>
      <c r="D372" s="15" t="s">
        <v>484</v>
      </c>
      <c r="E372" s="15" t="s">
        <v>65</v>
      </c>
      <c r="G372" s="15">
        <f>IF(Table13192512[[#This Row],[dec val]]="",0,1)</f>
        <v>0</v>
      </c>
      <c r="J372" s="24">
        <v>50000</v>
      </c>
      <c r="M372" s="24">
        <v>50000</v>
      </c>
      <c r="O372" s="48" t="s">
        <v>97</v>
      </c>
      <c r="P372" s="48">
        <f>HEX2DEC(RIGHT(Table1323212714[[#This Row],[h1]],8))</f>
        <v>0</v>
      </c>
      <c r="Q372" s="48" t="s">
        <v>97</v>
      </c>
      <c r="R372" s="48">
        <f>HEX2DEC(RIGHT(Table1323212714[[#This Row],[h2]],8))</f>
        <v>0</v>
      </c>
    </row>
    <row r="373" spans="1:18" x14ac:dyDescent="0.3">
      <c r="A373" s="15" t="str">
        <f t="shared" si="10"/>
        <v>16B</v>
      </c>
      <c r="B373" s="15">
        <v>363</v>
      </c>
      <c r="C373" s="42"/>
      <c r="D373" s="15" t="s">
        <v>485</v>
      </c>
      <c r="E373" s="15" t="s">
        <v>66</v>
      </c>
      <c r="G373" s="15">
        <f>IF(Table13192512[[#This Row],[dec val]]="",0,1)</f>
        <v>0</v>
      </c>
      <c r="J373" s="24">
        <v>50000</v>
      </c>
      <c r="M373" s="24">
        <v>50000</v>
      </c>
      <c r="O373" s="48" t="s">
        <v>97</v>
      </c>
      <c r="P373" s="48">
        <f>HEX2DEC(RIGHT(Table1323212714[[#This Row],[h1]],8))</f>
        <v>0</v>
      </c>
      <c r="Q373" s="48" t="s">
        <v>97</v>
      </c>
      <c r="R373" s="48">
        <f>HEX2DEC(RIGHT(Table1323212714[[#This Row],[h2]],8))</f>
        <v>0</v>
      </c>
    </row>
    <row r="374" spans="1:18" x14ac:dyDescent="0.3">
      <c r="A374" s="15" t="str">
        <f t="shared" si="10"/>
        <v>16C</v>
      </c>
      <c r="B374" s="15">
        <v>364</v>
      </c>
      <c r="C374" s="42"/>
      <c r="D374" s="15" t="s">
        <v>486</v>
      </c>
      <c r="E374" s="15" t="s">
        <v>67</v>
      </c>
      <c r="G374" s="15">
        <f>IF(Table13192512[[#This Row],[dec val]]="",0,1)</f>
        <v>0</v>
      </c>
      <c r="J374" s="24">
        <v>50000</v>
      </c>
      <c r="M374" s="24">
        <v>50000</v>
      </c>
      <c r="O374" s="48" t="s">
        <v>97</v>
      </c>
      <c r="P374" s="48">
        <f>HEX2DEC(RIGHT(Table1323212714[[#This Row],[h1]],8))</f>
        <v>0</v>
      </c>
      <c r="Q374" s="48" t="s">
        <v>97</v>
      </c>
      <c r="R374" s="48">
        <f>HEX2DEC(RIGHT(Table1323212714[[#This Row],[h2]],8))</f>
        <v>0</v>
      </c>
    </row>
    <row r="375" spans="1:18" x14ac:dyDescent="0.3">
      <c r="A375" s="15" t="str">
        <f t="shared" si="10"/>
        <v>16D</v>
      </c>
      <c r="B375" s="15">
        <v>365</v>
      </c>
      <c r="C375" s="42"/>
      <c r="D375" s="15" t="s">
        <v>487</v>
      </c>
      <c r="E375" s="15" t="s">
        <v>68</v>
      </c>
      <c r="G375" s="15">
        <f>IF(Table13192512[[#This Row],[dec val]]="",0,1)</f>
        <v>0</v>
      </c>
      <c r="J375" s="24">
        <v>50000</v>
      </c>
      <c r="M375" s="24">
        <v>50000</v>
      </c>
      <c r="O375" s="48" t="s">
        <v>97</v>
      </c>
      <c r="P375" s="48">
        <f>HEX2DEC(RIGHT(Table1323212714[[#This Row],[h1]],8))</f>
        <v>0</v>
      </c>
      <c r="Q375" s="48" t="s">
        <v>97</v>
      </c>
      <c r="R375" s="48">
        <f>HEX2DEC(RIGHT(Table1323212714[[#This Row],[h2]],8))</f>
        <v>0</v>
      </c>
    </row>
    <row r="376" spans="1:18" x14ac:dyDescent="0.3">
      <c r="A376" s="15" t="str">
        <f t="shared" si="10"/>
        <v>16E</v>
      </c>
      <c r="B376" s="15">
        <v>366</v>
      </c>
      <c r="C376" s="42"/>
      <c r="D376" s="15" t="s">
        <v>488</v>
      </c>
      <c r="E376" s="15" t="s">
        <v>69</v>
      </c>
      <c r="G376" s="15">
        <f>IF(Table13192512[[#This Row],[dec val]]="",0,1)</f>
        <v>0</v>
      </c>
      <c r="J376" s="24">
        <v>50000</v>
      </c>
      <c r="M376" s="24">
        <v>50000</v>
      </c>
      <c r="O376" s="48" t="s">
        <v>97</v>
      </c>
      <c r="P376" s="48">
        <f>HEX2DEC(RIGHT(Table1323212714[[#This Row],[h1]],8))</f>
        <v>0</v>
      </c>
      <c r="Q376" s="48" t="s">
        <v>97</v>
      </c>
      <c r="R376" s="48">
        <f>HEX2DEC(RIGHT(Table1323212714[[#This Row],[h2]],8))</f>
        <v>0</v>
      </c>
    </row>
    <row r="377" spans="1:18" x14ac:dyDescent="0.3">
      <c r="A377" s="15" t="str">
        <f t="shared" si="10"/>
        <v>16F</v>
      </c>
      <c r="B377" s="15">
        <v>367</v>
      </c>
      <c r="C377" s="42"/>
      <c r="D377" s="15" t="s">
        <v>489</v>
      </c>
      <c r="E377" s="15" t="s">
        <v>70</v>
      </c>
      <c r="G377" s="15">
        <f>IF(Table13192512[[#This Row],[dec val]]="",0,1)</f>
        <v>0</v>
      </c>
      <c r="J377" s="24">
        <v>50000</v>
      </c>
      <c r="M377" s="24">
        <v>50000</v>
      </c>
      <c r="O377" s="48" t="s">
        <v>97</v>
      </c>
      <c r="P377" s="48">
        <f>HEX2DEC(RIGHT(Table1323212714[[#This Row],[h1]],8))</f>
        <v>0</v>
      </c>
      <c r="Q377" s="48" t="s">
        <v>97</v>
      </c>
      <c r="R377" s="48">
        <f>HEX2DEC(RIGHT(Table1323212714[[#This Row],[h2]],8))</f>
        <v>0</v>
      </c>
    </row>
    <row r="378" spans="1:18" x14ac:dyDescent="0.3">
      <c r="A378" s="15" t="str">
        <f t="shared" si="10"/>
        <v>170</v>
      </c>
      <c r="B378" s="15">
        <v>368</v>
      </c>
      <c r="C378" s="42"/>
      <c r="D378" s="15" t="s">
        <v>490</v>
      </c>
      <c r="E378" s="15" t="s">
        <v>71</v>
      </c>
      <c r="G378" s="15">
        <f>IF(Table13192512[[#This Row],[dec val]]="",0,1)</f>
        <v>0</v>
      </c>
      <c r="J378" s="24">
        <v>50000</v>
      </c>
      <c r="M378" s="24">
        <v>50000</v>
      </c>
      <c r="O378" s="48" t="s">
        <v>97</v>
      </c>
      <c r="P378" s="48">
        <f>HEX2DEC(RIGHT(Table1323212714[[#This Row],[h1]],8))</f>
        <v>0</v>
      </c>
      <c r="Q378" s="48" t="s">
        <v>97</v>
      </c>
      <c r="R378" s="48">
        <f>HEX2DEC(RIGHT(Table1323212714[[#This Row],[h2]],8))</f>
        <v>0</v>
      </c>
    </row>
    <row r="379" spans="1:18" x14ac:dyDescent="0.3">
      <c r="A379" s="15" t="str">
        <f t="shared" si="10"/>
        <v>171</v>
      </c>
      <c r="B379" s="15">
        <v>369</v>
      </c>
      <c r="C379" s="42"/>
      <c r="D379" s="15" t="s">
        <v>491</v>
      </c>
      <c r="E379" s="15" t="s">
        <v>72</v>
      </c>
      <c r="G379" s="15">
        <f>IF(Table13192512[[#This Row],[dec val]]="",0,1)</f>
        <v>0</v>
      </c>
      <c r="J379" s="24">
        <v>50000</v>
      </c>
      <c r="M379" s="24">
        <v>50000</v>
      </c>
      <c r="O379" s="48" t="s">
        <v>97</v>
      </c>
      <c r="P379" s="48">
        <f>HEX2DEC(RIGHT(Table1323212714[[#This Row],[h1]],8))</f>
        <v>0</v>
      </c>
      <c r="Q379" s="48" t="s">
        <v>97</v>
      </c>
      <c r="R379" s="48">
        <f>HEX2DEC(RIGHT(Table1323212714[[#This Row],[h2]],8))</f>
        <v>0</v>
      </c>
    </row>
    <row r="380" spans="1:18" x14ac:dyDescent="0.3">
      <c r="A380" s="15" t="str">
        <f t="shared" si="10"/>
        <v>172</v>
      </c>
      <c r="B380" s="15">
        <v>370</v>
      </c>
      <c r="C380" s="42"/>
      <c r="D380" s="15" t="s">
        <v>492</v>
      </c>
      <c r="E380" s="15" t="s">
        <v>73</v>
      </c>
      <c r="G380" s="15">
        <f>IF(Table13192512[[#This Row],[dec val]]="",0,1)</f>
        <v>0</v>
      </c>
      <c r="J380" s="24">
        <v>50000</v>
      </c>
      <c r="M380" s="24">
        <v>50000</v>
      </c>
      <c r="O380" s="48" t="s">
        <v>97</v>
      </c>
      <c r="P380" s="48">
        <f>HEX2DEC(RIGHT(Table1323212714[[#This Row],[h1]],8))</f>
        <v>0</v>
      </c>
      <c r="Q380" s="48" t="s">
        <v>97</v>
      </c>
      <c r="R380" s="48">
        <f>HEX2DEC(RIGHT(Table1323212714[[#This Row],[h2]],8))</f>
        <v>0</v>
      </c>
    </row>
    <row r="381" spans="1:18" x14ac:dyDescent="0.3">
      <c r="A381" s="15" t="str">
        <f t="shared" si="10"/>
        <v>173</v>
      </c>
      <c r="B381" s="15">
        <v>371</v>
      </c>
      <c r="C381" s="42"/>
      <c r="D381" s="15" t="s">
        <v>493</v>
      </c>
      <c r="E381" s="15" t="s">
        <v>74</v>
      </c>
      <c r="G381" s="15">
        <f>IF(Table13192512[[#This Row],[dec val]]="",0,1)</f>
        <v>0</v>
      </c>
      <c r="J381" s="24">
        <v>50000</v>
      </c>
      <c r="M381" s="24">
        <v>50000</v>
      </c>
      <c r="O381" s="48" t="s">
        <v>97</v>
      </c>
      <c r="P381" s="48">
        <f>HEX2DEC(RIGHT(Table1323212714[[#This Row],[h1]],8))</f>
        <v>0</v>
      </c>
      <c r="Q381" s="48" t="s">
        <v>97</v>
      </c>
      <c r="R381" s="48">
        <f>HEX2DEC(RIGHT(Table1323212714[[#This Row],[h2]],8))</f>
        <v>0</v>
      </c>
    </row>
    <row r="382" spans="1:18" x14ac:dyDescent="0.3">
      <c r="A382" s="15" t="str">
        <f t="shared" si="10"/>
        <v>174</v>
      </c>
      <c r="B382" s="15">
        <v>372</v>
      </c>
      <c r="C382" s="42"/>
      <c r="D382" s="15" t="s">
        <v>494</v>
      </c>
      <c r="E382" s="15" t="s">
        <v>75</v>
      </c>
      <c r="G382" s="15">
        <f>IF(Table13192512[[#This Row],[dec val]]="",0,1)</f>
        <v>0</v>
      </c>
      <c r="J382" s="24">
        <v>50000</v>
      </c>
      <c r="M382" s="24">
        <v>50000</v>
      </c>
      <c r="O382" s="48" t="s">
        <v>97</v>
      </c>
      <c r="P382" s="48">
        <f>HEX2DEC(RIGHT(Table1323212714[[#This Row],[h1]],8))</f>
        <v>0</v>
      </c>
      <c r="Q382" s="48" t="s">
        <v>97</v>
      </c>
      <c r="R382" s="48">
        <f>HEX2DEC(RIGHT(Table1323212714[[#This Row],[h2]],8))</f>
        <v>0</v>
      </c>
    </row>
    <row r="383" spans="1:18" x14ac:dyDescent="0.3">
      <c r="A383" s="15" t="str">
        <f t="shared" si="10"/>
        <v>175</v>
      </c>
      <c r="B383" s="15">
        <v>373</v>
      </c>
      <c r="C383" s="42"/>
      <c r="D383" s="15" t="s">
        <v>495</v>
      </c>
      <c r="E383" s="15" t="s">
        <v>76</v>
      </c>
      <c r="G383" s="15">
        <f>IF(Table13192512[[#This Row],[dec val]]="",0,1)</f>
        <v>0</v>
      </c>
      <c r="J383" s="24">
        <v>50000</v>
      </c>
      <c r="M383" s="24">
        <v>50000</v>
      </c>
      <c r="O383" s="48" t="s">
        <v>97</v>
      </c>
      <c r="P383" s="48">
        <f>HEX2DEC(RIGHT(Table1323212714[[#This Row],[h1]],8))</f>
        <v>0</v>
      </c>
      <c r="Q383" s="48" t="s">
        <v>97</v>
      </c>
      <c r="R383" s="48">
        <f>HEX2DEC(RIGHT(Table1323212714[[#This Row],[h2]],8))</f>
        <v>0</v>
      </c>
    </row>
    <row r="384" spans="1:18" x14ac:dyDescent="0.3">
      <c r="A384" s="15" t="str">
        <f t="shared" si="10"/>
        <v>176</v>
      </c>
      <c r="B384" s="15">
        <v>374</v>
      </c>
      <c r="C384" s="42"/>
      <c r="D384" s="15" t="s">
        <v>496</v>
      </c>
      <c r="E384" s="15" t="s">
        <v>77</v>
      </c>
      <c r="G384" s="15">
        <f>IF(Table13192512[[#This Row],[dec val]]="",0,1)</f>
        <v>0</v>
      </c>
      <c r="J384" s="24">
        <v>50000</v>
      </c>
      <c r="M384" s="24">
        <v>50000</v>
      </c>
      <c r="O384" s="48" t="s">
        <v>97</v>
      </c>
      <c r="P384" s="48">
        <f>HEX2DEC(RIGHT(Table1323212714[[#This Row],[h1]],8))</f>
        <v>0</v>
      </c>
      <c r="Q384" s="48" t="s">
        <v>97</v>
      </c>
      <c r="R384" s="48">
        <f>HEX2DEC(RIGHT(Table1323212714[[#This Row],[h2]],8))</f>
        <v>0</v>
      </c>
    </row>
    <row r="385" spans="1:18" x14ac:dyDescent="0.3">
      <c r="A385" s="15" t="str">
        <f t="shared" si="10"/>
        <v>177</v>
      </c>
      <c r="B385" s="15">
        <v>375</v>
      </c>
      <c r="C385" s="42"/>
      <c r="D385" s="15" t="s">
        <v>497</v>
      </c>
      <c r="E385" s="15" t="s">
        <v>78</v>
      </c>
      <c r="G385" s="15">
        <f>IF(Table13192512[[#This Row],[dec val]]="",0,1)</f>
        <v>0</v>
      </c>
      <c r="J385" s="24">
        <v>50000</v>
      </c>
      <c r="M385" s="24">
        <v>50000</v>
      </c>
      <c r="O385" s="48" t="s">
        <v>97</v>
      </c>
      <c r="P385" s="48">
        <f>HEX2DEC(RIGHT(Table1323212714[[#This Row],[h1]],8))</f>
        <v>0</v>
      </c>
      <c r="Q385" s="48" t="s">
        <v>97</v>
      </c>
      <c r="R385" s="48">
        <f>HEX2DEC(RIGHT(Table1323212714[[#This Row],[h2]],8))</f>
        <v>0</v>
      </c>
    </row>
    <row r="386" spans="1:18" x14ac:dyDescent="0.3">
      <c r="A386" s="15" t="str">
        <f t="shared" si="10"/>
        <v>178</v>
      </c>
      <c r="B386" s="15">
        <v>376</v>
      </c>
      <c r="C386" s="42"/>
      <c r="D386" s="15" t="s">
        <v>498</v>
      </c>
      <c r="E386" s="15" t="s">
        <v>79</v>
      </c>
      <c r="G386" s="15">
        <f>IF(Table13192512[[#This Row],[dec val]]="",0,1)</f>
        <v>0</v>
      </c>
      <c r="J386" s="24">
        <v>50000</v>
      </c>
      <c r="M386" s="24">
        <v>50000</v>
      </c>
      <c r="O386" s="48" t="s">
        <v>97</v>
      </c>
      <c r="P386" s="48">
        <f>HEX2DEC(RIGHT(Table1323212714[[#This Row],[h1]],8))</f>
        <v>0</v>
      </c>
      <c r="Q386" s="48" t="s">
        <v>97</v>
      </c>
      <c r="R386" s="48">
        <f>HEX2DEC(RIGHT(Table1323212714[[#This Row],[h2]],8))</f>
        <v>0</v>
      </c>
    </row>
    <row r="387" spans="1:18" x14ac:dyDescent="0.3">
      <c r="A387" s="15" t="str">
        <f t="shared" si="10"/>
        <v>179</v>
      </c>
      <c r="B387" s="15">
        <v>377</v>
      </c>
      <c r="C387" s="42"/>
      <c r="D387" s="15" t="s">
        <v>499</v>
      </c>
      <c r="E387" s="15" t="s">
        <v>80</v>
      </c>
      <c r="G387" s="15">
        <f>IF(Table13192512[[#This Row],[dec val]]="",0,1)</f>
        <v>0</v>
      </c>
      <c r="J387" s="24">
        <v>50000</v>
      </c>
      <c r="M387" s="24">
        <v>50000</v>
      </c>
      <c r="O387" s="48" t="s">
        <v>97</v>
      </c>
      <c r="P387" s="48">
        <f>HEX2DEC(RIGHT(Table1323212714[[#This Row],[h1]],8))</f>
        <v>0</v>
      </c>
      <c r="Q387" s="48" t="s">
        <v>97</v>
      </c>
      <c r="R387" s="48">
        <f>HEX2DEC(RIGHT(Table1323212714[[#This Row],[h2]],8))</f>
        <v>0</v>
      </c>
    </row>
    <row r="388" spans="1:18" x14ac:dyDescent="0.3">
      <c r="A388" s="15" t="str">
        <f t="shared" si="10"/>
        <v>17A</v>
      </c>
      <c r="B388" s="15">
        <v>378</v>
      </c>
      <c r="C388" s="42"/>
      <c r="D388" s="15" t="s">
        <v>500</v>
      </c>
      <c r="E388" s="15" t="s">
        <v>81</v>
      </c>
      <c r="G388" s="15">
        <f>IF(Table13192512[[#This Row],[dec val]]="",0,1)</f>
        <v>0</v>
      </c>
      <c r="J388" s="24">
        <v>50000</v>
      </c>
      <c r="M388" s="24">
        <v>50000</v>
      </c>
      <c r="O388" s="48" t="s">
        <v>97</v>
      </c>
      <c r="P388" s="48">
        <f>HEX2DEC(RIGHT(Table1323212714[[#This Row],[h1]],8))</f>
        <v>0</v>
      </c>
      <c r="Q388" s="48" t="s">
        <v>97</v>
      </c>
      <c r="R388" s="48">
        <f>HEX2DEC(RIGHT(Table1323212714[[#This Row],[h2]],8))</f>
        <v>0</v>
      </c>
    </row>
    <row r="389" spans="1:18" x14ac:dyDescent="0.3">
      <c r="A389" s="15" t="str">
        <f t="shared" si="10"/>
        <v>17B</v>
      </c>
      <c r="B389" s="15">
        <v>379</v>
      </c>
      <c r="C389" s="42"/>
      <c r="D389" s="15" t="s">
        <v>501</v>
      </c>
      <c r="E389" s="15" t="s">
        <v>82</v>
      </c>
      <c r="G389" s="15">
        <f>IF(Table13192512[[#This Row],[dec val]]="",0,1)</f>
        <v>0</v>
      </c>
      <c r="J389" s="24">
        <v>50000</v>
      </c>
      <c r="M389" s="24">
        <v>50000</v>
      </c>
      <c r="O389" s="48" t="s">
        <v>97</v>
      </c>
      <c r="P389" s="48">
        <f>HEX2DEC(RIGHT(Table1323212714[[#This Row],[h1]],8))</f>
        <v>0</v>
      </c>
      <c r="Q389" s="48" t="s">
        <v>97</v>
      </c>
      <c r="R389" s="48">
        <f>HEX2DEC(RIGHT(Table1323212714[[#This Row],[h2]],8))</f>
        <v>0</v>
      </c>
    </row>
    <row r="390" spans="1:18" x14ac:dyDescent="0.3">
      <c r="A390" s="15" t="str">
        <f t="shared" si="10"/>
        <v>17C</v>
      </c>
      <c r="B390" s="15">
        <v>380</v>
      </c>
      <c r="C390" s="42"/>
      <c r="D390" s="15" t="s">
        <v>502</v>
      </c>
      <c r="E390" s="15" t="s">
        <v>83</v>
      </c>
      <c r="G390" s="15">
        <f>IF(Table13192512[[#This Row],[dec val]]="",0,1)</f>
        <v>0</v>
      </c>
      <c r="J390" s="24">
        <v>50000</v>
      </c>
      <c r="M390" s="24">
        <v>50000</v>
      </c>
      <c r="O390" s="48" t="s">
        <v>97</v>
      </c>
      <c r="P390" s="48">
        <f>HEX2DEC(RIGHT(Table1323212714[[#This Row],[h1]],8))</f>
        <v>0</v>
      </c>
      <c r="Q390" s="48" t="s">
        <v>97</v>
      </c>
      <c r="R390" s="48">
        <f>HEX2DEC(RIGHT(Table1323212714[[#This Row],[h2]],8))</f>
        <v>0</v>
      </c>
    </row>
    <row r="391" spans="1:18" x14ac:dyDescent="0.3">
      <c r="A391" s="15" t="str">
        <f t="shared" si="10"/>
        <v>17D</v>
      </c>
      <c r="B391" s="15">
        <v>381</v>
      </c>
      <c r="C391" s="42"/>
      <c r="D391" s="15" t="s">
        <v>503</v>
      </c>
      <c r="E391" s="15" t="s">
        <v>84</v>
      </c>
      <c r="G391" s="15">
        <f>IF(Table13192512[[#This Row],[dec val]]="",0,1)</f>
        <v>0</v>
      </c>
      <c r="J391" s="24">
        <v>50000</v>
      </c>
      <c r="M391" s="24">
        <v>50000</v>
      </c>
      <c r="O391" s="48" t="s">
        <v>97</v>
      </c>
      <c r="P391" s="48">
        <f>HEX2DEC(RIGHT(Table1323212714[[#This Row],[h1]],8))</f>
        <v>0</v>
      </c>
      <c r="Q391" s="48" t="s">
        <v>97</v>
      </c>
      <c r="R391" s="48">
        <f>HEX2DEC(RIGHT(Table1323212714[[#This Row],[h2]],8))</f>
        <v>0</v>
      </c>
    </row>
    <row r="392" spans="1:18" x14ac:dyDescent="0.3">
      <c r="A392" s="15" t="str">
        <f t="shared" si="10"/>
        <v>17E</v>
      </c>
      <c r="B392" s="15">
        <v>382</v>
      </c>
      <c r="C392" s="42"/>
      <c r="J392" s="24">
        <v>50000</v>
      </c>
      <c r="M392" s="24">
        <v>50000</v>
      </c>
      <c r="O392" s="48" t="s">
        <v>97</v>
      </c>
      <c r="P392" s="48">
        <f>HEX2DEC(RIGHT(Table1323212714[[#This Row],[h1]],8))</f>
        <v>0</v>
      </c>
      <c r="Q392" s="48" t="s">
        <v>97</v>
      </c>
      <c r="R392" s="48">
        <f>HEX2DEC(RIGHT(Table1323212714[[#This Row],[h2]],8))</f>
        <v>0</v>
      </c>
    </row>
    <row r="393" spans="1:18" x14ac:dyDescent="0.3">
      <c r="A393" s="15" t="str">
        <f t="shared" si="10"/>
        <v>17F</v>
      </c>
      <c r="B393" s="15">
        <v>383</v>
      </c>
      <c r="C393" s="42"/>
      <c r="D393" s="15" t="s">
        <v>504</v>
      </c>
      <c r="G393" s="15">
        <v>0</v>
      </c>
      <c r="J393" s="24">
        <v>50000</v>
      </c>
      <c r="M393" s="24">
        <v>50000</v>
      </c>
      <c r="O393" s="48" t="s">
        <v>97</v>
      </c>
      <c r="P393" s="48">
        <f>HEX2DEC(RIGHT(Table1323212714[[#This Row],[h1]],8))</f>
        <v>0</v>
      </c>
      <c r="Q393" s="48" t="s">
        <v>97</v>
      </c>
      <c r="R393" s="48">
        <f>HEX2DEC(RIGHT(Table1323212714[[#This Row],[h2]],8))</f>
        <v>0</v>
      </c>
    </row>
    <row r="394" spans="1:18" x14ac:dyDescent="0.3">
      <c r="A394" s="15" t="str">
        <f t="shared" si="10"/>
        <v>180</v>
      </c>
      <c r="B394" s="15">
        <v>384</v>
      </c>
      <c r="C394" s="42"/>
      <c r="D394" s="15" t="s">
        <v>505</v>
      </c>
      <c r="G394" s="15">
        <v>0</v>
      </c>
      <c r="J394" s="24">
        <v>50000</v>
      </c>
      <c r="M394" s="24">
        <v>50000</v>
      </c>
      <c r="O394" s="48" t="s">
        <v>97</v>
      </c>
      <c r="P394" s="48">
        <f>HEX2DEC(RIGHT(Table1323212714[[#This Row],[h1]],8))</f>
        <v>0</v>
      </c>
      <c r="Q394" s="48" t="s">
        <v>97</v>
      </c>
      <c r="R394" s="48">
        <f>HEX2DEC(RIGHT(Table1323212714[[#This Row],[h2]],8))</f>
        <v>0</v>
      </c>
    </row>
    <row r="395" spans="1:18" x14ac:dyDescent="0.3">
      <c r="A395" s="15" t="str">
        <f t="shared" ref="A395:A458" si="11">DEC2HEX(B395,3)</f>
        <v>181</v>
      </c>
      <c r="B395" s="15">
        <v>385</v>
      </c>
      <c r="C395" s="42"/>
      <c r="D395" s="15" t="s">
        <v>506</v>
      </c>
      <c r="G395" s="15">
        <v>0</v>
      </c>
      <c r="J395" s="24">
        <v>50000</v>
      </c>
      <c r="M395" s="24">
        <v>50000</v>
      </c>
      <c r="O395" s="48" t="s">
        <v>97</v>
      </c>
      <c r="P395" s="48">
        <f>HEX2DEC(RIGHT(Table1323212714[[#This Row],[h1]],8))</f>
        <v>0</v>
      </c>
      <c r="Q395" s="48" t="s">
        <v>97</v>
      </c>
      <c r="R395" s="48">
        <f>HEX2DEC(RIGHT(Table1323212714[[#This Row],[h2]],8))</f>
        <v>0</v>
      </c>
    </row>
    <row r="396" spans="1:18" x14ac:dyDescent="0.3">
      <c r="A396" s="15" t="str">
        <f t="shared" si="11"/>
        <v>182</v>
      </c>
      <c r="B396" s="15">
        <v>386</v>
      </c>
      <c r="C396" s="42"/>
      <c r="D396" s="15" t="s">
        <v>507</v>
      </c>
      <c r="G396" s="15">
        <v>0</v>
      </c>
      <c r="J396" s="24">
        <v>50000</v>
      </c>
      <c r="M396" s="24">
        <v>50000</v>
      </c>
      <c r="O396" s="48" t="s">
        <v>97</v>
      </c>
      <c r="P396" s="48">
        <f>HEX2DEC(RIGHT(Table1323212714[[#This Row],[h1]],8))</f>
        <v>0</v>
      </c>
      <c r="Q396" s="48" t="s">
        <v>97</v>
      </c>
      <c r="R396" s="48">
        <f>HEX2DEC(RIGHT(Table1323212714[[#This Row],[h2]],8))</f>
        <v>0</v>
      </c>
    </row>
    <row r="397" spans="1:18" x14ac:dyDescent="0.3">
      <c r="A397" s="15" t="str">
        <f t="shared" si="11"/>
        <v>183</v>
      </c>
      <c r="B397" s="15">
        <v>387</v>
      </c>
      <c r="C397" s="42"/>
      <c r="D397" s="15" t="s">
        <v>508</v>
      </c>
      <c r="G397" s="15">
        <v>0</v>
      </c>
      <c r="J397" s="24">
        <v>50000</v>
      </c>
      <c r="M397" s="24">
        <v>50000</v>
      </c>
      <c r="O397" s="48" t="s">
        <v>97</v>
      </c>
      <c r="P397" s="48">
        <f>HEX2DEC(RIGHT(Table1323212714[[#This Row],[h1]],8))</f>
        <v>0</v>
      </c>
      <c r="Q397" s="48" t="s">
        <v>97</v>
      </c>
      <c r="R397" s="48">
        <f>HEX2DEC(RIGHT(Table1323212714[[#This Row],[h2]],8))</f>
        <v>0</v>
      </c>
    </row>
    <row r="398" spans="1:18" x14ac:dyDescent="0.3">
      <c r="A398" s="15" t="str">
        <f t="shared" si="11"/>
        <v>184</v>
      </c>
      <c r="B398" s="15">
        <v>388</v>
      </c>
      <c r="C398" s="42"/>
      <c r="D398" s="15" t="s">
        <v>509</v>
      </c>
      <c r="G398" s="15">
        <v>0</v>
      </c>
      <c r="J398" s="24">
        <v>50000</v>
      </c>
      <c r="M398" s="24">
        <v>50000</v>
      </c>
      <c r="O398" s="48" t="s">
        <v>97</v>
      </c>
      <c r="P398" s="48">
        <f>HEX2DEC(RIGHT(Table1323212714[[#This Row],[h1]],8))</f>
        <v>0</v>
      </c>
      <c r="Q398" s="48" t="s">
        <v>97</v>
      </c>
      <c r="R398" s="48">
        <f>HEX2DEC(RIGHT(Table1323212714[[#This Row],[h2]],8))</f>
        <v>0</v>
      </c>
    </row>
    <row r="399" spans="1:18" x14ac:dyDescent="0.3">
      <c r="A399" s="15" t="str">
        <f t="shared" si="11"/>
        <v>185</v>
      </c>
      <c r="B399" s="15">
        <v>389</v>
      </c>
      <c r="C399" s="42"/>
      <c r="D399" s="15" t="s">
        <v>510</v>
      </c>
      <c r="G399" s="15">
        <v>0</v>
      </c>
      <c r="J399" s="24">
        <v>50000</v>
      </c>
      <c r="M399" s="24">
        <v>50000</v>
      </c>
      <c r="O399" s="48" t="s">
        <v>97</v>
      </c>
      <c r="P399" s="48">
        <f>HEX2DEC(RIGHT(Table1323212714[[#This Row],[h1]],8))</f>
        <v>0</v>
      </c>
      <c r="Q399" s="48" t="s">
        <v>97</v>
      </c>
      <c r="R399" s="48">
        <f>HEX2DEC(RIGHT(Table1323212714[[#This Row],[h2]],8))</f>
        <v>0</v>
      </c>
    </row>
    <row r="400" spans="1:18" x14ac:dyDescent="0.3">
      <c r="A400" s="15" t="str">
        <f t="shared" si="11"/>
        <v>186</v>
      </c>
      <c r="B400" s="15">
        <v>390</v>
      </c>
      <c r="C400" s="42"/>
      <c r="G400" s="33"/>
      <c r="J400" s="24">
        <v>50000</v>
      </c>
      <c r="M400" s="24">
        <v>50000</v>
      </c>
      <c r="O400" s="48" t="s">
        <v>97</v>
      </c>
      <c r="P400" s="48">
        <f>HEX2DEC(RIGHT(Table1323212714[[#This Row],[h1]],8))</f>
        <v>0</v>
      </c>
      <c r="Q400" s="48" t="s">
        <v>97</v>
      </c>
      <c r="R400" s="48">
        <f>HEX2DEC(RIGHT(Table1323212714[[#This Row],[h2]],8))</f>
        <v>0</v>
      </c>
    </row>
    <row r="401" spans="1:18" x14ac:dyDescent="0.3">
      <c r="A401" s="15" t="str">
        <f t="shared" si="11"/>
        <v>187</v>
      </c>
      <c r="B401" s="15">
        <v>391</v>
      </c>
      <c r="C401" s="42"/>
      <c r="D401" s="15" t="s">
        <v>113</v>
      </c>
      <c r="G401" s="33" t="s">
        <v>154</v>
      </c>
      <c r="J401" s="24">
        <v>50000</v>
      </c>
      <c r="M401" s="24">
        <v>50000</v>
      </c>
      <c r="O401" s="48" t="s">
        <v>97</v>
      </c>
      <c r="P401" s="48">
        <f>HEX2DEC(RIGHT(Table1323212714[[#This Row],[h1]],8))</f>
        <v>0</v>
      </c>
      <c r="Q401" s="48" t="s">
        <v>97</v>
      </c>
      <c r="R401" s="48">
        <f>HEX2DEC(RIGHT(Table1323212714[[#This Row],[h2]],8))</f>
        <v>0</v>
      </c>
    </row>
    <row r="402" spans="1:18" x14ac:dyDescent="0.3">
      <c r="A402" s="15" t="str">
        <f t="shared" si="11"/>
        <v>188</v>
      </c>
      <c r="B402" s="15">
        <v>392</v>
      </c>
      <c r="C402" s="42"/>
      <c r="D402" s="15" t="s">
        <v>114</v>
      </c>
      <c r="G402" s="33" t="s">
        <v>155</v>
      </c>
      <c r="J402" s="24">
        <v>50000</v>
      </c>
      <c r="M402" s="24">
        <v>50000</v>
      </c>
      <c r="O402" s="48" t="s">
        <v>97</v>
      </c>
      <c r="P402" s="48">
        <f>HEX2DEC(RIGHT(Table1323212714[[#This Row],[h1]],8))</f>
        <v>0</v>
      </c>
      <c r="Q402" s="48" t="s">
        <v>97</v>
      </c>
      <c r="R402" s="48">
        <f>HEX2DEC(RIGHT(Table1323212714[[#This Row],[h2]],8))</f>
        <v>0</v>
      </c>
    </row>
    <row r="403" spans="1:18" x14ac:dyDescent="0.3">
      <c r="A403" s="15" t="str">
        <f t="shared" si="11"/>
        <v>189</v>
      </c>
      <c r="B403" s="15">
        <v>393</v>
      </c>
      <c r="C403" s="42"/>
      <c r="D403" s="15" t="s">
        <v>115</v>
      </c>
      <c r="G403" s="33" t="s">
        <v>155</v>
      </c>
      <c r="J403" s="24">
        <v>50000</v>
      </c>
      <c r="M403" s="24">
        <v>50000</v>
      </c>
      <c r="O403" s="48" t="s">
        <v>97</v>
      </c>
      <c r="P403" s="48">
        <f>HEX2DEC(RIGHT(Table1323212714[[#This Row],[h1]],8))</f>
        <v>0</v>
      </c>
      <c r="Q403" s="48" t="s">
        <v>97</v>
      </c>
      <c r="R403" s="48">
        <f>HEX2DEC(RIGHT(Table1323212714[[#This Row],[h2]],8))</f>
        <v>0</v>
      </c>
    </row>
    <row r="404" spans="1:18" x14ac:dyDescent="0.3">
      <c r="A404" s="15" t="str">
        <f t="shared" si="11"/>
        <v>18A</v>
      </c>
      <c r="B404" s="15">
        <v>394</v>
      </c>
      <c r="C404" s="42"/>
      <c r="D404" s="15" t="s">
        <v>116</v>
      </c>
      <c r="G404" s="33" t="s">
        <v>155</v>
      </c>
      <c r="J404" s="24">
        <v>50000</v>
      </c>
      <c r="M404" s="24">
        <v>50000</v>
      </c>
      <c r="O404" s="48" t="s">
        <v>97</v>
      </c>
      <c r="P404" s="48">
        <f>HEX2DEC(RIGHT(Table1323212714[[#This Row],[h1]],8))</f>
        <v>0</v>
      </c>
      <c r="Q404" s="48" t="s">
        <v>97</v>
      </c>
      <c r="R404" s="48">
        <f>HEX2DEC(RIGHT(Table1323212714[[#This Row],[h2]],8))</f>
        <v>0</v>
      </c>
    </row>
    <row r="405" spans="1:18" x14ac:dyDescent="0.3">
      <c r="A405" s="15" t="str">
        <f t="shared" si="11"/>
        <v>18B</v>
      </c>
      <c r="B405" s="15">
        <v>395</v>
      </c>
      <c r="C405" s="42"/>
      <c r="D405" s="15" t="s">
        <v>117</v>
      </c>
      <c r="G405" s="33" t="s">
        <v>155</v>
      </c>
      <c r="J405" s="24">
        <v>50000</v>
      </c>
      <c r="M405" s="24">
        <v>50000</v>
      </c>
      <c r="O405" s="48" t="s">
        <v>97</v>
      </c>
      <c r="P405" s="48">
        <f>HEX2DEC(RIGHT(Table1323212714[[#This Row],[h1]],8))</f>
        <v>0</v>
      </c>
      <c r="Q405" s="48" t="s">
        <v>97</v>
      </c>
      <c r="R405" s="48">
        <f>HEX2DEC(RIGHT(Table1323212714[[#This Row],[h2]],8))</f>
        <v>0</v>
      </c>
    </row>
    <row r="406" spans="1:18" x14ac:dyDescent="0.3">
      <c r="A406" s="15" t="str">
        <f t="shared" si="11"/>
        <v>18C</v>
      </c>
      <c r="B406" s="15">
        <v>396</v>
      </c>
      <c r="C406" s="42"/>
      <c r="D406" s="15" t="s">
        <v>118</v>
      </c>
      <c r="G406" s="33" t="s">
        <v>155</v>
      </c>
      <c r="J406" s="24">
        <v>50000</v>
      </c>
      <c r="M406" s="24">
        <v>50000</v>
      </c>
      <c r="O406" s="48" t="s">
        <v>97</v>
      </c>
      <c r="P406" s="48">
        <f>HEX2DEC(RIGHT(Table1323212714[[#This Row],[h1]],8))</f>
        <v>0</v>
      </c>
      <c r="Q406" s="48" t="s">
        <v>97</v>
      </c>
      <c r="R406" s="48">
        <f>HEX2DEC(RIGHT(Table1323212714[[#This Row],[h2]],8))</f>
        <v>0</v>
      </c>
    </row>
    <row r="407" spans="1:18" x14ac:dyDescent="0.3">
      <c r="A407" s="15" t="str">
        <f t="shared" si="11"/>
        <v>18D</v>
      </c>
      <c r="B407" s="15">
        <v>397</v>
      </c>
      <c r="C407" s="42"/>
      <c r="D407" s="15" t="s">
        <v>119</v>
      </c>
      <c r="G407" s="33" t="s">
        <v>155</v>
      </c>
      <c r="J407" s="24">
        <v>50000</v>
      </c>
      <c r="M407" s="24">
        <v>50000</v>
      </c>
      <c r="O407" s="48" t="s">
        <v>97</v>
      </c>
      <c r="P407" s="48">
        <f>HEX2DEC(RIGHT(Table1323212714[[#This Row],[h1]],8))</f>
        <v>0</v>
      </c>
      <c r="Q407" s="48" t="s">
        <v>97</v>
      </c>
      <c r="R407" s="48">
        <f>HEX2DEC(RIGHT(Table1323212714[[#This Row],[h2]],8))</f>
        <v>0</v>
      </c>
    </row>
    <row r="408" spans="1:18" x14ac:dyDescent="0.3">
      <c r="A408" s="15" t="str">
        <f t="shared" si="11"/>
        <v>18E</v>
      </c>
      <c r="B408" s="15">
        <v>398</v>
      </c>
      <c r="C408" s="42"/>
      <c r="D408" s="15" t="s">
        <v>120</v>
      </c>
      <c r="G408" s="33" t="s">
        <v>152</v>
      </c>
      <c r="J408" s="24">
        <v>50000</v>
      </c>
      <c r="M408" s="24">
        <v>50000</v>
      </c>
      <c r="O408" s="48" t="s">
        <v>97</v>
      </c>
      <c r="P408" s="48">
        <f>HEX2DEC(RIGHT(Table1323212714[[#This Row],[h1]],8))</f>
        <v>0</v>
      </c>
      <c r="Q408" s="48" t="s">
        <v>97</v>
      </c>
      <c r="R408" s="48">
        <f>HEX2DEC(RIGHT(Table1323212714[[#This Row],[h2]],8))</f>
        <v>0</v>
      </c>
    </row>
    <row r="409" spans="1:18" x14ac:dyDescent="0.3">
      <c r="A409" s="15" t="str">
        <f t="shared" si="11"/>
        <v>18F</v>
      </c>
      <c r="B409" s="15">
        <v>399</v>
      </c>
      <c r="C409" s="42"/>
      <c r="D409" s="15" t="s">
        <v>121</v>
      </c>
      <c r="G409" s="33" t="s">
        <v>152</v>
      </c>
      <c r="J409" s="24">
        <v>50000</v>
      </c>
      <c r="M409" s="24">
        <v>50000</v>
      </c>
      <c r="O409" s="48" t="s">
        <v>97</v>
      </c>
      <c r="P409" s="48">
        <f>HEX2DEC(RIGHT(Table1323212714[[#This Row],[h1]],8))</f>
        <v>0</v>
      </c>
      <c r="Q409" s="48" t="s">
        <v>97</v>
      </c>
      <c r="R409" s="48">
        <f>HEX2DEC(RIGHT(Table1323212714[[#This Row],[h2]],8))</f>
        <v>0</v>
      </c>
    </row>
    <row r="410" spans="1:18" x14ac:dyDescent="0.3">
      <c r="A410" s="15" t="str">
        <f t="shared" si="11"/>
        <v>190</v>
      </c>
      <c r="B410" s="15">
        <v>400</v>
      </c>
      <c r="C410" s="42"/>
      <c r="D410" s="15" t="s">
        <v>122</v>
      </c>
      <c r="G410" s="33" t="s">
        <v>152</v>
      </c>
      <c r="J410" s="24">
        <v>50000</v>
      </c>
      <c r="M410" s="24">
        <v>50000</v>
      </c>
      <c r="O410" s="48" t="s">
        <v>97</v>
      </c>
      <c r="P410" s="48">
        <f>HEX2DEC(RIGHT(Table1323212714[[#This Row],[h1]],8))</f>
        <v>0</v>
      </c>
      <c r="Q410" s="48" t="s">
        <v>97</v>
      </c>
      <c r="R410" s="48">
        <f>HEX2DEC(RIGHT(Table1323212714[[#This Row],[h2]],8))</f>
        <v>0</v>
      </c>
    </row>
    <row r="411" spans="1:18" x14ac:dyDescent="0.3">
      <c r="A411" s="15" t="str">
        <f t="shared" si="11"/>
        <v>191</v>
      </c>
      <c r="B411" s="15">
        <v>401</v>
      </c>
      <c r="C411" s="42"/>
      <c r="D411" s="15" t="s">
        <v>123</v>
      </c>
      <c r="G411" s="33" t="s">
        <v>152</v>
      </c>
      <c r="J411" s="24">
        <v>50000</v>
      </c>
      <c r="M411" s="24">
        <v>50000</v>
      </c>
      <c r="O411" s="48" t="s">
        <v>97</v>
      </c>
      <c r="P411" s="48">
        <f>HEX2DEC(RIGHT(Table1323212714[[#This Row],[h1]],8))</f>
        <v>0</v>
      </c>
      <c r="Q411" s="48" t="s">
        <v>97</v>
      </c>
      <c r="R411" s="48">
        <f>HEX2DEC(RIGHT(Table1323212714[[#This Row],[h2]],8))</f>
        <v>0</v>
      </c>
    </row>
    <row r="412" spans="1:18" x14ac:dyDescent="0.3">
      <c r="A412" s="15" t="str">
        <f t="shared" si="11"/>
        <v>192</v>
      </c>
      <c r="B412" s="15">
        <v>402</v>
      </c>
      <c r="C412" s="42"/>
      <c r="D412" s="15" t="s">
        <v>124</v>
      </c>
      <c r="G412" s="33" t="s">
        <v>152</v>
      </c>
      <c r="J412" s="24">
        <v>50000</v>
      </c>
      <c r="M412" s="24">
        <v>50000</v>
      </c>
      <c r="O412" s="48" t="s">
        <v>97</v>
      </c>
      <c r="P412" s="48">
        <f>HEX2DEC(RIGHT(Table1323212714[[#This Row],[h1]],8))</f>
        <v>0</v>
      </c>
      <c r="Q412" s="48" t="s">
        <v>97</v>
      </c>
      <c r="R412" s="48">
        <f>HEX2DEC(RIGHT(Table1323212714[[#This Row],[h2]],8))</f>
        <v>0</v>
      </c>
    </row>
    <row r="413" spans="1:18" x14ac:dyDescent="0.3">
      <c r="A413" s="15" t="str">
        <f t="shared" si="11"/>
        <v>193</v>
      </c>
      <c r="B413" s="15">
        <v>403</v>
      </c>
      <c r="C413" s="42"/>
      <c r="D413" s="15" t="s">
        <v>125</v>
      </c>
      <c r="G413" s="33" t="s">
        <v>152</v>
      </c>
      <c r="J413" s="24">
        <v>50000</v>
      </c>
      <c r="M413" s="24">
        <v>50000</v>
      </c>
      <c r="O413" s="48" t="s">
        <v>97</v>
      </c>
      <c r="P413" s="48">
        <f>HEX2DEC(RIGHT(Table1323212714[[#This Row],[h1]],8))</f>
        <v>0</v>
      </c>
      <c r="Q413" s="48" t="s">
        <v>97</v>
      </c>
      <c r="R413" s="48">
        <f>HEX2DEC(RIGHT(Table1323212714[[#This Row],[h2]],8))</f>
        <v>0</v>
      </c>
    </row>
    <row r="414" spans="1:18" x14ac:dyDescent="0.3">
      <c r="A414" s="15" t="str">
        <f t="shared" si="11"/>
        <v>194</v>
      </c>
      <c r="B414" s="15">
        <v>404</v>
      </c>
      <c r="C414" s="42"/>
      <c r="D414" s="15" t="s">
        <v>126</v>
      </c>
      <c r="G414" s="33" t="s">
        <v>152</v>
      </c>
      <c r="J414" s="24">
        <v>50000</v>
      </c>
      <c r="M414" s="24">
        <v>50000</v>
      </c>
      <c r="O414" s="48" t="s">
        <v>97</v>
      </c>
      <c r="P414" s="48">
        <f>HEX2DEC(RIGHT(Table1323212714[[#This Row],[h1]],8))</f>
        <v>0</v>
      </c>
      <c r="Q414" s="48" t="s">
        <v>97</v>
      </c>
      <c r="R414" s="48">
        <f>HEX2DEC(RIGHT(Table1323212714[[#This Row],[h2]],8))</f>
        <v>0</v>
      </c>
    </row>
    <row r="415" spans="1:18" x14ac:dyDescent="0.3">
      <c r="A415" s="15" t="str">
        <f t="shared" si="11"/>
        <v>195</v>
      </c>
      <c r="B415" s="15">
        <v>405</v>
      </c>
      <c r="C415" s="42"/>
      <c r="D415" s="15" t="s">
        <v>127</v>
      </c>
      <c r="G415" s="33" t="s">
        <v>152</v>
      </c>
      <c r="J415" s="24">
        <v>50000</v>
      </c>
      <c r="M415" s="24">
        <v>50000</v>
      </c>
      <c r="O415" s="48" t="s">
        <v>97</v>
      </c>
      <c r="P415" s="48">
        <f>HEX2DEC(RIGHT(Table1323212714[[#This Row],[h1]],8))</f>
        <v>0</v>
      </c>
      <c r="Q415" s="48" t="s">
        <v>97</v>
      </c>
      <c r="R415" s="48">
        <f>HEX2DEC(RIGHT(Table1323212714[[#This Row],[h2]],8))</f>
        <v>0</v>
      </c>
    </row>
    <row r="416" spans="1:18" x14ac:dyDescent="0.3">
      <c r="A416" s="15" t="str">
        <f t="shared" si="11"/>
        <v>196</v>
      </c>
      <c r="B416" s="15">
        <v>406</v>
      </c>
      <c r="C416" s="42"/>
      <c r="D416" s="15" t="s">
        <v>128</v>
      </c>
      <c r="G416" s="33" t="s">
        <v>152</v>
      </c>
      <c r="J416" s="24">
        <v>50000</v>
      </c>
      <c r="M416" s="24">
        <v>50000</v>
      </c>
      <c r="O416" s="48" t="s">
        <v>97</v>
      </c>
      <c r="P416" s="48">
        <f>HEX2DEC(RIGHT(Table1323212714[[#This Row],[h1]],8))</f>
        <v>0</v>
      </c>
      <c r="Q416" s="48" t="s">
        <v>97</v>
      </c>
      <c r="R416" s="48">
        <f>HEX2DEC(RIGHT(Table1323212714[[#This Row],[h2]],8))</f>
        <v>0</v>
      </c>
    </row>
    <row r="417" spans="1:18" x14ac:dyDescent="0.3">
      <c r="A417" s="15" t="str">
        <f t="shared" si="11"/>
        <v>197</v>
      </c>
      <c r="B417" s="15">
        <v>407</v>
      </c>
      <c r="C417" s="42"/>
      <c r="D417" s="15" t="s">
        <v>129</v>
      </c>
      <c r="G417" s="33" t="s">
        <v>152</v>
      </c>
      <c r="J417" s="24">
        <v>50000</v>
      </c>
      <c r="M417" s="24">
        <v>50000</v>
      </c>
      <c r="O417" s="48" t="s">
        <v>97</v>
      </c>
      <c r="P417" s="48">
        <f>HEX2DEC(RIGHT(Table1323212714[[#This Row],[h1]],8))</f>
        <v>0</v>
      </c>
      <c r="Q417" s="48" t="s">
        <v>97</v>
      </c>
      <c r="R417" s="48">
        <f>HEX2DEC(RIGHT(Table1323212714[[#This Row],[h2]],8))</f>
        <v>0</v>
      </c>
    </row>
    <row r="418" spans="1:18" x14ac:dyDescent="0.3">
      <c r="A418" s="15" t="str">
        <f t="shared" si="11"/>
        <v>198</v>
      </c>
      <c r="B418" s="15">
        <v>408</v>
      </c>
      <c r="C418" s="42"/>
      <c r="D418" s="15" t="s">
        <v>130</v>
      </c>
      <c r="G418" s="33" t="s">
        <v>152</v>
      </c>
      <c r="J418" s="24">
        <v>50000</v>
      </c>
      <c r="M418" s="24">
        <v>50000</v>
      </c>
      <c r="O418" s="48" t="s">
        <v>97</v>
      </c>
      <c r="P418" s="48">
        <f>HEX2DEC(RIGHT(Table1323212714[[#This Row],[h1]],8))</f>
        <v>0</v>
      </c>
      <c r="Q418" s="48" t="s">
        <v>97</v>
      </c>
      <c r="R418" s="48">
        <f>HEX2DEC(RIGHT(Table1323212714[[#This Row],[h2]],8))</f>
        <v>0</v>
      </c>
    </row>
    <row r="419" spans="1:18" x14ac:dyDescent="0.3">
      <c r="A419" s="15" t="str">
        <f t="shared" si="11"/>
        <v>199</v>
      </c>
      <c r="B419" s="15">
        <v>409</v>
      </c>
      <c r="C419" s="42"/>
      <c r="D419" s="15" t="s">
        <v>131</v>
      </c>
      <c r="G419" s="33" t="s">
        <v>152</v>
      </c>
      <c r="J419" s="24">
        <v>50000</v>
      </c>
      <c r="M419" s="24">
        <v>50000</v>
      </c>
      <c r="O419" s="48" t="s">
        <v>97</v>
      </c>
      <c r="P419" s="48">
        <f>HEX2DEC(RIGHT(Table1323212714[[#This Row],[h1]],8))</f>
        <v>0</v>
      </c>
      <c r="Q419" s="48" t="s">
        <v>97</v>
      </c>
      <c r="R419" s="48">
        <f>HEX2DEC(RIGHT(Table1323212714[[#This Row],[h2]],8))</f>
        <v>0</v>
      </c>
    </row>
    <row r="420" spans="1:18" x14ac:dyDescent="0.3">
      <c r="A420" s="15" t="str">
        <f t="shared" si="11"/>
        <v>19A</v>
      </c>
      <c r="B420" s="15">
        <v>410</v>
      </c>
      <c r="C420" s="42"/>
      <c r="D420" s="15" t="s">
        <v>132</v>
      </c>
      <c r="G420" s="33" t="s">
        <v>152</v>
      </c>
      <c r="J420" s="24">
        <v>50000</v>
      </c>
      <c r="M420" s="24">
        <v>50000</v>
      </c>
      <c r="O420" s="48" t="s">
        <v>97</v>
      </c>
      <c r="P420" s="48">
        <f>HEX2DEC(RIGHT(Table1323212714[[#This Row],[h1]],8))</f>
        <v>0</v>
      </c>
      <c r="Q420" s="48" t="s">
        <v>97</v>
      </c>
      <c r="R420" s="48">
        <f>HEX2DEC(RIGHT(Table1323212714[[#This Row],[h2]],8))</f>
        <v>0</v>
      </c>
    </row>
    <row r="421" spans="1:18" x14ac:dyDescent="0.3">
      <c r="A421" s="15" t="str">
        <f t="shared" si="11"/>
        <v>19B</v>
      </c>
      <c r="B421" s="15">
        <v>411</v>
      </c>
      <c r="C421" s="42"/>
      <c r="D421" s="15" t="s">
        <v>133</v>
      </c>
      <c r="G421" s="33" t="s">
        <v>152</v>
      </c>
      <c r="J421" s="24">
        <v>50000</v>
      </c>
      <c r="M421" s="24">
        <v>50000</v>
      </c>
      <c r="O421" s="48" t="s">
        <v>97</v>
      </c>
      <c r="P421" s="48">
        <f>HEX2DEC(RIGHT(Table1323212714[[#This Row],[h1]],8))</f>
        <v>0</v>
      </c>
      <c r="Q421" s="48" t="s">
        <v>97</v>
      </c>
      <c r="R421" s="48">
        <f>HEX2DEC(RIGHT(Table1323212714[[#This Row],[h2]],8))</f>
        <v>0</v>
      </c>
    </row>
    <row r="422" spans="1:18" x14ac:dyDescent="0.3">
      <c r="A422" s="15" t="str">
        <f t="shared" si="11"/>
        <v>19C</v>
      </c>
      <c r="B422" s="15">
        <v>412</v>
      </c>
      <c r="C422" s="42"/>
      <c r="D422" s="15" t="s">
        <v>134</v>
      </c>
      <c r="G422" s="33" t="s">
        <v>152</v>
      </c>
      <c r="J422" s="24">
        <v>50000</v>
      </c>
      <c r="M422" s="24">
        <v>50000</v>
      </c>
      <c r="O422" s="48" t="s">
        <v>97</v>
      </c>
      <c r="P422" s="48">
        <f>HEX2DEC(RIGHT(Table1323212714[[#This Row],[h1]],8))</f>
        <v>0</v>
      </c>
      <c r="Q422" s="48" t="s">
        <v>97</v>
      </c>
      <c r="R422" s="48">
        <f>HEX2DEC(RIGHT(Table1323212714[[#This Row],[h2]],8))</f>
        <v>0</v>
      </c>
    </row>
    <row r="423" spans="1:18" x14ac:dyDescent="0.3">
      <c r="A423" s="15" t="str">
        <f t="shared" si="11"/>
        <v>19D</v>
      </c>
      <c r="B423" s="15">
        <v>413</v>
      </c>
      <c r="C423" s="42"/>
      <c r="D423" s="15" t="s">
        <v>135</v>
      </c>
      <c r="G423" s="33" t="s">
        <v>152</v>
      </c>
      <c r="J423" s="24">
        <v>50000</v>
      </c>
      <c r="M423" s="24">
        <v>50000</v>
      </c>
      <c r="O423" s="48" t="s">
        <v>97</v>
      </c>
      <c r="P423" s="48">
        <f>HEX2DEC(RIGHT(Table1323212714[[#This Row],[h1]],8))</f>
        <v>0</v>
      </c>
      <c r="Q423" s="48" t="s">
        <v>97</v>
      </c>
      <c r="R423" s="48">
        <f>HEX2DEC(RIGHT(Table1323212714[[#This Row],[h2]],8))</f>
        <v>0</v>
      </c>
    </row>
    <row r="424" spans="1:18" x14ac:dyDescent="0.3">
      <c r="A424" s="15" t="str">
        <f t="shared" si="11"/>
        <v>19E</v>
      </c>
      <c r="B424" s="15">
        <v>414</v>
      </c>
      <c r="C424" s="42"/>
      <c r="D424" s="15" t="s">
        <v>136</v>
      </c>
      <c r="G424" s="33" t="s">
        <v>152</v>
      </c>
      <c r="J424" s="24">
        <v>50000</v>
      </c>
      <c r="M424" s="24">
        <v>50000</v>
      </c>
      <c r="O424" s="48" t="s">
        <v>97</v>
      </c>
      <c r="P424" s="48">
        <f>HEX2DEC(RIGHT(Table1323212714[[#This Row],[h1]],8))</f>
        <v>0</v>
      </c>
      <c r="Q424" s="48" t="s">
        <v>97</v>
      </c>
      <c r="R424" s="48">
        <f>HEX2DEC(RIGHT(Table1323212714[[#This Row],[h2]],8))</f>
        <v>0</v>
      </c>
    </row>
    <row r="425" spans="1:18" x14ac:dyDescent="0.3">
      <c r="A425" s="15" t="str">
        <f t="shared" si="11"/>
        <v>19F</v>
      </c>
      <c r="B425" s="15">
        <v>415</v>
      </c>
      <c r="C425" s="42"/>
      <c r="D425" s="15" t="s">
        <v>137</v>
      </c>
      <c r="G425" s="33" t="s">
        <v>152</v>
      </c>
      <c r="J425" s="24">
        <v>50000</v>
      </c>
      <c r="M425" s="24">
        <v>50000</v>
      </c>
      <c r="O425" s="48" t="s">
        <v>97</v>
      </c>
      <c r="P425" s="48">
        <f>HEX2DEC(RIGHT(Table1323212714[[#This Row],[h1]],8))</f>
        <v>0</v>
      </c>
      <c r="Q425" s="48" t="s">
        <v>97</v>
      </c>
      <c r="R425" s="48">
        <f>HEX2DEC(RIGHT(Table1323212714[[#This Row],[h2]],8))</f>
        <v>0</v>
      </c>
    </row>
    <row r="426" spans="1:18" x14ac:dyDescent="0.3">
      <c r="A426" s="15" t="str">
        <f t="shared" si="11"/>
        <v>1A0</v>
      </c>
      <c r="B426" s="15">
        <v>416</v>
      </c>
      <c r="C426" s="42"/>
      <c r="D426" s="15" t="s">
        <v>138</v>
      </c>
      <c r="G426" s="33" t="s">
        <v>152</v>
      </c>
      <c r="J426" s="24">
        <v>50000</v>
      </c>
      <c r="M426" s="24">
        <v>50000</v>
      </c>
      <c r="O426" s="48" t="s">
        <v>97</v>
      </c>
      <c r="P426" s="48">
        <f>HEX2DEC(RIGHT(Table1323212714[[#This Row],[h1]],8))</f>
        <v>0</v>
      </c>
      <c r="Q426" s="48" t="s">
        <v>97</v>
      </c>
      <c r="R426" s="48">
        <f>HEX2DEC(RIGHT(Table1323212714[[#This Row],[h2]],8))</f>
        <v>0</v>
      </c>
    </row>
    <row r="427" spans="1:18" x14ac:dyDescent="0.3">
      <c r="A427" s="15" t="str">
        <f t="shared" si="11"/>
        <v>1A1</v>
      </c>
      <c r="B427" s="15">
        <v>417</v>
      </c>
      <c r="C427" s="42"/>
      <c r="D427" s="15" t="s">
        <v>139</v>
      </c>
      <c r="G427" s="33" t="s">
        <v>152</v>
      </c>
      <c r="J427" s="24">
        <v>50000</v>
      </c>
      <c r="M427" s="24">
        <v>50000</v>
      </c>
      <c r="O427" s="48" t="s">
        <v>97</v>
      </c>
      <c r="P427" s="48">
        <f>HEX2DEC(RIGHT(Table1323212714[[#This Row],[h1]],8))</f>
        <v>0</v>
      </c>
      <c r="Q427" s="48" t="s">
        <v>97</v>
      </c>
      <c r="R427" s="48">
        <f>HEX2DEC(RIGHT(Table1323212714[[#This Row],[h2]],8))</f>
        <v>0</v>
      </c>
    </row>
    <row r="428" spans="1:18" x14ac:dyDescent="0.3">
      <c r="A428" s="15" t="str">
        <f t="shared" si="11"/>
        <v>1A2</v>
      </c>
      <c r="B428" s="15">
        <v>418</v>
      </c>
      <c r="C428" s="42"/>
      <c r="D428" s="15" t="s">
        <v>140</v>
      </c>
      <c r="G428" s="33" t="s">
        <v>152</v>
      </c>
      <c r="J428" s="24">
        <v>50000</v>
      </c>
      <c r="M428" s="24">
        <v>50000</v>
      </c>
      <c r="O428" s="48" t="s">
        <v>97</v>
      </c>
      <c r="P428" s="48">
        <f>HEX2DEC(RIGHT(Table1323212714[[#This Row],[h1]],8))</f>
        <v>0</v>
      </c>
      <c r="Q428" s="48" t="s">
        <v>97</v>
      </c>
      <c r="R428" s="48">
        <f>HEX2DEC(RIGHT(Table1323212714[[#This Row],[h2]],8))</f>
        <v>0</v>
      </c>
    </row>
    <row r="429" spans="1:18" x14ac:dyDescent="0.3">
      <c r="A429" s="15" t="str">
        <f t="shared" si="11"/>
        <v>1A3</v>
      </c>
      <c r="B429" s="15">
        <v>419</v>
      </c>
      <c r="C429" s="42"/>
      <c r="D429" s="15" t="s">
        <v>141</v>
      </c>
      <c r="G429" s="33" t="s">
        <v>152</v>
      </c>
      <c r="J429" s="24">
        <v>50000</v>
      </c>
      <c r="M429" s="24">
        <v>50000</v>
      </c>
      <c r="O429" s="48" t="s">
        <v>97</v>
      </c>
      <c r="P429" s="48">
        <f>HEX2DEC(RIGHT(Table1323212714[[#This Row],[h1]],8))</f>
        <v>0</v>
      </c>
      <c r="Q429" s="48" t="s">
        <v>97</v>
      </c>
      <c r="R429" s="48">
        <f>HEX2DEC(RIGHT(Table1323212714[[#This Row],[h2]],8))</f>
        <v>0</v>
      </c>
    </row>
    <row r="430" spans="1:18" x14ac:dyDescent="0.3">
      <c r="A430" s="15" t="str">
        <f t="shared" si="11"/>
        <v>1A4</v>
      </c>
      <c r="B430" s="15">
        <v>420</v>
      </c>
      <c r="C430" s="42"/>
      <c r="D430" s="15" t="s">
        <v>142</v>
      </c>
      <c r="G430" s="33" t="s">
        <v>152</v>
      </c>
      <c r="J430" s="24">
        <v>50000</v>
      </c>
      <c r="M430" s="24">
        <v>50000</v>
      </c>
      <c r="O430" s="48" t="s">
        <v>97</v>
      </c>
      <c r="P430" s="48">
        <f>HEX2DEC(RIGHT(Table1323212714[[#This Row],[h1]],8))</f>
        <v>0</v>
      </c>
      <c r="Q430" s="48" t="s">
        <v>97</v>
      </c>
      <c r="R430" s="48">
        <f>HEX2DEC(RIGHT(Table1323212714[[#This Row],[h2]],8))</f>
        <v>0</v>
      </c>
    </row>
    <row r="431" spans="1:18" x14ac:dyDescent="0.3">
      <c r="A431" s="15" t="str">
        <f t="shared" si="11"/>
        <v>1A5</v>
      </c>
      <c r="B431" s="15">
        <v>421</v>
      </c>
      <c r="C431" s="42"/>
      <c r="D431" s="15" t="s">
        <v>143</v>
      </c>
      <c r="G431" s="33" t="s">
        <v>152</v>
      </c>
      <c r="J431" s="24">
        <v>50000</v>
      </c>
      <c r="M431" s="24">
        <v>50000</v>
      </c>
      <c r="O431" s="48" t="s">
        <v>97</v>
      </c>
      <c r="P431" s="48">
        <f>HEX2DEC(RIGHT(Table1323212714[[#This Row],[h1]],8))</f>
        <v>0</v>
      </c>
      <c r="Q431" s="48" t="s">
        <v>97</v>
      </c>
      <c r="R431" s="48">
        <f>HEX2DEC(RIGHT(Table1323212714[[#This Row],[h2]],8))</f>
        <v>0</v>
      </c>
    </row>
    <row r="432" spans="1:18" x14ac:dyDescent="0.3">
      <c r="A432" s="15" t="str">
        <f t="shared" si="11"/>
        <v>1A6</v>
      </c>
      <c r="B432" s="15">
        <v>422</v>
      </c>
      <c r="C432" s="42"/>
      <c r="D432" s="15" t="s">
        <v>144</v>
      </c>
      <c r="G432" s="33" t="s">
        <v>152</v>
      </c>
      <c r="J432" s="24">
        <v>50000</v>
      </c>
      <c r="M432" s="24">
        <v>50000</v>
      </c>
      <c r="O432" s="48" t="s">
        <v>97</v>
      </c>
      <c r="P432" s="48">
        <f>HEX2DEC(RIGHT(Table1323212714[[#This Row],[h1]],8))</f>
        <v>0</v>
      </c>
      <c r="Q432" s="48" t="s">
        <v>97</v>
      </c>
      <c r="R432" s="48">
        <f>HEX2DEC(RIGHT(Table1323212714[[#This Row],[h2]],8))</f>
        <v>0</v>
      </c>
    </row>
    <row r="433" spans="1:18" x14ac:dyDescent="0.3">
      <c r="A433" s="15" t="str">
        <f t="shared" si="11"/>
        <v>1A7</v>
      </c>
      <c r="B433" s="15">
        <v>423</v>
      </c>
      <c r="C433" s="42"/>
      <c r="D433" s="15" t="s">
        <v>145</v>
      </c>
      <c r="G433" s="33" t="s">
        <v>152</v>
      </c>
      <c r="J433" s="24">
        <v>50000</v>
      </c>
      <c r="M433" s="24">
        <v>50000</v>
      </c>
      <c r="O433" s="48" t="s">
        <v>97</v>
      </c>
      <c r="P433" s="48">
        <f>HEX2DEC(RIGHT(Table1323212714[[#This Row],[h1]],8))</f>
        <v>0</v>
      </c>
      <c r="Q433" s="48" t="s">
        <v>97</v>
      </c>
      <c r="R433" s="48">
        <f>HEX2DEC(RIGHT(Table1323212714[[#This Row],[h2]],8))</f>
        <v>0</v>
      </c>
    </row>
    <row r="434" spans="1:18" x14ac:dyDescent="0.3">
      <c r="A434" s="15" t="str">
        <f t="shared" si="11"/>
        <v>1A8</v>
      </c>
      <c r="B434" s="15">
        <v>424</v>
      </c>
      <c r="C434" s="42"/>
      <c r="D434" s="15" t="s">
        <v>146</v>
      </c>
      <c r="G434" s="33" t="s">
        <v>152</v>
      </c>
      <c r="J434" s="24">
        <v>50000</v>
      </c>
      <c r="M434" s="24">
        <v>50000</v>
      </c>
      <c r="O434" s="48" t="s">
        <v>97</v>
      </c>
      <c r="P434" s="48">
        <f>HEX2DEC(RIGHT(Table1323212714[[#This Row],[h1]],8))</f>
        <v>0</v>
      </c>
      <c r="Q434" s="48" t="s">
        <v>97</v>
      </c>
      <c r="R434" s="48">
        <f>HEX2DEC(RIGHT(Table1323212714[[#This Row],[h2]],8))</f>
        <v>0</v>
      </c>
    </row>
    <row r="435" spans="1:18" x14ac:dyDescent="0.3">
      <c r="A435" s="15" t="str">
        <f t="shared" si="11"/>
        <v>1A9</v>
      </c>
      <c r="B435" s="15">
        <v>425</v>
      </c>
      <c r="C435" s="42"/>
      <c r="D435" s="15" t="s">
        <v>147</v>
      </c>
      <c r="G435" s="33" t="s">
        <v>152</v>
      </c>
      <c r="J435" s="24">
        <v>50000</v>
      </c>
      <c r="M435" s="24">
        <v>50000</v>
      </c>
      <c r="O435" s="48" t="s">
        <v>97</v>
      </c>
      <c r="P435" s="48">
        <f>HEX2DEC(RIGHT(Table1323212714[[#This Row],[h1]],8))</f>
        <v>0</v>
      </c>
      <c r="Q435" s="48" t="s">
        <v>97</v>
      </c>
      <c r="R435" s="48">
        <f>HEX2DEC(RIGHT(Table1323212714[[#This Row],[h2]],8))</f>
        <v>0</v>
      </c>
    </row>
    <row r="436" spans="1:18" x14ac:dyDescent="0.3">
      <c r="A436" s="15" t="str">
        <f t="shared" si="11"/>
        <v>1AA</v>
      </c>
      <c r="B436" s="15">
        <v>426</v>
      </c>
      <c r="C436" s="42"/>
      <c r="D436" s="15" t="s">
        <v>148</v>
      </c>
      <c r="G436" s="33" t="s">
        <v>152</v>
      </c>
      <c r="J436" s="24">
        <v>50000</v>
      </c>
      <c r="M436" s="24">
        <v>50000</v>
      </c>
      <c r="O436" s="48" t="s">
        <v>97</v>
      </c>
      <c r="P436" s="48">
        <f>HEX2DEC(RIGHT(Table1323212714[[#This Row],[h1]],8))</f>
        <v>0</v>
      </c>
      <c r="Q436" s="48" t="s">
        <v>97</v>
      </c>
      <c r="R436" s="48">
        <f>HEX2DEC(RIGHT(Table1323212714[[#This Row],[h2]],8))</f>
        <v>0</v>
      </c>
    </row>
    <row r="437" spans="1:18" x14ac:dyDescent="0.3">
      <c r="A437" s="15" t="str">
        <f t="shared" si="11"/>
        <v>1AB</v>
      </c>
      <c r="B437" s="15">
        <v>427</v>
      </c>
      <c r="C437" s="42"/>
      <c r="D437" s="15" t="s">
        <v>149</v>
      </c>
      <c r="G437" s="33" t="s">
        <v>152</v>
      </c>
      <c r="J437" s="24">
        <v>50000</v>
      </c>
      <c r="M437" s="24">
        <v>50000</v>
      </c>
      <c r="O437" s="48" t="s">
        <v>97</v>
      </c>
      <c r="P437" s="48">
        <f>HEX2DEC(RIGHT(Table1323212714[[#This Row],[h1]],8))</f>
        <v>0</v>
      </c>
      <c r="Q437" s="48" t="s">
        <v>97</v>
      </c>
      <c r="R437" s="48">
        <f>HEX2DEC(RIGHT(Table1323212714[[#This Row],[h2]],8))</f>
        <v>0</v>
      </c>
    </row>
    <row r="438" spans="1:18" x14ac:dyDescent="0.3">
      <c r="A438" s="15" t="str">
        <f t="shared" si="11"/>
        <v>1AC</v>
      </c>
      <c r="B438" s="15">
        <v>428</v>
      </c>
      <c r="C438" s="42"/>
      <c r="D438" s="15" t="s">
        <v>150</v>
      </c>
      <c r="G438" s="33" t="s">
        <v>152</v>
      </c>
      <c r="J438" s="24">
        <v>50000</v>
      </c>
      <c r="M438" s="24">
        <v>50000</v>
      </c>
      <c r="O438" s="48" t="s">
        <v>97</v>
      </c>
      <c r="P438" s="48">
        <f>HEX2DEC(RIGHT(Table1323212714[[#This Row],[h1]],8))</f>
        <v>0</v>
      </c>
      <c r="Q438" s="48" t="s">
        <v>97</v>
      </c>
      <c r="R438" s="48">
        <f>HEX2DEC(RIGHT(Table1323212714[[#This Row],[h2]],8))</f>
        <v>0</v>
      </c>
    </row>
    <row r="439" spans="1:18" x14ac:dyDescent="0.3">
      <c r="A439" s="15" t="str">
        <f t="shared" si="11"/>
        <v>1AD</v>
      </c>
      <c r="B439" s="15">
        <v>429</v>
      </c>
      <c r="C439" s="42"/>
      <c r="D439" s="15" t="s">
        <v>151</v>
      </c>
      <c r="G439" s="33" t="s">
        <v>152</v>
      </c>
      <c r="J439" s="24">
        <v>50000</v>
      </c>
      <c r="M439" s="24">
        <v>50000</v>
      </c>
      <c r="O439" s="48" t="s">
        <v>97</v>
      </c>
      <c r="P439" s="48">
        <f>HEX2DEC(RIGHT(Table1323212714[[#This Row],[h1]],8))</f>
        <v>0</v>
      </c>
      <c r="Q439" s="48" t="s">
        <v>97</v>
      </c>
      <c r="R439" s="48">
        <f>HEX2DEC(RIGHT(Table1323212714[[#This Row],[h2]],8))</f>
        <v>0</v>
      </c>
    </row>
    <row r="440" spans="1:18" x14ac:dyDescent="0.3">
      <c r="A440" s="15" t="str">
        <f t="shared" si="11"/>
        <v>1AE</v>
      </c>
      <c r="B440" s="15">
        <v>430</v>
      </c>
      <c r="C440" s="42"/>
      <c r="D440" s="15" t="s">
        <v>153</v>
      </c>
      <c r="G440" s="15">
        <v>1</v>
      </c>
      <c r="J440" s="24">
        <v>50000</v>
      </c>
      <c r="M440" s="24">
        <v>50000</v>
      </c>
      <c r="O440" s="48" t="s">
        <v>97</v>
      </c>
      <c r="P440" s="48">
        <f>HEX2DEC(RIGHT(Table1323212714[[#This Row],[h1]],8))</f>
        <v>0</v>
      </c>
      <c r="Q440" s="48" t="s">
        <v>97</v>
      </c>
      <c r="R440" s="48">
        <f>HEX2DEC(RIGHT(Table1323212714[[#This Row],[h2]],8))</f>
        <v>0</v>
      </c>
    </row>
    <row r="441" spans="1:18" x14ac:dyDescent="0.3">
      <c r="A441" s="15" t="str">
        <f t="shared" si="11"/>
        <v>1AF</v>
      </c>
      <c r="B441" s="15">
        <v>431</v>
      </c>
      <c r="C441" s="42"/>
      <c r="D441" s="15" t="s">
        <v>153</v>
      </c>
      <c r="G441" s="15">
        <v>0</v>
      </c>
      <c r="J441" s="24">
        <v>50000</v>
      </c>
      <c r="M441" s="24">
        <v>50000</v>
      </c>
      <c r="O441" s="48" t="s">
        <v>97</v>
      </c>
      <c r="P441" s="48">
        <f>HEX2DEC(RIGHT(Table1323212714[[#This Row],[h1]],8))</f>
        <v>0</v>
      </c>
      <c r="Q441" s="48" t="s">
        <v>97</v>
      </c>
      <c r="R441" s="48">
        <f>HEX2DEC(RIGHT(Table1323212714[[#This Row],[h2]],8))</f>
        <v>0</v>
      </c>
    </row>
    <row r="442" spans="1:18" x14ac:dyDescent="0.3">
      <c r="A442" s="15" t="str">
        <f t="shared" si="11"/>
        <v>1B0</v>
      </c>
      <c r="B442" s="15">
        <v>432</v>
      </c>
      <c r="C442" s="42"/>
      <c r="J442" s="24">
        <v>50000</v>
      </c>
      <c r="M442" s="24">
        <v>50000</v>
      </c>
      <c r="O442" s="48" t="s">
        <v>97</v>
      </c>
      <c r="P442" s="48">
        <f>HEX2DEC(RIGHT(Table1323212714[[#This Row],[h1]],8))</f>
        <v>0</v>
      </c>
      <c r="Q442" s="48" t="s">
        <v>97</v>
      </c>
      <c r="R442" s="48">
        <f>HEX2DEC(RIGHT(Table1323212714[[#This Row],[h2]],8))</f>
        <v>0</v>
      </c>
    </row>
    <row r="443" spans="1:18" x14ac:dyDescent="0.3">
      <c r="A443" s="15" t="str">
        <f t="shared" si="11"/>
        <v>1B1</v>
      </c>
      <c r="B443" s="15">
        <v>433</v>
      </c>
      <c r="C443" s="42"/>
      <c r="J443" s="24">
        <v>50000</v>
      </c>
      <c r="M443" s="24">
        <v>50000</v>
      </c>
      <c r="O443" s="48" t="s">
        <v>97</v>
      </c>
      <c r="P443" s="48">
        <f>HEX2DEC(RIGHT(Table1323212714[[#This Row],[h1]],8))</f>
        <v>0</v>
      </c>
      <c r="Q443" s="48" t="s">
        <v>97</v>
      </c>
      <c r="R443" s="48">
        <f>HEX2DEC(RIGHT(Table1323212714[[#This Row],[h2]],8))</f>
        <v>0</v>
      </c>
    </row>
    <row r="444" spans="1:18" x14ac:dyDescent="0.3">
      <c r="A444" s="15" t="str">
        <f t="shared" si="11"/>
        <v>1B2</v>
      </c>
      <c r="B444" s="15">
        <v>434</v>
      </c>
      <c r="C444" s="42"/>
      <c r="J444" s="24">
        <v>50000</v>
      </c>
      <c r="M444" s="24">
        <v>50000</v>
      </c>
      <c r="O444" s="48" t="s">
        <v>97</v>
      </c>
      <c r="P444" s="48">
        <f>HEX2DEC(RIGHT(Table1323212714[[#This Row],[h1]],8))</f>
        <v>0</v>
      </c>
      <c r="Q444" s="48" t="s">
        <v>97</v>
      </c>
      <c r="R444" s="48">
        <f>HEX2DEC(RIGHT(Table1323212714[[#This Row],[h2]],8))</f>
        <v>0</v>
      </c>
    </row>
    <row r="445" spans="1:18" x14ac:dyDescent="0.3">
      <c r="A445" s="15" t="str">
        <f t="shared" si="11"/>
        <v>1B3</v>
      </c>
      <c r="B445" s="15">
        <v>435</v>
      </c>
      <c r="C445" s="42"/>
      <c r="J445" s="24">
        <v>50000</v>
      </c>
      <c r="M445" s="24">
        <v>50000</v>
      </c>
      <c r="O445" s="48" t="s">
        <v>97</v>
      </c>
      <c r="P445" s="48">
        <f>HEX2DEC(RIGHT(Table1323212714[[#This Row],[h1]],8))</f>
        <v>0</v>
      </c>
      <c r="Q445" s="48" t="s">
        <v>97</v>
      </c>
      <c r="R445" s="48">
        <f>HEX2DEC(RIGHT(Table1323212714[[#This Row],[h2]],8))</f>
        <v>0</v>
      </c>
    </row>
    <row r="446" spans="1:18" x14ac:dyDescent="0.3">
      <c r="A446" s="15" t="str">
        <f t="shared" si="11"/>
        <v>1B4</v>
      </c>
      <c r="B446" s="15">
        <v>436</v>
      </c>
      <c r="C446" s="42"/>
      <c r="J446" s="24">
        <v>50000</v>
      </c>
      <c r="M446" s="24">
        <v>50000</v>
      </c>
      <c r="O446" s="48" t="s">
        <v>97</v>
      </c>
      <c r="P446" s="48">
        <f>HEX2DEC(RIGHT(Table1323212714[[#This Row],[h1]],8))</f>
        <v>0</v>
      </c>
      <c r="Q446" s="48" t="s">
        <v>97</v>
      </c>
      <c r="R446" s="48">
        <f>HEX2DEC(RIGHT(Table1323212714[[#This Row],[h2]],8))</f>
        <v>0</v>
      </c>
    </row>
    <row r="447" spans="1:18" x14ac:dyDescent="0.3">
      <c r="A447" s="15" t="str">
        <f t="shared" si="11"/>
        <v>1B5</v>
      </c>
      <c r="B447" s="15">
        <v>437</v>
      </c>
      <c r="C447" s="42"/>
      <c r="F447" s="22"/>
      <c r="G447" s="22"/>
      <c r="J447" s="24">
        <v>50000</v>
      </c>
      <c r="M447" s="24">
        <v>50000</v>
      </c>
      <c r="O447" s="48" t="s">
        <v>97</v>
      </c>
      <c r="P447" s="48">
        <f>HEX2DEC(RIGHT(Table1323212714[[#This Row],[h1]],8))</f>
        <v>0</v>
      </c>
      <c r="Q447" s="48" t="s">
        <v>97</v>
      </c>
      <c r="R447" s="48">
        <f>HEX2DEC(RIGHT(Table1323212714[[#This Row],[h2]],8))</f>
        <v>0</v>
      </c>
    </row>
    <row r="448" spans="1:18" x14ac:dyDescent="0.3">
      <c r="A448" s="15" t="str">
        <f t="shared" si="11"/>
        <v>1B6</v>
      </c>
      <c r="B448" s="15">
        <v>438</v>
      </c>
      <c r="C448" s="42"/>
      <c r="F448" s="22"/>
      <c r="G448" s="22"/>
      <c r="J448" s="24">
        <v>50000</v>
      </c>
      <c r="M448" s="24">
        <v>50000</v>
      </c>
      <c r="O448" s="48" t="s">
        <v>97</v>
      </c>
      <c r="P448" s="48">
        <f>HEX2DEC(RIGHT(Table1323212714[[#This Row],[h1]],8))</f>
        <v>0</v>
      </c>
      <c r="Q448" s="48" t="s">
        <v>97</v>
      </c>
      <c r="R448" s="48">
        <f>HEX2DEC(RIGHT(Table1323212714[[#This Row],[h2]],8))</f>
        <v>0</v>
      </c>
    </row>
    <row r="449" spans="1:18" x14ac:dyDescent="0.3">
      <c r="A449" s="15" t="str">
        <f t="shared" si="11"/>
        <v>1B7</v>
      </c>
      <c r="B449" s="15">
        <v>439</v>
      </c>
      <c r="C449" s="42"/>
      <c r="F449" s="22"/>
      <c r="G449" s="22"/>
      <c r="J449" s="24">
        <v>50000</v>
      </c>
      <c r="M449" s="24">
        <v>50000</v>
      </c>
      <c r="O449" s="48" t="s">
        <v>97</v>
      </c>
      <c r="P449" s="48">
        <f>HEX2DEC(RIGHT(Table1323212714[[#This Row],[h1]],8))</f>
        <v>0</v>
      </c>
      <c r="Q449" s="48" t="s">
        <v>97</v>
      </c>
      <c r="R449" s="48">
        <f>HEX2DEC(RIGHT(Table1323212714[[#This Row],[h2]],8))</f>
        <v>0</v>
      </c>
    </row>
    <row r="450" spans="1:18" x14ac:dyDescent="0.3">
      <c r="A450" s="15" t="str">
        <f t="shared" si="11"/>
        <v>1B8</v>
      </c>
      <c r="B450" s="15">
        <v>440</v>
      </c>
      <c r="C450" s="42"/>
      <c r="F450" s="22"/>
      <c r="G450" s="22"/>
      <c r="J450" s="24">
        <v>50000</v>
      </c>
      <c r="M450" s="24">
        <v>50000</v>
      </c>
      <c r="O450" s="48" t="s">
        <v>97</v>
      </c>
      <c r="P450" s="48">
        <f>HEX2DEC(RIGHT(Table1323212714[[#This Row],[h1]],8))</f>
        <v>0</v>
      </c>
      <c r="Q450" s="48" t="s">
        <v>97</v>
      </c>
      <c r="R450" s="48">
        <f>HEX2DEC(RIGHT(Table1323212714[[#This Row],[h2]],8))</f>
        <v>0</v>
      </c>
    </row>
    <row r="451" spans="1:18" x14ac:dyDescent="0.3">
      <c r="A451" s="15" t="str">
        <f t="shared" si="11"/>
        <v>1B9</v>
      </c>
      <c r="B451" s="15">
        <v>441</v>
      </c>
      <c r="C451" s="42"/>
      <c r="F451" s="22"/>
      <c r="G451" s="22"/>
      <c r="J451" s="24">
        <v>50000</v>
      </c>
      <c r="M451" s="24">
        <v>50000</v>
      </c>
      <c r="O451" s="48" t="s">
        <v>97</v>
      </c>
      <c r="P451" s="48">
        <f>HEX2DEC(RIGHT(Table1323212714[[#This Row],[h1]],8))</f>
        <v>0</v>
      </c>
      <c r="Q451" s="48" t="s">
        <v>97</v>
      </c>
      <c r="R451" s="48">
        <f>HEX2DEC(RIGHT(Table1323212714[[#This Row],[h2]],8))</f>
        <v>0</v>
      </c>
    </row>
    <row r="452" spans="1:18" x14ac:dyDescent="0.3">
      <c r="A452" s="15" t="str">
        <f t="shared" si="11"/>
        <v>1BA</v>
      </c>
      <c r="B452" s="15">
        <v>442</v>
      </c>
      <c r="C452" s="42"/>
      <c r="F452" s="22"/>
      <c r="G452" s="22"/>
      <c r="J452" s="24">
        <v>50000</v>
      </c>
      <c r="M452" s="24">
        <v>50000</v>
      </c>
      <c r="O452" s="48" t="s">
        <v>97</v>
      </c>
      <c r="P452" s="48">
        <f>HEX2DEC(RIGHT(Table1323212714[[#This Row],[h1]],8))</f>
        <v>0</v>
      </c>
      <c r="Q452" s="48" t="s">
        <v>97</v>
      </c>
      <c r="R452" s="48">
        <f>HEX2DEC(RIGHT(Table1323212714[[#This Row],[h2]],8))</f>
        <v>0</v>
      </c>
    </row>
    <row r="453" spans="1:18" x14ac:dyDescent="0.3">
      <c r="A453" s="15" t="str">
        <f t="shared" si="11"/>
        <v>1BB</v>
      </c>
      <c r="B453" s="15">
        <v>443</v>
      </c>
      <c r="C453" s="42"/>
      <c r="F453" s="22"/>
      <c r="G453" s="22"/>
      <c r="J453" s="24">
        <v>50000</v>
      </c>
      <c r="M453" s="24">
        <v>50000</v>
      </c>
      <c r="O453" s="48" t="s">
        <v>97</v>
      </c>
      <c r="P453" s="48">
        <f>HEX2DEC(RIGHT(Table1323212714[[#This Row],[h1]],8))</f>
        <v>0</v>
      </c>
      <c r="Q453" s="48" t="s">
        <v>97</v>
      </c>
      <c r="R453" s="48">
        <f>HEX2DEC(RIGHT(Table1323212714[[#This Row],[h2]],8))</f>
        <v>0</v>
      </c>
    </row>
    <row r="454" spans="1:18" x14ac:dyDescent="0.3">
      <c r="A454" s="15" t="str">
        <f t="shared" si="11"/>
        <v>1BC</v>
      </c>
      <c r="B454" s="15">
        <v>444</v>
      </c>
      <c r="C454" s="42"/>
      <c r="F454" s="22"/>
      <c r="G454" s="22"/>
      <c r="J454" s="24">
        <v>50000</v>
      </c>
      <c r="M454" s="24">
        <v>50000</v>
      </c>
      <c r="O454" s="48" t="s">
        <v>97</v>
      </c>
      <c r="P454" s="48">
        <f>HEX2DEC(RIGHT(Table1323212714[[#This Row],[h1]],8))</f>
        <v>0</v>
      </c>
      <c r="Q454" s="48" t="s">
        <v>97</v>
      </c>
      <c r="R454" s="48">
        <f>HEX2DEC(RIGHT(Table1323212714[[#This Row],[h2]],8))</f>
        <v>0</v>
      </c>
    </row>
    <row r="455" spans="1:18" x14ac:dyDescent="0.3">
      <c r="A455" s="15" t="str">
        <f t="shared" si="11"/>
        <v>1BD</v>
      </c>
      <c r="B455" s="15">
        <v>445</v>
      </c>
      <c r="C455" s="42"/>
      <c r="F455" s="22"/>
      <c r="G455" s="22"/>
      <c r="J455" s="24">
        <v>50000</v>
      </c>
      <c r="M455" s="24">
        <v>50000</v>
      </c>
      <c r="O455" s="48" t="s">
        <v>97</v>
      </c>
      <c r="P455" s="48">
        <f>HEX2DEC(RIGHT(Table1323212714[[#This Row],[h1]],8))</f>
        <v>0</v>
      </c>
      <c r="Q455" s="48" t="s">
        <v>97</v>
      </c>
      <c r="R455" s="48">
        <f>HEX2DEC(RIGHT(Table1323212714[[#This Row],[h2]],8))</f>
        <v>0</v>
      </c>
    </row>
    <row r="456" spans="1:18" x14ac:dyDescent="0.3">
      <c r="A456" s="15" t="str">
        <f t="shared" si="11"/>
        <v>1BE</v>
      </c>
      <c r="B456" s="15">
        <v>446</v>
      </c>
      <c r="C456" s="42"/>
      <c r="F456" s="22"/>
      <c r="G456" s="22"/>
      <c r="J456" s="24">
        <v>50000</v>
      </c>
      <c r="M456" s="24">
        <v>50000</v>
      </c>
      <c r="O456" s="48" t="s">
        <v>97</v>
      </c>
      <c r="P456" s="48">
        <f>HEX2DEC(RIGHT(Table1323212714[[#This Row],[h1]],8))</f>
        <v>0</v>
      </c>
      <c r="Q456" s="48" t="s">
        <v>97</v>
      </c>
      <c r="R456" s="48">
        <f>HEX2DEC(RIGHT(Table1323212714[[#This Row],[h2]],8))</f>
        <v>0</v>
      </c>
    </row>
    <row r="457" spans="1:18" x14ac:dyDescent="0.3">
      <c r="A457" s="15" t="str">
        <f t="shared" si="11"/>
        <v>1BF</v>
      </c>
      <c r="B457" s="15">
        <v>447</v>
      </c>
      <c r="C457" s="42"/>
      <c r="F457" s="22"/>
      <c r="G457" s="22"/>
      <c r="J457" s="24">
        <v>50000</v>
      </c>
      <c r="M457" s="24">
        <v>50000</v>
      </c>
      <c r="O457" s="48" t="s">
        <v>97</v>
      </c>
      <c r="P457" s="48">
        <f>HEX2DEC(RIGHT(Table1323212714[[#This Row],[h1]],8))</f>
        <v>0</v>
      </c>
      <c r="Q457" s="48" t="s">
        <v>97</v>
      </c>
      <c r="R457" s="48">
        <f>HEX2DEC(RIGHT(Table1323212714[[#This Row],[h2]],8))</f>
        <v>0</v>
      </c>
    </row>
    <row r="458" spans="1:18" x14ac:dyDescent="0.3">
      <c r="A458" s="15" t="str">
        <f t="shared" si="11"/>
        <v>1C0</v>
      </c>
      <c r="B458" s="15">
        <v>448</v>
      </c>
      <c r="C458" s="42"/>
      <c r="F458" s="22"/>
      <c r="G458" s="22"/>
      <c r="J458" s="24">
        <v>50000</v>
      </c>
      <c r="M458" s="24">
        <v>50000</v>
      </c>
      <c r="O458" s="48" t="s">
        <v>97</v>
      </c>
      <c r="P458" s="48">
        <f>HEX2DEC(RIGHT(Table1323212714[[#This Row],[h1]],8))</f>
        <v>0</v>
      </c>
      <c r="Q458" s="48" t="s">
        <v>97</v>
      </c>
      <c r="R458" s="48">
        <f>HEX2DEC(RIGHT(Table1323212714[[#This Row],[h2]],8))</f>
        <v>0</v>
      </c>
    </row>
    <row r="459" spans="1:18" x14ac:dyDescent="0.3">
      <c r="A459" s="15" t="str">
        <f t="shared" ref="A459:A522" si="12">DEC2HEX(B459,3)</f>
        <v>1C1</v>
      </c>
      <c r="B459" s="15">
        <v>449</v>
      </c>
      <c r="C459" s="42"/>
      <c r="F459" s="22"/>
      <c r="G459" s="22"/>
      <c r="J459" s="24">
        <v>50000</v>
      </c>
      <c r="M459" s="24">
        <v>50000</v>
      </c>
      <c r="O459" s="48" t="s">
        <v>97</v>
      </c>
      <c r="P459" s="48">
        <f>HEX2DEC(RIGHT(Table1323212714[[#This Row],[h1]],8))</f>
        <v>0</v>
      </c>
      <c r="Q459" s="48" t="s">
        <v>97</v>
      </c>
      <c r="R459" s="48">
        <f>HEX2DEC(RIGHT(Table1323212714[[#This Row],[h2]],8))</f>
        <v>0</v>
      </c>
    </row>
    <row r="460" spans="1:18" x14ac:dyDescent="0.3">
      <c r="A460" s="15" t="str">
        <f t="shared" si="12"/>
        <v>1C2</v>
      </c>
      <c r="B460" s="15">
        <v>450</v>
      </c>
      <c r="C460" s="42"/>
      <c r="F460" s="22"/>
      <c r="G460" s="22"/>
      <c r="J460" s="24">
        <v>50000</v>
      </c>
      <c r="M460" s="24">
        <v>50000</v>
      </c>
      <c r="O460" s="48" t="s">
        <v>97</v>
      </c>
      <c r="P460" s="48">
        <f>HEX2DEC(RIGHT(Table1323212714[[#This Row],[h1]],8))</f>
        <v>0</v>
      </c>
      <c r="Q460" s="48" t="s">
        <v>97</v>
      </c>
      <c r="R460" s="48">
        <f>HEX2DEC(RIGHT(Table1323212714[[#This Row],[h2]],8))</f>
        <v>0</v>
      </c>
    </row>
    <row r="461" spans="1:18" x14ac:dyDescent="0.3">
      <c r="A461" s="15" t="str">
        <f t="shared" si="12"/>
        <v>1C3</v>
      </c>
      <c r="B461" s="15">
        <v>451</v>
      </c>
      <c r="C461" s="42"/>
      <c r="F461" s="22"/>
      <c r="G461" s="22"/>
      <c r="J461" s="24">
        <v>50000</v>
      </c>
      <c r="M461" s="24">
        <v>50000</v>
      </c>
      <c r="O461" s="48" t="s">
        <v>97</v>
      </c>
      <c r="P461" s="48">
        <f>HEX2DEC(RIGHT(Table1323212714[[#This Row],[h1]],8))</f>
        <v>0</v>
      </c>
      <c r="Q461" s="48" t="s">
        <v>97</v>
      </c>
      <c r="R461" s="48">
        <f>HEX2DEC(RIGHT(Table1323212714[[#This Row],[h2]],8))</f>
        <v>0</v>
      </c>
    </row>
    <row r="462" spans="1:18" x14ac:dyDescent="0.3">
      <c r="A462" s="15" t="str">
        <f t="shared" si="12"/>
        <v>1C4</v>
      </c>
      <c r="B462" s="15">
        <v>452</v>
      </c>
      <c r="C462" s="42"/>
      <c r="F462" s="22"/>
      <c r="G462" s="22"/>
      <c r="J462" s="24">
        <v>50000</v>
      </c>
      <c r="M462" s="24">
        <v>50000</v>
      </c>
      <c r="O462" s="48" t="s">
        <v>97</v>
      </c>
      <c r="P462" s="48">
        <f>HEX2DEC(RIGHT(Table1323212714[[#This Row],[h1]],8))</f>
        <v>0</v>
      </c>
      <c r="Q462" s="48" t="s">
        <v>97</v>
      </c>
      <c r="R462" s="48">
        <f>HEX2DEC(RIGHT(Table1323212714[[#This Row],[h2]],8))</f>
        <v>0</v>
      </c>
    </row>
    <row r="463" spans="1:18" x14ac:dyDescent="0.3">
      <c r="A463" s="15" t="str">
        <f t="shared" si="12"/>
        <v>1C5</v>
      </c>
      <c r="B463" s="15">
        <v>453</v>
      </c>
      <c r="C463" s="42"/>
      <c r="F463" s="22"/>
      <c r="G463" s="22"/>
      <c r="J463" s="24">
        <v>50000</v>
      </c>
      <c r="M463" s="24">
        <v>50000</v>
      </c>
      <c r="O463" s="48" t="s">
        <v>97</v>
      </c>
      <c r="P463" s="48">
        <f>HEX2DEC(RIGHT(Table1323212714[[#This Row],[h1]],8))</f>
        <v>0</v>
      </c>
      <c r="Q463" s="48" t="s">
        <v>97</v>
      </c>
      <c r="R463" s="48">
        <f>HEX2DEC(RIGHT(Table1323212714[[#This Row],[h2]],8))</f>
        <v>0</v>
      </c>
    </row>
    <row r="464" spans="1:18" x14ac:dyDescent="0.3">
      <c r="A464" s="15" t="str">
        <f t="shared" si="12"/>
        <v>1C6</v>
      </c>
      <c r="B464" s="15">
        <v>454</v>
      </c>
      <c r="C464" s="42"/>
      <c r="F464" s="22"/>
      <c r="G464" s="22"/>
      <c r="J464" s="24">
        <v>50000</v>
      </c>
      <c r="M464" s="24">
        <v>50000</v>
      </c>
      <c r="O464" s="48" t="s">
        <v>97</v>
      </c>
      <c r="P464" s="48">
        <f>HEX2DEC(RIGHT(Table1323212714[[#This Row],[h1]],8))</f>
        <v>0</v>
      </c>
      <c r="Q464" s="48" t="s">
        <v>97</v>
      </c>
      <c r="R464" s="48">
        <f>HEX2DEC(RIGHT(Table1323212714[[#This Row],[h2]],8))</f>
        <v>0</v>
      </c>
    </row>
    <row r="465" spans="1:18" x14ac:dyDescent="0.3">
      <c r="A465" s="15" t="str">
        <f t="shared" si="12"/>
        <v>1C7</v>
      </c>
      <c r="B465" s="15">
        <v>455</v>
      </c>
      <c r="C465" s="42"/>
      <c r="F465" s="22"/>
      <c r="G465" s="22"/>
      <c r="J465" s="24">
        <v>50000</v>
      </c>
      <c r="M465" s="24">
        <v>50000</v>
      </c>
      <c r="O465" s="48" t="s">
        <v>97</v>
      </c>
      <c r="P465" s="48">
        <f>HEX2DEC(RIGHT(Table1323212714[[#This Row],[h1]],8))</f>
        <v>0</v>
      </c>
      <c r="Q465" s="48" t="s">
        <v>97</v>
      </c>
      <c r="R465" s="48">
        <f>HEX2DEC(RIGHT(Table1323212714[[#This Row],[h2]],8))</f>
        <v>0</v>
      </c>
    </row>
    <row r="466" spans="1:18" x14ac:dyDescent="0.3">
      <c r="A466" s="15" t="str">
        <f t="shared" si="12"/>
        <v>1C8</v>
      </c>
      <c r="B466" s="15">
        <v>456</v>
      </c>
      <c r="C466" s="42"/>
      <c r="F466" s="22"/>
      <c r="G466" s="22"/>
      <c r="J466" s="24">
        <v>50000</v>
      </c>
      <c r="M466" s="24">
        <v>50000</v>
      </c>
      <c r="O466" s="48" t="s">
        <v>97</v>
      </c>
      <c r="P466" s="48">
        <f>HEX2DEC(RIGHT(Table1323212714[[#This Row],[h1]],8))</f>
        <v>0</v>
      </c>
      <c r="Q466" s="48" t="s">
        <v>97</v>
      </c>
      <c r="R466" s="48">
        <f>HEX2DEC(RIGHT(Table1323212714[[#This Row],[h2]],8))</f>
        <v>0</v>
      </c>
    </row>
    <row r="467" spans="1:18" x14ac:dyDescent="0.3">
      <c r="A467" s="15" t="str">
        <f t="shared" si="12"/>
        <v>1C9</v>
      </c>
      <c r="B467" s="15">
        <v>457</v>
      </c>
      <c r="C467" s="42"/>
      <c r="F467" s="22"/>
      <c r="G467" s="22"/>
      <c r="J467" s="24">
        <v>50000</v>
      </c>
      <c r="M467" s="24">
        <v>50000</v>
      </c>
      <c r="O467" s="48" t="s">
        <v>97</v>
      </c>
      <c r="P467" s="48">
        <f>HEX2DEC(RIGHT(Table1323212714[[#This Row],[h1]],8))</f>
        <v>0</v>
      </c>
      <c r="Q467" s="48" t="s">
        <v>97</v>
      </c>
      <c r="R467" s="48">
        <f>HEX2DEC(RIGHT(Table1323212714[[#This Row],[h2]],8))</f>
        <v>0</v>
      </c>
    </row>
    <row r="468" spans="1:18" x14ac:dyDescent="0.3">
      <c r="A468" s="15" t="str">
        <f t="shared" si="12"/>
        <v>1CA</v>
      </c>
      <c r="B468" s="15">
        <v>458</v>
      </c>
      <c r="C468" s="42"/>
      <c r="F468" s="22"/>
      <c r="G468" s="22"/>
      <c r="J468" s="24">
        <v>50000</v>
      </c>
      <c r="M468" s="24">
        <v>50000</v>
      </c>
      <c r="O468" s="48" t="s">
        <v>97</v>
      </c>
      <c r="P468" s="48">
        <f>HEX2DEC(RIGHT(Table1323212714[[#This Row],[h1]],8))</f>
        <v>0</v>
      </c>
      <c r="Q468" s="48" t="s">
        <v>97</v>
      </c>
      <c r="R468" s="48">
        <f>HEX2DEC(RIGHT(Table1323212714[[#This Row],[h2]],8))</f>
        <v>0</v>
      </c>
    </row>
    <row r="469" spans="1:18" x14ac:dyDescent="0.3">
      <c r="A469" s="15" t="str">
        <f t="shared" si="12"/>
        <v>1CB</v>
      </c>
      <c r="B469" s="15">
        <v>459</v>
      </c>
      <c r="C469" s="42"/>
      <c r="F469" s="22"/>
      <c r="G469" s="22"/>
      <c r="J469" s="24">
        <v>50000</v>
      </c>
      <c r="M469" s="24">
        <v>50000</v>
      </c>
      <c r="O469" s="48" t="s">
        <v>97</v>
      </c>
      <c r="P469" s="48">
        <f>HEX2DEC(RIGHT(Table1323212714[[#This Row],[h1]],8))</f>
        <v>0</v>
      </c>
      <c r="Q469" s="48" t="s">
        <v>97</v>
      </c>
      <c r="R469" s="48">
        <f>HEX2DEC(RIGHT(Table1323212714[[#This Row],[h2]],8))</f>
        <v>0</v>
      </c>
    </row>
    <row r="470" spans="1:18" x14ac:dyDescent="0.3">
      <c r="A470" s="15" t="str">
        <f t="shared" si="12"/>
        <v>1CC</v>
      </c>
      <c r="B470" s="15">
        <v>460</v>
      </c>
      <c r="C470" s="42"/>
      <c r="F470" s="22"/>
      <c r="G470" s="22"/>
      <c r="J470" s="24">
        <v>50000</v>
      </c>
      <c r="M470" s="24">
        <v>50000</v>
      </c>
      <c r="O470" s="48" t="s">
        <v>97</v>
      </c>
      <c r="P470" s="48">
        <f>HEX2DEC(RIGHT(Table1323212714[[#This Row],[h1]],8))</f>
        <v>0</v>
      </c>
      <c r="Q470" s="48" t="s">
        <v>97</v>
      </c>
      <c r="R470" s="48">
        <f>HEX2DEC(RIGHT(Table1323212714[[#This Row],[h2]],8))</f>
        <v>0</v>
      </c>
    </row>
    <row r="471" spans="1:18" x14ac:dyDescent="0.3">
      <c r="A471" s="15" t="str">
        <f t="shared" si="12"/>
        <v>1CD</v>
      </c>
      <c r="B471" s="15">
        <v>461</v>
      </c>
      <c r="C471" s="42"/>
      <c r="F471" s="22"/>
      <c r="G471" s="22"/>
      <c r="J471" s="24">
        <v>50000</v>
      </c>
      <c r="M471" s="24">
        <v>50000</v>
      </c>
      <c r="O471" s="48" t="s">
        <v>97</v>
      </c>
      <c r="P471" s="48">
        <f>HEX2DEC(RIGHT(Table1323212714[[#This Row],[h1]],8))</f>
        <v>0</v>
      </c>
      <c r="Q471" s="48" t="s">
        <v>97</v>
      </c>
      <c r="R471" s="48">
        <f>HEX2DEC(RIGHT(Table1323212714[[#This Row],[h2]],8))</f>
        <v>0</v>
      </c>
    </row>
    <row r="472" spans="1:18" x14ac:dyDescent="0.3">
      <c r="A472" s="15" t="str">
        <f t="shared" si="12"/>
        <v>1CE</v>
      </c>
      <c r="B472" s="15">
        <v>462</v>
      </c>
      <c r="C472" s="42"/>
      <c r="F472" s="22"/>
      <c r="G472" s="22"/>
      <c r="J472" s="24">
        <v>50000</v>
      </c>
      <c r="M472" s="24">
        <v>50000</v>
      </c>
      <c r="O472" s="48" t="s">
        <v>97</v>
      </c>
      <c r="P472" s="48">
        <f>HEX2DEC(RIGHT(Table1323212714[[#This Row],[h1]],8))</f>
        <v>0</v>
      </c>
      <c r="Q472" s="48" t="s">
        <v>97</v>
      </c>
      <c r="R472" s="48">
        <f>HEX2DEC(RIGHT(Table1323212714[[#This Row],[h2]],8))</f>
        <v>0</v>
      </c>
    </row>
    <row r="473" spans="1:18" x14ac:dyDescent="0.3">
      <c r="A473" s="15" t="str">
        <f t="shared" si="12"/>
        <v>1CF</v>
      </c>
      <c r="B473" s="15">
        <v>463</v>
      </c>
      <c r="C473" s="42"/>
      <c r="F473" s="22"/>
      <c r="G473" s="22"/>
      <c r="J473" s="24">
        <v>50000</v>
      </c>
      <c r="M473" s="24">
        <v>50000</v>
      </c>
      <c r="O473" s="48" t="s">
        <v>97</v>
      </c>
      <c r="P473" s="48">
        <f>HEX2DEC(RIGHT(Table1323212714[[#This Row],[h1]],8))</f>
        <v>0</v>
      </c>
      <c r="Q473" s="48" t="s">
        <v>97</v>
      </c>
      <c r="R473" s="48">
        <f>HEX2DEC(RIGHT(Table1323212714[[#This Row],[h2]],8))</f>
        <v>0</v>
      </c>
    </row>
    <row r="474" spans="1:18" x14ac:dyDescent="0.3">
      <c r="A474" s="15" t="str">
        <f t="shared" si="12"/>
        <v>1D0</v>
      </c>
      <c r="B474" s="15">
        <v>464</v>
      </c>
      <c r="C474" s="40" t="s">
        <v>35</v>
      </c>
      <c r="D474" s="43" t="s">
        <v>27</v>
      </c>
      <c r="E474" s="43"/>
      <c r="F474" s="43"/>
      <c r="G474" s="44"/>
      <c r="J474" s="24">
        <v>50000</v>
      </c>
      <c r="M474" s="24">
        <v>50000</v>
      </c>
      <c r="O474" s="48" t="s">
        <v>97</v>
      </c>
      <c r="P474" s="48">
        <f>HEX2DEC(RIGHT(Table1323212714[[#This Row],[h1]],8))</f>
        <v>0</v>
      </c>
      <c r="Q474" s="48" t="s">
        <v>97</v>
      </c>
      <c r="R474" s="48">
        <f>HEX2DEC(RIGHT(Table1323212714[[#This Row],[h2]],8))</f>
        <v>0</v>
      </c>
    </row>
    <row r="475" spans="1:18" x14ac:dyDescent="0.3">
      <c r="A475" s="15" t="str">
        <f t="shared" si="12"/>
        <v>1D1</v>
      </c>
      <c r="B475" s="15">
        <v>465</v>
      </c>
      <c r="C475" s="42"/>
      <c r="F475" s="22"/>
      <c r="G475" s="22"/>
      <c r="J475" s="24">
        <v>50000</v>
      </c>
      <c r="M475" s="24">
        <v>50000</v>
      </c>
      <c r="O475" s="48" t="s">
        <v>97</v>
      </c>
      <c r="P475" s="48">
        <f>HEX2DEC(RIGHT(Table1323212714[[#This Row],[h1]],8))</f>
        <v>0</v>
      </c>
      <c r="Q475" s="48" t="s">
        <v>97</v>
      </c>
      <c r="R475" s="48">
        <f>HEX2DEC(RIGHT(Table1323212714[[#This Row],[h2]],8))</f>
        <v>0</v>
      </c>
    </row>
    <row r="476" spans="1:18" x14ac:dyDescent="0.3">
      <c r="A476" s="15" t="str">
        <f t="shared" si="12"/>
        <v>1D2</v>
      </c>
      <c r="B476" s="15">
        <v>466</v>
      </c>
      <c r="C476" s="42"/>
      <c r="F476" s="22"/>
      <c r="G476" s="22"/>
      <c r="J476" s="24">
        <v>50000</v>
      </c>
      <c r="M476" s="24">
        <v>50000</v>
      </c>
      <c r="O476" s="48" t="s">
        <v>97</v>
      </c>
      <c r="P476" s="48">
        <f>HEX2DEC(RIGHT(Table1323212714[[#This Row],[h1]],8))</f>
        <v>0</v>
      </c>
      <c r="Q476" s="48" t="s">
        <v>97</v>
      </c>
      <c r="R476" s="48">
        <f>HEX2DEC(RIGHT(Table1323212714[[#This Row],[h2]],8))</f>
        <v>0</v>
      </c>
    </row>
    <row r="477" spans="1:18" x14ac:dyDescent="0.3">
      <c r="A477" s="15" t="str">
        <f t="shared" si="12"/>
        <v>1D3</v>
      </c>
      <c r="B477" s="15">
        <v>467</v>
      </c>
      <c r="C477" s="42"/>
      <c r="F477" s="22"/>
      <c r="G477" s="22"/>
      <c r="J477" s="24">
        <v>50000</v>
      </c>
      <c r="M477" s="24">
        <v>50000</v>
      </c>
      <c r="O477" s="48" t="s">
        <v>97</v>
      </c>
      <c r="P477" s="48">
        <f>HEX2DEC(RIGHT(Table1323212714[[#This Row],[h1]],8))</f>
        <v>0</v>
      </c>
      <c r="Q477" s="48" t="s">
        <v>97</v>
      </c>
      <c r="R477" s="48">
        <f>HEX2DEC(RIGHT(Table1323212714[[#This Row],[h2]],8))</f>
        <v>0</v>
      </c>
    </row>
    <row r="478" spans="1:18" x14ac:dyDescent="0.3">
      <c r="A478" s="15" t="str">
        <f t="shared" si="12"/>
        <v>1D4</v>
      </c>
      <c r="B478" s="15">
        <v>468</v>
      </c>
      <c r="C478" s="42"/>
      <c r="F478" s="22"/>
      <c r="G478" s="22"/>
      <c r="J478" s="24">
        <v>50000</v>
      </c>
      <c r="M478" s="24">
        <v>50000</v>
      </c>
      <c r="O478" s="48" t="s">
        <v>97</v>
      </c>
      <c r="P478" s="48">
        <f>HEX2DEC(RIGHT(Table1323212714[[#This Row],[h1]],8))</f>
        <v>0</v>
      </c>
      <c r="Q478" s="48" t="s">
        <v>97</v>
      </c>
      <c r="R478" s="48">
        <f>HEX2DEC(RIGHT(Table1323212714[[#This Row],[h2]],8))</f>
        <v>0</v>
      </c>
    </row>
    <row r="479" spans="1:18" x14ac:dyDescent="0.3">
      <c r="A479" s="15" t="str">
        <f t="shared" si="12"/>
        <v>1D5</v>
      </c>
      <c r="B479" s="15">
        <v>469</v>
      </c>
      <c r="C479" s="42"/>
      <c r="F479" s="22"/>
      <c r="G479" s="22"/>
      <c r="J479" s="24">
        <v>50000</v>
      </c>
      <c r="M479" s="24">
        <v>50000</v>
      </c>
      <c r="O479" s="48" t="s">
        <v>97</v>
      </c>
      <c r="P479" s="48">
        <f>HEX2DEC(RIGHT(Table1323212714[[#This Row],[h1]],8))</f>
        <v>0</v>
      </c>
      <c r="Q479" s="48" t="s">
        <v>97</v>
      </c>
      <c r="R479" s="48">
        <f>HEX2DEC(RIGHT(Table1323212714[[#This Row],[h2]],8))</f>
        <v>0</v>
      </c>
    </row>
    <row r="480" spans="1:18" x14ac:dyDescent="0.3">
      <c r="A480" s="15" t="str">
        <f t="shared" si="12"/>
        <v>1D6</v>
      </c>
      <c r="B480" s="15">
        <v>470</v>
      </c>
      <c r="C480" s="42"/>
      <c r="F480" s="22"/>
      <c r="G480" s="22"/>
      <c r="J480" s="24">
        <v>50000</v>
      </c>
      <c r="M480" s="24">
        <v>50000</v>
      </c>
      <c r="O480" s="48" t="s">
        <v>97</v>
      </c>
      <c r="P480" s="48">
        <f>HEX2DEC(RIGHT(Table1323212714[[#This Row],[h1]],8))</f>
        <v>0</v>
      </c>
      <c r="Q480" s="48" t="s">
        <v>97</v>
      </c>
      <c r="R480" s="48">
        <f>HEX2DEC(RIGHT(Table1323212714[[#This Row],[h2]],8))</f>
        <v>0</v>
      </c>
    </row>
    <row r="481" spans="1:18" x14ac:dyDescent="0.3">
      <c r="A481" s="15" t="str">
        <f t="shared" si="12"/>
        <v>1D7</v>
      </c>
      <c r="B481" s="15">
        <v>471</v>
      </c>
      <c r="C481" s="42"/>
      <c r="F481" s="22"/>
      <c r="G481" s="22"/>
      <c r="J481" s="24">
        <v>50000</v>
      </c>
      <c r="M481" s="24">
        <v>50000</v>
      </c>
      <c r="O481" s="48" t="s">
        <v>97</v>
      </c>
      <c r="P481" s="48">
        <f>HEX2DEC(RIGHT(Table1323212714[[#This Row],[h1]],8))</f>
        <v>0</v>
      </c>
      <c r="Q481" s="48" t="s">
        <v>97</v>
      </c>
      <c r="R481" s="48">
        <f>HEX2DEC(RIGHT(Table1323212714[[#This Row],[h2]],8))</f>
        <v>0</v>
      </c>
    </row>
    <row r="482" spans="1:18" x14ac:dyDescent="0.3">
      <c r="A482" s="15" t="str">
        <f t="shared" si="12"/>
        <v>1D8</v>
      </c>
      <c r="B482" s="15">
        <v>472</v>
      </c>
      <c r="C482" s="42"/>
      <c r="F482" s="22"/>
      <c r="G482" s="22"/>
      <c r="J482" s="24">
        <v>50000</v>
      </c>
      <c r="M482" s="24">
        <v>50000</v>
      </c>
      <c r="O482" s="48" t="s">
        <v>97</v>
      </c>
      <c r="P482" s="48">
        <f>HEX2DEC(RIGHT(Table1323212714[[#This Row],[h1]],8))</f>
        <v>0</v>
      </c>
      <c r="Q482" s="48" t="s">
        <v>97</v>
      </c>
      <c r="R482" s="48">
        <f>HEX2DEC(RIGHT(Table1323212714[[#This Row],[h2]],8))</f>
        <v>0</v>
      </c>
    </row>
    <row r="483" spans="1:18" x14ac:dyDescent="0.3">
      <c r="A483" s="15" t="str">
        <f t="shared" si="12"/>
        <v>1D9</v>
      </c>
      <c r="B483" s="15">
        <v>473</v>
      </c>
      <c r="C483" s="42"/>
      <c r="F483" s="22"/>
      <c r="G483" s="22"/>
      <c r="J483" s="24">
        <v>50000</v>
      </c>
      <c r="M483" s="24">
        <v>50000</v>
      </c>
      <c r="O483" s="48" t="s">
        <v>97</v>
      </c>
      <c r="P483" s="48">
        <f>HEX2DEC(RIGHT(Table1323212714[[#This Row],[h1]],8))</f>
        <v>0</v>
      </c>
      <c r="Q483" s="48" t="s">
        <v>97</v>
      </c>
      <c r="R483" s="48">
        <f>HEX2DEC(RIGHT(Table1323212714[[#This Row],[h2]],8))</f>
        <v>0</v>
      </c>
    </row>
    <row r="484" spans="1:18" x14ac:dyDescent="0.3">
      <c r="A484" s="15" t="str">
        <f t="shared" si="12"/>
        <v>1DA</v>
      </c>
      <c r="B484" s="15">
        <v>474</v>
      </c>
      <c r="C484" s="42"/>
      <c r="F484" s="22"/>
      <c r="G484" s="22"/>
      <c r="J484" s="24">
        <v>50000</v>
      </c>
      <c r="M484" s="24">
        <v>50000</v>
      </c>
      <c r="O484" s="48" t="s">
        <v>97</v>
      </c>
      <c r="P484" s="48">
        <f>HEX2DEC(RIGHT(Table1323212714[[#This Row],[h1]],8))</f>
        <v>0</v>
      </c>
      <c r="Q484" s="48" t="s">
        <v>97</v>
      </c>
      <c r="R484" s="48">
        <f>HEX2DEC(RIGHT(Table1323212714[[#This Row],[h2]],8))</f>
        <v>0</v>
      </c>
    </row>
    <row r="485" spans="1:18" x14ac:dyDescent="0.3">
      <c r="A485" s="15" t="str">
        <f t="shared" si="12"/>
        <v>1DB</v>
      </c>
      <c r="B485" s="15">
        <v>475</v>
      </c>
      <c r="C485" s="42"/>
      <c r="F485" s="22"/>
      <c r="G485" s="22"/>
      <c r="J485" s="24">
        <v>50000</v>
      </c>
      <c r="M485" s="24">
        <v>50000</v>
      </c>
      <c r="O485" s="48" t="s">
        <v>97</v>
      </c>
      <c r="P485" s="48">
        <f>HEX2DEC(RIGHT(Table1323212714[[#This Row],[h1]],8))</f>
        <v>0</v>
      </c>
      <c r="Q485" s="48" t="s">
        <v>97</v>
      </c>
      <c r="R485" s="48">
        <f>HEX2DEC(RIGHT(Table1323212714[[#This Row],[h2]],8))</f>
        <v>0</v>
      </c>
    </row>
    <row r="486" spans="1:18" x14ac:dyDescent="0.3">
      <c r="A486" s="15" t="str">
        <f t="shared" si="12"/>
        <v>1DC</v>
      </c>
      <c r="B486" s="15">
        <v>476</v>
      </c>
      <c r="C486" s="42"/>
      <c r="F486" s="22"/>
      <c r="G486" s="22"/>
      <c r="J486" s="24">
        <v>50000</v>
      </c>
      <c r="M486" s="24">
        <v>50000</v>
      </c>
      <c r="O486" s="48" t="s">
        <v>97</v>
      </c>
      <c r="P486" s="48">
        <f>HEX2DEC(RIGHT(Table1323212714[[#This Row],[h1]],8))</f>
        <v>0</v>
      </c>
      <c r="Q486" s="48" t="s">
        <v>97</v>
      </c>
      <c r="R486" s="48">
        <f>HEX2DEC(RIGHT(Table1323212714[[#This Row],[h2]],8))</f>
        <v>0</v>
      </c>
    </row>
    <row r="487" spans="1:18" x14ac:dyDescent="0.3">
      <c r="A487" s="15" t="str">
        <f t="shared" si="12"/>
        <v>1DD</v>
      </c>
      <c r="B487" s="15">
        <v>477</v>
      </c>
      <c r="C487" s="42"/>
      <c r="F487" s="22"/>
      <c r="G487" s="22"/>
      <c r="J487" s="24">
        <v>50000</v>
      </c>
      <c r="M487" s="24">
        <v>50000</v>
      </c>
      <c r="O487" s="48" t="s">
        <v>97</v>
      </c>
      <c r="P487" s="48">
        <f>HEX2DEC(RIGHT(Table1323212714[[#This Row],[h1]],8))</f>
        <v>0</v>
      </c>
      <c r="Q487" s="48" t="s">
        <v>97</v>
      </c>
      <c r="R487" s="48">
        <f>HEX2DEC(RIGHT(Table1323212714[[#This Row],[h2]],8))</f>
        <v>0</v>
      </c>
    </row>
    <row r="488" spans="1:18" x14ac:dyDescent="0.3">
      <c r="A488" s="15" t="str">
        <f t="shared" si="12"/>
        <v>1DE</v>
      </c>
      <c r="B488" s="15">
        <v>478</v>
      </c>
      <c r="C488" s="42"/>
      <c r="F488" s="22"/>
      <c r="G488" s="22"/>
      <c r="J488" s="24">
        <v>50000</v>
      </c>
      <c r="M488" s="24">
        <v>50000</v>
      </c>
      <c r="O488" s="48" t="s">
        <v>97</v>
      </c>
      <c r="P488" s="48">
        <f>HEX2DEC(RIGHT(Table1323212714[[#This Row],[h1]],8))</f>
        <v>0</v>
      </c>
      <c r="Q488" s="48" t="s">
        <v>97</v>
      </c>
      <c r="R488" s="48">
        <f>HEX2DEC(RIGHT(Table1323212714[[#This Row],[h2]],8))</f>
        <v>0</v>
      </c>
    </row>
    <row r="489" spans="1:18" x14ac:dyDescent="0.3">
      <c r="A489" s="15" t="str">
        <f t="shared" si="12"/>
        <v>1DF</v>
      </c>
      <c r="B489" s="15">
        <v>479</v>
      </c>
      <c r="C489" s="42"/>
      <c r="F489" s="22"/>
      <c r="G489" s="22"/>
      <c r="J489" s="24">
        <v>50000</v>
      </c>
      <c r="M489" s="24">
        <v>50000</v>
      </c>
      <c r="O489" s="48" t="s">
        <v>97</v>
      </c>
      <c r="P489" s="48">
        <f>HEX2DEC(RIGHT(Table1323212714[[#This Row],[h1]],8))</f>
        <v>0</v>
      </c>
      <c r="Q489" s="48" t="s">
        <v>97</v>
      </c>
      <c r="R489" s="48">
        <f>HEX2DEC(RIGHT(Table1323212714[[#This Row],[h2]],8))</f>
        <v>0</v>
      </c>
    </row>
    <row r="490" spans="1:18" x14ac:dyDescent="0.3">
      <c r="A490" s="15" t="str">
        <f t="shared" si="12"/>
        <v>1E0</v>
      </c>
      <c r="B490" s="15">
        <v>480</v>
      </c>
      <c r="C490" s="42"/>
      <c r="F490" s="22"/>
      <c r="G490" s="22"/>
      <c r="J490" s="24">
        <v>50000</v>
      </c>
      <c r="M490" s="24">
        <v>50000</v>
      </c>
      <c r="O490" s="48" t="s">
        <v>97</v>
      </c>
      <c r="P490" s="48">
        <f>HEX2DEC(RIGHT(Table1323212714[[#This Row],[h1]],8))</f>
        <v>0</v>
      </c>
      <c r="Q490" s="48" t="s">
        <v>97</v>
      </c>
      <c r="R490" s="48">
        <f>HEX2DEC(RIGHT(Table1323212714[[#This Row],[h2]],8))</f>
        <v>0</v>
      </c>
    </row>
    <row r="491" spans="1:18" x14ac:dyDescent="0.3">
      <c r="A491" s="15" t="str">
        <f t="shared" si="12"/>
        <v>1E1</v>
      </c>
      <c r="B491" s="15">
        <v>481</v>
      </c>
      <c r="C491" s="42"/>
      <c r="F491" s="22"/>
      <c r="G491" s="22"/>
      <c r="J491" s="24">
        <v>50000</v>
      </c>
      <c r="M491" s="24">
        <v>50000</v>
      </c>
      <c r="O491" s="48" t="s">
        <v>97</v>
      </c>
      <c r="P491" s="48">
        <f>HEX2DEC(RIGHT(Table1323212714[[#This Row],[h1]],8))</f>
        <v>0</v>
      </c>
      <c r="Q491" s="48" t="s">
        <v>97</v>
      </c>
      <c r="R491" s="48">
        <f>HEX2DEC(RIGHT(Table1323212714[[#This Row],[h2]],8))</f>
        <v>0</v>
      </c>
    </row>
    <row r="492" spans="1:18" x14ac:dyDescent="0.3">
      <c r="A492" s="15" t="str">
        <f t="shared" si="12"/>
        <v>1E2</v>
      </c>
      <c r="B492" s="15">
        <v>482</v>
      </c>
      <c r="C492" s="42"/>
      <c r="F492" s="22"/>
      <c r="G492" s="22"/>
      <c r="J492" s="24">
        <v>50000</v>
      </c>
      <c r="M492" s="24">
        <v>50000</v>
      </c>
      <c r="O492" s="48" t="s">
        <v>97</v>
      </c>
      <c r="P492" s="48">
        <f>HEX2DEC(RIGHT(Table1323212714[[#This Row],[h1]],8))</f>
        <v>0</v>
      </c>
      <c r="Q492" s="48" t="s">
        <v>97</v>
      </c>
      <c r="R492" s="48">
        <f>HEX2DEC(RIGHT(Table1323212714[[#This Row],[h2]],8))</f>
        <v>0</v>
      </c>
    </row>
    <row r="493" spans="1:18" x14ac:dyDescent="0.3">
      <c r="A493" s="15" t="str">
        <f t="shared" si="12"/>
        <v>1E3</v>
      </c>
      <c r="B493" s="15">
        <v>483</v>
      </c>
      <c r="C493" s="42"/>
      <c r="F493" s="22"/>
      <c r="G493" s="22"/>
      <c r="J493" s="24">
        <v>50000</v>
      </c>
      <c r="M493" s="24">
        <v>50000</v>
      </c>
      <c r="O493" s="48" t="s">
        <v>97</v>
      </c>
      <c r="P493" s="48">
        <f>HEX2DEC(RIGHT(Table1323212714[[#This Row],[h1]],8))</f>
        <v>0</v>
      </c>
      <c r="Q493" s="48" t="s">
        <v>97</v>
      </c>
      <c r="R493" s="48">
        <f>HEX2DEC(RIGHT(Table1323212714[[#This Row],[h2]],8))</f>
        <v>0</v>
      </c>
    </row>
    <row r="494" spans="1:18" x14ac:dyDescent="0.3">
      <c r="A494" s="15" t="str">
        <f t="shared" si="12"/>
        <v>1E4</v>
      </c>
      <c r="B494" s="15">
        <v>484</v>
      </c>
      <c r="C494" s="42"/>
      <c r="F494" s="22"/>
      <c r="G494" s="22"/>
      <c r="J494" s="24">
        <v>50000</v>
      </c>
      <c r="M494" s="24">
        <v>50000</v>
      </c>
      <c r="O494" s="48" t="s">
        <v>97</v>
      </c>
      <c r="P494" s="48">
        <f>HEX2DEC(RIGHT(Table1323212714[[#This Row],[h1]],8))</f>
        <v>0</v>
      </c>
      <c r="Q494" s="48" t="s">
        <v>97</v>
      </c>
      <c r="R494" s="48">
        <f>HEX2DEC(RIGHT(Table1323212714[[#This Row],[h2]],8))</f>
        <v>0</v>
      </c>
    </row>
    <row r="495" spans="1:18" x14ac:dyDescent="0.3">
      <c r="A495" s="15" t="str">
        <f t="shared" si="12"/>
        <v>1E5</v>
      </c>
      <c r="B495" s="15">
        <v>485</v>
      </c>
      <c r="C495" s="42"/>
      <c r="F495" s="22"/>
      <c r="G495" s="22"/>
      <c r="J495" s="24">
        <v>50000</v>
      </c>
      <c r="M495" s="24">
        <v>50000</v>
      </c>
      <c r="O495" s="48" t="s">
        <v>97</v>
      </c>
      <c r="P495" s="48">
        <f>HEX2DEC(RIGHT(Table1323212714[[#This Row],[h1]],8))</f>
        <v>0</v>
      </c>
      <c r="Q495" s="48" t="s">
        <v>97</v>
      </c>
      <c r="R495" s="48">
        <f>HEX2DEC(RIGHT(Table1323212714[[#This Row],[h2]],8))</f>
        <v>0</v>
      </c>
    </row>
    <row r="496" spans="1:18" x14ac:dyDescent="0.3">
      <c r="A496" s="15" t="str">
        <f t="shared" si="12"/>
        <v>1E6</v>
      </c>
      <c r="B496" s="15">
        <v>486</v>
      </c>
      <c r="C496" s="42"/>
      <c r="F496" s="22"/>
      <c r="G496" s="22"/>
      <c r="J496" s="24">
        <v>50000</v>
      </c>
      <c r="M496" s="24">
        <v>50000</v>
      </c>
      <c r="O496" s="48" t="s">
        <v>97</v>
      </c>
      <c r="P496" s="48">
        <f>HEX2DEC(RIGHT(Table1323212714[[#This Row],[h1]],8))</f>
        <v>0</v>
      </c>
      <c r="Q496" s="48" t="s">
        <v>97</v>
      </c>
      <c r="R496" s="48">
        <f>HEX2DEC(RIGHT(Table1323212714[[#This Row],[h2]],8))</f>
        <v>0</v>
      </c>
    </row>
    <row r="497" spans="1:18" x14ac:dyDescent="0.3">
      <c r="A497" s="15" t="str">
        <f t="shared" si="12"/>
        <v>1E7</v>
      </c>
      <c r="B497" s="15">
        <v>487</v>
      </c>
      <c r="C497" s="42"/>
      <c r="F497" s="22"/>
      <c r="G497" s="22"/>
      <c r="J497" s="24">
        <v>50000</v>
      </c>
      <c r="M497" s="24">
        <v>50000</v>
      </c>
      <c r="O497" s="48" t="s">
        <v>97</v>
      </c>
      <c r="P497" s="48">
        <f>HEX2DEC(RIGHT(Table1323212714[[#This Row],[h1]],8))</f>
        <v>0</v>
      </c>
      <c r="Q497" s="48" t="s">
        <v>97</v>
      </c>
      <c r="R497" s="48">
        <f>HEX2DEC(RIGHT(Table1323212714[[#This Row],[h2]],8))</f>
        <v>0</v>
      </c>
    </row>
    <row r="498" spans="1:18" x14ac:dyDescent="0.3">
      <c r="A498" s="15" t="str">
        <f t="shared" si="12"/>
        <v>1E8</v>
      </c>
      <c r="B498" s="15">
        <v>488</v>
      </c>
      <c r="C498" s="42"/>
      <c r="F498" s="22"/>
      <c r="G498" s="22"/>
      <c r="J498" s="24">
        <v>50000</v>
      </c>
      <c r="M498" s="24">
        <v>50000</v>
      </c>
      <c r="O498" s="48" t="s">
        <v>97</v>
      </c>
      <c r="P498" s="48">
        <f>HEX2DEC(RIGHT(Table1323212714[[#This Row],[h1]],8))</f>
        <v>0</v>
      </c>
      <c r="Q498" s="48" t="s">
        <v>97</v>
      </c>
      <c r="R498" s="48">
        <f>HEX2DEC(RIGHT(Table1323212714[[#This Row],[h2]],8))</f>
        <v>0</v>
      </c>
    </row>
    <row r="499" spans="1:18" x14ac:dyDescent="0.3">
      <c r="A499" s="15" t="str">
        <f t="shared" si="12"/>
        <v>1E9</v>
      </c>
      <c r="B499" s="15">
        <v>489</v>
      </c>
      <c r="C499" s="42"/>
      <c r="F499" s="22"/>
      <c r="G499" s="22"/>
      <c r="J499" s="24">
        <v>50000</v>
      </c>
      <c r="M499" s="24">
        <v>50000</v>
      </c>
      <c r="O499" s="48" t="s">
        <v>97</v>
      </c>
      <c r="P499" s="48">
        <f>HEX2DEC(RIGHT(Table1323212714[[#This Row],[h1]],8))</f>
        <v>0</v>
      </c>
      <c r="Q499" s="48" t="s">
        <v>97</v>
      </c>
      <c r="R499" s="48">
        <f>HEX2DEC(RIGHT(Table1323212714[[#This Row],[h2]],8))</f>
        <v>0</v>
      </c>
    </row>
    <row r="500" spans="1:18" x14ac:dyDescent="0.3">
      <c r="A500" s="15" t="str">
        <f t="shared" si="12"/>
        <v>1EA</v>
      </c>
      <c r="B500" s="15">
        <v>490</v>
      </c>
      <c r="C500" s="42"/>
      <c r="F500" s="22"/>
      <c r="G500" s="22"/>
      <c r="J500" s="24">
        <v>50000</v>
      </c>
      <c r="M500" s="24">
        <v>50000</v>
      </c>
      <c r="O500" s="48" t="s">
        <v>97</v>
      </c>
      <c r="P500" s="48">
        <f>HEX2DEC(RIGHT(Table1323212714[[#This Row],[h1]],8))</f>
        <v>0</v>
      </c>
      <c r="Q500" s="48" t="s">
        <v>97</v>
      </c>
      <c r="R500" s="48">
        <f>HEX2DEC(RIGHT(Table1323212714[[#This Row],[h2]],8))</f>
        <v>0</v>
      </c>
    </row>
    <row r="501" spans="1:18" x14ac:dyDescent="0.3">
      <c r="A501" s="15" t="str">
        <f t="shared" si="12"/>
        <v>1EB</v>
      </c>
      <c r="B501" s="15">
        <v>491</v>
      </c>
      <c r="C501" s="42"/>
      <c r="F501" s="22"/>
      <c r="G501" s="22"/>
      <c r="J501" s="24">
        <v>50000</v>
      </c>
      <c r="M501" s="24">
        <v>50000</v>
      </c>
      <c r="O501" s="48" t="s">
        <v>97</v>
      </c>
      <c r="P501" s="48">
        <f>HEX2DEC(RIGHT(Table1323212714[[#This Row],[h1]],8))</f>
        <v>0</v>
      </c>
      <c r="Q501" s="48" t="s">
        <v>97</v>
      </c>
      <c r="R501" s="48">
        <f>HEX2DEC(RIGHT(Table1323212714[[#This Row],[h2]],8))</f>
        <v>0</v>
      </c>
    </row>
    <row r="502" spans="1:18" x14ac:dyDescent="0.3">
      <c r="A502" s="15" t="str">
        <f t="shared" si="12"/>
        <v>1EC</v>
      </c>
      <c r="B502" s="15">
        <v>492</v>
      </c>
      <c r="C502" s="42"/>
      <c r="F502" s="22"/>
      <c r="G502" s="22"/>
      <c r="J502" s="24">
        <v>50000</v>
      </c>
      <c r="M502" s="24">
        <v>50000</v>
      </c>
      <c r="O502" s="48" t="s">
        <v>97</v>
      </c>
      <c r="P502" s="48">
        <f>HEX2DEC(RIGHT(Table1323212714[[#This Row],[h1]],8))</f>
        <v>0</v>
      </c>
      <c r="Q502" s="48" t="s">
        <v>97</v>
      </c>
      <c r="R502" s="48">
        <f>HEX2DEC(RIGHT(Table1323212714[[#This Row],[h2]],8))</f>
        <v>0</v>
      </c>
    </row>
    <row r="503" spans="1:18" x14ac:dyDescent="0.3">
      <c r="A503" s="15" t="str">
        <f t="shared" si="12"/>
        <v>1ED</v>
      </c>
      <c r="B503" s="15">
        <v>493</v>
      </c>
      <c r="C503" s="42"/>
      <c r="F503" s="22"/>
      <c r="G503" s="22"/>
      <c r="J503" s="24">
        <v>50000</v>
      </c>
      <c r="M503" s="24">
        <v>50000</v>
      </c>
      <c r="O503" s="48" t="s">
        <v>97</v>
      </c>
      <c r="P503" s="48">
        <f>HEX2DEC(RIGHT(Table1323212714[[#This Row],[h1]],8))</f>
        <v>0</v>
      </c>
      <c r="Q503" s="48" t="s">
        <v>97</v>
      </c>
      <c r="R503" s="48">
        <f>HEX2DEC(RIGHT(Table1323212714[[#This Row],[h2]],8))</f>
        <v>0</v>
      </c>
    </row>
    <row r="504" spans="1:18" x14ac:dyDescent="0.3">
      <c r="A504" s="15" t="str">
        <f t="shared" si="12"/>
        <v>1EE</v>
      </c>
      <c r="B504" s="15">
        <v>494</v>
      </c>
      <c r="C504" s="42"/>
      <c r="F504" s="22"/>
      <c r="G504" s="22"/>
      <c r="J504" s="24">
        <v>50000</v>
      </c>
      <c r="M504" s="24">
        <v>50000</v>
      </c>
      <c r="O504" s="48" t="s">
        <v>97</v>
      </c>
      <c r="P504" s="48">
        <f>HEX2DEC(RIGHT(Table1323212714[[#This Row],[h1]],8))</f>
        <v>0</v>
      </c>
      <c r="Q504" s="48" t="s">
        <v>97</v>
      </c>
      <c r="R504" s="48">
        <f>HEX2DEC(RIGHT(Table1323212714[[#This Row],[h2]],8))</f>
        <v>0</v>
      </c>
    </row>
    <row r="505" spans="1:18" x14ac:dyDescent="0.3">
      <c r="A505" s="15" t="str">
        <f t="shared" si="12"/>
        <v>1EF</v>
      </c>
      <c r="B505" s="15">
        <v>495</v>
      </c>
      <c r="C505" s="42"/>
      <c r="F505" s="22"/>
      <c r="G505" s="22"/>
      <c r="J505" s="24">
        <v>50000</v>
      </c>
      <c r="M505" s="24">
        <v>50000</v>
      </c>
      <c r="O505" s="48" t="s">
        <v>97</v>
      </c>
      <c r="P505" s="48">
        <f>HEX2DEC(RIGHT(Table1323212714[[#This Row],[h1]],8))</f>
        <v>0</v>
      </c>
      <c r="Q505" s="48" t="s">
        <v>97</v>
      </c>
      <c r="R505" s="48">
        <f>HEX2DEC(RIGHT(Table1323212714[[#This Row],[h2]],8))</f>
        <v>0</v>
      </c>
    </row>
    <row r="506" spans="1:18" x14ac:dyDescent="0.3">
      <c r="A506" s="15" t="str">
        <f t="shared" si="12"/>
        <v>1F0</v>
      </c>
      <c r="B506" s="15">
        <v>496</v>
      </c>
      <c r="C506" s="42"/>
      <c r="F506" s="22"/>
      <c r="G506" s="22"/>
      <c r="J506" s="24">
        <v>50000</v>
      </c>
      <c r="M506" s="24">
        <v>50000</v>
      </c>
      <c r="O506" s="48" t="s">
        <v>97</v>
      </c>
      <c r="P506" s="48">
        <f>HEX2DEC(RIGHT(Table1323212714[[#This Row],[h1]],8))</f>
        <v>0</v>
      </c>
      <c r="Q506" s="48" t="s">
        <v>97</v>
      </c>
      <c r="R506" s="48">
        <f>HEX2DEC(RIGHT(Table1323212714[[#This Row],[h2]],8))</f>
        <v>0</v>
      </c>
    </row>
    <row r="507" spans="1:18" x14ac:dyDescent="0.3">
      <c r="A507" s="15" t="str">
        <f t="shared" si="12"/>
        <v>1F1</v>
      </c>
      <c r="B507" s="15">
        <v>497</v>
      </c>
      <c r="C507" s="42"/>
      <c r="F507" s="22"/>
      <c r="G507" s="22"/>
      <c r="J507" s="24">
        <v>50000</v>
      </c>
      <c r="M507" s="24">
        <v>50000</v>
      </c>
      <c r="O507" s="48" t="s">
        <v>97</v>
      </c>
      <c r="P507" s="48">
        <f>HEX2DEC(RIGHT(Table1323212714[[#This Row],[h1]],8))</f>
        <v>0</v>
      </c>
      <c r="Q507" s="48" t="s">
        <v>97</v>
      </c>
      <c r="R507" s="48">
        <f>HEX2DEC(RIGHT(Table1323212714[[#This Row],[h2]],8))</f>
        <v>0</v>
      </c>
    </row>
    <row r="508" spans="1:18" x14ac:dyDescent="0.3">
      <c r="A508" s="15" t="str">
        <f t="shared" si="12"/>
        <v>1F2</v>
      </c>
      <c r="B508" s="15">
        <v>498</v>
      </c>
      <c r="C508" s="42"/>
      <c r="F508" s="22"/>
      <c r="G508" s="22"/>
      <c r="J508" s="24">
        <v>50000</v>
      </c>
      <c r="M508" s="24">
        <v>50000</v>
      </c>
      <c r="O508" s="48" t="s">
        <v>97</v>
      </c>
      <c r="P508" s="48">
        <f>HEX2DEC(RIGHT(Table1323212714[[#This Row],[h1]],8))</f>
        <v>0</v>
      </c>
      <c r="Q508" s="48" t="s">
        <v>97</v>
      </c>
      <c r="R508" s="48">
        <f>HEX2DEC(RIGHT(Table1323212714[[#This Row],[h2]],8))</f>
        <v>0</v>
      </c>
    </row>
    <row r="509" spans="1:18" x14ac:dyDescent="0.3">
      <c r="A509" s="15" t="str">
        <f t="shared" si="12"/>
        <v>1F3</v>
      </c>
      <c r="B509" s="15">
        <v>499</v>
      </c>
      <c r="C509" s="42"/>
      <c r="F509" s="22"/>
      <c r="G509" s="22"/>
      <c r="J509" s="24">
        <v>50000</v>
      </c>
      <c r="M509" s="24">
        <v>50000</v>
      </c>
      <c r="O509" s="48" t="s">
        <v>97</v>
      </c>
      <c r="P509" s="48">
        <f>HEX2DEC(RIGHT(Table1323212714[[#This Row],[h1]],8))</f>
        <v>0</v>
      </c>
      <c r="Q509" s="48" t="s">
        <v>97</v>
      </c>
      <c r="R509" s="48">
        <f>HEX2DEC(RIGHT(Table1323212714[[#This Row],[h2]],8))</f>
        <v>0</v>
      </c>
    </row>
    <row r="510" spans="1:18" x14ac:dyDescent="0.3">
      <c r="A510" s="15" t="str">
        <f t="shared" si="12"/>
        <v>1F4</v>
      </c>
      <c r="B510" s="15">
        <v>500</v>
      </c>
      <c r="C510" s="42"/>
      <c r="F510" s="22"/>
      <c r="G510" s="22"/>
      <c r="J510" s="24">
        <v>50000</v>
      </c>
      <c r="M510" s="24">
        <v>50000</v>
      </c>
      <c r="O510" s="48" t="s">
        <v>97</v>
      </c>
      <c r="P510" s="48">
        <f>HEX2DEC(RIGHT(Table1323212714[[#This Row],[h1]],8))</f>
        <v>0</v>
      </c>
      <c r="Q510" s="48" t="s">
        <v>97</v>
      </c>
      <c r="R510" s="48">
        <f>HEX2DEC(RIGHT(Table1323212714[[#This Row],[h2]],8))</f>
        <v>0</v>
      </c>
    </row>
    <row r="511" spans="1:18" x14ac:dyDescent="0.3">
      <c r="A511" s="15" t="str">
        <f t="shared" si="12"/>
        <v>1F5</v>
      </c>
      <c r="B511" s="15">
        <v>501</v>
      </c>
      <c r="C511" s="42"/>
      <c r="F511" s="22"/>
      <c r="G511" s="22"/>
      <c r="J511" s="24">
        <v>50000</v>
      </c>
      <c r="M511" s="24">
        <v>50000</v>
      </c>
      <c r="O511" s="48" t="s">
        <v>97</v>
      </c>
      <c r="P511" s="48">
        <f>HEX2DEC(RIGHT(Table1323212714[[#This Row],[h1]],8))</f>
        <v>0</v>
      </c>
      <c r="Q511" s="48" t="s">
        <v>97</v>
      </c>
      <c r="R511" s="48">
        <f>HEX2DEC(RIGHT(Table1323212714[[#This Row],[h2]],8))</f>
        <v>0</v>
      </c>
    </row>
    <row r="512" spans="1:18" x14ac:dyDescent="0.3">
      <c r="A512" s="15" t="str">
        <f t="shared" si="12"/>
        <v>1F6</v>
      </c>
      <c r="B512" s="15">
        <v>502</v>
      </c>
      <c r="C512" s="42"/>
      <c r="F512" s="22"/>
      <c r="G512" s="22"/>
      <c r="J512" s="24">
        <v>50000</v>
      </c>
      <c r="M512" s="24">
        <v>50000</v>
      </c>
      <c r="O512" s="48" t="s">
        <v>97</v>
      </c>
      <c r="P512" s="48">
        <f>HEX2DEC(RIGHT(Table1323212714[[#This Row],[h1]],8))</f>
        <v>0</v>
      </c>
      <c r="Q512" s="48" t="s">
        <v>97</v>
      </c>
      <c r="R512" s="48">
        <f>HEX2DEC(RIGHT(Table1323212714[[#This Row],[h2]],8))</f>
        <v>0</v>
      </c>
    </row>
    <row r="513" spans="1:18" x14ac:dyDescent="0.3">
      <c r="A513" s="15" t="str">
        <f t="shared" si="12"/>
        <v>1F7</v>
      </c>
      <c r="B513" s="15">
        <v>503</v>
      </c>
      <c r="C513" s="42"/>
      <c r="F513" s="22"/>
      <c r="G513" s="22"/>
      <c r="J513" s="24">
        <v>50000</v>
      </c>
      <c r="M513" s="24">
        <v>50000</v>
      </c>
      <c r="O513" s="48" t="s">
        <v>97</v>
      </c>
      <c r="P513" s="48">
        <f>HEX2DEC(RIGHT(Table1323212714[[#This Row],[h1]],8))</f>
        <v>0</v>
      </c>
      <c r="Q513" s="48" t="s">
        <v>97</v>
      </c>
      <c r="R513" s="48">
        <f>HEX2DEC(RIGHT(Table1323212714[[#This Row],[h2]],8))</f>
        <v>0</v>
      </c>
    </row>
    <row r="514" spans="1:18" x14ac:dyDescent="0.3">
      <c r="A514" s="15" t="str">
        <f t="shared" si="12"/>
        <v>1F8</v>
      </c>
      <c r="B514" s="15">
        <v>504</v>
      </c>
      <c r="C514" s="42"/>
      <c r="F514" s="22"/>
      <c r="G514" s="22"/>
      <c r="J514" s="24">
        <v>50000</v>
      </c>
      <c r="M514" s="24">
        <v>50000</v>
      </c>
      <c r="O514" s="48" t="s">
        <v>97</v>
      </c>
      <c r="P514" s="48">
        <f>HEX2DEC(RIGHT(Table1323212714[[#This Row],[h1]],8))</f>
        <v>0</v>
      </c>
      <c r="Q514" s="48" t="s">
        <v>97</v>
      </c>
      <c r="R514" s="48">
        <f>HEX2DEC(RIGHT(Table1323212714[[#This Row],[h2]],8))</f>
        <v>0</v>
      </c>
    </row>
    <row r="515" spans="1:18" x14ac:dyDescent="0.3">
      <c r="A515" s="15" t="str">
        <f t="shared" si="12"/>
        <v>1F9</v>
      </c>
      <c r="B515" s="15">
        <v>505</v>
      </c>
      <c r="C515" s="42"/>
      <c r="F515" s="22"/>
      <c r="G515" s="22"/>
      <c r="J515" s="24">
        <v>50000</v>
      </c>
      <c r="M515" s="24">
        <v>50000</v>
      </c>
      <c r="O515" s="48" t="s">
        <v>97</v>
      </c>
      <c r="P515" s="48">
        <f>HEX2DEC(RIGHT(Table1323212714[[#This Row],[h1]],8))</f>
        <v>0</v>
      </c>
      <c r="Q515" s="48" t="s">
        <v>97</v>
      </c>
      <c r="R515" s="48">
        <f>HEX2DEC(RIGHT(Table1323212714[[#This Row],[h2]],8))</f>
        <v>0</v>
      </c>
    </row>
    <row r="516" spans="1:18" x14ac:dyDescent="0.3">
      <c r="A516" s="15" t="str">
        <f t="shared" si="12"/>
        <v>1FA</v>
      </c>
      <c r="B516" s="15">
        <v>506</v>
      </c>
      <c r="C516" s="42"/>
      <c r="F516" s="22"/>
      <c r="G516" s="22"/>
      <c r="J516" s="24">
        <v>50000</v>
      </c>
      <c r="M516" s="24">
        <v>50000</v>
      </c>
      <c r="O516" s="48" t="s">
        <v>97</v>
      </c>
      <c r="P516" s="48">
        <f>HEX2DEC(RIGHT(Table1323212714[[#This Row],[h1]],8))</f>
        <v>0</v>
      </c>
      <c r="Q516" s="48" t="s">
        <v>97</v>
      </c>
      <c r="R516" s="48">
        <f>HEX2DEC(RIGHT(Table1323212714[[#This Row],[h2]],8))</f>
        <v>0</v>
      </c>
    </row>
    <row r="517" spans="1:18" x14ac:dyDescent="0.3">
      <c r="A517" s="15" t="str">
        <f t="shared" si="12"/>
        <v>1FB</v>
      </c>
      <c r="B517" s="15">
        <v>507</v>
      </c>
      <c r="C517" s="42"/>
      <c r="F517" s="22"/>
      <c r="G517" s="22"/>
      <c r="J517" s="24">
        <v>50000</v>
      </c>
      <c r="M517" s="24">
        <v>50000</v>
      </c>
      <c r="O517" s="48" t="s">
        <v>97</v>
      </c>
      <c r="P517" s="48">
        <f>HEX2DEC(RIGHT(Table1323212714[[#This Row],[h1]],8))</f>
        <v>0</v>
      </c>
      <c r="Q517" s="48" t="s">
        <v>97</v>
      </c>
      <c r="R517" s="48">
        <f>HEX2DEC(RIGHT(Table1323212714[[#This Row],[h2]],8))</f>
        <v>0</v>
      </c>
    </row>
    <row r="518" spans="1:18" x14ac:dyDescent="0.3">
      <c r="A518" s="15" t="str">
        <f t="shared" si="12"/>
        <v>1FC</v>
      </c>
      <c r="B518" s="15">
        <v>508</v>
      </c>
      <c r="C518" s="42"/>
      <c r="F518" s="22"/>
      <c r="G518" s="22"/>
      <c r="J518" s="24">
        <v>50000</v>
      </c>
      <c r="M518" s="24">
        <v>50000</v>
      </c>
      <c r="O518" s="48" t="s">
        <v>97</v>
      </c>
      <c r="P518" s="48">
        <f>HEX2DEC(RIGHT(Table1323212714[[#This Row],[h1]],8))</f>
        <v>0</v>
      </c>
      <c r="Q518" s="48" t="s">
        <v>97</v>
      </c>
      <c r="R518" s="48">
        <f>HEX2DEC(RIGHT(Table1323212714[[#This Row],[h2]],8))</f>
        <v>0</v>
      </c>
    </row>
    <row r="519" spans="1:18" x14ac:dyDescent="0.3">
      <c r="A519" s="15" t="str">
        <f t="shared" si="12"/>
        <v>1FD</v>
      </c>
      <c r="B519" s="15">
        <v>509</v>
      </c>
      <c r="C519" s="42"/>
      <c r="F519" s="22"/>
      <c r="G519" s="22"/>
      <c r="J519" s="24">
        <v>50000</v>
      </c>
      <c r="M519" s="24">
        <v>50000</v>
      </c>
      <c r="O519" s="48" t="s">
        <v>97</v>
      </c>
      <c r="P519" s="48">
        <f>HEX2DEC(RIGHT(Table1323212714[[#This Row],[h1]],8))</f>
        <v>0</v>
      </c>
      <c r="Q519" s="48" t="s">
        <v>97</v>
      </c>
      <c r="R519" s="48">
        <f>HEX2DEC(RIGHT(Table1323212714[[#This Row],[h2]],8))</f>
        <v>0</v>
      </c>
    </row>
    <row r="520" spans="1:18" x14ac:dyDescent="0.3">
      <c r="A520" s="15" t="str">
        <f t="shared" si="12"/>
        <v>1FE</v>
      </c>
      <c r="B520" s="15">
        <v>510</v>
      </c>
      <c r="C520" s="42"/>
      <c r="F520" s="22"/>
      <c r="G520" s="22"/>
      <c r="J520" s="24">
        <v>50000</v>
      </c>
      <c r="M520" s="24">
        <v>50000</v>
      </c>
      <c r="O520" s="48" t="s">
        <v>97</v>
      </c>
      <c r="P520" s="48">
        <f>HEX2DEC(RIGHT(Table1323212714[[#This Row],[h1]],8))</f>
        <v>0</v>
      </c>
      <c r="Q520" s="48" t="s">
        <v>97</v>
      </c>
      <c r="R520" s="48">
        <f>HEX2DEC(RIGHT(Table1323212714[[#This Row],[h2]],8))</f>
        <v>0</v>
      </c>
    </row>
    <row r="521" spans="1:18" x14ac:dyDescent="0.3">
      <c r="A521" s="15" t="str">
        <f t="shared" si="12"/>
        <v>1FF</v>
      </c>
      <c r="B521" s="15">
        <v>511</v>
      </c>
      <c r="C521" s="42"/>
      <c r="F521" s="22"/>
      <c r="G521" s="22"/>
      <c r="J521" s="24">
        <v>50000</v>
      </c>
      <c r="M521" s="24">
        <v>50000</v>
      </c>
      <c r="O521" s="48" t="s">
        <v>97</v>
      </c>
      <c r="P521" s="48">
        <f>HEX2DEC(RIGHT(Table1323212714[[#This Row],[h1]],8))</f>
        <v>0</v>
      </c>
      <c r="Q521" s="48" t="s">
        <v>97</v>
      </c>
      <c r="R521" s="48">
        <f>HEX2DEC(RIGHT(Table1323212714[[#This Row],[h2]],8))</f>
        <v>0</v>
      </c>
    </row>
    <row r="522" spans="1:18" x14ac:dyDescent="0.3">
      <c r="A522" s="15" t="str">
        <f t="shared" si="12"/>
        <v>200</v>
      </c>
      <c r="B522" s="15">
        <v>512</v>
      </c>
      <c r="C522" s="42"/>
      <c r="F522" s="22"/>
      <c r="G522" s="22"/>
      <c r="J522" s="24">
        <v>50000</v>
      </c>
      <c r="M522" s="24">
        <v>50000</v>
      </c>
      <c r="O522" s="48" t="s">
        <v>97</v>
      </c>
      <c r="P522" s="48">
        <f>HEX2DEC(RIGHT(Table1323212714[[#This Row],[h1]],8))</f>
        <v>0</v>
      </c>
      <c r="Q522" s="48" t="s">
        <v>97</v>
      </c>
      <c r="R522" s="48">
        <f>HEX2DEC(RIGHT(Table1323212714[[#This Row],[h2]],8))</f>
        <v>0</v>
      </c>
    </row>
    <row r="523" spans="1:18" x14ac:dyDescent="0.3">
      <c r="A523" s="15" t="str">
        <f t="shared" ref="A523:A586" si="13">DEC2HEX(B523,3)</f>
        <v>201</v>
      </c>
      <c r="B523" s="15">
        <v>513</v>
      </c>
      <c r="C523" s="42"/>
      <c r="F523" s="22"/>
      <c r="G523" s="22"/>
      <c r="J523" s="24">
        <v>50000</v>
      </c>
      <c r="M523" s="24">
        <v>50000</v>
      </c>
      <c r="O523" s="48" t="s">
        <v>97</v>
      </c>
      <c r="P523" s="48">
        <f>HEX2DEC(RIGHT(Table1323212714[[#This Row],[h1]],8))</f>
        <v>0</v>
      </c>
      <c r="Q523" s="48" t="s">
        <v>97</v>
      </c>
      <c r="R523" s="48">
        <f>HEX2DEC(RIGHT(Table1323212714[[#This Row],[h2]],8))</f>
        <v>0</v>
      </c>
    </row>
    <row r="524" spans="1:18" x14ac:dyDescent="0.3">
      <c r="A524" s="15" t="str">
        <f t="shared" si="13"/>
        <v>202</v>
      </c>
      <c r="B524" s="15">
        <v>514</v>
      </c>
      <c r="C524" s="42"/>
      <c r="F524" s="22"/>
      <c r="G524" s="22"/>
      <c r="J524" s="24">
        <v>50000</v>
      </c>
      <c r="M524" s="24">
        <v>50000</v>
      </c>
      <c r="O524" s="48" t="s">
        <v>97</v>
      </c>
      <c r="P524" s="48">
        <f>HEX2DEC(RIGHT(Table1323212714[[#This Row],[h1]],8))</f>
        <v>0</v>
      </c>
      <c r="Q524" s="48" t="s">
        <v>97</v>
      </c>
      <c r="R524" s="48">
        <f>HEX2DEC(RIGHT(Table1323212714[[#This Row],[h2]],8))</f>
        <v>0</v>
      </c>
    </row>
    <row r="525" spans="1:18" x14ac:dyDescent="0.3">
      <c r="A525" s="15" t="str">
        <f t="shared" si="13"/>
        <v>203</v>
      </c>
      <c r="B525" s="15">
        <v>515</v>
      </c>
      <c r="C525" s="42"/>
      <c r="F525" s="22"/>
      <c r="G525" s="22"/>
      <c r="J525" s="24">
        <v>50000</v>
      </c>
      <c r="M525" s="24">
        <v>50000</v>
      </c>
      <c r="O525" s="48" t="s">
        <v>97</v>
      </c>
      <c r="P525" s="48">
        <f>HEX2DEC(RIGHT(Table1323212714[[#This Row],[h1]],8))</f>
        <v>0</v>
      </c>
      <c r="Q525" s="48" t="s">
        <v>97</v>
      </c>
      <c r="R525" s="48">
        <f>HEX2DEC(RIGHT(Table1323212714[[#This Row],[h2]],8))</f>
        <v>0</v>
      </c>
    </row>
    <row r="526" spans="1:18" x14ac:dyDescent="0.3">
      <c r="A526" s="15" t="str">
        <f t="shared" si="13"/>
        <v>204</v>
      </c>
      <c r="B526" s="15">
        <v>516</v>
      </c>
      <c r="C526" s="42"/>
      <c r="F526" s="22"/>
      <c r="G526" s="22"/>
      <c r="J526" s="24">
        <v>50000</v>
      </c>
      <c r="M526" s="24">
        <v>50000</v>
      </c>
      <c r="O526" s="48" t="s">
        <v>97</v>
      </c>
      <c r="P526" s="48">
        <f>HEX2DEC(RIGHT(Table1323212714[[#This Row],[h1]],8))</f>
        <v>0</v>
      </c>
      <c r="Q526" s="48" t="s">
        <v>97</v>
      </c>
      <c r="R526" s="48">
        <f>HEX2DEC(RIGHT(Table1323212714[[#This Row],[h2]],8))</f>
        <v>0</v>
      </c>
    </row>
    <row r="527" spans="1:18" x14ac:dyDescent="0.3">
      <c r="A527" s="15" t="str">
        <f t="shared" si="13"/>
        <v>205</v>
      </c>
      <c r="B527" s="15">
        <v>517</v>
      </c>
      <c r="C527" s="42"/>
      <c r="F527" s="22"/>
      <c r="G527" s="22"/>
      <c r="J527" s="24">
        <v>50000</v>
      </c>
      <c r="M527" s="24">
        <v>50000</v>
      </c>
      <c r="O527" s="48" t="s">
        <v>97</v>
      </c>
      <c r="P527" s="48">
        <f>HEX2DEC(RIGHT(Table1323212714[[#This Row],[h1]],8))</f>
        <v>0</v>
      </c>
      <c r="Q527" s="48" t="s">
        <v>97</v>
      </c>
      <c r="R527" s="48">
        <f>HEX2DEC(RIGHT(Table1323212714[[#This Row],[h2]],8))</f>
        <v>0</v>
      </c>
    </row>
    <row r="528" spans="1:18" x14ac:dyDescent="0.3">
      <c r="A528" s="15" t="str">
        <f t="shared" si="13"/>
        <v>206</v>
      </c>
      <c r="B528" s="15">
        <v>518</v>
      </c>
      <c r="C528" s="42"/>
      <c r="F528" s="22"/>
      <c r="G528" s="22"/>
      <c r="J528" s="24">
        <v>50000</v>
      </c>
      <c r="M528" s="24">
        <v>50000</v>
      </c>
      <c r="O528" s="48" t="s">
        <v>97</v>
      </c>
      <c r="P528" s="48">
        <f>HEX2DEC(RIGHT(Table1323212714[[#This Row],[h1]],8))</f>
        <v>0</v>
      </c>
      <c r="Q528" s="48" t="s">
        <v>97</v>
      </c>
      <c r="R528" s="48">
        <f>HEX2DEC(RIGHT(Table1323212714[[#This Row],[h2]],8))</f>
        <v>0</v>
      </c>
    </row>
    <row r="529" spans="1:18" x14ac:dyDescent="0.3">
      <c r="A529" s="15" t="str">
        <f t="shared" si="13"/>
        <v>207</v>
      </c>
      <c r="B529" s="15">
        <v>519</v>
      </c>
      <c r="C529" s="42"/>
      <c r="F529" s="22"/>
      <c r="G529" s="22"/>
      <c r="J529" s="24">
        <v>50000</v>
      </c>
      <c r="M529" s="24">
        <v>50000</v>
      </c>
      <c r="O529" s="48" t="s">
        <v>97</v>
      </c>
      <c r="P529" s="48">
        <f>HEX2DEC(RIGHT(Table1323212714[[#This Row],[h1]],8))</f>
        <v>0</v>
      </c>
      <c r="Q529" s="48" t="s">
        <v>97</v>
      </c>
      <c r="R529" s="48">
        <f>HEX2DEC(RIGHT(Table1323212714[[#This Row],[h2]],8))</f>
        <v>0</v>
      </c>
    </row>
    <row r="530" spans="1:18" x14ac:dyDescent="0.3">
      <c r="A530" s="15" t="str">
        <f t="shared" si="13"/>
        <v>208</v>
      </c>
      <c r="B530" s="15">
        <v>520</v>
      </c>
      <c r="C530" s="42"/>
      <c r="F530" s="22"/>
      <c r="G530" s="22"/>
      <c r="J530" s="24">
        <v>50000</v>
      </c>
      <c r="M530" s="24">
        <v>50000</v>
      </c>
      <c r="O530" s="48" t="s">
        <v>97</v>
      </c>
      <c r="P530" s="48">
        <f>HEX2DEC(RIGHT(Table1323212714[[#This Row],[h1]],8))</f>
        <v>0</v>
      </c>
      <c r="Q530" s="48" t="s">
        <v>97</v>
      </c>
      <c r="R530" s="48">
        <f>HEX2DEC(RIGHT(Table1323212714[[#This Row],[h2]],8))</f>
        <v>0</v>
      </c>
    </row>
    <row r="531" spans="1:18" x14ac:dyDescent="0.3">
      <c r="A531" s="15" t="str">
        <f t="shared" si="13"/>
        <v>209</v>
      </c>
      <c r="B531" s="15">
        <v>521</v>
      </c>
      <c r="C531" s="42"/>
      <c r="F531" s="22"/>
      <c r="G531" s="22"/>
      <c r="J531" s="24">
        <v>50000</v>
      </c>
      <c r="M531" s="24">
        <v>50000</v>
      </c>
      <c r="O531" s="48" t="s">
        <v>97</v>
      </c>
      <c r="P531" s="48">
        <f>HEX2DEC(RIGHT(Table1323212714[[#This Row],[h1]],8))</f>
        <v>0</v>
      </c>
      <c r="Q531" s="48" t="s">
        <v>97</v>
      </c>
      <c r="R531" s="48">
        <f>HEX2DEC(RIGHT(Table1323212714[[#This Row],[h2]],8))</f>
        <v>0</v>
      </c>
    </row>
    <row r="532" spans="1:18" x14ac:dyDescent="0.3">
      <c r="A532" s="15" t="str">
        <f t="shared" si="13"/>
        <v>20A</v>
      </c>
      <c r="B532" s="15">
        <v>522</v>
      </c>
      <c r="C532" s="42"/>
      <c r="F532" s="22"/>
      <c r="G532" s="22"/>
      <c r="J532" s="24">
        <v>50000</v>
      </c>
      <c r="M532" s="24">
        <v>50000</v>
      </c>
      <c r="O532" s="48" t="s">
        <v>97</v>
      </c>
      <c r="P532" s="48">
        <f>HEX2DEC(RIGHT(Table1323212714[[#This Row],[h1]],8))</f>
        <v>0</v>
      </c>
      <c r="Q532" s="48" t="s">
        <v>97</v>
      </c>
      <c r="R532" s="48">
        <f>HEX2DEC(RIGHT(Table1323212714[[#This Row],[h2]],8))</f>
        <v>0</v>
      </c>
    </row>
    <row r="533" spans="1:18" x14ac:dyDescent="0.3">
      <c r="A533" s="15" t="str">
        <f t="shared" si="13"/>
        <v>20B</v>
      </c>
      <c r="B533" s="15">
        <v>523</v>
      </c>
      <c r="C533" s="42"/>
      <c r="F533" s="22"/>
      <c r="G533" s="22"/>
      <c r="J533" s="24">
        <v>50000</v>
      </c>
      <c r="M533" s="24">
        <v>50000</v>
      </c>
      <c r="O533" s="48" t="s">
        <v>97</v>
      </c>
      <c r="P533" s="48">
        <f>HEX2DEC(RIGHT(Table1323212714[[#This Row],[h1]],8))</f>
        <v>0</v>
      </c>
      <c r="Q533" s="48" t="s">
        <v>97</v>
      </c>
      <c r="R533" s="48">
        <f>HEX2DEC(RIGHT(Table1323212714[[#This Row],[h2]],8))</f>
        <v>0</v>
      </c>
    </row>
    <row r="534" spans="1:18" x14ac:dyDescent="0.3">
      <c r="A534" s="15" t="str">
        <f t="shared" si="13"/>
        <v>20C</v>
      </c>
      <c r="B534" s="15">
        <v>524</v>
      </c>
      <c r="C534" s="42"/>
      <c r="F534" s="22"/>
      <c r="G534" s="22"/>
      <c r="J534" s="24">
        <v>50000</v>
      </c>
      <c r="M534" s="24">
        <v>50000</v>
      </c>
      <c r="O534" s="48" t="s">
        <v>97</v>
      </c>
      <c r="P534" s="48">
        <f>HEX2DEC(RIGHT(Table1323212714[[#This Row],[h1]],8))</f>
        <v>0</v>
      </c>
      <c r="Q534" s="48" t="s">
        <v>97</v>
      </c>
      <c r="R534" s="48">
        <f>HEX2DEC(RIGHT(Table1323212714[[#This Row],[h2]],8))</f>
        <v>0</v>
      </c>
    </row>
    <row r="535" spans="1:18" x14ac:dyDescent="0.3">
      <c r="A535" s="15" t="str">
        <f t="shared" si="13"/>
        <v>20D</v>
      </c>
      <c r="B535" s="15">
        <v>525</v>
      </c>
      <c r="C535" s="42"/>
      <c r="F535" s="22"/>
      <c r="G535" s="22"/>
      <c r="J535" s="24">
        <v>50000</v>
      </c>
      <c r="M535" s="24">
        <v>50000</v>
      </c>
      <c r="O535" s="48" t="s">
        <v>97</v>
      </c>
      <c r="P535" s="48">
        <f>HEX2DEC(RIGHT(Table1323212714[[#This Row],[h1]],8))</f>
        <v>0</v>
      </c>
      <c r="Q535" s="48" t="s">
        <v>97</v>
      </c>
      <c r="R535" s="48">
        <f>HEX2DEC(RIGHT(Table1323212714[[#This Row],[h2]],8))</f>
        <v>0</v>
      </c>
    </row>
    <row r="536" spans="1:18" x14ac:dyDescent="0.3">
      <c r="A536" s="15" t="str">
        <f t="shared" si="13"/>
        <v>20E</v>
      </c>
      <c r="B536" s="15">
        <v>526</v>
      </c>
      <c r="C536" s="42"/>
      <c r="F536" s="22"/>
      <c r="G536" s="22"/>
      <c r="J536" s="24">
        <v>50000</v>
      </c>
      <c r="M536" s="24">
        <v>50000</v>
      </c>
      <c r="O536" s="48" t="s">
        <v>97</v>
      </c>
      <c r="P536" s="48">
        <f>HEX2DEC(RIGHT(Table1323212714[[#This Row],[h1]],8))</f>
        <v>0</v>
      </c>
      <c r="Q536" s="48" t="s">
        <v>97</v>
      </c>
      <c r="R536" s="48">
        <f>HEX2DEC(RIGHT(Table1323212714[[#This Row],[h2]],8))</f>
        <v>0</v>
      </c>
    </row>
    <row r="537" spans="1:18" x14ac:dyDescent="0.3">
      <c r="A537" s="15" t="str">
        <f t="shared" si="13"/>
        <v>20F</v>
      </c>
      <c r="B537" s="15">
        <v>527</v>
      </c>
      <c r="C537" s="42"/>
      <c r="F537" s="22"/>
      <c r="G537" s="22"/>
      <c r="J537" s="24">
        <v>50000</v>
      </c>
      <c r="M537" s="24">
        <v>50000</v>
      </c>
      <c r="O537" s="48" t="s">
        <v>97</v>
      </c>
      <c r="P537" s="48">
        <f>HEX2DEC(RIGHT(Table1323212714[[#This Row],[h1]],8))</f>
        <v>0</v>
      </c>
      <c r="Q537" s="48" t="s">
        <v>97</v>
      </c>
      <c r="R537" s="48">
        <f>HEX2DEC(RIGHT(Table1323212714[[#This Row],[h2]],8))</f>
        <v>0</v>
      </c>
    </row>
    <row r="538" spans="1:18" x14ac:dyDescent="0.3">
      <c r="A538" s="15" t="str">
        <f t="shared" si="13"/>
        <v>210</v>
      </c>
      <c r="B538" s="15">
        <v>528</v>
      </c>
      <c r="C538" s="42"/>
      <c r="F538" s="22"/>
      <c r="G538" s="22"/>
      <c r="J538" s="24">
        <v>50000</v>
      </c>
      <c r="M538" s="24">
        <v>50000</v>
      </c>
      <c r="O538" s="48" t="s">
        <v>97</v>
      </c>
      <c r="P538" s="48">
        <f>HEX2DEC(RIGHT(Table1323212714[[#This Row],[h1]],8))</f>
        <v>0</v>
      </c>
      <c r="Q538" s="48" t="s">
        <v>97</v>
      </c>
      <c r="R538" s="48">
        <f>HEX2DEC(RIGHT(Table1323212714[[#This Row],[h2]],8))</f>
        <v>0</v>
      </c>
    </row>
    <row r="539" spans="1:18" x14ac:dyDescent="0.3">
      <c r="A539" s="15" t="str">
        <f t="shared" si="13"/>
        <v>211</v>
      </c>
      <c r="B539" s="15">
        <v>529</v>
      </c>
      <c r="C539" s="42"/>
      <c r="F539" s="22"/>
      <c r="G539" s="22"/>
      <c r="J539" s="24">
        <v>50000</v>
      </c>
      <c r="M539" s="24">
        <v>50000</v>
      </c>
      <c r="O539" s="48" t="s">
        <v>97</v>
      </c>
      <c r="P539" s="48">
        <f>HEX2DEC(RIGHT(Table1323212714[[#This Row],[h1]],8))</f>
        <v>0</v>
      </c>
      <c r="Q539" s="48" t="s">
        <v>97</v>
      </c>
      <c r="R539" s="48">
        <f>HEX2DEC(RIGHT(Table1323212714[[#This Row],[h2]],8))</f>
        <v>0</v>
      </c>
    </row>
    <row r="540" spans="1:18" x14ac:dyDescent="0.3">
      <c r="A540" s="15" t="str">
        <f t="shared" si="13"/>
        <v>212</v>
      </c>
      <c r="B540" s="15">
        <v>530</v>
      </c>
      <c r="C540" s="42"/>
      <c r="F540" s="22"/>
      <c r="G540" s="22"/>
      <c r="J540" s="24">
        <v>50000</v>
      </c>
      <c r="M540" s="24">
        <v>50000</v>
      </c>
      <c r="O540" s="48" t="s">
        <v>97</v>
      </c>
      <c r="P540" s="48">
        <f>HEX2DEC(RIGHT(Table1323212714[[#This Row],[h1]],8))</f>
        <v>0</v>
      </c>
      <c r="Q540" s="48" t="s">
        <v>97</v>
      </c>
      <c r="R540" s="48">
        <f>HEX2DEC(RIGHT(Table1323212714[[#This Row],[h2]],8))</f>
        <v>0</v>
      </c>
    </row>
    <row r="541" spans="1:18" x14ac:dyDescent="0.3">
      <c r="A541" s="15" t="str">
        <f t="shared" si="13"/>
        <v>213</v>
      </c>
      <c r="B541" s="15">
        <v>531</v>
      </c>
      <c r="C541" s="42"/>
      <c r="F541" s="22"/>
      <c r="G541" s="22"/>
      <c r="J541" s="24">
        <v>50000</v>
      </c>
      <c r="M541" s="24">
        <v>50000</v>
      </c>
      <c r="O541" s="48" t="s">
        <v>97</v>
      </c>
      <c r="P541" s="48">
        <f>HEX2DEC(RIGHT(Table1323212714[[#This Row],[h1]],8))</f>
        <v>0</v>
      </c>
      <c r="Q541" s="48" t="s">
        <v>97</v>
      </c>
      <c r="R541" s="48">
        <f>HEX2DEC(RIGHT(Table1323212714[[#This Row],[h2]],8))</f>
        <v>0</v>
      </c>
    </row>
    <row r="542" spans="1:18" x14ac:dyDescent="0.3">
      <c r="A542" s="15" t="str">
        <f t="shared" si="13"/>
        <v>214</v>
      </c>
      <c r="B542" s="15">
        <v>532</v>
      </c>
      <c r="C542" s="42"/>
      <c r="F542" s="22"/>
      <c r="G542" s="22"/>
      <c r="J542" s="24">
        <v>50000</v>
      </c>
      <c r="M542" s="24">
        <v>50000</v>
      </c>
      <c r="O542" s="48" t="s">
        <v>97</v>
      </c>
      <c r="P542" s="48">
        <f>HEX2DEC(RIGHT(Table1323212714[[#This Row],[h1]],8))</f>
        <v>0</v>
      </c>
      <c r="Q542" s="48" t="s">
        <v>97</v>
      </c>
      <c r="R542" s="48">
        <f>HEX2DEC(RIGHT(Table1323212714[[#This Row],[h2]],8))</f>
        <v>0</v>
      </c>
    </row>
    <row r="543" spans="1:18" x14ac:dyDescent="0.3">
      <c r="A543" s="15" t="str">
        <f t="shared" si="13"/>
        <v>215</v>
      </c>
      <c r="B543" s="15">
        <v>533</v>
      </c>
      <c r="C543" s="42"/>
      <c r="F543" s="22"/>
      <c r="G543" s="22"/>
      <c r="J543" s="24">
        <v>50000</v>
      </c>
      <c r="M543" s="24">
        <v>50000</v>
      </c>
      <c r="O543" s="48" t="s">
        <v>97</v>
      </c>
      <c r="P543" s="48">
        <f>HEX2DEC(RIGHT(Table1323212714[[#This Row],[h1]],8))</f>
        <v>0</v>
      </c>
      <c r="Q543" s="48" t="s">
        <v>97</v>
      </c>
      <c r="R543" s="48">
        <f>HEX2DEC(RIGHT(Table1323212714[[#This Row],[h2]],8))</f>
        <v>0</v>
      </c>
    </row>
    <row r="544" spans="1:18" x14ac:dyDescent="0.3">
      <c r="A544" s="15" t="str">
        <f t="shared" si="13"/>
        <v>216</v>
      </c>
      <c r="B544" s="15">
        <v>534</v>
      </c>
      <c r="C544" s="42"/>
      <c r="F544" s="22"/>
      <c r="G544" s="22"/>
      <c r="J544" s="24">
        <v>50000</v>
      </c>
      <c r="M544" s="24">
        <v>50000</v>
      </c>
      <c r="O544" s="48" t="s">
        <v>97</v>
      </c>
      <c r="P544" s="48">
        <f>HEX2DEC(RIGHT(Table1323212714[[#This Row],[h1]],8))</f>
        <v>0</v>
      </c>
      <c r="Q544" s="48" t="s">
        <v>97</v>
      </c>
      <c r="R544" s="48">
        <f>HEX2DEC(RIGHT(Table1323212714[[#This Row],[h2]],8))</f>
        <v>0</v>
      </c>
    </row>
    <row r="545" spans="1:18" x14ac:dyDescent="0.3">
      <c r="A545" s="15" t="str">
        <f t="shared" si="13"/>
        <v>217</v>
      </c>
      <c r="B545" s="15">
        <v>535</v>
      </c>
      <c r="C545" s="42"/>
      <c r="F545" s="22"/>
      <c r="G545" s="22"/>
      <c r="J545" s="24">
        <v>50000</v>
      </c>
      <c r="M545" s="24">
        <v>50000</v>
      </c>
      <c r="O545" s="48" t="s">
        <v>97</v>
      </c>
      <c r="P545" s="48">
        <f>HEX2DEC(RIGHT(Table1323212714[[#This Row],[h1]],8))</f>
        <v>0</v>
      </c>
      <c r="Q545" s="48" t="s">
        <v>97</v>
      </c>
      <c r="R545" s="48">
        <f>HEX2DEC(RIGHT(Table1323212714[[#This Row],[h2]],8))</f>
        <v>0</v>
      </c>
    </row>
    <row r="546" spans="1:18" x14ac:dyDescent="0.3">
      <c r="A546" s="15" t="str">
        <f t="shared" si="13"/>
        <v>218</v>
      </c>
      <c r="B546" s="15">
        <v>536</v>
      </c>
      <c r="C546" s="42"/>
      <c r="F546" s="22"/>
      <c r="G546" s="22"/>
      <c r="J546" s="24">
        <v>50000</v>
      </c>
      <c r="M546" s="24">
        <v>50000</v>
      </c>
      <c r="O546" s="48" t="s">
        <v>97</v>
      </c>
      <c r="P546" s="48">
        <f>HEX2DEC(RIGHT(Table1323212714[[#This Row],[h1]],8))</f>
        <v>0</v>
      </c>
      <c r="Q546" s="48" t="s">
        <v>97</v>
      </c>
      <c r="R546" s="48">
        <f>HEX2DEC(RIGHT(Table1323212714[[#This Row],[h2]],8))</f>
        <v>0</v>
      </c>
    </row>
    <row r="547" spans="1:18" x14ac:dyDescent="0.3">
      <c r="A547" s="15" t="str">
        <f t="shared" si="13"/>
        <v>219</v>
      </c>
      <c r="B547" s="15">
        <v>537</v>
      </c>
      <c r="C547" s="42"/>
      <c r="F547" s="22"/>
      <c r="G547" s="22"/>
      <c r="J547" s="24">
        <v>50000</v>
      </c>
      <c r="M547" s="24">
        <v>50000</v>
      </c>
      <c r="O547" s="48" t="s">
        <v>97</v>
      </c>
      <c r="P547" s="48">
        <f>HEX2DEC(RIGHT(Table1323212714[[#This Row],[h1]],8))</f>
        <v>0</v>
      </c>
      <c r="Q547" s="48" t="s">
        <v>97</v>
      </c>
      <c r="R547" s="48">
        <f>HEX2DEC(RIGHT(Table1323212714[[#This Row],[h2]],8))</f>
        <v>0</v>
      </c>
    </row>
    <row r="548" spans="1:18" x14ac:dyDescent="0.3">
      <c r="A548" s="15" t="str">
        <f t="shared" si="13"/>
        <v>21A</v>
      </c>
      <c r="B548" s="15">
        <v>538</v>
      </c>
      <c r="C548" s="42"/>
      <c r="F548" s="22"/>
      <c r="G548" s="22"/>
      <c r="J548" s="24">
        <v>50000</v>
      </c>
      <c r="M548" s="24">
        <v>50000</v>
      </c>
      <c r="O548" s="48" t="s">
        <v>97</v>
      </c>
      <c r="P548" s="48">
        <f>HEX2DEC(RIGHT(Table1323212714[[#This Row],[h1]],8))</f>
        <v>0</v>
      </c>
      <c r="Q548" s="48" t="s">
        <v>97</v>
      </c>
      <c r="R548" s="48">
        <f>HEX2DEC(RIGHT(Table1323212714[[#This Row],[h2]],8))</f>
        <v>0</v>
      </c>
    </row>
    <row r="549" spans="1:18" x14ac:dyDescent="0.3">
      <c r="A549" s="15" t="str">
        <f t="shared" si="13"/>
        <v>21B</v>
      </c>
      <c r="B549" s="15">
        <v>539</v>
      </c>
      <c r="C549" s="42"/>
      <c r="F549" s="22"/>
      <c r="G549" s="22"/>
      <c r="J549" s="24">
        <v>50000</v>
      </c>
      <c r="M549" s="24">
        <v>50000</v>
      </c>
      <c r="O549" s="48" t="s">
        <v>97</v>
      </c>
      <c r="P549" s="48">
        <f>HEX2DEC(RIGHT(Table1323212714[[#This Row],[h1]],8))</f>
        <v>0</v>
      </c>
      <c r="Q549" s="48" t="s">
        <v>97</v>
      </c>
      <c r="R549" s="48">
        <f>HEX2DEC(RIGHT(Table1323212714[[#This Row],[h2]],8))</f>
        <v>0</v>
      </c>
    </row>
    <row r="550" spans="1:18" x14ac:dyDescent="0.3">
      <c r="A550" s="15" t="str">
        <f t="shared" si="13"/>
        <v>21C</v>
      </c>
      <c r="B550" s="15">
        <v>540</v>
      </c>
      <c r="C550" s="42"/>
      <c r="F550" s="22"/>
      <c r="G550" s="22"/>
      <c r="J550" s="24">
        <v>50000</v>
      </c>
      <c r="M550" s="24">
        <v>50000</v>
      </c>
      <c r="O550" s="48" t="s">
        <v>97</v>
      </c>
      <c r="P550" s="48">
        <f>HEX2DEC(RIGHT(Table1323212714[[#This Row],[h1]],8))</f>
        <v>0</v>
      </c>
      <c r="Q550" s="48" t="s">
        <v>97</v>
      </c>
      <c r="R550" s="48">
        <f>HEX2DEC(RIGHT(Table1323212714[[#This Row],[h2]],8))</f>
        <v>0</v>
      </c>
    </row>
    <row r="551" spans="1:18" x14ac:dyDescent="0.3">
      <c r="A551" s="15" t="str">
        <f t="shared" si="13"/>
        <v>21D</v>
      </c>
      <c r="B551" s="15">
        <v>541</v>
      </c>
      <c r="C551" s="42"/>
      <c r="F551" s="22"/>
      <c r="G551" s="22"/>
      <c r="J551" s="24">
        <v>50000</v>
      </c>
      <c r="M551" s="24">
        <v>50000</v>
      </c>
      <c r="O551" s="48" t="s">
        <v>97</v>
      </c>
      <c r="P551" s="48">
        <f>HEX2DEC(RIGHT(Table1323212714[[#This Row],[h1]],8))</f>
        <v>0</v>
      </c>
      <c r="Q551" s="48" t="s">
        <v>97</v>
      </c>
      <c r="R551" s="48">
        <f>HEX2DEC(RIGHT(Table1323212714[[#This Row],[h2]],8))</f>
        <v>0</v>
      </c>
    </row>
    <row r="552" spans="1:18" x14ac:dyDescent="0.3">
      <c r="A552" s="15" t="str">
        <f t="shared" si="13"/>
        <v>21E</v>
      </c>
      <c r="B552" s="15">
        <v>542</v>
      </c>
      <c r="C552" s="42"/>
      <c r="F552" s="22"/>
      <c r="G552" s="22"/>
      <c r="J552" s="24">
        <v>50000</v>
      </c>
      <c r="M552" s="24">
        <v>50000</v>
      </c>
      <c r="O552" s="48" t="s">
        <v>97</v>
      </c>
      <c r="P552" s="48">
        <f>HEX2DEC(RIGHT(Table1323212714[[#This Row],[h1]],8))</f>
        <v>0</v>
      </c>
      <c r="Q552" s="48" t="s">
        <v>97</v>
      </c>
      <c r="R552" s="48">
        <f>HEX2DEC(RIGHT(Table1323212714[[#This Row],[h2]],8))</f>
        <v>0</v>
      </c>
    </row>
    <row r="553" spans="1:18" x14ac:dyDescent="0.3">
      <c r="A553" s="15" t="str">
        <f t="shared" si="13"/>
        <v>21F</v>
      </c>
      <c r="B553" s="15">
        <v>543</v>
      </c>
      <c r="C553" s="42"/>
      <c r="F553" s="22"/>
      <c r="G553" s="22"/>
      <c r="J553" s="24">
        <v>50000</v>
      </c>
      <c r="M553" s="24">
        <v>50000</v>
      </c>
      <c r="O553" s="48" t="s">
        <v>97</v>
      </c>
      <c r="P553" s="48">
        <f>HEX2DEC(RIGHT(Table1323212714[[#This Row],[h1]],8))</f>
        <v>0</v>
      </c>
      <c r="Q553" s="48" t="s">
        <v>97</v>
      </c>
      <c r="R553" s="48">
        <f>HEX2DEC(RIGHT(Table1323212714[[#This Row],[h2]],8))</f>
        <v>0</v>
      </c>
    </row>
    <row r="554" spans="1:18" x14ac:dyDescent="0.3">
      <c r="A554" s="15" t="str">
        <f t="shared" si="13"/>
        <v>220</v>
      </c>
      <c r="B554" s="15">
        <v>544</v>
      </c>
      <c r="C554" s="42"/>
      <c r="F554" s="22"/>
      <c r="G554" s="22"/>
      <c r="J554" s="24">
        <v>50000</v>
      </c>
      <c r="M554" s="24">
        <v>50000</v>
      </c>
      <c r="O554" s="48" t="s">
        <v>97</v>
      </c>
      <c r="P554" s="48">
        <f>HEX2DEC(RIGHT(Table1323212714[[#This Row],[h1]],8))</f>
        <v>0</v>
      </c>
      <c r="Q554" s="48" t="s">
        <v>97</v>
      </c>
      <c r="R554" s="48">
        <f>HEX2DEC(RIGHT(Table1323212714[[#This Row],[h2]],8))</f>
        <v>0</v>
      </c>
    </row>
    <row r="555" spans="1:18" x14ac:dyDescent="0.3">
      <c r="A555" s="15" t="str">
        <f t="shared" si="13"/>
        <v>221</v>
      </c>
      <c r="B555" s="15">
        <v>545</v>
      </c>
      <c r="C555" s="42"/>
      <c r="F555" s="22"/>
      <c r="G555" s="22"/>
      <c r="J555" s="24">
        <v>50000</v>
      </c>
      <c r="M555" s="24">
        <v>50000</v>
      </c>
      <c r="O555" s="48" t="s">
        <v>97</v>
      </c>
      <c r="P555" s="48">
        <f>HEX2DEC(RIGHT(Table1323212714[[#This Row],[h1]],8))</f>
        <v>0</v>
      </c>
      <c r="Q555" s="48" t="s">
        <v>97</v>
      </c>
      <c r="R555" s="48">
        <f>HEX2DEC(RIGHT(Table1323212714[[#This Row],[h2]],8))</f>
        <v>0</v>
      </c>
    </row>
    <row r="556" spans="1:18" x14ac:dyDescent="0.3">
      <c r="A556" s="15" t="str">
        <f t="shared" si="13"/>
        <v>222</v>
      </c>
      <c r="B556" s="15">
        <v>546</v>
      </c>
      <c r="C556" s="42"/>
      <c r="F556" s="22"/>
      <c r="G556" s="22"/>
      <c r="J556" s="24">
        <v>50000</v>
      </c>
      <c r="M556" s="24">
        <v>50000</v>
      </c>
      <c r="O556" s="48" t="s">
        <v>97</v>
      </c>
      <c r="P556" s="48">
        <f>HEX2DEC(RIGHT(Table1323212714[[#This Row],[h1]],8))</f>
        <v>0</v>
      </c>
      <c r="Q556" s="48" t="s">
        <v>97</v>
      </c>
      <c r="R556" s="48">
        <f>HEX2DEC(RIGHT(Table1323212714[[#This Row],[h2]],8))</f>
        <v>0</v>
      </c>
    </row>
    <row r="557" spans="1:18" x14ac:dyDescent="0.3">
      <c r="A557" s="15" t="str">
        <f t="shared" si="13"/>
        <v>223</v>
      </c>
      <c r="B557" s="15">
        <v>547</v>
      </c>
      <c r="C557" s="42"/>
      <c r="F557" s="22"/>
      <c r="G557" s="22"/>
      <c r="J557" s="24">
        <v>50000</v>
      </c>
      <c r="M557" s="24">
        <v>50000</v>
      </c>
      <c r="O557" s="48" t="s">
        <v>97</v>
      </c>
      <c r="P557" s="48">
        <f>HEX2DEC(RIGHT(Table1323212714[[#This Row],[h1]],8))</f>
        <v>0</v>
      </c>
      <c r="Q557" s="48" t="s">
        <v>97</v>
      </c>
      <c r="R557" s="48">
        <f>HEX2DEC(RIGHT(Table1323212714[[#This Row],[h2]],8))</f>
        <v>0</v>
      </c>
    </row>
    <row r="558" spans="1:18" x14ac:dyDescent="0.3">
      <c r="A558" s="15" t="str">
        <f t="shared" si="13"/>
        <v>224</v>
      </c>
      <c r="B558" s="15">
        <v>548</v>
      </c>
      <c r="C558" s="42"/>
      <c r="F558" s="22"/>
      <c r="G558" s="22"/>
      <c r="J558" s="24">
        <v>50000</v>
      </c>
      <c r="M558" s="24">
        <v>50000</v>
      </c>
      <c r="O558" s="48" t="s">
        <v>97</v>
      </c>
      <c r="P558" s="48">
        <f>HEX2DEC(RIGHT(Table1323212714[[#This Row],[h1]],8))</f>
        <v>0</v>
      </c>
      <c r="Q558" s="48" t="s">
        <v>97</v>
      </c>
      <c r="R558" s="48">
        <f>HEX2DEC(RIGHT(Table1323212714[[#This Row],[h2]],8))</f>
        <v>0</v>
      </c>
    </row>
    <row r="559" spans="1:18" x14ac:dyDescent="0.3">
      <c r="A559" s="15" t="str">
        <f t="shared" si="13"/>
        <v>225</v>
      </c>
      <c r="B559" s="15">
        <v>549</v>
      </c>
      <c r="C559" s="42"/>
      <c r="F559" s="22"/>
      <c r="G559" s="22"/>
      <c r="J559" s="24">
        <v>50000</v>
      </c>
      <c r="M559" s="24">
        <v>50000</v>
      </c>
      <c r="O559" s="48" t="s">
        <v>97</v>
      </c>
      <c r="P559" s="48">
        <f>HEX2DEC(RIGHT(Table1323212714[[#This Row],[h1]],8))</f>
        <v>0</v>
      </c>
      <c r="Q559" s="48" t="s">
        <v>97</v>
      </c>
      <c r="R559" s="48">
        <f>HEX2DEC(RIGHT(Table1323212714[[#This Row],[h2]],8))</f>
        <v>0</v>
      </c>
    </row>
    <row r="560" spans="1:18" x14ac:dyDescent="0.3">
      <c r="A560" s="15" t="str">
        <f t="shared" si="13"/>
        <v>226</v>
      </c>
      <c r="B560" s="15">
        <v>550</v>
      </c>
      <c r="C560" s="42"/>
      <c r="F560" s="22"/>
      <c r="G560" s="22"/>
      <c r="J560" s="24">
        <v>50000</v>
      </c>
      <c r="M560" s="24">
        <v>50000</v>
      </c>
      <c r="O560" s="48" t="s">
        <v>97</v>
      </c>
      <c r="P560" s="48">
        <f>HEX2DEC(RIGHT(Table1323212714[[#This Row],[h1]],8))</f>
        <v>0</v>
      </c>
      <c r="Q560" s="48" t="s">
        <v>97</v>
      </c>
      <c r="R560" s="48">
        <f>HEX2DEC(RIGHT(Table1323212714[[#This Row],[h2]],8))</f>
        <v>0</v>
      </c>
    </row>
    <row r="561" spans="1:18" x14ac:dyDescent="0.3">
      <c r="A561" s="15" t="str">
        <f t="shared" si="13"/>
        <v>227</v>
      </c>
      <c r="B561" s="15">
        <v>551</v>
      </c>
      <c r="C561" s="42"/>
      <c r="F561" s="22"/>
      <c r="G561" s="22"/>
      <c r="J561" s="24">
        <v>50000</v>
      </c>
      <c r="M561" s="24">
        <v>50000</v>
      </c>
      <c r="O561" s="48" t="s">
        <v>97</v>
      </c>
      <c r="P561" s="48">
        <f>HEX2DEC(RIGHT(Table1323212714[[#This Row],[h1]],8))</f>
        <v>0</v>
      </c>
      <c r="Q561" s="48" t="s">
        <v>97</v>
      </c>
      <c r="R561" s="48">
        <f>HEX2DEC(RIGHT(Table1323212714[[#This Row],[h2]],8))</f>
        <v>0</v>
      </c>
    </row>
    <row r="562" spans="1:18" x14ac:dyDescent="0.3">
      <c r="A562" s="15" t="str">
        <f t="shared" si="13"/>
        <v>228</v>
      </c>
      <c r="B562" s="15">
        <v>552</v>
      </c>
      <c r="C562" s="42"/>
      <c r="F562" s="22"/>
      <c r="G562" s="22"/>
      <c r="J562" s="24">
        <v>50000</v>
      </c>
      <c r="M562" s="24">
        <v>50000</v>
      </c>
      <c r="O562" s="48" t="s">
        <v>97</v>
      </c>
      <c r="P562" s="48">
        <f>HEX2DEC(RIGHT(Table1323212714[[#This Row],[h1]],8))</f>
        <v>0</v>
      </c>
      <c r="Q562" s="48" t="s">
        <v>97</v>
      </c>
      <c r="R562" s="48">
        <f>HEX2DEC(RIGHT(Table1323212714[[#This Row],[h2]],8))</f>
        <v>0</v>
      </c>
    </row>
    <row r="563" spans="1:18" x14ac:dyDescent="0.3">
      <c r="A563" s="15" t="str">
        <f t="shared" si="13"/>
        <v>229</v>
      </c>
      <c r="B563" s="15">
        <v>553</v>
      </c>
      <c r="C563" s="42"/>
      <c r="F563" s="22"/>
      <c r="G563" s="22"/>
      <c r="J563" s="24">
        <v>50000</v>
      </c>
      <c r="M563" s="24">
        <v>50000</v>
      </c>
      <c r="O563" s="48" t="s">
        <v>97</v>
      </c>
      <c r="P563" s="48">
        <f>HEX2DEC(RIGHT(Table1323212714[[#This Row],[h1]],8))</f>
        <v>0</v>
      </c>
      <c r="Q563" s="48" t="s">
        <v>97</v>
      </c>
      <c r="R563" s="48">
        <f>HEX2DEC(RIGHT(Table1323212714[[#This Row],[h2]],8))</f>
        <v>0</v>
      </c>
    </row>
    <row r="564" spans="1:18" x14ac:dyDescent="0.3">
      <c r="A564" s="15" t="str">
        <f t="shared" si="13"/>
        <v>22A</v>
      </c>
      <c r="B564" s="15">
        <v>554</v>
      </c>
      <c r="C564" s="42"/>
      <c r="F564" s="22"/>
      <c r="G564" s="22"/>
      <c r="J564" s="24">
        <v>50000</v>
      </c>
      <c r="M564" s="24">
        <v>50000</v>
      </c>
      <c r="O564" s="48" t="s">
        <v>97</v>
      </c>
      <c r="P564" s="48">
        <f>HEX2DEC(RIGHT(Table1323212714[[#This Row],[h1]],8))</f>
        <v>0</v>
      </c>
      <c r="Q564" s="48" t="s">
        <v>97</v>
      </c>
      <c r="R564" s="48">
        <f>HEX2DEC(RIGHT(Table1323212714[[#This Row],[h2]],8))</f>
        <v>0</v>
      </c>
    </row>
    <row r="565" spans="1:18" x14ac:dyDescent="0.3">
      <c r="A565" s="15" t="str">
        <f t="shared" si="13"/>
        <v>22B</v>
      </c>
      <c r="B565" s="15">
        <v>555</v>
      </c>
      <c r="C565" s="42"/>
      <c r="F565" s="22"/>
      <c r="G565" s="22"/>
      <c r="J565" s="24">
        <v>50000</v>
      </c>
      <c r="M565" s="24">
        <v>50000</v>
      </c>
      <c r="O565" s="48" t="s">
        <v>97</v>
      </c>
      <c r="P565" s="48">
        <f>HEX2DEC(RIGHT(Table1323212714[[#This Row],[h1]],8))</f>
        <v>0</v>
      </c>
      <c r="Q565" s="48" t="s">
        <v>97</v>
      </c>
      <c r="R565" s="48">
        <f>HEX2DEC(RIGHT(Table1323212714[[#This Row],[h2]],8))</f>
        <v>0</v>
      </c>
    </row>
    <row r="566" spans="1:18" x14ac:dyDescent="0.3">
      <c r="A566" s="15" t="str">
        <f t="shared" si="13"/>
        <v>22C</v>
      </c>
      <c r="B566" s="15">
        <v>556</v>
      </c>
      <c r="C566" s="42"/>
      <c r="F566" s="22"/>
      <c r="G566" s="22"/>
      <c r="J566" s="24">
        <v>50000</v>
      </c>
      <c r="M566" s="24">
        <v>50000</v>
      </c>
      <c r="O566" s="48" t="s">
        <v>97</v>
      </c>
      <c r="P566" s="48">
        <f>HEX2DEC(RIGHT(Table1323212714[[#This Row],[h1]],8))</f>
        <v>0</v>
      </c>
      <c r="Q566" s="48" t="s">
        <v>97</v>
      </c>
      <c r="R566" s="48">
        <f>HEX2DEC(RIGHT(Table1323212714[[#This Row],[h2]],8))</f>
        <v>0</v>
      </c>
    </row>
    <row r="567" spans="1:18" x14ac:dyDescent="0.3">
      <c r="A567" s="15" t="str">
        <f t="shared" si="13"/>
        <v>22D</v>
      </c>
      <c r="B567" s="15">
        <v>557</v>
      </c>
      <c r="C567" s="42"/>
      <c r="F567" s="22"/>
      <c r="G567" s="22"/>
      <c r="J567" s="24">
        <v>50000</v>
      </c>
      <c r="M567" s="24">
        <v>50000</v>
      </c>
      <c r="O567" s="48" t="s">
        <v>97</v>
      </c>
      <c r="P567" s="48">
        <f>HEX2DEC(RIGHT(Table1323212714[[#This Row],[h1]],8))</f>
        <v>0</v>
      </c>
      <c r="Q567" s="48" t="s">
        <v>97</v>
      </c>
      <c r="R567" s="48">
        <f>HEX2DEC(RIGHT(Table1323212714[[#This Row],[h2]],8))</f>
        <v>0</v>
      </c>
    </row>
    <row r="568" spans="1:18" x14ac:dyDescent="0.3">
      <c r="A568" s="15" t="str">
        <f t="shared" si="13"/>
        <v>22E</v>
      </c>
      <c r="B568" s="15">
        <v>558</v>
      </c>
      <c r="C568" s="42"/>
      <c r="F568" s="22"/>
      <c r="G568" s="22"/>
      <c r="J568" s="24">
        <v>50000</v>
      </c>
      <c r="M568" s="24">
        <v>50000</v>
      </c>
      <c r="O568" s="48" t="s">
        <v>97</v>
      </c>
      <c r="P568" s="48">
        <f>HEX2DEC(RIGHT(Table1323212714[[#This Row],[h1]],8))</f>
        <v>0</v>
      </c>
      <c r="Q568" s="48" t="s">
        <v>97</v>
      </c>
      <c r="R568" s="48">
        <f>HEX2DEC(RIGHT(Table1323212714[[#This Row],[h2]],8))</f>
        <v>0</v>
      </c>
    </row>
    <row r="569" spans="1:18" x14ac:dyDescent="0.3">
      <c r="A569" s="15" t="str">
        <f t="shared" si="13"/>
        <v>22F</v>
      </c>
      <c r="B569" s="15">
        <v>559</v>
      </c>
      <c r="C569" s="42"/>
      <c r="F569" s="22"/>
      <c r="G569" s="22"/>
      <c r="J569" s="24">
        <v>50000</v>
      </c>
      <c r="M569" s="24">
        <v>50000</v>
      </c>
      <c r="O569" s="48" t="s">
        <v>97</v>
      </c>
      <c r="P569" s="48">
        <f>HEX2DEC(RIGHT(Table1323212714[[#This Row],[h1]],8))</f>
        <v>0</v>
      </c>
      <c r="Q569" s="48" t="s">
        <v>97</v>
      </c>
      <c r="R569" s="48">
        <f>HEX2DEC(RIGHT(Table1323212714[[#This Row],[h2]],8))</f>
        <v>0</v>
      </c>
    </row>
    <row r="570" spans="1:18" x14ac:dyDescent="0.3">
      <c r="A570" s="15" t="str">
        <f t="shared" si="13"/>
        <v>230</v>
      </c>
      <c r="B570" s="15">
        <v>560</v>
      </c>
      <c r="C570" s="42"/>
      <c r="F570" s="22"/>
      <c r="G570" s="22"/>
      <c r="J570" s="24">
        <v>50000</v>
      </c>
      <c r="M570" s="24">
        <v>50000</v>
      </c>
      <c r="O570" s="48" t="s">
        <v>97</v>
      </c>
      <c r="P570" s="48">
        <f>HEX2DEC(RIGHT(Table1323212714[[#This Row],[h1]],8))</f>
        <v>0</v>
      </c>
      <c r="Q570" s="48" t="s">
        <v>97</v>
      </c>
      <c r="R570" s="48">
        <f>HEX2DEC(RIGHT(Table1323212714[[#This Row],[h2]],8))</f>
        <v>0</v>
      </c>
    </row>
    <row r="571" spans="1:18" x14ac:dyDescent="0.3">
      <c r="A571" s="15" t="str">
        <f t="shared" si="13"/>
        <v>231</v>
      </c>
      <c r="B571" s="15">
        <v>561</v>
      </c>
      <c r="C571" s="42"/>
      <c r="F571" s="22"/>
      <c r="G571" s="22"/>
      <c r="J571" s="24">
        <v>50000</v>
      </c>
      <c r="M571" s="24">
        <v>50000</v>
      </c>
      <c r="O571" s="48" t="s">
        <v>97</v>
      </c>
      <c r="P571" s="48">
        <f>HEX2DEC(RIGHT(Table1323212714[[#This Row],[h1]],8))</f>
        <v>0</v>
      </c>
      <c r="Q571" s="48" t="s">
        <v>97</v>
      </c>
      <c r="R571" s="48">
        <f>HEX2DEC(RIGHT(Table1323212714[[#This Row],[h2]],8))</f>
        <v>0</v>
      </c>
    </row>
    <row r="572" spans="1:18" x14ac:dyDescent="0.3">
      <c r="A572" s="15" t="str">
        <f t="shared" si="13"/>
        <v>232</v>
      </c>
      <c r="B572" s="15">
        <v>562</v>
      </c>
      <c r="C572" s="42"/>
      <c r="F572" s="22"/>
      <c r="G572" s="22"/>
      <c r="J572" s="24">
        <v>50000</v>
      </c>
      <c r="M572" s="24">
        <v>50000</v>
      </c>
      <c r="O572" s="48" t="s">
        <v>97</v>
      </c>
      <c r="P572" s="48">
        <f>HEX2DEC(RIGHT(Table1323212714[[#This Row],[h1]],8))</f>
        <v>0</v>
      </c>
      <c r="Q572" s="48" t="s">
        <v>97</v>
      </c>
      <c r="R572" s="48">
        <f>HEX2DEC(RIGHT(Table1323212714[[#This Row],[h2]],8))</f>
        <v>0</v>
      </c>
    </row>
    <row r="573" spans="1:18" x14ac:dyDescent="0.3">
      <c r="A573" s="15" t="str">
        <f t="shared" si="13"/>
        <v>233</v>
      </c>
      <c r="B573" s="15">
        <v>563</v>
      </c>
      <c r="C573" s="42"/>
      <c r="F573" s="22"/>
      <c r="G573" s="22"/>
      <c r="J573" s="24">
        <v>50000</v>
      </c>
      <c r="M573" s="24">
        <v>50000</v>
      </c>
      <c r="O573" s="48" t="s">
        <v>97</v>
      </c>
      <c r="P573" s="48">
        <f>HEX2DEC(RIGHT(Table1323212714[[#This Row],[h1]],8))</f>
        <v>0</v>
      </c>
      <c r="Q573" s="48" t="s">
        <v>97</v>
      </c>
      <c r="R573" s="48">
        <f>HEX2DEC(RIGHT(Table1323212714[[#This Row],[h2]],8))</f>
        <v>0</v>
      </c>
    </row>
    <row r="574" spans="1:18" x14ac:dyDescent="0.3">
      <c r="A574" s="15" t="str">
        <f t="shared" si="13"/>
        <v>234</v>
      </c>
      <c r="B574" s="15">
        <v>564</v>
      </c>
      <c r="C574" s="42"/>
      <c r="F574" s="22"/>
      <c r="G574" s="22"/>
      <c r="J574" s="24">
        <v>50000</v>
      </c>
      <c r="M574" s="24">
        <v>50000</v>
      </c>
      <c r="O574" s="48" t="s">
        <v>97</v>
      </c>
      <c r="P574" s="48">
        <f>HEX2DEC(RIGHT(Table1323212714[[#This Row],[h1]],8))</f>
        <v>0</v>
      </c>
      <c r="Q574" s="48" t="s">
        <v>97</v>
      </c>
      <c r="R574" s="48">
        <f>HEX2DEC(RIGHT(Table1323212714[[#This Row],[h2]],8))</f>
        <v>0</v>
      </c>
    </row>
    <row r="575" spans="1:18" x14ac:dyDescent="0.3">
      <c r="A575" s="15" t="str">
        <f t="shared" si="13"/>
        <v>235</v>
      </c>
      <c r="B575" s="15">
        <v>565</v>
      </c>
      <c r="C575" s="42"/>
      <c r="F575" s="22"/>
      <c r="G575" s="22"/>
      <c r="J575" s="24">
        <v>50000</v>
      </c>
      <c r="M575" s="24">
        <v>50000</v>
      </c>
      <c r="O575" s="48" t="s">
        <v>97</v>
      </c>
      <c r="P575" s="48">
        <f>HEX2DEC(RIGHT(Table1323212714[[#This Row],[h1]],8))</f>
        <v>0</v>
      </c>
      <c r="Q575" s="48" t="s">
        <v>97</v>
      </c>
      <c r="R575" s="48">
        <f>HEX2DEC(RIGHT(Table1323212714[[#This Row],[h2]],8))</f>
        <v>0</v>
      </c>
    </row>
    <row r="576" spans="1:18" x14ac:dyDescent="0.3">
      <c r="A576" s="15" t="str">
        <f t="shared" si="13"/>
        <v>236</v>
      </c>
      <c r="B576" s="15">
        <v>566</v>
      </c>
      <c r="C576" s="42"/>
      <c r="F576" s="22"/>
      <c r="G576" s="22"/>
      <c r="J576" s="24">
        <v>50000</v>
      </c>
      <c r="M576" s="24">
        <v>50000</v>
      </c>
      <c r="O576" s="48" t="s">
        <v>97</v>
      </c>
      <c r="P576" s="48">
        <f>HEX2DEC(RIGHT(Table1323212714[[#This Row],[h1]],8))</f>
        <v>0</v>
      </c>
      <c r="Q576" s="48" t="s">
        <v>97</v>
      </c>
      <c r="R576" s="48">
        <f>HEX2DEC(RIGHT(Table1323212714[[#This Row],[h2]],8))</f>
        <v>0</v>
      </c>
    </row>
    <row r="577" spans="1:18" x14ac:dyDescent="0.3">
      <c r="A577" s="15" t="str">
        <f t="shared" si="13"/>
        <v>237</v>
      </c>
      <c r="B577" s="15">
        <v>567</v>
      </c>
      <c r="C577" s="42"/>
      <c r="F577" s="22"/>
      <c r="G577" s="22"/>
      <c r="J577" s="24">
        <v>50000</v>
      </c>
      <c r="M577" s="24">
        <v>50000</v>
      </c>
      <c r="O577" s="48" t="s">
        <v>97</v>
      </c>
      <c r="P577" s="48">
        <f>HEX2DEC(RIGHT(Table1323212714[[#This Row],[h1]],8))</f>
        <v>0</v>
      </c>
      <c r="Q577" s="48" t="s">
        <v>97</v>
      </c>
      <c r="R577" s="48">
        <f>HEX2DEC(RIGHT(Table1323212714[[#This Row],[h2]],8))</f>
        <v>0</v>
      </c>
    </row>
    <row r="578" spans="1:18" x14ac:dyDescent="0.3">
      <c r="A578" s="15" t="str">
        <f t="shared" si="13"/>
        <v>238</v>
      </c>
      <c r="B578" s="15">
        <v>568</v>
      </c>
      <c r="C578" s="42"/>
      <c r="F578" s="22"/>
      <c r="G578" s="22"/>
      <c r="J578" s="24">
        <v>50000</v>
      </c>
      <c r="M578" s="24">
        <v>50000</v>
      </c>
      <c r="O578" s="48" t="s">
        <v>97</v>
      </c>
      <c r="P578" s="48">
        <f>HEX2DEC(RIGHT(Table1323212714[[#This Row],[h1]],8))</f>
        <v>0</v>
      </c>
      <c r="Q578" s="48" t="s">
        <v>97</v>
      </c>
      <c r="R578" s="48">
        <f>HEX2DEC(RIGHT(Table1323212714[[#This Row],[h2]],8))</f>
        <v>0</v>
      </c>
    </row>
    <row r="579" spans="1:18" x14ac:dyDescent="0.3">
      <c r="A579" s="15" t="str">
        <f t="shared" si="13"/>
        <v>239</v>
      </c>
      <c r="B579" s="15">
        <v>569</v>
      </c>
      <c r="C579" s="42"/>
      <c r="F579" s="22"/>
      <c r="G579" s="22"/>
      <c r="J579" s="24">
        <v>50000</v>
      </c>
      <c r="M579" s="24">
        <v>50000</v>
      </c>
      <c r="O579" s="48" t="s">
        <v>97</v>
      </c>
      <c r="P579" s="48">
        <f>HEX2DEC(RIGHT(Table1323212714[[#This Row],[h1]],8))</f>
        <v>0</v>
      </c>
      <c r="Q579" s="48" t="s">
        <v>97</v>
      </c>
      <c r="R579" s="48">
        <f>HEX2DEC(RIGHT(Table1323212714[[#This Row],[h2]],8))</f>
        <v>0</v>
      </c>
    </row>
    <row r="580" spans="1:18" x14ac:dyDescent="0.3">
      <c r="A580" s="15" t="str">
        <f t="shared" si="13"/>
        <v>23A</v>
      </c>
      <c r="B580" s="15">
        <v>570</v>
      </c>
      <c r="C580" s="42"/>
      <c r="F580" s="22"/>
      <c r="G580" s="22"/>
      <c r="J580" s="24">
        <v>50000</v>
      </c>
      <c r="M580" s="24">
        <v>50000</v>
      </c>
      <c r="O580" s="48" t="s">
        <v>97</v>
      </c>
      <c r="P580" s="48">
        <f>HEX2DEC(RIGHT(Table1323212714[[#This Row],[h1]],8))</f>
        <v>0</v>
      </c>
      <c r="Q580" s="48" t="s">
        <v>97</v>
      </c>
      <c r="R580" s="48">
        <f>HEX2DEC(RIGHT(Table1323212714[[#This Row],[h2]],8))</f>
        <v>0</v>
      </c>
    </row>
    <row r="581" spans="1:18" x14ac:dyDescent="0.3">
      <c r="A581" s="15" t="str">
        <f t="shared" si="13"/>
        <v>23B</v>
      </c>
      <c r="B581" s="15">
        <v>571</v>
      </c>
      <c r="C581" s="42"/>
      <c r="F581" s="22"/>
      <c r="G581" s="22"/>
      <c r="J581" s="24">
        <v>50000</v>
      </c>
      <c r="M581" s="24">
        <v>50000</v>
      </c>
      <c r="O581" s="48" t="s">
        <v>97</v>
      </c>
      <c r="P581" s="48">
        <f>HEX2DEC(RIGHT(Table1323212714[[#This Row],[h1]],8))</f>
        <v>0</v>
      </c>
      <c r="Q581" s="48" t="s">
        <v>97</v>
      </c>
      <c r="R581" s="48">
        <f>HEX2DEC(RIGHT(Table1323212714[[#This Row],[h2]],8))</f>
        <v>0</v>
      </c>
    </row>
    <row r="582" spans="1:18" x14ac:dyDescent="0.3">
      <c r="A582" s="15" t="str">
        <f t="shared" si="13"/>
        <v>23C</v>
      </c>
      <c r="B582" s="15">
        <v>572</v>
      </c>
      <c r="C582" s="42"/>
      <c r="F582" s="22"/>
      <c r="G582" s="22"/>
      <c r="J582" s="24">
        <v>50000</v>
      </c>
      <c r="M582" s="24">
        <v>50000</v>
      </c>
      <c r="O582" s="48" t="s">
        <v>97</v>
      </c>
      <c r="P582" s="48">
        <f>HEX2DEC(RIGHT(Table1323212714[[#This Row],[h1]],8))</f>
        <v>0</v>
      </c>
      <c r="Q582" s="48" t="s">
        <v>97</v>
      </c>
      <c r="R582" s="48">
        <f>HEX2DEC(RIGHT(Table1323212714[[#This Row],[h2]],8))</f>
        <v>0</v>
      </c>
    </row>
    <row r="583" spans="1:18" x14ac:dyDescent="0.3">
      <c r="A583" s="15" t="str">
        <f t="shared" si="13"/>
        <v>23D</v>
      </c>
      <c r="B583" s="15">
        <v>573</v>
      </c>
      <c r="C583" s="42"/>
      <c r="F583" s="22"/>
      <c r="G583" s="22"/>
      <c r="J583" s="24">
        <v>50000</v>
      </c>
      <c r="M583" s="24">
        <v>50000</v>
      </c>
      <c r="O583" s="48" t="s">
        <v>97</v>
      </c>
      <c r="P583" s="48">
        <f>HEX2DEC(RIGHT(Table1323212714[[#This Row],[h1]],8))</f>
        <v>0</v>
      </c>
      <c r="Q583" s="48" t="s">
        <v>97</v>
      </c>
      <c r="R583" s="48">
        <f>HEX2DEC(RIGHT(Table1323212714[[#This Row],[h2]],8))</f>
        <v>0</v>
      </c>
    </row>
    <row r="584" spans="1:18" x14ac:dyDescent="0.3">
      <c r="A584" s="15" t="str">
        <f t="shared" si="13"/>
        <v>23E</v>
      </c>
      <c r="B584" s="15">
        <v>574</v>
      </c>
      <c r="C584" s="42"/>
      <c r="F584" s="22"/>
      <c r="G584" s="22"/>
      <c r="J584" s="24">
        <v>50000</v>
      </c>
      <c r="M584" s="24">
        <v>50000</v>
      </c>
      <c r="O584" s="48" t="s">
        <v>97</v>
      </c>
      <c r="P584" s="48">
        <f>HEX2DEC(RIGHT(Table1323212714[[#This Row],[h1]],8))</f>
        <v>0</v>
      </c>
      <c r="Q584" s="48" t="s">
        <v>97</v>
      </c>
      <c r="R584" s="48">
        <f>HEX2DEC(RIGHT(Table1323212714[[#This Row],[h2]],8))</f>
        <v>0</v>
      </c>
    </row>
    <row r="585" spans="1:18" x14ac:dyDescent="0.3">
      <c r="A585" s="15" t="str">
        <f t="shared" si="13"/>
        <v>23F</v>
      </c>
      <c r="B585" s="15">
        <v>575</v>
      </c>
      <c r="C585" s="42"/>
      <c r="F585" s="22"/>
      <c r="G585" s="22"/>
      <c r="J585" s="24">
        <v>50000</v>
      </c>
      <c r="M585" s="24">
        <v>50000</v>
      </c>
      <c r="O585" s="48" t="s">
        <v>97</v>
      </c>
      <c r="P585" s="48">
        <f>HEX2DEC(RIGHT(Table1323212714[[#This Row],[h1]],8))</f>
        <v>0</v>
      </c>
      <c r="Q585" s="48" t="s">
        <v>97</v>
      </c>
      <c r="R585" s="48">
        <f>HEX2DEC(RIGHT(Table1323212714[[#This Row],[h2]],8))</f>
        <v>0</v>
      </c>
    </row>
    <row r="586" spans="1:18" x14ac:dyDescent="0.3">
      <c r="A586" s="15" t="str">
        <f t="shared" si="13"/>
        <v>240</v>
      </c>
      <c r="B586" s="15">
        <v>576</v>
      </c>
      <c r="C586" s="42"/>
      <c r="F586" s="22"/>
      <c r="G586" s="22"/>
      <c r="J586" s="24">
        <v>50000</v>
      </c>
      <c r="M586" s="24">
        <v>50000</v>
      </c>
      <c r="O586" s="48" t="s">
        <v>97</v>
      </c>
      <c r="P586" s="48">
        <f>HEX2DEC(RIGHT(Table1323212714[[#This Row],[h1]],8))</f>
        <v>0</v>
      </c>
      <c r="Q586" s="48" t="s">
        <v>97</v>
      </c>
      <c r="R586" s="48">
        <f>HEX2DEC(RIGHT(Table1323212714[[#This Row],[h2]],8))</f>
        <v>0</v>
      </c>
    </row>
    <row r="587" spans="1:18" x14ac:dyDescent="0.3">
      <c r="A587" s="15" t="str">
        <f t="shared" ref="A587:A650" si="14">DEC2HEX(B587,3)</f>
        <v>241</v>
      </c>
      <c r="B587" s="15">
        <v>577</v>
      </c>
      <c r="C587" s="42"/>
      <c r="F587" s="22"/>
      <c r="G587" s="22"/>
      <c r="J587" s="24">
        <v>50000</v>
      </c>
      <c r="M587" s="24">
        <v>50000</v>
      </c>
      <c r="O587" s="48" t="s">
        <v>97</v>
      </c>
      <c r="P587" s="48">
        <f>HEX2DEC(RIGHT(Table1323212714[[#This Row],[h1]],8))</f>
        <v>0</v>
      </c>
      <c r="Q587" s="48" t="s">
        <v>97</v>
      </c>
      <c r="R587" s="48">
        <f>HEX2DEC(RIGHT(Table1323212714[[#This Row],[h2]],8))</f>
        <v>0</v>
      </c>
    </row>
    <row r="588" spans="1:18" x14ac:dyDescent="0.3">
      <c r="A588" s="15" t="str">
        <f t="shared" si="14"/>
        <v>242</v>
      </c>
      <c r="B588" s="15">
        <v>578</v>
      </c>
      <c r="C588" s="42"/>
      <c r="F588" s="22"/>
      <c r="G588" s="22"/>
      <c r="J588" s="24">
        <v>50000</v>
      </c>
      <c r="M588" s="24">
        <v>50000</v>
      </c>
      <c r="O588" s="48" t="s">
        <v>97</v>
      </c>
      <c r="P588" s="48">
        <f>HEX2DEC(RIGHT(Table1323212714[[#This Row],[h1]],8))</f>
        <v>0</v>
      </c>
      <c r="Q588" s="48" t="s">
        <v>97</v>
      </c>
      <c r="R588" s="48">
        <f>HEX2DEC(RIGHT(Table1323212714[[#This Row],[h2]],8))</f>
        <v>0</v>
      </c>
    </row>
    <row r="589" spans="1:18" x14ac:dyDescent="0.3">
      <c r="A589" s="15" t="str">
        <f t="shared" si="14"/>
        <v>243</v>
      </c>
      <c r="B589" s="15">
        <v>579</v>
      </c>
      <c r="C589" s="42"/>
      <c r="F589" s="22"/>
      <c r="G589" s="22"/>
      <c r="J589" s="24">
        <v>50000</v>
      </c>
      <c r="M589" s="24">
        <v>50000</v>
      </c>
      <c r="O589" s="48" t="s">
        <v>97</v>
      </c>
      <c r="P589" s="48">
        <f>HEX2DEC(RIGHT(Table1323212714[[#This Row],[h1]],8))</f>
        <v>0</v>
      </c>
      <c r="Q589" s="48" t="s">
        <v>97</v>
      </c>
      <c r="R589" s="48">
        <f>HEX2DEC(RIGHT(Table1323212714[[#This Row],[h2]],8))</f>
        <v>0</v>
      </c>
    </row>
    <row r="590" spans="1:18" x14ac:dyDescent="0.3">
      <c r="A590" s="15" t="str">
        <f t="shared" si="14"/>
        <v>244</v>
      </c>
      <c r="B590" s="15">
        <v>580</v>
      </c>
      <c r="C590" s="42"/>
      <c r="F590" s="22"/>
      <c r="G590" s="22"/>
      <c r="J590" s="24">
        <v>50000</v>
      </c>
      <c r="M590" s="24">
        <v>50000</v>
      </c>
      <c r="O590" s="48" t="s">
        <v>97</v>
      </c>
      <c r="P590" s="48">
        <f>HEX2DEC(RIGHT(Table1323212714[[#This Row],[h1]],8))</f>
        <v>0</v>
      </c>
      <c r="Q590" s="48" t="s">
        <v>97</v>
      </c>
      <c r="R590" s="48">
        <f>HEX2DEC(RIGHT(Table1323212714[[#This Row],[h2]],8))</f>
        <v>0</v>
      </c>
    </row>
    <row r="591" spans="1:18" x14ac:dyDescent="0.3">
      <c r="A591" s="15" t="str">
        <f t="shared" si="14"/>
        <v>245</v>
      </c>
      <c r="B591" s="15">
        <v>581</v>
      </c>
      <c r="C591" s="42"/>
      <c r="F591" s="22"/>
      <c r="G591" s="22"/>
      <c r="J591" s="24">
        <v>50000</v>
      </c>
      <c r="M591" s="24">
        <v>50000</v>
      </c>
      <c r="O591" s="48" t="s">
        <v>97</v>
      </c>
      <c r="P591" s="48">
        <f>HEX2DEC(RIGHT(Table1323212714[[#This Row],[h1]],8))</f>
        <v>0</v>
      </c>
      <c r="Q591" s="48" t="s">
        <v>97</v>
      </c>
      <c r="R591" s="48">
        <f>HEX2DEC(RIGHT(Table1323212714[[#This Row],[h2]],8))</f>
        <v>0</v>
      </c>
    </row>
    <row r="592" spans="1:18" x14ac:dyDescent="0.3">
      <c r="A592" s="15" t="str">
        <f t="shared" si="14"/>
        <v>246</v>
      </c>
      <c r="B592" s="15">
        <v>582</v>
      </c>
      <c r="C592" s="42"/>
      <c r="F592" s="22"/>
      <c r="G592" s="22"/>
      <c r="J592" s="24">
        <v>50000</v>
      </c>
      <c r="M592" s="24">
        <v>50000</v>
      </c>
      <c r="O592" s="48" t="s">
        <v>97</v>
      </c>
      <c r="P592" s="48">
        <f>HEX2DEC(RIGHT(Table1323212714[[#This Row],[h1]],8))</f>
        <v>0</v>
      </c>
      <c r="Q592" s="48" t="s">
        <v>97</v>
      </c>
      <c r="R592" s="48">
        <f>HEX2DEC(RIGHT(Table1323212714[[#This Row],[h2]],8))</f>
        <v>0</v>
      </c>
    </row>
    <row r="593" spans="1:18" x14ac:dyDescent="0.3">
      <c r="A593" s="15" t="str">
        <f t="shared" si="14"/>
        <v>247</v>
      </c>
      <c r="B593" s="15">
        <v>583</v>
      </c>
      <c r="C593" s="42"/>
      <c r="F593" s="22"/>
      <c r="G593" s="22"/>
      <c r="J593" s="24">
        <v>50000</v>
      </c>
      <c r="M593" s="24">
        <v>50000</v>
      </c>
      <c r="O593" s="48" t="s">
        <v>97</v>
      </c>
      <c r="P593" s="48">
        <f>HEX2DEC(RIGHT(Table1323212714[[#This Row],[h1]],8))</f>
        <v>0</v>
      </c>
      <c r="Q593" s="48" t="s">
        <v>97</v>
      </c>
      <c r="R593" s="48">
        <f>HEX2DEC(RIGHT(Table1323212714[[#This Row],[h2]],8))</f>
        <v>0</v>
      </c>
    </row>
    <row r="594" spans="1:18" x14ac:dyDescent="0.3">
      <c r="A594" s="15" t="str">
        <f t="shared" si="14"/>
        <v>248</v>
      </c>
      <c r="B594" s="15">
        <v>584</v>
      </c>
      <c r="C594" s="42"/>
      <c r="F594" s="22"/>
      <c r="G594" s="22"/>
      <c r="J594" s="24">
        <v>50000</v>
      </c>
      <c r="M594" s="24">
        <v>50000</v>
      </c>
      <c r="O594" s="48" t="s">
        <v>97</v>
      </c>
      <c r="P594" s="48">
        <f>HEX2DEC(RIGHT(Table1323212714[[#This Row],[h1]],8))</f>
        <v>0</v>
      </c>
      <c r="Q594" s="48" t="s">
        <v>97</v>
      </c>
      <c r="R594" s="48">
        <f>HEX2DEC(RIGHT(Table1323212714[[#This Row],[h2]],8))</f>
        <v>0</v>
      </c>
    </row>
    <row r="595" spans="1:18" x14ac:dyDescent="0.3">
      <c r="A595" s="15" t="str">
        <f t="shared" si="14"/>
        <v>249</v>
      </c>
      <c r="B595" s="15">
        <v>585</v>
      </c>
      <c r="C595" s="42"/>
      <c r="F595" s="22"/>
      <c r="G595" s="22"/>
      <c r="J595" s="24">
        <v>50000</v>
      </c>
      <c r="M595" s="24">
        <v>50000</v>
      </c>
      <c r="O595" s="48" t="s">
        <v>97</v>
      </c>
      <c r="P595" s="48">
        <f>HEX2DEC(RIGHT(Table1323212714[[#This Row],[h1]],8))</f>
        <v>0</v>
      </c>
      <c r="Q595" s="48" t="s">
        <v>97</v>
      </c>
      <c r="R595" s="48">
        <f>HEX2DEC(RIGHT(Table1323212714[[#This Row],[h2]],8))</f>
        <v>0</v>
      </c>
    </row>
    <row r="596" spans="1:18" x14ac:dyDescent="0.3">
      <c r="A596" s="15" t="str">
        <f t="shared" si="14"/>
        <v>24A</v>
      </c>
      <c r="B596" s="15">
        <v>586</v>
      </c>
      <c r="C596" s="42"/>
      <c r="F596" s="22"/>
      <c r="G596" s="22"/>
      <c r="J596" s="24">
        <v>50000</v>
      </c>
      <c r="M596" s="24">
        <v>50000</v>
      </c>
      <c r="O596" s="48" t="s">
        <v>97</v>
      </c>
      <c r="P596" s="48">
        <f>HEX2DEC(RIGHT(Table1323212714[[#This Row],[h1]],8))</f>
        <v>0</v>
      </c>
      <c r="Q596" s="48" t="s">
        <v>97</v>
      </c>
      <c r="R596" s="48">
        <f>HEX2DEC(RIGHT(Table1323212714[[#This Row],[h2]],8))</f>
        <v>0</v>
      </c>
    </row>
    <row r="597" spans="1:18" x14ac:dyDescent="0.3">
      <c r="A597" s="15" t="str">
        <f t="shared" si="14"/>
        <v>24B</v>
      </c>
      <c r="B597" s="15">
        <v>587</v>
      </c>
      <c r="C597" s="42"/>
      <c r="F597" s="22"/>
      <c r="G597" s="22"/>
      <c r="J597" s="24">
        <v>50000</v>
      </c>
      <c r="M597" s="24">
        <v>50000</v>
      </c>
      <c r="O597" s="48" t="s">
        <v>97</v>
      </c>
      <c r="P597" s="48">
        <f>HEX2DEC(RIGHT(Table1323212714[[#This Row],[h1]],8))</f>
        <v>0</v>
      </c>
      <c r="Q597" s="48" t="s">
        <v>97</v>
      </c>
      <c r="R597" s="48">
        <f>HEX2DEC(RIGHT(Table1323212714[[#This Row],[h2]],8))</f>
        <v>0</v>
      </c>
    </row>
    <row r="598" spans="1:18" x14ac:dyDescent="0.3">
      <c r="A598" s="15" t="str">
        <f t="shared" si="14"/>
        <v>24C</v>
      </c>
      <c r="B598" s="15">
        <v>588</v>
      </c>
      <c r="C598" s="42"/>
      <c r="F598" s="22"/>
      <c r="G598" s="22"/>
      <c r="J598" s="24">
        <v>50000</v>
      </c>
      <c r="M598" s="24">
        <v>50000</v>
      </c>
      <c r="O598" s="48" t="s">
        <v>97</v>
      </c>
      <c r="P598" s="48">
        <f>HEX2DEC(RIGHT(Table1323212714[[#This Row],[h1]],8))</f>
        <v>0</v>
      </c>
      <c r="Q598" s="48" t="s">
        <v>97</v>
      </c>
      <c r="R598" s="48">
        <f>HEX2DEC(RIGHT(Table1323212714[[#This Row],[h2]],8))</f>
        <v>0</v>
      </c>
    </row>
    <row r="599" spans="1:18" x14ac:dyDescent="0.3">
      <c r="A599" s="15" t="str">
        <f t="shared" si="14"/>
        <v>24D</v>
      </c>
      <c r="B599" s="15">
        <v>589</v>
      </c>
      <c r="C599" s="42"/>
      <c r="F599" s="22"/>
      <c r="G599" s="22"/>
      <c r="J599" s="24">
        <v>50000</v>
      </c>
      <c r="M599" s="24">
        <v>50000</v>
      </c>
      <c r="O599" s="48" t="s">
        <v>97</v>
      </c>
      <c r="P599" s="48">
        <f>HEX2DEC(RIGHT(Table1323212714[[#This Row],[h1]],8))</f>
        <v>0</v>
      </c>
      <c r="Q599" s="48" t="s">
        <v>97</v>
      </c>
      <c r="R599" s="48">
        <f>HEX2DEC(RIGHT(Table1323212714[[#This Row],[h2]],8))</f>
        <v>0</v>
      </c>
    </row>
    <row r="600" spans="1:18" x14ac:dyDescent="0.3">
      <c r="A600" s="15" t="str">
        <f t="shared" si="14"/>
        <v>24E</v>
      </c>
      <c r="B600" s="15">
        <v>590</v>
      </c>
      <c r="C600" s="42"/>
      <c r="F600" s="22"/>
      <c r="G600" s="22"/>
      <c r="J600" s="24">
        <v>50000</v>
      </c>
      <c r="M600" s="24">
        <v>50000</v>
      </c>
      <c r="O600" s="48" t="s">
        <v>97</v>
      </c>
      <c r="P600" s="48">
        <f>HEX2DEC(RIGHT(Table1323212714[[#This Row],[h1]],8))</f>
        <v>0</v>
      </c>
      <c r="Q600" s="48" t="s">
        <v>97</v>
      </c>
      <c r="R600" s="48">
        <f>HEX2DEC(RIGHT(Table1323212714[[#This Row],[h2]],8))</f>
        <v>0</v>
      </c>
    </row>
    <row r="601" spans="1:18" x14ac:dyDescent="0.3">
      <c r="A601" s="15" t="str">
        <f t="shared" si="14"/>
        <v>24F</v>
      </c>
      <c r="B601" s="15">
        <v>591</v>
      </c>
      <c r="C601" s="42"/>
      <c r="F601" s="22"/>
      <c r="G601" s="22"/>
      <c r="J601" s="24">
        <v>50000</v>
      </c>
      <c r="M601" s="24">
        <v>50000</v>
      </c>
      <c r="O601" s="48" t="s">
        <v>97</v>
      </c>
      <c r="P601" s="48">
        <f>HEX2DEC(RIGHT(Table1323212714[[#This Row],[h1]],8))</f>
        <v>0</v>
      </c>
      <c r="Q601" s="48" t="s">
        <v>97</v>
      </c>
      <c r="R601" s="48">
        <f>HEX2DEC(RIGHT(Table1323212714[[#This Row],[h2]],8))</f>
        <v>0</v>
      </c>
    </row>
    <row r="602" spans="1:18" x14ac:dyDescent="0.3">
      <c r="A602" s="15" t="str">
        <f t="shared" si="14"/>
        <v>250</v>
      </c>
      <c r="B602" s="15">
        <v>592</v>
      </c>
      <c r="C602" s="42"/>
      <c r="F602" s="22"/>
      <c r="G602" s="22"/>
      <c r="J602" s="24">
        <v>50000</v>
      </c>
      <c r="M602" s="24">
        <v>50000</v>
      </c>
      <c r="O602" s="48" t="s">
        <v>97</v>
      </c>
      <c r="P602" s="48">
        <f>HEX2DEC(RIGHT(Table1323212714[[#This Row],[h1]],8))</f>
        <v>0</v>
      </c>
      <c r="Q602" s="48" t="s">
        <v>97</v>
      </c>
      <c r="R602" s="48">
        <f>HEX2DEC(RIGHT(Table1323212714[[#This Row],[h2]],8))</f>
        <v>0</v>
      </c>
    </row>
    <row r="603" spans="1:18" x14ac:dyDescent="0.3">
      <c r="A603" s="15" t="str">
        <f t="shared" si="14"/>
        <v>251</v>
      </c>
      <c r="B603" s="15">
        <v>593</v>
      </c>
      <c r="C603" s="42"/>
      <c r="F603" s="22"/>
      <c r="G603" s="22"/>
      <c r="J603" s="24">
        <v>50000</v>
      </c>
      <c r="M603" s="24">
        <v>50000</v>
      </c>
      <c r="O603" s="48" t="s">
        <v>97</v>
      </c>
      <c r="P603" s="48">
        <f>HEX2DEC(RIGHT(Table1323212714[[#This Row],[h1]],8))</f>
        <v>0</v>
      </c>
      <c r="Q603" s="48" t="s">
        <v>97</v>
      </c>
      <c r="R603" s="48">
        <f>HEX2DEC(RIGHT(Table1323212714[[#This Row],[h2]],8))</f>
        <v>0</v>
      </c>
    </row>
    <row r="604" spans="1:18" x14ac:dyDescent="0.3">
      <c r="A604" s="15" t="str">
        <f t="shared" si="14"/>
        <v>252</v>
      </c>
      <c r="B604" s="15">
        <v>594</v>
      </c>
      <c r="C604" s="42"/>
      <c r="F604" s="22"/>
      <c r="G604" s="22"/>
      <c r="J604" s="24">
        <v>50000</v>
      </c>
      <c r="M604" s="24">
        <v>50000</v>
      </c>
      <c r="O604" s="48" t="s">
        <v>97</v>
      </c>
      <c r="P604" s="48">
        <f>HEX2DEC(RIGHT(Table1323212714[[#This Row],[h1]],8))</f>
        <v>0</v>
      </c>
      <c r="Q604" s="48" t="s">
        <v>97</v>
      </c>
      <c r="R604" s="48">
        <f>HEX2DEC(RIGHT(Table1323212714[[#This Row],[h2]],8))</f>
        <v>0</v>
      </c>
    </row>
    <row r="605" spans="1:18" x14ac:dyDescent="0.3">
      <c r="A605" s="15" t="str">
        <f t="shared" si="14"/>
        <v>253</v>
      </c>
      <c r="B605" s="15">
        <v>595</v>
      </c>
      <c r="C605" s="42"/>
      <c r="F605" s="22"/>
      <c r="G605" s="22"/>
      <c r="J605" s="24">
        <v>50000</v>
      </c>
      <c r="M605" s="24">
        <v>50000</v>
      </c>
      <c r="O605" s="48" t="s">
        <v>97</v>
      </c>
      <c r="P605" s="48">
        <f>HEX2DEC(RIGHT(Table1323212714[[#This Row],[h1]],8))</f>
        <v>0</v>
      </c>
      <c r="Q605" s="48" t="s">
        <v>97</v>
      </c>
      <c r="R605" s="48">
        <f>HEX2DEC(RIGHT(Table1323212714[[#This Row],[h2]],8))</f>
        <v>0</v>
      </c>
    </row>
    <row r="606" spans="1:18" x14ac:dyDescent="0.3">
      <c r="A606" s="15" t="str">
        <f t="shared" si="14"/>
        <v>254</v>
      </c>
      <c r="B606" s="15">
        <v>596</v>
      </c>
      <c r="C606" s="42"/>
      <c r="F606" s="22"/>
      <c r="G606" s="22"/>
      <c r="J606" s="24">
        <v>50000</v>
      </c>
      <c r="M606" s="24">
        <v>50000</v>
      </c>
      <c r="O606" s="48" t="s">
        <v>97</v>
      </c>
      <c r="P606" s="48">
        <f>HEX2DEC(RIGHT(Table1323212714[[#This Row],[h1]],8))</f>
        <v>0</v>
      </c>
      <c r="Q606" s="48" t="s">
        <v>97</v>
      </c>
      <c r="R606" s="48">
        <f>HEX2DEC(RIGHT(Table1323212714[[#This Row],[h2]],8))</f>
        <v>0</v>
      </c>
    </row>
    <row r="607" spans="1:18" x14ac:dyDescent="0.3">
      <c r="A607" s="15" t="str">
        <f t="shared" si="14"/>
        <v>255</v>
      </c>
      <c r="B607" s="15">
        <v>597</v>
      </c>
      <c r="C607" s="42"/>
      <c r="F607" s="22"/>
      <c r="G607" s="22"/>
      <c r="J607" s="24">
        <v>50000</v>
      </c>
      <c r="M607" s="24">
        <v>50000</v>
      </c>
      <c r="O607" s="48" t="s">
        <v>97</v>
      </c>
      <c r="P607" s="48">
        <f>HEX2DEC(RIGHT(Table1323212714[[#This Row],[h1]],8))</f>
        <v>0</v>
      </c>
      <c r="Q607" s="48" t="s">
        <v>97</v>
      </c>
      <c r="R607" s="48">
        <f>HEX2DEC(RIGHT(Table1323212714[[#This Row],[h2]],8))</f>
        <v>0</v>
      </c>
    </row>
    <row r="608" spans="1:18" x14ac:dyDescent="0.3">
      <c r="A608" s="15" t="str">
        <f t="shared" si="14"/>
        <v>256</v>
      </c>
      <c r="B608" s="15">
        <v>598</v>
      </c>
      <c r="C608" s="42"/>
      <c r="F608" s="22"/>
      <c r="G608" s="22"/>
      <c r="J608" s="24">
        <v>50000</v>
      </c>
      <c r="M608" s="24">
        <v>50000</v>
      </c>
      <c r="O608" s="48" t="s">
        <v>97</v>
      </c>
      <c r="P608" s="48">
        <f>HEX2DEC(RIGHT(Table1323212714[[#This Row],[h1]],8))</f>
        <v>0</v>
      </c>
      <c r="Q608" s="48" t="s">
        <v>97</v>
      </c>
      <c r="R608" s="48">
        <f>HEX2DEC(RIGHT(Table1323212714[[#This Row],[h2]],8))</f>
        <v>0</v>
      </c>
    </row>
    <row r="609" spans="1:18" x14ac:dyDescent="0.3">
      <c r="A609" s="15" t="str">
        <f t="shared" si="14"/>
        <v>257</v>
      </c>
      <c r="B609" s="15">
        <v>599</v>
      </c>
      <c r="C609" s="42"/>
      <c r="F609" s="22"/>
      <c r="G609" s="22"/>
      <c r="J609" s="24">
        <v>50000</v>
      </c>
      <c r="M609" s="24">
        <v>50000</v>
      </c>
      <c r="O609" s="48" t="s">
        <v>97</v>
      </c>
      <c r="P609" s="48">
        <f>HEX2DEC(RIGHT(Table1323212714[[#This Row],[h1]],8))</f>
        <v>0</v>
      </c>
      <c r="Q609" s="48" t="s">
        <v>97</v>
      </c>
      <c r="R609" s="48">
        <f>HEX2DEC(RIGHT(Table1323212714[[#This Row],[h2]],8))</f>
        <v>0</v>
      </c>
    </row>
    <row r="610" spans="1:18" x14ac:dyDescent="0.3">
      <c r="A610" s="15" t="str">
        <f t="shared" si="14"/>
        <v>258</v>
      </c>
      <c r="B610" s="15">
        <v>600</v>
      </c>
      <c r="C610" s="42"/>
      <c r="F610" s="22"/>
      <c r="G610" s="22"/>
      <c r="J610" s="24">
        <v>50000</v>
      </c>
      <c r="M610" s="24">
        <v>50000</v>
      </c>
      <c r="O610" s="48" t="s">
        <v>97</v>
      </c>
      <c r="P610" s="48">
        <f>HEX2DEC(RIGHT(Table1323212714[[#This Row],[h1]],8))</f>
        <v>0</v>
      </c>
      <c r="Q610" s="48" t="s">
        <v>97</v>
      </c>
      <c r="R610" s="48">
        <f>HEX2DEC(RIGHT(Table1323212714[[#This Row],[h2]],8))</f>
        <v>0</v>
      </c>
    </row>
    <row r="611" spans="1:18" x14ac:dyDescent="0.3">
      <c r="A611" s="15" t="str">
        <f t="shared" si="14"/>
        <v>259</v>
      </c>
      <c r="B611" s="15">
        <v>601</v>
      </c>
      <c r="C611" s="42"/>
      <c r="F611" s="22"/>
      <c r="G611" s="22"/>
      <c r="J611" s="24">
        <v>50000</v>
      </c>
      <c r="M611" s="24">
        <v>50000</v>
      </c>
      <c r="O611" s="48" t="s">
        <v>97</v>
      </c>
      <c r="P611" s="48">
        <f>HEX2DEC(RIGHT(Table1323212714[[#This Row],[h1]],8))</f>
        <v>0</v>
      </c>
      <c r="Q611" s="48" t="s">
        <v>97</v>
      </c>
      <c r="R611" s="48">
        <f>HEX2DEC(RIGHT(Table1323212714[[#This Row],[h2]],8))</f>
        <v>0</v>
      </c>
    </row>
    <row r="612" spans="1:18" x14ac:dyDescent="0.3">
      <c r="A612" s="15" t="str">
        <f t="shared" si="14"/>
        <v>25A</v>
      </c>
      <c r="B612" s="15">
        <v>602</v>
      </c>
      <c r="C612" s="42"/>
      <c r="F612" s="22"/>
      <c r="G612" s="22"/>
      <c r="J612" s="24">
        <v>50000</v>
      </c>
      <c r="M612" s="24">
        <v>50000</v>
      </c>
      <c r="O612" s="48" t="s">
        <v>97</v>
      </c>
      <c r="P612" s="48">
        <f>HEX2DEC(RIGHT(Table1323212714[[#This Row],[h1]],8))</f>
        <v>0</v>
      </c>
      <c r="Q612" s="48" t="s">
        <v>97</v>
      </c>
      <c r="R612" s="48">
        <f>HEX2DEC(RIGHT(Table1323212714[[#This Row],[h2]],8))</f>
        <v>0</v>
      </c>
    </row>
    <row r="613" spans="1:18" x14ac:dyDescent="0.3">
      <c r="A613" s="15" t="str">
        <f t="shared" si="14"/>
        <v>25B</v>
      </c>
      <c r="B613" s="15">
        <v>603</v>
      </c>
      <c r="C613" s="42"/>
      <c r="F613" s="22"/>
      <c r="G613" s="22"/>
      <c r="J613" s="24">
        <v>50000</v>
      </c>
      <c r="M613" s="24">
        <v>50000</v>
      </c>
      <c r="O613" s="48" t="s">
        <v>97</v>
      </c>
      <c r="P613" s="48">
        <f>HEX2DEC(RIGHT(Table1323212714[[#This Row],[h1]],8))</f>
        <v>0</v>
      </c>
      <c r="Q613" s="48" t="s">
        <v>97</v>
      </c>
      <c r="R613" s="48">
        <f>HEX2DEC(RIGHT(Table1323212714[[#This Row],[h2]],8))</f>
        <v>0</v>
      </c>
    </row>
    <row r="614" spans="1:18" x14ac:dyDescent="0.3">
      <c r="A614" s="15" t="str">
        <f t="shared" si="14"/>
        <v>25C</v>
      </c>
      <c r="B614" s="15">
        <v>604</v>
      </c>
      <c r="C614" s="42"/>
      <c r="F614" s="22"/>
      <c r="G614" s="22"/>
      <c r="J614" s="24">
        <v>50000</v>
      </c>
      <c r="M614" s="24">
        <v>50000</v>
      </c>
      <c r="O614" s="48" t="s">
        <v>97</v>
      </c>
      <c r="P614" s="48">
        <f>HEX2DEC(RIGHT(Table1323212714[[#This Row],[h1]],8))</f>
        <v>0</v>
      </c>
      <c r="Q614" s="48" t="s">
        <v>97</v>
      </c>
      <c r="R614" s="48">
        <f>HEX2DEC(RIGHT(Table1323212714[[#This Row],[h2]],8))</f>
        <v>0</v>
      </c>
    </row>
    <row r="615" spans="1:18" x14ac:dyDescent="0.3">
      <c r="A615" s="15" t="str">
        <f t="shared" si="14"/>
        <v>25D</v>
      </c>
      <c r="B615" s="15">
        <v>605</v>
      </c>
      <c r="C615" s="42"/>
      <c r="F615" s="22"/>
      <c r="G615" s="22"/>
      <c r="J615" s="24">
        <v>50000</v>
      </c>
      <c r="M615" s="24">
        <v>50000</v>
      </c>
      <c r="O615" s="48" t="s">
        <v>97</v>
      </c>
      <c r="P615" s="48">
        <f>HEX2DEC(RIGHT(Table1323212714[[#This Row],[h1]],8))</f>
        <v>0</v>
      </c>
      <c r="Q615" s="48" t="s">
        <v>97</v>
      </c>
      <c r="R615" s="48">
        <f>HEX2DEC(RIGHT(Table1323212714[[#This Row],[h2]],8))</f>
        <v>0</v>
      </c>
    </row>
    <row r="616" spans="1:18" x14ac:dyDescent="0.3">
      <c r="A616" s="15" t="str">
        <f t="shared" si="14"/>
        <v>25E</v>
      </c>
      <c r="B616" s="15">
        <v>606</v>
      </c>
      <c r="C616" s="42"/>
      <c r="F616" s="22"/>
      <c r="G616" s="22"/>
      <c r="J616" s="24">
        <v>50000</v>
      </c>
      <c r="M616" s="24">
        <v>50000</v>
      </c>
      <c r="O616" s="48" t="s">
        <v>97</v>
      </c>
      <c r="P616" s="48">
        <f>HEX2DEC(RIGHT(Table1323212714[[#This Row],[h1]],8))</f>
        <v>0</v>
      </c>
      <c r="Q616" s="48" t="s">
        <v>97</v>
      </c>
      <c r="R616" s="48">
        <f>HEX2DEC(RIGHT(Table1323212714[[#This Row],[h2]],8))</f>
        <v>0</v>
      </c>
    </row>
    <row r="617" spans="1:18" x14ac:dyDescent="0.3">
      <c r="A617" s="15" t="str">
        <f t="shared" si="14"/>
        <v>25F</v>
      </c>
      <c r="B617" s="15">
        <v>607</v>
      </c>
      <c r="C617" s="42"/>
      <c r="F617" s="22"/>
      <c r="G617" s="22"/>
      <c r="J617" s="24">
        <v>50000</v>
      </c>
      <c r="M617" s="24">
        <v>50000</v>
      </c>
      <c r="O617" s="48" t="s">
        <v>97</v>
      </c>
      <c r="P617" s="48">
        <f>HEX2DEC(RIGHT(Table1323212714[[#This Row],[h1]],8))</f>
        <v>0</v>
      </c>
      <c r="Q617" s="48" t="s">
        <v>97</v>
      </c>
      <c r="R617" s="48">
        <f>HEX2DEC(RIGHT(Table1323212714[[#This Row],[h2]],8))</f>
        <v>0</v>
      </c>
    </row>
    <row r="618" spans="1:18" x14ac:dyDescent="0.3">
      <c r="A618" s="15" t="str">
        <f t="shared" si="14"/>
        <v>260</v>
      </c>
      <c r="B618" s="15">
        <v>608</v>
      </c>
      <c r="C618" s="42"/>
      <c r="F618" s="22"/>
      <c r="G618" s="22"/>
      <c r="J618" s="24">
        <v>50000</v>
      </c>
      <c r="M618" s="24">
        <v>50000</v>
      </c>
      <c r="O618" s="48" t="s">
        <v>97</v>
      </c>
      <c r="P618" s="48">
        <f>HEX2DEC(RIGHT(Table1323212714[[#This Row],[h1]],8))</f>
        <v>0</v>
      </c>
      <c r="Q618" s="48" t="s">
        <v>97</v>
      </c>
      <c r="R618" s="48">
        <f>HEX2DEC(RIGHT(Table1323212714[[#This Row],[h2]],8))</f>
        <v>0</v>
      </c>
    </row>
    <row r="619" spans="1:18" x14ac:dyDescent="0.3">
      <c r="A619" s="15" t="str">
        <f t="shared" si="14"/>
        <v>261</v>
      </c>
      <c r="B619" s="15">
        <v>609</v>
      </c>
      <c r="C619" s="42"/>
      <c r="F619" s="22"/>
      <c r="G619" s="22"/>
      <c r="J619" s="24">
        <v>50000</v>
      </c>
      <c r="M619" s="24">
        <v>50000</v>
      </c>
      <c r="O619" s="48" t="s">
        <v>97</v>
      </c>
      <c r="P619" s="48">
        <f>HEX2DEC(RIGHT(Table1323212714[[#This Row],[h1]],8))</f>
        <v>0</v>
      </c>
      <c r="Q619" s="48" t="s">
        <v>97</v>
      </c>
      <c r="R619" s="48">
        <f>HEX2DEC(RIGHT(Table1323212714[[#This Row],[h2]],8))</f>
        <v>0</v>
      </c>
    </row>
    <row r="620" spans="1:18" x14ac:dyDescent="0.3">
      <c r="A620" s="15" t="str">
        <f t="shared" si="14"/>
        <v>262</v>
      </c>
      <c r="B620" s="15">
        <v>610</v>
      </c>
      <c r="C620" s="42"/>
      <c r="F620" s="22"/>
      <c r="G620" s="22"/>
      <c r="J620" s="24">
        <v>50000</v>
      </c>
      <c r="M620" s="24">
        <v>50000</v>
      </c>
      <c r="O620" s="48" t="s">
        <v>97</v>
      </c>
      <c r="P620" s="48">
        <f>HEX2DEC(RIGHT(Table1323212714[[#This Row],[h1]],8))</f>
        <v>0</v>
      </c>
      <c r="Q620" s="48" t="s">
        <v>97</v>
      </c>
      <c r="R620" s="48">
        <f>HEX2DEC(RIGHT(Table1323212714[[#This Row],[h2]],8))</f>
        <v>0</v>
      </c>
    </row>
    <row r="621" spans="1:18" x14ac:dyDescent="0.3">
      <c r="A621" s="15" t="str">
        <f t="shared" si="14"/>
        <v>263</v>
      </c>
      <c r="B621" s="15">
        <v>611</v>
      </c>
      <c r="C621" s="42"/>
      <c r="F621" s="22"/>
      <c r="G621" s="22"/>
      <c r="J621" s="24">
        <v>50000</v>
      </c>
      <c r="M621" s="24">
        <v>50000</v>
      </c>
      <c r="O621" s="48" t="s">
        <v>97</v>
      </c>
      <c r="P621" s="48">
        <f>HEX2DEC(RIGHT(Table1323212714[[#This Row],[h1]],8))</f>
        <v>0</v>
      </c>
      <c r="Q621" s="48" t="s">
        <v>97</v>
      </c>
      <c r="R621" s="48">
        <f>HEX2DEC(RIGHT(Table1323212714[[#This Row],[h2]],8))</f>
        <v>0</v>
      </c>
    </row>
    <row r="622" spans="1:18" x14ac:dyDescent="0.3">
      <c r="A622" s="15" t="str">
        <f t="shared" si="14"/>
        <v>264</v>
      </c>
      <c r="B622" s="15">
        <v>612</v>
      </c>
      <c r="C622" s="42"/>
      <c r="F622" s="22"/>
      <c r="G622" s="22"/>
      <c r="J622" s="24">
        <v>50000</v>
      </c>
      <c r="M622" s="24">
        <v>50000</v>
      </c>
      <c r="O622" s="48" t="s">
        <v>97</v>
      </c>
      <c r="P622" s="48">
        <f>HEX2DEC(RIGHT(Table1323212714[[#This Row],[h1]],8))</f>
        <v>0</v>
      </c>
      <c r="Q622" s="48" t="s">
        <v>97</v>
      </c>
      <c r="R622" s="48">
        <f>HEX2DEC(RIGHT(Table1323212714[[#This Row],[h2]],8))</f>
        <v>0</v>
      </c>
    </row>
    <row r="623" spans="1:18" x14ac:dyDescent="0.3">
      <c r="A623" s="15" t="str">
        <f t="shared" si="14"/>
        <v>265</v>
      </c>
      <c r="B623" s="15">
        <v>613</v>
      </c>
      <c r="C623" s="42"/>
      <c r="F623" s="22"/>
      <c r="G623" s="22"/>
      <c r="J623" s="24">
        <v>50000</v>
      </c>
      <c r="M623" s="24">
        <v>50000</v>
      </c>
      <c r="O623" s="48" t="s">
        <v>97</v>
      </c>
      <c r="P623" s="48">
        <f>HEX2DEC(RIGHT(Table1323212714[[#This Row],[h1]],8))</f>
        <v>0</v>
      </c>
      <c r="Q623" s="48" t="s">
        <v>97</v>
      </c>
      <c r="R623" s="48">
        <f>HEX2DEC(RIGHT(Table1323212714[[#This Row],[h2]],8))</f>
        <v>0</v>
      </c>
    </row>
    <row r="624" spans="1:18" x14ac:dyDescent="0.3">
      <c r="A624" s="15" t="str">
        <f t="shared" si="14"/>
        <v>266</v>
      </c>
      <c r="B624" s="15">
        <v>614</v>
      </c>
      <c r="C624" s="42"/>
      <c r="F624" s="22"/>
      <c r="G624" s="22"/>
      <c r="J624" s="24">
        <v>50000</v>
      </c>
      <c r="M624" s="24">
        <v>50000</v>
      </c>
      <c r="O624" s="48" t="s">
        <v>97</v>
      </c>
      <c r="P624" s="48">
        <f>HEX2DEC(RIGHT(Table1323212714[[#This Row],[h1]],8))</f>
        <v>0</v>
      </c>
      <c r="Q624" s="48" t="s">
        <v>97</v>
      </c>
      <c r="R624" s="48">
        <f>HEX2DEC(RIGHT(Table1323212714[[#This Row],[h2]],8))</f>
        <v>0</v>
      </c>
    </row>
    <row r="625" spans="1:18" x14ac:dyDescent="0.3">
      <c r="A625" s="15" t="str">
        <f t="shared" si="14"/>
        <v>267</v>
      </c>
      <c r="B625" s="15">
        <v>615</v>
      </c>
      <c r="C625" s="42"/>
      <c r="F625" s="22"/>
      <c r="G625" s="22"/>
      <c r="J625" s="24">
        <v>50000</v>
      </c>
      <c r="M625" s="24">
        <v>50000</v>
      </c>
      <c r="O625" s="48" t="s">
        <v>97</v>
      </c>
      <c r="P625" s="48">
        <f>HEX2DEC(RIGHT(Table1323212714[[#This Row],[h1]],8))</f>
        <v>0</v>
      </c>
      <c r="Q625" s="48" t="s">
        <v>97</v>
      </c>
      <c r="R625" s="48">
        <f>HEX2DEC(RIGHT(Table1323212714[[#This Row],[h2]],8))</f>
        <v>0</v>
      </c>
    </row>
    <row r="626" spans="1:18" x14ac:dyDescent="0.3">
      <c r="A626" s="15" t="str">
        <f t="shared" si="14"/>
        <v>268</v>
      </c>
      <c r="B626" s="15">
        <v>616</v>
      </c>
      <c r="C626" s="42"/>
      <c r="F626" s="22"/>
      <c r="G626" s="22"/>
      <c r="J626" s="24">
        <v>50000</v>
      </c>
      <c r="M626" s="24">
        <v>50000</v>
      </c>
      <c r="O626" s="48" t="s">
        <v>97</v>
      </c>
      <c r="P626" s="48">
        <f>HEX2DEC(RIGHT(Table1323212714[[#This Row],[h1]],8))</f>
        <v>0</v>
      </c>
      <c r="Q626" s="48" t="s">
        <v>97</v>
      </c>
      <c r="R626" s="48">
        <f>HEX2DEC(RIGHT(Table1323212714[[#This Row],[h2]],8))</f>
        <v>0</v>
      </c>
    </row>
    <row r="627" spans="1:18" x14ac:dyDescent="0.3">
      <c r="A627" s="15" t="str">
        <f t="shared" si="14"/>
        <v>269</v>
      </c>
      <c r="B627" s="15">
        <v>617</v>
      </c>
      <c r="C627" s="42"/>
      <c r="F627" s="22"/>
      <c r="G627" s="22"/>
      <c r="J627" s="24">
        <v>50000</v>
      </c>
      <c r="M627" s="24">
        <v>50000</v>
      </c>
      <c r="O627" s="48" t="s">
        <v>97</v>
      </c>
      <c r="P627" s="48">
        <f>HEX2DEC(RIGHT(Table1323212714[[#This Row],[h1]],8))</f>
        <v>0</v>
      </c>
      <c r="Q627" s="48" t="s">
        <v>97</v>
      </c>
      <c r="R627" s="48">
        <f>HEX2DEC(RIGHT(Table1323212714[[#This Row],[h2]],8))</f>
        <v>0</v>
      </c>
    </row>
    <row r="628" spans="1:18" x14ac:dyDescent="0.3">
      <c r="A628" s="15" t="str">
        <f t="shared" si="14"/>
        <v>26A</v>
      </c>
      <c r="B628" s="15">
        <v>618</v>
      </c>
      <c r="C628" s="42"/>
      <c r="F628" s="22"/>
      <c r="G628" s="22"/>
      <c r="J628" s="24">
        <v>50000</v>
      </c>
      <c r="M628" s="24">
        <v>50000</v>
      </c>
      <c r="O628" s="48" t="s">
        <v>97</v>
      </c>
      <c r="P628" s="48">
        <f>HEX2DEC(RIGHT(Table1323212714[[#This Row],[h1]],8))</f>
        <v>0</v>
      </c>
      <c r="Q628" s="48" t="s">
        <v>97</v>
      </c>
      <c r="R628" s="48">
        <f>HEX2DEC(RIGHT(Table1323212714[[#This Row],[h2]],8))</f>
        <v>0</v>
      </c>
    </row>
    <row r="629" spans="1:18" x14ac:dyDescent="0.3">
      <c r="A629" s="15" t="str">
        <f t="shared" si="14"/>
        <v>26B</v>
      </c>
      <c r="B629" s="15">
        <v>619</v>
      </c>
      <c r="C629" s="42"/>
      <c r="F629" s="22"/>
      <c r="G629" s="22"/>
      <c r="J629" s="24">
        <v>50000</v>
      </c>
      <c r="M629" s="24">
        <v>50000</v>
      </c>
      <c r="O629" s="48" t="s">
        <v>97</v>
      </c>
      <c r="P629" s="48">
        <f>HEX2DEC(RIGHT(Table1323212714[[#This Row],[h1]],8))</f>
        <v>0</v>
      </c>
      <c r="Q629" s="48" t="s">
        <v>97</v>
      </c>
      <c r="R629" s="48">
        <f>HEX2DEC(RIGHT(Table1323212714[[#This Row],[h2]],8))</f>
        <v>0</v>
      </c>
    </row>
    <row r="630" spans="1:18" x14ac:dyDescent="0.3">
      <c r="A630" s="15" t="str">
        <f t="shared" si="14"/>
        <v>26C</v>
      </c>
      <c r="B630" s="15">
        <v>620</v>
      </c>
      <c r="C630" s="42"/>
      <c r="F630" s="22"/>
      <c r="G630" s="22"/>
      <c r="J630" s="24">
        <v>50000</v>
      </c>
      <c r="M630" s="24">
        <v>50000</v>
      </c>
      <c r="O630" s="48" t="s">
        <v>97</v>
      </c>
      <c r="P630" s="48">
        <f>HEX2DEC(RIGHT(Table1323212714[[#This Row],[h1]],8))</f>
        <v>0</v>
      </c>
      <c r="Q630" s="48" t="s">
        <v>97</v>
      </c>
      <c r="R630" s="48">
        <f>HEX2DEC(RIGHT(Table1323212714[[#This Row],[h2]],8))</f>
        <v>0</v>
      </c>
    </row>
    <row r="631" spans="1:18" x14ac:dyDescent="0.3">
      <c r="A631" s="15" t="str">
        <f t="shared" si="14"/>
        <v>26D</v>
      </c>
      <c r="B631" s="15">
        <v>621</v>
      </c>
      <c r="C631" s="42"/>
      <c r="F631" s="22"/>
      <c r="G631" s="22"/>
      <c r="J631" s="24">
        <v>50000</v>
      </c>
      <c r="M631" s="24">
        <v>50000</v>
      </c>
      <c r="O631" s="48" t="s">
        <v>97</v>
      </c>
      <c r="P631" s="48">
        <f>HEX2DEC(RIGHT(Table1323212714[[#This Row],[h1]],8))</f>
        <v>0</v>
      </c>
      <c r="Q631" s="48" t="s">
        <v>97</v>
      </c>
      <c r="R631" s="48">
        <f>HEX2DEC(RIGHT(Table1323212714[[#This Row],[h2]],8))</f>
        <v>0</v>
      </c>
    </row>
    <row r="632" spans="1:18" x14ac:dyDescent="0.3">
      <c r="A632" s="15" t="str">
        <f t="shared" si="14"/>
        <v>26E</v>
      </c>
      <c r="B632" s="15">
        <v>622</v>
      </c>
      <c r="C632" s="42"/>
      <c r="F632" s="22"/>
      <c r="G632" s="22"/>
      <c r="J632" s="24">
        <v>50000</v>
      </c>
      <c r="M632" s="24">
        <v>50000</v>
      </c>
      <c r="O632" s="48" t="s">
        <v>97</v>
      </c>
      <c r="P632" s="48">
        <f>HEX2DEC(RIGHT(Table1323212714[[#This Row],[h1]],8))</f>
        <v>0</v>
      </c>
      <c r="Q632" s="48" t="s">
        <v>97</v>
      </c>
      <c r="R632" s="48">
        <f>HEX2DEC(RIGHT(Table1323212714[[#This Row],[h2]],8))</f>
        <v>0</v>
      </c>
    </row>
    <row r="633" spans="1:18" x14ac:dyDescent="0.3">
      <c r="A633" s="15" t="str">
        <f t="shared" si="14"/>
        <v>26F</v>
      </c>
      <c r="B633" s="15">
        <v>623</v>
      </c>
      <c r="C633" s="42"/>
      <c r="F633" s="22"/>
      <c r="G633" s="22"/>
      <c r="J633" s="24">
        <v>50000</v>
      </c>
      <c r="M633" s="24">
        <v>50000</v>
      </c>
      <c r="O633" s="48" t="s">
        <v>97</v>
      </c>
      <c r="P633" s="48">
        <f>HEX2DEC(RIGHT(Table1323212714[[#This Row],[h1]],8))</f>
        <v>0</v>
      </c>
      <c r="Q633" s="48" t="s">
        <v>97</v>
      </c>
      <c r="R633" s="48">
        <f>HEX2DEC(RIGHT(Table1323212714[[#This Row],[h2]],8))</f>
        <v>0</v>
      </c>
    </row>
    <row r="634" spans="1:18" x14ac:dyDescent="0.3">
      <c r="A634" s="15" t="str">
        <f t="shared" si="14"/>
        <v>270</v>
      </c>
      <c r="B634" s="15">
        <v>624</v>
      </c>
      <c r="C634" s="42"/>
      <c r="F634" s="22"/>
      <c r="G634" s="22"/>
      <c r="J634" s="24">
        <v>50000</v>
      </c>
      <c r="M634" s="24">
        <v>50000</v>
      </c>
      <c r="O634" s="48" t="s">
        <v>97</v>
      </c>
      <c r="P634" s="48">
        <f>HEX2DEC(RIGHT(Table1323212714[[#This Row],[h1]],8))</f>
        <v>0</v>
      </c>
      <c r="Q634" s="48" t="s">
        <v>97</v>
      </c>
      <c r="R634" s="48">
        <f>HEX2DEC(RIGHT(Table1323212714[[#This Row],[h2]],8))</f>
        <v>0</v>
      </c>
    </row>
    <row r="635" spans="1:18" x14ac:dyDescent="0.3">
      <c r="A635" s="15" t="str">
        <f t="shared" si="14"/>
        <v>271</v>
      </c>
      <c r="B635" s="15">
        <v>625</v>
      </c>
      <c r="C635" s="42"/>
      <c r="F635" s="22"/>
      <c r="G635" s="22"/>
      <c r="J635" s="24">
        <v>50000</v>
      </c>
      <c r="M635" s="24">
        <v>50000</v>
      </c>
      <c r="O635" s="48" t="s">
        <v>97</v>
      </c>
      <c r="P635" s="48">
        <f>HEX2DEC(RIGHT(Table1323212714[[#This Row],[h1]],8))</f>
        <v>0</v>
      </c>
      <c r="Q635" s="48" t="s">
        <v>97</v>
      </c>
      <c r="R635" s="48">
        <f>HEX2DEC(RIGHT(Table1323212714[[#This Row],[h2]],8))</f>
        <v>0</v>
      </c>
    </row>
    <row r="636" spans="1:18" x14ac:dyDescent="0.3">
      <c r="A636" s="15" t="str">
        <f t="shared" si="14"/>
        <v>272</v>
      </c>
      <c r="B636" s="15">
        <v>626</v>
      </c>
      <c r="C636" s="42"/>
      <c r="F636" s="22"/>
      <c r="G636" s="22"/>
      <c r="J636" s="24">
        <v>50000</v>
      </c>
      <c r="M636" s="24">
        <v>50000</v>
      </c>
      <c r="O636" s="48" t="s">
        <v>97</v>
      </c>
      <c r="P636" s="48">
        <f>HEX2DEC(RIGHT(Table1323212714[[#This Row],[h1]],8))</f>
        <v>0</v>
      </c>
      <c r="Q636" s="48" t="s">
        <v>97</v>
      </c>
      <c r="R636" s="48">
        <f>HEX2DEC(RIGHT(Table1323212714[[#This Row],[h2]],8))</f>
        <v>0</v>
      </c>
    </row>
    <row r="637" spans="1:18" x14ac:dyDescent="0.3">
      <c r="A637" s="15" t="str">
        <f t="shared" si="14"/>
        <v>273</v>
      </c>
      <c r="B637" s="15">
        <v>627</v>
      </c>
      <c r="C637" s="42"/>
      <c r="F637" s="22"/>
      <c r="G637" s="22"/>
      <c r="J637" s="24">
        <v>50000</v>
      </c>
      <c r="M637" s="24">
        <v>50000</v>
      </c>
      <c r="O637" s="48" t="s">
        <v>97</v>
      </c>
      <c r="P637" s="48">
        <f>HEX2DEC(RIGHT(Table1323212714[[#This Row],[h1]],8))</f>
        <v>0</v>
      </c>
      <c r="Q637" s="48" t="s">
        <v>97</v>
      </c>
      <c r="R637" s="48">
        <f>HEX2DEC(RIGHT(Table1323212714[[#This Row],[h2]],8))</f>
        <v>0</v>
      </c>
    </row>
    <row r="638" spans="1:18" x14ac:dyDescent="0.3">
      <c r="A638" s="15" t="str">
        <f t="shared" si="14"/>
        <v>274</v>
      </c>
      <c r="B638" s="15">
        <v>628</v>
      </c>
      <c r="C638" s="42"/>
      <c r="F638" s="22"/>
      <c r="G638" s="22"/>
      <c r="J638" s="24">
        <v>50000</v>
      </c>
      <c r="M638" s="24">
        <v>50000</v>
      </c>
      <c r="O638" s="48" t="s">
        <v>97</v>
      </c>
      <c r="P638" s="48">
        <f>HEX2DEC(RIGHT(Table1323212714[[#This Row],[h1]],8))</f>
        <v>0</v>
      </c>
      <c r="Q638" s="48" t="s">
        <v>97</v>
      </c>
      <c r="R638" s="48">
        <f>HEX2DEC(RIGHT(Table1323212714[[#This Row],[h2]],8))</f>
        <v>0</v>
      </c>
    </row>
    <row r="639" spans="1:18" x14ac:dyDescent="0.3">
      <c r="A639" s="15" t="str">
        <f t="shared" si="14"/>
        <v>275</v>
      </c>
      <c r="B639" s="15">
        <v>629</v>
      </c>
      <c r="C639" s="42"/>
      <c r="F639" s="22"/>
      <c r="G639" s="22"/>
      <c r="J639" s="24">
        <v>50000</v>
      </c>
      <c r="M639" s="24">
        <v>50000</v>
      </c>
      <c r="O639" s="48" t="s">
        <v>97</v>
      </c>
      <c r="P639" s="48">
        <f>HEX2DEC(RIGHT(Table1323212714[[#This Row],[h1]],8))</f>
        <v>0</v>
      </c>
      <c r="Q639" s="48" t="s">
        <v>97</v>
      </c>
      <c r="R639" s="48">
        <f>HEX2DEC(RIGHT(Table1323212714[[#This Row],[h2]],8))</f>
        <v>0</v>
      </c>
    </row>
    <row r="640" spans="1:18" x14ac:dyDescent="0.3">
      <c r="A640" s="15" t="str">
        <f t="shared" si="14"/>
        <v>276</v>
      </c>
      <c r="B640" s="15">
        <v>630</v>
      </c>
      <c r="C640" s="42"/>
      <c r="F640" s="22"/>
      <c r="G640" s="22"/>
      <c r="J640" s="24">
        <v>50000</v>
      </c>
      <c r="M640" s="24">
        <v>50000</v>
      </c>
      <c r="O640" s="48" t="s">
        <v>97</v>
      </c>
      <c r="P640" s="48">
        <f>HEX2DEC(RIGHT(Table1323212714[[#This Row],[h1]],8))</f>
        <v>0</v>
      </c>
      <c r="Q640" s="48" t="s">
        <v>97</v>
      </c>
      <c r="R640" s="48">
        <f>HEX2DEC(RIGHT(Table1323212714[[#This Row],[h2]],8))</f>
        <v>0</v>
      </c>
    </row>
    <row r="641" spans="1:18" x14ac:dyDescent="0.3">
      <c r="A641" s="15" t="str">
        <f t="shared" si="14"/>
        <v>277</v>
      </c>
      <c r="B641" s="15">
        <v>631</v>
      </c>
      <c r="C641" s="42"/>
      <c r="F641" s="22"/>
      <c r="G641" s="22"/>
      <c r="J641" s="24">
        <v>50000</v>
      </c>
      <c r="M641" s="24">
        <v>50000</v>
      </c>
      <c r="O641" s="48" t="s">
        <v>97</v>
      </c>
      <c r="P641" s="48">
        <f>HEX2DEC(RIGHT(Table1323212714[[#This Row],[h1]],8))</f>
        <v>0</v>
      </c>
      <c r="Q641" s="48" t="s">
        <v>97</v>
      </c>
      <c r="R641" s="48">
        <f>HEX2DEC(RIGHT(Table1323212714[[#This Row],[h2]],8))</f>
        <v>0</v>
      </c>
    </row>
    <row r="642" spans="1:18" x14ac:dyDescent="0.3">
      <c r="A642" s="15" t="str">
        <f t="shared" si="14"/>
        <v>278</v>
      </c>
      <c r="B642" s="15">
        <v>632</v>
      </c>
      <c r="C642" s="42"/>
      <c r="F642" s="22"/>
      <c r="G642" s="22"/>
      <c r="J642" s="24">
        <v>50000</v>
      </c>
      <c r="M642" s="24">
        <v>50000</v>
      </c>
      <c r="O642" s="48" t="s">
        <v>97</v>
      </c>
      <c r="P642" s="48">
        <f>HEX2DEC(RIGHT(Table1323212714[[#This Row],[h1]],8))</f>
        <v>0</v>
      </c>
      <c r="Q642" s="48" t="s">
        <v>97</v>
      </c>
      <c r="R642" s="48">
        <f>HEX2DEC(RIGHT(Table1323212714[[#This Row],[h2]],8))</f>
        <v>0</v>
      </c>
    </row>
    <row r="643" spans="1:18" x14ac:dyDescent="0.3">
      <c r="A643" s="15" t="str">
        <f t="shared" si="14"/>
        <v>279</v>
      </c>
      <c r="B643" s="15">
        <v>633</v>
      </c>
      <c r="C643" s="42"/>
      <c r="F643" s="22"/>
      <c r="G643" s="22"/>
      <c r="J643" s="24">
        <v>50000</v>
      </c>
      <c r="M643" s="24">
        <v>50000</v>
      </c>
      <c r="O643" s="48" t="s">
        <v>97</v>
      </c>
      <c r="P643" s="48">
        <f>HEX2DEC(RIGHT(Table1323212714[[#This Row],[h1]],8))</f>
        <v>0</v>
      </c>
      <c r="Q643" s="48" t="s">
        <v>97</v>
      </c>
      <c r="R643" s="48">
        <f>HEX2DEC(RIGHT(Table1323212714[[#This Row],[h2]],8))</f>
        <v>0</v>
      </c>
    </row>
    <row r="644" spans="1:18" x14ac:dyDescent="0.3">
      <c r="A644" s="15" t="str">
        <f t="shared" si="14"/>
        <v>27A</v>
      </c>
      <c r="B644" s="15">
        <v>634</v>
      </c>
      <c r="C644" s="42"/>
      <c r="F644" s="22"/>
      <c r="G644" s="22"/>
      <c r="J644" s="24">
        <v>50000</v>
      </c>
      <c r="M644" s="24">
        <v>50000</v>
      </c>
      <c r="O644" s="48" t="s">
        <v>97</v>
      </c>
      <c r="P644" s="48">
        <f>HEX2DEC(RIGHT(Table1323212714[[#This Row],[h1]],8))</f>
        <v>0</v>
      </c>
      <c r="Q644" s="48" t="s">
        <v>97</v>
      </c>
      <c r="R644" s="48">
        <f>HEX2DEC(RIGHT(Table1323212714[[#This Row],[h2]],8))</f>
        <v>0</v>
      </c>
    </row>
    <row r="645" spans="1:18" x14ac:dyDescent="0.3">
      <c r="A645" s="15" t="str">
        <f t="shared" si="14"/>
        <v>27B</v>
      </c>
      <c r="B645" s="15">
        <v>635</v>
      </c>
      <c r="C645" s="42"/>
      <c r="F645" s="22"/>
      <c r="G645" s="22"/>
      <c r="J645" s="24">
        <v>50000</v>
      </c>
      <c r="M645" s="24">
        <v>50000</v>
      </c>
      <c r="O645" s="48" t="s">
        <v>97</v>
      </c>
      <c r="P645" s="48">
        <f>HEX2DEC(RIGHT(Table1323212714[[#This Row],[h1]],8))</f>
        <v>0</v>
      </c>
      <c r="Q645" s="48" t="s">
        <v>97</v>
      </c>
      <c r="R645" s="48">
        <f>HEX2DEC(RIGHT(Table1323212714[[#This Row],[h2]],8))</f>
        <v>0</v>
      </c>
    </row>
    <row r="646" spans="1:18" x14ac:dyDescent="0.3">
      <c r="A646" s="15" t="str">
        <f t="shared" si="14"/>
        <v>27C</v>
      </c>
      <c r="B646" s="15">
        <v>636</v>
      </c>
      <c r="C646" s="42"/>
      <c r="F646" s="22"/>
      <c r="G646" s="22"/>
      <c r="J646" s="24">
        <v>50000</v>
      </c>
      <c r="M646" s="24">
        <v>50000</v>
      </c>
      <c r="O646" s="48" t="s">
        <v>97</v>
      </c>
      <c r="P646" s="48">
        <f>HEX2DEC(RIGHT(Table1323212714[[#This Row],[h1]],8))</f>
        <v>0</v>
      </c>
      <c r="Q646" s="48" t="s">
        <v>97</v>
      </c>
      <c r="R646" s="48">
        <f>HEX2DEC(RIGHT(Table1323212714[[#This Row],[h2]],8))</f>
        <v>0</v>
      </c>
    </row>
    <row r="647" spans="1:18" x14ac:dyDescent="0.3">
      <c r="A647" s="15" t="str">
        <f t="shared" si="14"/>
        <v>27D</v>
      </c>
      <c r="B647" s="15">
        <v>637</v>
      </c>
      <c r="C647" s="42"/>
      <c r="F647" s="22"/>
      <c r="G647" s="22"/>
      <c r="J647" s="24">
        <v>50000</v>
      </c>
      <c r="M647" s="24">
        <v>50000</v>
      </c>
      <c r="O647" s="48" t="s">
        <v>97</v>
      </c>
      <c r="P647" s="48">
        <f>HEX2DEC(RIGHT(Table1323212714[[#This Row],[h1]],8))</f>
        <v>0</v>
      </c>
      <c r="Q647" s="48" t="s">
        <v>97</v>
      </c>
      <c r="R647" s="48">
        <f>HEX2DEC(RIGHT(Table1323212714[[#This Row],[h2]],8))</f>
        <v>0</v>
      </c>
    </row>
    <row r="648" spans="1:18" x14ac:dyDescent="0.3">
      <c r="A648" s="15" t="str">
        <f t="shared" si="14"/>
        <v>27E</v>
      </c>
      <c r="B648" s="15">
        <v>638</v>
      </c>
      <c r="C648" s="42"/>
      <c r="F648" s="22"/>
      <c r="G648" s="22"/>
      <c r="J648" s="24">
        <v>50000</v>
      </c>
      <c r="M648" s="24">
        <v>50000</v>
      </c>
      <c r="O648" s="48" t="s">
        <v>97</v>
      </c>
      <c r="P648" s="48">
        <f>HEX2DEC(RIGHT(Table1323212714[[#This Row],[h1]],8))</f>
        <v>0</v>
      </c>
      <c r="Q648" s="48" t="s">
        <v>97</v>
      </c>
      <c r="R648" s="48">
        <f>HEX2DEC(RIGHT(Table1323212714[[#This Row],[h2]],8))</f>
        <v>0</v>
      </c>
    </row>
    <row r="649" spans="1:18" x14ac:dyDescent="0.3">
      <c r="A649" s="15" t="str">
        <f t="shared" si="14"/>
        <v>27F</v>
      </c>
      <c r="B649" s="15">
        <v>639</v>
      </c>
      <c r="C649" s="42"/>
      <c r="F649" s="22"/>
      <c r="G649" s="22"/>
      <c r="J649" s="24">
        <v>50000</v>
      </c>
      <c r="M649" s="24">
        <v>50000</v>
      </c>
      <c r="O649" s="48" t="s">
        <v>97</v>
      </c>
      <c r="P649" s="48">
        <f>HEX2DEC(RIGHT(Table1323212714[[#This Row],[h1]],8))</f>
        <v>0</v>
      </c>
      <c r="Q649" s="48" t="s">
        <v>97</v>
      </c>
      <c r="R649" s="48">
        <f>HEX2DEC(RIGHT(Table1323212714[[#This Row],[h2]],8))</f>
        <v>0</v>
      </c>
    </row>
    <row r="650" spans="1:18" x14ac:dyDescent="0.3">
      <c r="A650" s="15" t="str">
        <f t="shared" si="14"/>
        <v>280</v>
      </c>
      <c r="B650" s="15">
        <v>640</v>
      </c>
      <c r="C650" s="42"/>
      <c r="F650" s="22"/>
      <c r="G650" s="22"/>
      <c r="J650" s="24">
        <v>50000</v>
      </c>
      <c r="M650" s="24">
        <v>50000</v>
      </c>
      <c r="O650" s="48" t="s">
        <v>97</v>
      </c>
      <c r="P650" s="48">
        <f>HEX2DEC(RIGHT(Table1323212714[[#This Row],[h1]],8))</f>
        <v>0</v>
      </c>
      <c r="Q650" s="48" t="s">
        <v>97</v>
      </c>
      <c r="R650" s="48">
        <f>HEX2DEC(RIGHT(Table1323212714[[#This Row],[h2]],8))</f>
        <v>0</v>
      </c>
    </row>
    <row r="651" spans="1:18" x14ac:dyDescent="0.3">
      <c r="A651" s="15" t="str">
        <f t="shared" ref="A651:A714" si="15">DEC2HEX(B651,3)</f>
        <v>281</v>
      </c>
      <c r="B651" s="15">
        <v>641</v>
      </c>
      <c r="C651" s="42"/>
      <c r="F651" s="22"/>
      <c r="G651" s="22"/>
      <c r="J651" s="24">
        <v>50000</v>
      </c>
      <c r="M651" s="24">
        <v>50000</v>
      </c>
      <c r="O651" s="48" t="s">
        <v>97</v>
      </c>
      <c r="P651" s="48">
        <f>HEX2DEC(RIGHT(Table1323212714[[#This Row],[h1]],8))</f>
        <v>0</v>
      </c>
      <c r="Q651" s="48" t="s">
        <v>97</v>
      </c>
      <c r="R651" s="48">
        <f>HEX2DEC(RIGHT(Table1323212714[[#This Row],[h2]],8))</f>
        <v>0</v>
      </c>
    </row>
    <row r="652" spans="1:18" x14ac:dyDescent="0.3">
      <c r="A652" s="15" t="str">
        <f t="shared" si="15"/>
        <v>282</v>
      </c>
      <c r="B652" s="15">
        <v>642</v>
      </c>
      <c r="C652" s="42"/>
      <c r="F652" s="22"/>
      <c r="G652" s="22"/>
      <c r="J652" s="24">
        <v>50000</v>
      </c>
      <c r="M652" s="24">
        <v>50000</v>
      </c>
      <c r="O652" s="48" t="s">
        <v>97</v>
      </c>
      <c r="P652" s="48">
        <f>HEX2DEC(RIGHT(Table1323212714[[#This Row],[h1]],8))</f>
        <v>0</v>
      </c>
      <c r="Q652" s="48" t="s">
        <v>97</v>
      </c>
      <c r="R652" s="48">
        <f>HEX2DEC(RIGHT(Table1323212714[[#This Row],[h2]],8))</f>
        <v>0</v>
      </c>
    </row>
    <row r="653" spans="1:18" x14ac:dyDescent="0.3">
      <c r="A653" s="15" t="str">
        <f t="shared" si="15"/>
        <v>283</v>
      </c>
      <c r="B653" s="15">
        <v>643</v>
      </c>
      <c r="C653" s="42"/>
      <c r="F653" s="22"/>
      <c r="G653" s="22"/>
      <c r="J653" s="24">
        <v>50000</v>
      </c>
      <c r="M653" s="24">
        <v>50000</v>
      </c>
      <c r="O653" s="48" t="s">
        <v>97</v>
      </c>
      <c r="P653" s="48">
        <f>HEX2DEC(RIGHT(Table1323212714[[#This Row],[h1]],8))</f>
        <v>0</v>
      </c>
      <c r="Q653" s="48" t="s">
        <v>97</v>
      </c>
      <c r="R653" s="48">
        <f>HEX2DEC(RIGHT(Table1323212714[[#This Row],[h2]],8))</f>
        <v>0</v>
      </c>
    </row>
    <row r="654" spans="1:18" x14ac:dyDescent="0.3">
      <c r="A654" s="15" t="str">
        <f t="shared" si="15"/>
        <v>284</v>
      </c>
      <c r="B654" s="15">
        <v>644</v>
      </c>
      <c r="C654" s="42"/>
      <c r="F654" s="22"/>
      <c r="G654" s="22"/>
      <c r="J654" s="24">
        <v>50000</v>
      </c>
      <c r="M654" s="24">
        <v>50000</v>
      </c>
      <c r="O654" s="48" t="s">
        <v>97</v>
      </c>
      <c r="P654" s="48">
        <f>HEX2DEC(RIGHT(Table1323212714[[#This Row],[h1]],8))</f>
        <v>0</v>
      </c>
      <c r="Q654" s="48" t="s">
        <v>97</v>
      </c>
      <c r="R654" s="48">
        <f>HEX2DEC(RIGHT(Table1323212714[[#This Row],[h2]],8))</f>
        <v>0</v>
      </c>
    </row>
    <row r="655" spans="1:18" x14ac:dyDescent="0.3">
      <c r="A655" s="15" t="str">
        <f t="shared" si="15"/>
        <v>285</v>
      </c>
      <c r="B655" s="15">
        <v>645</v>
      </c>
      <c r="C655" s="42"/>
      <c r="F655" s="22"/>
      <c r="G655" s="22"/>
      <c r="J655" s="24">
        <v>50000</v>
      </c>
      <c r="M655" s="24">
        <v>50000</v>
      </c>
      <c r="O655" s="48" t="s">
        <v>97</v>
      </c>
      <c r="P655" s="48">
        <f>HEX2DEC(RIGHT(Table1323212714[[#This Row],[h1]],8))</f>
        <v>0</v>
      </c>
      <c r="Q655" s="48" t="s">
        <v>97</v>
      </c>
      <c r="R655" s="48">
        <f>HEX2DEC(RIGHT(Table1323212714[[#This Row],[h2]],8))</f>
        <v>0</v>
      </c>
    </row>
    <row r="656" spans="1:18" x14ac:dyDescent="0.3">
      <c r="A656" s="15" t="str">
        <f t="shared" si="15"/>
        <v>286</v>
      </c>
      <c r="B656" s="15">
        <v>646</v>
      </c>
      <c r="C656" s="42"/>
      <c r="F656" s="22"/>
      <c r="G656" s="22"/>
      <c r="J656" s="24">
        <v>50000</v>
      </c>
      <c r="M656" s="24">
        <v>50000</v>
      </c>
      <c r="O656" s="48" t="s">
        <v>97</v>
      </c>
      <c r="P656" s="48">
        <f>HEX2DEC(RIGHT(Table1323212714[[#This Row],[h1]],8))</f>
        <v>0</v>
      </c>
      <c r="Q656" s="48" t="s">
        <v>97</v>
      </c>
      <c r="R656" s="48">
        <f>HEX2DEC(RIGHT(Table1323212714[[#This Row],[h2]],8))</f>
        <v>0</v>
      </c>
    </row>
    <row r="657" spans="1:18" x14ac:dyDescent="0.3">
      <c r="A657" s="15" t="str">
        <f t="shared" si="15"/>
        <v>287</v>
      </c>
      <c r="B657" s="15">
        <v>647</v>
      </c>
      <c r="C657" s="42"/>
      <c r="F657" s="22"/>
      <c r="G657" s="22"/>
      <c r="J657" s="24">
        <v>50000</v>
      </c>
      <c r="M657" s="24">
        <v>50000</v>
      </c>
      <c r="O657" s="48" t="s">
        <v>97</v>
      </c>
      <c r="P657" s="48">
        <f>HEX2DEC(RIGHT(Table1323212714[[#This Row],[h1]],8))</f>
        <v>0</v>
      </c>
      <c r="Q657" s="48" t="s">
        <v>97</v>
      </c>
      <c r="R657" s="48">
        <f>HEX2DEC(RIGHT(Table1323212714[[#This Row],[h2]],8))</f>
        <v>0</v>
      </c>
    </row>
    <row r="658" spans="1:18" x14ac:dyDescent="0.3">
      <c r="A658" s="15" t="str">
        <f t="shared" si="15"/>
        <v>288</v>
      </c>
      <c r="B658" s="15">
        <v>648</v>
      </c>
      <c r="C658" s="42"/>
      <c r="F658" s="22"/>
      <c r="G658" s="22"/>
      <c r="J658" s="24">
        <v>50000</v>
      </c>
      <c r="M658" s="24">
        <v>50000</v>
      </c>
      <c r="O658" s="48" t="s">
        <v>97</v>
      </c>
      <c r="P658" s="48">
        <f>HEX2DEC(RIGHT(Table1323212714[[#This Row],[h1]],8))</f>
        <v>0</v>
      </c>
      <c r="Q658" s="48" t="s">
        <v>97</v>
      </c>
      <c r="R658" s="48">
        <f>HEX2DEC(RIGHT(Table1323212714[[#This Row],[h2]],8))</f>
        <v>0</v>
      </c>
    </row>
    <row r="659" spans="1:18" x14ac:dyDescent="0.3">
      <c r="A659" s="15" t="str">
        <f t="shared" si="15"/>
        <v>289</v>
      </c>
      <c r="B659" s="15">
        <v>649</v>
      </c>
      <c r="C659" s="42"/>
      <c r="F659" s="22"/>
      <c r="G659" s="22"/>
      <c r="J659" s="24">
        <v>50000</v>
      </c>
      <c r="M659" s="24">
        <v>50000</v>
      </c>
      <c r="O659" s="48" t="s">
        <v>97</v>
      </c>
      <c r="P659" s="48">
        <f>HEX2DEC(RIGHT(Table1323212714[[#This Row],[h1]],8))</f>
        <v>0</v>
      </c>
      <c r="Q659" s="48" t="s">
        <v>97</v>
      </c>
      <c r="R659" s="48">
        <f>HEX2DEC(RIGHT(Table1323212714[[#This Row],[h2]],8))</f>
        <v>0</v>
      </c>
    </row>
    <row r="660" spans="1:18" x14ac:dyDescent="0.3">
      <c r="A660" s="15" t="str">
        <f t="shared" si="15"/>
        <v>28A</v>
      </c>
      <c r="B660" s="15">
        <v>650</v>
      </c>
      <c r="C660" s="42"/>
      <c r="F660" s="22"/>
      <c r="G660" s="22"/>
      <c r="J660" s="24">
        <v>50000</v>
      </c>
      <c r="M660" s="24">
        <v>50000</v>
      </c>
      <c r="O660" s="48" t="s">
        <v>97</v>
      </c>
      <c r="P660" s="48">
        <f>HEX2DEC(RIGHT(Table1323212714[[#This Row],[h1]],8))</f>
        <v>0</v>
      </c>
      <c r="Q660" s="48" t="s">
        <v>97</v>
      </c>
      <c r="R660" s="48">
        <f>HEX2DEC(RIGHT(Table1323212714[[#This Row],[h2]],8))</f>
        <v>0</v>
      </c>
    </row>
    <row r="661" spans="1:18" x14ac:dyDescent="0.3">
      <c r="A661" s="15" t="str">
        <f t="shared" si="15"/>
        <v>28B</v>
      </c>
      <c r="B661" s="15">
        <v>651</v>
      </c>
      <c r="C661" s="42"/>
      <c r="F661" s="22"/>
      <c r="G661" s="22"/>
      <c r="J661" s="24">
        <v>50000</v>
      </c>
      <c r="M661" s="24">
        <v>50000</v>
      </c>
      <c r="O661" s="48" t="s">
        <v>97</v>
      </c>
      <c r="P661" s="48">
        <f>HEX2DEC(RIGHT(Table1323212714[[#This Row],[h1]],8))</f>
        <v>0</v>
      </c>
      <c r="Q661" s="48" t="s">
        <v>97</v>
      </c>
      <c r="R661" s="48">
        <f>HEX2DEC(RIGHT(Table1323212714[[#This Row],[h2]],8))</f>
        <v>0</v>
      </c>
    </row>
    <row r="662" spans="1:18" x14ac:dyDescent="0.3">
      <c r="A662" s="15" t="str">
        <f t="shared" si="15"/>
        <v>28C</v>
      </c>
      <c r="B662" s="15">
        <v>652</v>
      </c>
      <c r="C662" s="42"/>
      <c r="F662" s="22"/>
      <c r="G662" s="22"/>
      <c r="J662" s="24">
        <v>50000</v>
      </c>
      <c r="M662" s="24">
        <v>50000</v>
      </c>
      <c r="O662" s="48" t="s">
        <v>97</v>
      </c>
      <c r="P662" s="48">
        <f>HEX2DEC(RIGHT(Table1323212714[[#This Row],[h1]],8))</f>
        <v>0</v>
      </c>
      <c r="Q662" s="48" t="s">
        <v>97</v>
      </c>
      <c r="R662" s="48">
        <f>HEX2DEC(RIGHT(Table1323212714[[#This Row],[h2]],8))</f>
        <v>0</v>
      </c>
    </row>
    <row r="663" spans="1:18" x14ac:dyDescent="0.3">
      <c r="A663" s="15" t="str">
        <f t="shared" si="15"/>
        <v>28D</v>
      </c>
      <c r="B663" s="15">
        <v>653</v>
      </c>
      <c r="C663" s="42"/>
      <c r="F663" s="22"/>
      <c r="G663" s="22"/>
      <c r="J663" s="24">
        <v>50000</v>
      </c>
      <c r="M663" s="24">
        <v>50000</v>
      </c>
      <c r="O663" s="48" t="s">
        <v>97</v>
      </c>
      <c r="P663" s="48">
        <f>HEX2DEC(RIGHT(Table1323212714[[#This Row],[h1]],8))</f>
        <v>0</v>
      </c>
      <c r="Q663" s="48" t="s">
        <v>97</v>
      </c>
      <c r="R663" s="48">
        <f>HEX2DEC(RIGHT(Table1323212714[[#This Row],[h2]],8))</f>
        <v>0</v>
      </c>
    </row>
    <row r="664" spans="1:18" x14ac:dyDescent="0.3">
      <c r="A664" s="15" t="str">
        <f t="shared" si="15"/>
        <v>28E</v>
      </c>
      <c r="B664" s="15">
        <v>654</v>
      </c>
      <c r="C664" s="42"/>
      <c r="F664" s="22"/>
      <c r="G664" s="22"/>
      <c r="J664" s="24">
        <v>50000</v>
      </c>
      <c r="M664" s="24">
        <v>50000</v>
      </c>
      <c r="O664" s="48" t="s">
        <v>97</v>
      </c>
      <c r="P664" s="48">
        <f>HEX2DEC(RIGHT(Table1323212714[[#This Row],[h1]],8))</f>
        <v>0</v>
      </c>
      <c r="Q664" s="48" t="s">
        <v>97</v>
      </c>
      <c r="R664" s="48">
        <f>HEX2DEC(RIGHT(Table1323212714[[#This Row],[h2]],8))</f>
        <v>0</v>
      </c>
    </row>
    <row r="665" spans="1:18" x14ac:dyDescent="0.3">
      <c r="A665" s="15" t="str">
        <f t="shared" si="15"/>
        <v>28F</v>
      </c>
      <c r="B665" s="15">
        <v>655</v>
      </c>
      <c r="C665" s="42"/>
      <c r="F665" s="22"/>
      <c r="G665" s="22"/>
      <c r="J665" s="24">
        <v>50000</v>
      </c>
      <c r="M665" s="24">
        <v>50000</v>
      </c>
      <c r="O665" s="48" t="s">
        <v>97</v>
      </c>
      <c r="P665" s="48">
        <f>HEX2DEC(RIGHT(Table1323212714[[#This Row],[h1]],8))</f>
        <v>0</v>
      </c>
      <c r="Q665" s="48" t="s">
        <v>97</v>
      </c>
      <c r="R665" s="48">
        <f>HEX2DEC(RIGHT(Table1323212714[[#This Row],[h2]],8))</f>
        <v>0</v>
      </c>
    </row>
    <row r="666" spans="1:18" x14ac:dyDescent="0.3">
      <c r="A666" s="15" t="str">
        <f t="shared" si="15"/>
        <v>290</v>
      </c>
      <c r="B666" s="15">
        <v>656</v>
      </c>
      <c r="C666" s="42"/>
      <c r="F666" s="22"/>
      <c r="G666" s="22"/>
      <c r="J666" s="24">
        <v>50000</v>
      </c>
      <c r="M666" s="24">
        <v>50000</v>
      </c>
      <c r="O666" s="48" t="s">
        <v>97</v>
      </c>
      <c r="P666" s="48">
        <f>HEX2DEC(RIGHT(Table1323212714[[#This Row],[h1]],8))</f>
        <v>0</v>
      </c>
      <c r="Q666" s="48" t="s">
        <v>97</v>
      </c>
      <c r="R666" s="48">
        <f>HEX2DEC(RIGHT(Table1323212714[[#This Row],[h2]],8))</f>
        <v>0</v>
      </c>
    </row>
    <row r="667" spans="1:18" x14ac:dyDescent="0.3">
      <c r="A667" s="15" t="str">
        <f t="shared" si="15"/>
        <v>291</v>
      </c>
      <c r="B667" s="15">
        <v>657</v>
      </c>
      <c r="C667" s="42"/>
      <c r="F667" s="22"/>
      <c r="G667" s="22"/>
      <c r="J667" s="24">
        <v>50000</v>
      </c>
      <c r="M667" s="24">
        <v>50000</v>
      </c>
      <c r="O667" s="48" t="s">
        <v>97</v>
      </c>
      <c r="P667" s="48">
        <f>HEX2DEC(RIGHT(Table1323212714[[#This Row],[h1]],8))</f>
        <v>0</v>
      </c>
      <c r="Q667" s="48" t="s">
        <v>97</v>
      </c>
      <c r="R667" s="48">
        <f>HEX2DEC(RIGHT(Table1323212714[[#This Row],[h2]],8))</f>
        <v>0</v>
      </c>
    </row>
    <row r="668" spans="1:18" x14ac:dyDescent="0.3">
      <c r="A668" s="15" t="str">
        <f t="shared" si="15"/>
        <v>292</v>
      </c>
      <c r="B668" s="15">
        <v>658</v>
      </c>
      <c r="C668" s="42"/>
      <c r="F668" s="22"/>
      <c r="G668" s="22"/>
      <c r="J668" s="24">
        <v>50000</v>
      </c>
      <c r="M668" s="24">
        <v>50000</v>
      </c>
      <c r="O668" s="48" t="s">
        <v>97</v>
      </c>
      <c r="P668" s="48">
        <f>HEX2DEC(RIGHT(Table1323212714[[#This Row],[h1]],8))</f>
        <v>0</v>
      </c>
      <c r="Q668" s="48" t="s">
        <v>97</v>
      </c>
      <c r="R668" s="48">
        <f>HEX2DEC(RIGHT(Table1323212714[[#This Row],[h2]],8))</f>
        <v>0</v>
      </c>
    </row>
    <row r="669" spans="1:18" x14ac:dyDescent="0.3">
      <c r="A669" s="15" t="str">
        <f t="shared" si="15"/>
        <v>293</v>
      </c>
      <c r="B669" s="15">
        <v>659</v>
      </c>
      <c r="C669" s="42"/>
      <c r="F669" s="22"/>
      <c r="G669" s="22"/>
      <c r="J669" s="24">
        <v>50000</v>
      </c>
      <c r="M669" s="24">
        <v>50000</v>
      </c>
      <c r="O669" s="48" t="s">
        <v>97</v>
      </c>
      <c r="P669" s="48">
        <f>HEX2DEC(RIGHT(Table1323212714[[#This Row],[h1]],8))</f>
        <v>0</v>
      </c>
      <c r="Q669" s="48" t="s">
        <v>97</v>
      </c>
      <c r="R669" s="48">
        <f>HEX2DEC(RIGHT(Table1323212714[[#This Row],[h2]],8))</f>
        <v>0</v>
      </c>
    </row>
    <row r="670" spans="1:18" x14ac:dyDescent="0.3">
      <c r="A670" s="15" t="str">
        <f t="shared" si="15"/>
        <v>294</v>
      </c>
      <c r="B670" s="15">
        <v>660</v>
      </c>
      <c r="C670" s="42"/>
      <c r="F670" s="22"/>
      <c r="G670" s="22"/>
      <c r="J670" s="24">
        <v>50000</v>
      </c>
      <c r="M670" s="24">
        <v>50000</v>
      </c>
      <c r="O670" s="48" t="s">
        <v>97</v>
      </c>
      <c r="P670" s="48">
        <f>HEX2DEC(RIGHT(Table1323212714[[#This Row],[h1]],8))</f>
        <v>0</v>
      </c>
      <c r="Q670" s="48" t="s">
        <v>97</v>
      </c>
      <c r="R670" s="48">
        <f>HEX2DEC(RIGHT(Table1323212714[[#This Row],[h2]],8))</f>
        <v>0</v>
      </c>
    </row>
    <row r="671" spans="1:18" x14ac:dyDescent="0.3">
      <c r="A671" s="15" t="str">
        <f t="shared" si="15"/>
        <v>295</v>
      </c>
      <c r="B671" s="15">
        <v>661</v>
      </c>
      <c r="C671" s="42"/>
      <c r="F671" s="22"/>
      <c r="G671" s="22"/>
      <c r="J671" s="24">
        <v>50000</v>
      </c>
      <c r="M671" s="24">
        <v>50000</v>
      </c>
      <c r="O671" s="48" t="s">
        <v>97</v>
      </c>
      <c r="P671" s="48">
        <f>HEX2DEC(RIGHT(Table1323212714[[#This Row],[h1]],8))</f>
        <v>0</v>
      </c>
      <c r="Q671" s="48" t="s">
        <v>97</v>
      </c>
      <c r="R671" s="48">
        <f>HEX2DEC(RIGHT(Table1323212714[[#This Row],[h2]],8))</f>
        <v>0</v>
      </c>
    </row>
    <row r="672" spans="1:18" x14ac:dyDescent="0.3">
      <c r="A672" s="15" t="str">
        <f t="shared" si="15"/>
        <v>296</v>
      </c>
      <c r="B672" s="15">
        <v>662</v>
      </c>
      <c r="C672" s="42"/>
      <c r="F672" s="22"/>
      <c r="G672" s="22"/>
      <c r="J672" s="24">
        <v>50000</v>
      </c>
      <c r="M672" s="24">
        <v>50000</v>
      </c>
      <c r="O672" s="48" t="s">
        <v>97</v>
      </c>
      <c r="P672" s="48">
        <f>HEX2DEC(RIGHT(Table1323212714[[#This Row],[h1]],8))</f>
        <v>0</v>
      </c>
      <c r="Q672" s="48" t="s">
        <v>97</v>
      </c>
      <c r="R672" s="48">
        <f>HEX2DEC(RIGHT(Table1323212714[[#This Row],[h2]],8))</f>
        <v>0</v>
      </c>
    </row>
    <row r="673" spans="1:18" x14ac:dyDescent="0.3">
      <c r="A673" s="15" t="str">
        <f t="shared" si="15"/>
        <v>297</v>
      </c>
      <c r="B673" s="15">
        <v>663</v>
      </c>
      <c r="C673" s="42"/>
      <c r="F673" s="22"/>
      <c r="G673" s="22"/>
      <c r="J673" s="24">
        <v>50000</v>
      </c>
      <c r="M673" s="24">
        <v>50000</v>
      </c>
      <c r="O673" s="48" t="s">
        <v>97</v>
      </c>
      <c r="P673" s="48">
        <f>HEX2DEC(RIGHT(Table1323212714[[#This Row],[h1]],8))</f>
        <v>0</v>
      </c>
      <c r="Q673" s="48" t="s">
        <v>97</v>
      </c>
      <c r="R673" s="48">
        <f>HEX2DEC(RIGHT(Table1323212714[[#This Row],[h2]],8))</f>
        <v>0</v>
      </c>
    </row>
    <row r="674" spans="1:18" x14ac:dyDescent="0.3">
      <c r="A674" s="15" t="str">
        <f t="shared" si="15"/>
        <v>298</v>
      </c>
      <c r="B674" s="15">
        <v>664</v>
      </c>
      <c r="C674" s="42"/>
      <c r="F674" s="22"/>
      <c r="G674" s="22"/>
      <c r="J674" s="24">
        <v>50000</v>
      </c>
      <c r="M674" s="24">
        <v>50000</v>
      </c>
      <c r="O674" s="48" t="s">
        <v>97</v>
      </c>
      <c r="P674" s="48">
        <f>HEX2DEC(RIGHT(Table1323212714[[#This Row],[h1]],8))</f>
        <v>0</v>
      </c>
      <c r="Q674" s="48" t="s">
        <v>97</v>
      </c>
      <c r="R674" s="48">
        <f>HEX2DEC(RIGHT(Table1323212714[[#This Row],[h2]],8))</f>
        <v>0</v>
      </c>
    </row>
    <row r="675" spans="1:18" x14ac:dyDescent="0.3">
      <c r="A675" s="15" t="str">
        <f t="shared" si="15"/>
        <v>299</v>
      </c>
      <c r="B675" s="15">
        <v>665</v>
      </c>
      <c r="C675" s="42"/>
      <c r="F675" s="22"/>
      <c r="G675" s="22"/>
      <c r="J675" s="24">
        <v>50000</v>
      </c>
      <c r="M675" s="24">
        <v>50000</v>
      </c>
      <c r="O675" s="48" t="s">
        <v>97</v>
      </c>
      <c r="P675" s="48">
        <f>HEX2DEC(RIGHT(Table1323212714[[#This Row],[h1]],8))</f>
        <v>0</v>
      </c>
      <c r="Q675" s="48" t="s">
        <v>97</v>
      </c>
      <c r="R675" s="48">
        <f>HEX2DEC(RIGHT(Table1323212714[[#This Row],[h2]],8))</f>
        <v>0</v>
      </c>
    </row>
    <row r="676" spans="1:18" x14ac:dyDescent="0.3">
      <c r="A676" s="15" t="str">
        <f t="shared" si="15"/>
        <v>29A</v>
      </c>
      <c r="B676" s="15">
        <v>666</v>
      </c>
      <c r="C676" s="42"/>
      <c r="F676" s="22"/>
      <c r="G676" s="22"/>
      <c r="J676" s="24">
        <v>50000</v>
      </c>
      <c r="M676" s="24">
        <v>50000</v>
      </c>
      <c r="O676" s="48" t="s">
        <v>97</v>
      </c>
      <c r="P676" s="48">
        <f>HEX2DEC(RIGHT(Table1323212714[[#This Row],[h1]],8))</f>
        <v>0</v>
      </c>
      <c r="Q676" s="48" t="s">
        <v>97</v>
      </c>
      <c r="R676" s="48">
        <f>HEX2DEC(RIGHT(Table1323212714[[#This Row],[h2]],8))</f>
        <v>0</v>
      </c>
    </row>
    <row r="677" spans="1:18" x14ac:dyDescent="0.3">
      <c r="A677" s="15" t="str">
        <f t="shared" si="15"/>
        <v>29B</v>
      </c>
      <c r="B677" s="15">
        <v>667</v>
      </c>
      <c r="C677" s="42"/>
      <c r="F677" s="22"/>
      <c r="G677" s="22"/>
      <c r="J677" s="24">
        <v>50000</v>
      </c>
      <c r="M677" s="24">
        <v>50000</v>
      </c>
      <c r="O677" s="48" t="s">
        <v>97</v>
      </c>
      <c r="P677" s="48">
        <f>HEX2DEC(RIGHT(Table1323212714[[#This Row],[h1]],8))</f>
        <v>0</v>
      </c>
      <c r="Q677" s="48" t="s">
        <v>97</v>
      </c>
      <c r="R677" s="48">
        <f>HEX2DEC(RIGHT(Table1323212714[[#This Row],[h2]],8))</f>
        <v>0</v>
      </c>
    </row>
    <row r="678" spans="1:18" x14ac:dyDescent="0.3">
      <c r="A678" s="15" t="str">
        <f t="shared" si="15"/>
        <v>29C</v>
      </c>
      <c r="B678" s="15">
        <v>668</v>
      </c>
      <c r="C678" s="42"/>
      <c r="F678" s="22"/>
      <c r="G678" s="22"/>
      <c r="J678" s="24">
        <v>50000</v>
      </c>
      <c r="M678" s="24">
        <v>50000</v>
      </c>
      <c r="O678" s="48" t="s">
        <v>97</v>
      </c>
      <c r="P678" s="48">
        <f>HEX2DEC(RIGHT(Table1323212714[[#This Row],[h1]],8))</f>
        <v>0</v>
      </c>
      <c r="Q678" s="48" t="s">
        <v>97</v>
      </c>
      <c r="R678" s="48">
        <f>HEX2DEC(RIGHT(Table1323212714[[#This Row],[h2]],8))</f>
        <v>0</v>
      </c>
    </row>
    <row r="679" spans="1:18" x14ac:dyDescent="0.3">
      <c r="A679" s="15" t="str">
        <f t="shared" si="15"/>
        <v>29D</v>
      </c>
      <c r="B679" s="15">
        <v>669</v>
      </c>
      <c r="C679" s="42"/>
      <c r="F679" s="22"/>
      <c r="G679" s="22"/>
      <c r="J679" s="24">
        <v>50000</v>
      </c>
      <c r="M679" s="24">
        <v>50000</v>
      </c>
      <c r="O679" s="48" t="s">
        <v>97</v>
      </c>
      <c r="P679" s="48">
        <f>HEX2DEC(RIGHT(Table1323212714[[#This Row],[h1]],8))</f>
        <v>0</v>
      </c>
      <c r="Q679" s="48" t="s">
        <v>97</v>
      </c>
      <c r="R679" s="48">
        <f>HEX2DEC(RIGHT(Table1323212714[[#This Row],[h2]],8))</f>
        <v>0</v>
      </c>
    </row>
    <row r="680" spans="1:18" x14ac:dyDescent="0.3">
      <c r="A680" s="15" t="str">
        <f t="shared" si="15"/>
        <v>29E</v>
      </c>
      <c r="B680" s="15">
        <v>670</v>
      </c>
      <c r="C680" s="42"/>
      <c r="F680" s="22"/>
      <c r="G680" s="22"/>
      <c r="J680" s="24">
        <v>50000</v>
      </c>
      <c r="M680" s="24">
        <v>50000</v>
      </c>
      <c r="O680" s="48" t="s">
        <v>97</v>
      </c>
      <c r="P680" s="48">
        <f>HEX2DEC(RIGHT(Table1323212714[[#This Row],[h1]],8))</f>
        <v>0</v>
      </c>
      <c r="Q680" s="48" t="s">
        <v>97</v>
      </c>
      <c r="R680" s="48">
        <f>HEX2DEC(RIGHT(Table1323212714[[#This Row],[h2]],8))</f>
        <v>0</v>
      </c>
    </row>
    <row r="681" spans="1:18" x14ac:dyDescent="0.3">
      <c r="A681" s="15" t="str">
        <f t="shared" si="15"/>
        <v>29F</v>
      </c>
      <c r="B681" s="15">
        <v>671</v>
      </c>
      <c r="C681" s="42"/>
      <c r="F681" s="22"/>
      <c r="G681" s="22"/>
      <c r="J681" s="24">
        <v>50000</v>
      </c>
      <c r="M681" s="24">
        <v>50000</v>
      </c>
      <c r="O681" s="48" t="s">
        <v>97</v>
      </c>
      <c r="P681" s="48">
        <f>HEX2DEC(RIGHT(Table1323212714[[#This Row],[h1]],8))</f>
        <v>0</v>
      </c>
      <c r="Q681" s="48" t="s">
        <v>97</v>
      </c>
      <c r="R681" s="48">
        <f>HEX2DEC(RIGHT(Table1323212714[[#This Row],[h2]],8))</f>
        <v>0</v>
      </c>
    </row>
    <row r="682" spans="1:18" x14ac:dyDescent="0.3">
      <c r="A682" s="15" t="str">
        <f t="shared" si="15"/>
        <v>2A0</v>
      </c>
      <c r="B682" s="15">
        <v>672</v>
      </c>
      <c r="C682" s="42"/>
      <c r="F682" s="22"/>
      <c r="G682" s="22"/>
      <c r="J682" s="24">
        <v>50000</v>
      </c>
      <c r="M682" s="24">
        <v>50000</v>
      </c>
      <c r="O682" s="48" t="s">
        <v>97</v>
      </c>
      <c r="P682" s="48">
        <f>HEX2DEC(RIGHT(Table1323212714[[#This Row],[h1]],8))</f>
        <v>0</v>
      </c>
      <c r="Q682" s="48" t="s">
        <v>97</v>
      </c>
      <c r="R682" s="48">
        <f>HEX2DEC(RIGHT(Table1323212714[[#This Row],[h2]],8))</f>
        <v>0</v>
      </c>
    </row>
    <row r="683" spans="1:18" x14ac:dyDescent="0.3">
      <c r="A683" s="15" t="str">
        <f t="shared" si="15"/>
        <v>2A1</v>
      </c>
      <c r="B683" s="15">
        <v>673</v>
      </c>
      <c r="C683" s="42"/>
      <c r="F683" s="22"/>
      <c r="G683" s="22"/>
      <c r="J683" s="24">
        <v>50000</v>
      </c>
      <c r="M683" s="24">
        <v>50000</v>
      </c>
      <c r="O683" s="48" t="s">
        <v>97</v>
      </c>
      <c r="P683" s="48">
        <f>HEX2DEC(RIGHT(Table1323212714[[#This Row],[h1]],8))</f>
        <v>0</v>
      </c>
      <c r="Q683" s="48" t="s">
        <v>97</v>
      </c>
      <c r="R683" s="48">
        <f>HEX2DEC(RIGHT(Table1323212714[[#This Row],[h2]],8))</f>
        <v>0</v>
      </c>
    </row>
    <row r="684" spans="1:18" x14ac:dyDescent="0.3">
      <c r="A684" s="15" t="str">
        <f t="shared" si="15"/>
        <v>2A2</v>
      </c>
      <c r="B684" s="15">
        <v>674</v>
      </c>
      <c r="C684" s="42"/>
      <c r="F684" s="22"/>
      <c r="G684" s="22"/>
      <c r="J684" s="24">
        <v>50000</v>
      </c>
      <c r="M684" s="24">
        <v>50000</v>
      </c>
      <c r="O684" s="48" t="s">
        <v>97</v>
      </c>
      <c r="P684" s="48">
        <f>HEX2DEC(RIGHT(Table1323212714[[#This Row],[h1]],8))</f>
        <v>0</v>
      </c>
      <c r="Q684" s="48" t="s">
        <v>97</v>
      </c>
      <c r="R684" s="48">
        <f>HEX2DEC(RIGHT(Table1323212714[[#This Row],[h2]],8))</f>
        <v>0</v>
      </c>
    </row>
    <row r="685" spans="1:18" x14ac:dyDescent="0.3">
      <c r="A685" s="15" t="str">
        <f t="shared" si="15"/>
        <v>2A3</v>
      </c>
      <c r="B685" s="15">
        <v>675</v>
      </c>
      <c r="C685" s="42"/>
      <c r="F685" s="22"/>
      <c r="G685" s="22"/>
      <c r="J685" s="24">
        <v>50000</v>
      </c>
      <c r="M685" s="24">
        <v>50000</v>
      </c>
      <c r="O685" s="48" t="s">
        <v>97</v>
      </c>
      <c r="P685" s="48">
        <f>HEX2DEC(RIGHT(Table1323212714[[#This Row],[h1]],8))</f>
        <v>0</v>
      </c>
      <c r="Q685" s="48" t="s">
        <v>97</v>
      </c>
      <c r="R685" s="48">
        <f>HEX2DEC(RIGHT(Table1323212714[[#This Row],[h2]],8))</f>
        <v>0</v>
      </c>
    </row>
    <row r="686" spans="1:18" x14ac:dyDescent="0.3">
      <c r="A686" s="15" t="str">
        <f t="shared" si="15"/>
        <v>2A4</v>
      </c>
      <c r="B686" s="15">
        <v>676</v>
      </c>
      <c r="C686" s="42"/>
      <c r="F686" s="22"/>
      <c r="G686" s="22"/>
      <c r="J686" s="24">
        <v>50000</v>
      </c>
      <c r="M686" s="24">
        <v>50000</v>
      </c>
      <c r="O686" s="48" t="s">
        <v>97</v>
      </c>
      <c r="P686" s="48">
        <f>HEX2DEC(RIGHT(Table1323212714[[#This Row],[h1]],8))</f>
        <v>0</v>
      </c>
      <c r="Q686" s="48" t="s">
        <v>97</v>
      </c>
      <c r="R686" s="48">
        <f>HEX2DEC(RIGHT(Table1323212714[[#This Row],[h2]],8))</f>
        <v>0</v>
      </c>
    </row>
    <row r="687" spans="1:18" x14ac:dyDescent="0.3">
      <c r="A687" s="15" t="str">
        <f t="shared" si="15"/>
        <v>2A5</v>
      </c>
      <c r="B687" s="15">
        <v>677</v>
      </c>
      <c r="C687" s="42"/>
      <c r="F687" s="22"/>
      <c r="G687" s="22"/>
      <c r="J687" s="24">
        <v>50000</v>
      </c>
      <c r="M687" s="24">
        <v>50000</v>
      </c>
      <c r="O687" s="48" t="s">
        <v>97</v>
      </c>
      <c r="P687" s="48">
        <f>HEX2DEC(RIGHT(Table1323212714[[#This Row],[h1]],8))</f>
        <v>0</v>
      </c>
      <c r="Q687" s="48" t="s">
        <v>97</v>
      </c>
      <c r="R687" s="48">
        <f>HEX2DEC(RIGHT(Table1323212714[[#This Row],[h2]],8))</f>
        <v>0</v>
      </c>
    </row>
    <row r="688" spans="1:18" x14ac:dyDescent="0.3">
      <c r="A688" s="15" t="str">
        <f t="shared" si="15"/>
        <v>2A6</v>
      </c>
      <c r="B688" s="15">
        <v>678</v>
      </c>
      <c r="C688" s="42"/>
      <c r="F688" s="22"/>
      <c r="G688" s="22"/>
      <c r="J688" s="24">
        <v>50000</v>
      </c>
      <c r="M688" s="24">
        <v>50000</v>
      </c>
      <c r="O688" s="48" t="s">
        <v>97</v>
      </c>
      <c r="P688" s="48">
        <f>HEX2DEC(RIGHT(Table1323212714[[#This Row],[h1]],8))</f>
        <v>0</v>
      </c>
      <c r="Q688" s="48" t="s">
        <v>97</v>
      </c>
      <c r="R688" s="48">
        <f>HEX2DEC(RIGHT(Table1323212714[[#This Row],[h2]],8))</f>
        <v>0</v>
      </c>
    </row>
    <row r="689" spans="1:18" x14ac:dyDescent="0.3">
      <c r="A689" s="15" t="str">
        <f t="shared" si="15"/>
        <v>2A7</v>
      </c>
      <c r="B689" s="15">
        <v>679</v>
      </c>
      <c r="C689" s="42"/>
      <c r="F689" s="22"/>
      <c r="G689" s="22"/>
      <c r="J689" s="24">
        <v>50000</v>
      </c>
      <c r="M689" s="24">
        <v>50000</v>
      </c>
      <c r="O689" s="48" t="s">
        <v>97</v>
      </c>
      <c r="P689" s="48">
        <f>HEX2DEC(RIGHT(Table1323212714[[#This Row],[h1]],8))</f>
        <v>0</v>
      </c>
      <c r="Q689" s="48" t="s">
        <v>97</v>
      </c>
      <c r="R689" s="48">
        <f>HEX2DEC(RIGHT(Table1323212714[[#This Row],[h2]],8))</f>
        <v>0</v>
      </c>
    </row>
    <row r="690" spans="1:18" x14ac:dyDescent="0.3">
      <c r="A690" s="15" t="str">
        <f t="shared" si="15"/>
        <v>2A8</v>
      </c>
      <c r="B690" s="15">
        <v>680</v>
      </c>
      <c r="C690" s="42"/>
      <c r="F690" s="22"/>
      <c r="G690" s="22"/>
      <c r="J690" s="24">
        <v>50000</v>
      </c>
      <c r="M690" s="24">
        <v>50000</v>
      </c>
      <c r="O690" s="48" t="s">
        <v>97</v>
      </c>
      <c r="P690" s="48">
        <f>HEX2DEC(RIGHT(Table1323212714[[#This Row],[h1]],8))</f>
        <v>0</v>
      </c>
      <c r="Q690" s="48" t="s">
        <v>97</v>
      </c>
      <c r="R690" s="48">
        <f>HEX2DEC(RIGHT(Table1323212714[[#This Row],[h2]],8))</f>
        <v>0</v>
      </c>
    </row>
    <row r="691" spans="1:18" x14ac:dyDescent="0.3">
      <c r="A691" s="15" t="str">
        <f t="shared" si="15"/>
        <v>2A9</v>
      </c>
      <c r="B691" s="15">
        <v>681</v>
      </c>
      <c r="C691" s="42"/>
      <c r="F691" s="22"/>
      <c r="G691" s="22"/>
      <c r="J691" s="24">
        <v>50000</v>
      </c>
      <c r="M691" s="24">
        <v>50000</v>
      </c>
      <c r="O691" s="48" t="s">
        <v>97</v>
      </c>
      <c r="P691" s="48">
        <f>HEX2DEC(RIGHT(Table1323212714[[#This Row],[h1]],8))</f>
        <v>0</v>
      </c>
      <c r="Q691" s="48" t="s">
        <v>97</v>
      </c>
      <c r="R691" s="48">
        <f>HEX2DEC(RIGHT(Table1323212714[[#This Row],[h2]],8))</f>
        <v>0</v>
      </c>
    </row>
    <row r="692" spans="1:18" x14ac:dyDescent="0.3">
      <c r="A692" s="15" t="str">
        <f t="shared" si="15"/>
        <v>2AA</v>
      </c>
      <c r="B692" s="15">
        <v>682</v>
      </c>
      <c r="C692" s="42"/>
      <c r="F692" s="22"/>
      <c r="G692" s="22"/>
      <c r="J692" s="24">
        <v>50000</v>
      </c>
      <c r="M692" s="24">
        <v>50000</v>
      </c>
      <c r="O692" s="48" t="s">
        <v>97</v>
      </c>
      <c r="P692" s="48">
        <f>HEX2DEC(RIGHT(Table1323212714[[#This Row],[h1]],8))</f>
        <v>0</v>
      </c>
      <c r="Q692" s="48" t="s">
        <v>97</v>
      </c>
      <c r="R692" s="48">
        <f>HEX2DEC(RIGHT(Table1323212714[[#This Row],[h2]],8))</f>
        <v>0</v>
      </c>
    </row>
    <row r="693" spans="1:18" x14ac:dyDescent="0.3">
      <c r="A693" s="15" t="str">
        <f t="shared" si="15"/>
        <v>2AB</v>
      </c>
      <c r="B693" s="15">
        <v>683</v>
      </c>
      <c r="C693" s="42"/>
      <c r="F693" s="22"/>
      <c r="G693" s="22"/>
      <c r="J693" s="24">
        <v>50000</v>
      </c>
      <c r="M693" s="24">
        <v>50000</v>
      </c>
      <c r="O693" s="48" t="s">
        <v>97</v>
      </c>
      <c r="P693" s="48">
        <f>HEX2DEC(RIGHT(Table1323212714[[#This Row],[h1]],8))</f>
        <v>0</v>
      </c>
      <c r="Q693" s="48" t="s">
        <v>97</v>
      </c>
      <c r="R693" s="48">
        <f>HEX2DEC(RIGHT(Table1323212714[[#This Row],[h2]],8))</f>
        <v>0</v>
      </c>
    </row>
    <row r="694" spans="1:18" x14ac:dyDescent="0.3">
      <c r="A694" s="15" t="str">
        <f t="shared" si="15"/>
        <v>2AC</v>
      </c>
      <c r="B694" s="15">
        <v>684</v>
      </c>
      <c r="C694" s="42"/>
      <c r="F694" s="22"/>
      <c r="G694" s="22"/>
      <c r="J694" s="24">
        <v>50000</v>
      </c>
      <c r="M694" s="24">
        <v>50000</v>
      </c>
      <c r="O694" s="48" t="s">
        <v>97</v>
      </c>
      <c r="P694" s="48">
        <f>HEX2DEC(RIGHT(Table1323212714[[#This Row],[h1]],8))</f>
        <v>0</v>
      </c>
      <c r="Q694" s="48" t="s">
        <v>97</v>
      </c>
      <c r="R694" s="48">
        <f>HEX2DEC(RIGHT(Table1323212714[[#This Row],[h2]],8))</f>
        <v>0</v>
      </c>
    </row>
    <row r="695" spans="1:18" x14ac:dyDescent="0.3">
      <c r="A695" s="15" t="str">
        <f t="shared" si="15"/>
        <v>2AD</v>
      </c>
      <c r="B695" s="15">
        <v>685</v>
      </c>
      <c r="C695" s="42"/>
      <c r="F695" s="22"/>
      <c r="G695" s="22"/>
      <c r="J695" s="24">
        <v>50000</v>
      </c>
      <c r="M695" s="24">
        <v>50000</v>
      </c>
      <c r="O695" s="48" t="s">
        <v>97</v>
      </c>
      <c r="P695" s="48">
        <f>HEX2DEC(RIGHT(Table1323212714[[#This Row],[h1]],8))</f>
        <v>0</v>
      </c>
      <c r="Q695" s="48" t="s">
        <v>97</v>
      </c>
      <c r="R695" s="48">
        <f>HEX2DEC(RIGHT(Table1323212714[[#This Row],[h2]],8))</f>
        <v>0</v>
      </c>
    </row>
    <row r="696" spans="1:18" x14ac:dyDescent="0.3">
      <c r="A696" s="15" t="str">
        <f t="shared" si="15"/>
        <v>2AE</v>
      </c>
      <c r="B696" s="15">
        <v>686</v>
      </c>
      <c r="C696" s="42"/>
      <c r="F696" s="22"/>
      <c r="G696" s="22"/>
      <c r="J696" s="24">
        <v>50000</v>
      </c>
      <c r="M696" s="24">
        <v>50000</v>
      </c>
      <c r="O696" s="48" t="s">
        <v>97</v>
      </c>
      <c r="P696" s="48">
        <f>HEX2DEC(RIGHT(Table1323212714[[#This Row],[h1]],8))</f>
        <v>0</v>
      </c>
      <c r="Q696" s="48" t="s">
        <v>97</v>
      </c>
      <c r="R696" s="48">
        <f>HEX2DEC(RIGHT(Table1323212714[[#This Row],[h2]],8))</f>
        <v>0</v>
      </c>
    </row>
    <row r="697" spans="1:18" x14ac:dyDescent="0.3">
      <c r="A697" s="15" t="str">
        <f t="shared" si="15"/>
        <v>2AF</v>
      </c>
      <c r="B697" s="15">
        <v>687</v>
      </c>
      <c r="C697" s="42"/>
      <c r="F697" s="22"/>
      <c r="G697" s="22"/>
      <c r="J697" s="24">
        <v>50000</v>
      </c>
      <c r="M697" s="24">
        <v>50000</v>
      </c>
      <c r="O697" s="48" t="s">
        <v>97</v>
      </c>
      <c r="P697" s="48">
        <f>HEX2DEC(RIGHT(Table1323212714[[#This Row],[h1]],8))</f>
        <v>0</v>
      </c>
      <c r="Q697" s="48" t="s">
        <v>97</v>
      </c>
      <c r="R697" s="48">
        <f>HEX2DEC(RIGHT(Table1323212714[[#This Row],[h2]],8))</f>
        <v>0</v>
      </c>
    </row>
    <row r="698" spans="1:18" x14ac:dyDescent="0.3">
      <c r="A698" s="15" t="str">
        <f t="shared" si="15"/>
        <v>2B0</v>
      </c>
      <c r="B698" s="15">
        <v>688</v>
      </c>
      <c r="C698" s="42"/>
      <c r="F698" s="22"/>
      <c r="G698" s="22"/>
      <c r="J698" s="24">
        <v>50000</v>
      </c>
      <c r="M698" s="24">
        <v>50000</v>
      </c>
      <c r="O698" s="48" t="s">
        <v>97</v>
      </c>
      <c r="P698" s="48">
        <f>HEX2DEC(RIGHT(Table1323212714[[#This Row],[h1]],8))</f>
        <v>0</v>
      </c>
      <c r="Q698" s="48" t="s">
        <v>97</v>
      </c>
      <c r="R698" s="48">
        <f>HEX2DEC(RIGHT(Table1323212714[[#This Row],[h2]],8))</f>
        <v>0</v>
      </c>
    </row>
    <row r="699" spans="1:18" x14ac:dyDescent="0.3">
      <c r="A699" s="15" t="str">
        <f t="shared" si="15"/>
        <v>2B1</v>
      </c>
      <c r="B699" s="15">
        <v>689</v>
      </c>
      <c r="C699" s="42"/>
      <c r="F699" s="22"/>
      <c r="G699" s="22"/>
      <c r="J699" s="24">
        <v>50000</v>
      </c>
      <c r="M699" s="24">
        <v>50000</v>
      </c>
      <c r="O699" s="48" t="s">
        <v>97</v>
      </c>
      <c r="P699" s="48">
        <f>HEX2DEC(RIGHT(Table1323212714[[#This Row],[h1]],8))</f>
        <v>0</v>
      </c>
      <c r="Q699" s="48" t="s">
        <v>97</v>
      </c>
      <c r="R699" s="48">
        <f>HEX2DEC(RIGHT(Table1323212714[[#This Row],[h2]],8))</f>
        <v>0</v>
      </c>
    </row>
    <row r="700" spans="1:18" x14ac:dyDescent="0.3">
      <c r="A700" s="15" t="str">
        <f t="shared" si="15"/>
        <v>2B2</v>
      </c>
      <c r="B700" s="15">
        <v>690</v>
      </c>
      <c r="C700" s="42"/>
      <c r="F700" s="22"/>
      <c r="G700" s="22"/>
      <c r="J700" s="24">
        <v>50000</v>
      </c>
      <c r="M700" s="24">
        <v>50000</v>
      </c>
      <c r="O700" s="48" t="s">
        <v>97</v>
      </c>
      <c r="P700" s="48">
        <f>HEX2DEC(RIGHT(Table1323212714[[#This Row],[h1]],8))</f>
        <v>0</v>
      </c>
      <c r="Q700" s="48" t="s">
        <v>97</v>
      </c>
      <c r="R700" s="48">
        <f>HEX2DEC(RIGHT(Table1323212714[[#This Row],[h2]],8))</f>
        <v>0</v>
      </c>
    </row>
    <row r="701" spans="1:18" x14ac:dyDescent="0.3">
      <c r="A701" s="15" t="str">
        <f t="shared" si="15"/>
        <v>2B3</v>
      </c>
      <c r="B701" s="15">
        <v>691</v>
      </c>
      <c r="C701" s="42"/>
      <c r="F701" s="22"/>
      <c r="G701" s="22"/>
      <c r="J701" s="24">
        <v>50000</v>
      </c>
      <c r="M701" s="24">
        <v>50000</v>
      </c>
      <c r="O701" s="48" t="s">
        <v>97</v>
      </c>
      <c r="P701" s="48">
        <f>HEX2DEC(RIGHT(Table1323212714[[#This Row],[h1]],8))</f>
        <v>0</v>
      </c>
      <c r="Q701" s="48" t="s">
        <v>97</v>
      </c>
      <c r="R701" s="48">
        <f>HEX2DEC(RIGHT(Table1323212714[[#This Row],[h2]],8))</f>
        <v>0</v>
      </c>
    </row>
    <row r="702" spans="1:18" x14ac:dyDescent="0.3">
      <c r="A702" s="15" t="str">
        <f t="shared" si="15"/>
        <v>2B4</v>
      </c>
      <c r="B702" s="15">
        <v>692</v>
      </c>
      <c r="C702" s="42"/>
      <c r="F702" s="22"/>
      <c r="G702" s="22"/>
      <c r="J702" s="24">
        <v>50000</v>
      </c>
      <c r="M702" s="24">
        <v>50000</v>
      </c>
      <c r="O702" s="48" t="s">
        <v>97</v>
      </c>
      <c r="P702" s="48">
        <f>HEX2DEC(RIGHT(Table1323212714[[#This Row],[h1]],8))</f>
        <v>0</v>
      </c>
      <c r="Q702" s="48" t="s">
        <v>97</v>
      </c>
      <c r="R702" s="48">
        <f>HEX2DEC(RIGHT(Table1323212714[[#This Row],[h2]],8))</f>
        <v>0</v>
      </c>
    </row>
    <row r="703" spans="1:18" x14ac:dyDescent="0.3">
      <c r="A703" s="15" t="str">
        <f t="shared" si="15"/>
        <v>2B5</v>
      </c>
      <c r="B703" s="15">
        <v>693</v>
      </c>
      <c r="C703" s="42"/>
      <c r="F703" s="22"/>
      <c r="G703" s="22"/>
      <c r="J703" s="24">
        <v>50000</v>
      </c>
      <c r="M703" s="24">
        <v>50000</v>
      </c>
      <c r="O703" s="48" t="s">
        <v>97</v>
      </c>
      <c r="P703" s="48">
        <f>HEX2DEC(RIGHT(Table1323212714[[#This Row],[h1]],8))</f>
        <v>0</v>
      </c>
      <c r="Q703" s="48" t="s">
        <v>97</v>
      </c>
      <c r="R703" s="48">
        <f>HEX2DEC(RIGHT(Table1323212714[[#This Row],[h2]],8))</f>
        <v>0</v>
      </c>
    </row>
    <row r="704" spans="1:18" x14ac:dyDescent="0.3">
      <c r="A704" s="15" t="str">
        <f t="shared" si="15"/>
        <v>2B6</v>
      </c>
      <c r="B704" s="15">
        <v>694</v>
      </c>
      <c r="C704" s="42"/>
      <c r="F704" s="22"/>
      <c r="G704" s="22"/>
      <c r="J704" s="24">
        <v>50000</v>
      </c>
      <c r="M704" s="24">
        <v>50000</v>
      </c>
      <c r="O704" s="48" t="s">
        <v>97</v>
      </c>
      <c r="P704" s="48">
        <f>HEX2DEC(RIGHT(Table1323212714[[#This Row],[h1]],8))</f>
        <v>0</v>
      </c>
      <c r="Q704" s="48" t="s">
        <v>97</v>
      </c>
      <c r="R704" s="48">
        <f>HEX2DEC(RIGHT(Table1323212714[[#This Row],[h2]],8))</f>
        <v>0</v>
      </c>
    </row>
    <row r="705" spans="1:18" x14ac:dyDescent="0.3">
      <c r="A705" s="15" t="str">
        <f t="shared" si="15"/>
        <v>2B7</v>
      </c>
      <c r="B705" s="15">
        <v>695</v>
      </c>
      <c r="C705" s="42"/>
      <c r="F705" s="22"/>
      <c r="G705" s="22"/>
      <c r="J705" s="24">
        <v>50000</v>
      </c>
      <c r="M705" s="24">
        <v>50000</v>
      </c>
      <c r="O705" s="48" t="s">
        <v>97</v>
      </c>
      <c r="P705" s="48">
        <f>HEX2DEC(RIGHT(Table1323212714[[#This Row],[h1]],8))</f>
        <v>0</v>
      </c>
      <c r="Q705" s="48" t="s">
        <v>97</v>
      </c>
      <c r="R705" s="48">
        <f>HEX2DEC(RIGHT(Table1323212714[[#This Row],[h2]],8))</f>
        <v>0</v>
      </c>
    </row>
    <row r="706" spans="1:18" x14ac:dyDescent="0.3">
      <c r="A706" s="15" t="str">
        <f t="shared" si="15"/>
        <v>2B8</v>
      </c>
      <c r="B706" s="15">
        <v>696</v>
      </c>
      <c r="C706" s="42"/>
      <c r="F706" s="22"/>
      <c r="G706" s="22"/>
      <c r="J706" s="24">
        <v>50000</v>
      </c>
      <c r="M706" s="24">
        <v>50000</v>
      </c>
      <c r="O706" s="48" t="s">
        <v>97</v>
      </c>
      <c r="P706" s="48">
        <f>HEX2DEC(RIGHT(Table1323212714[[#This Row],[h1]],8))</f>
        <v>0</v>
      </c>
      <c r="Q706" s="48" t="s">
        <v>97</v>
      </c>
      <c r="R706" s="48">
        <f>HEX2DEC(RIGHT(Table1323212714[[#This Row],[h2]],8))</f>
        <v>0</v>
      </c>
    </row>
    <row r="707" spans="1:18" x14ac:dyDescent="0.3">
      <c r="A707" s="15" t="str">
        <f t="shared" si="15"/>
        <v>2B9</v>
      </c>
      <c r="B707" s="15">
        <v>697</v>
      </c>
      <c r="C707" s="42"/>
      <c r="F707" s="22"/>
      <c r="G707" s="22"/>
      <c r="J707" s="24">
        <v>50000</v>
      </c>
      <c r="M707" s="24">
        <v>50000</v>
      </c>
      <c r="O707" s="48" t="s">
        <v>97</v>
      </c>
      <c r="P707" s="48">
        <f>HEX2DEC(RIGHT(Table1323212714[[#This Row],[h1]],8))</f>
        <v>0</v>
      </c>
      <c r="Q707" s="48" t="s">
        <v>97</v>
      </c>
      <c r="R707" s="48">
        <f>HEX2DEC(RIGHT(Table1323212714[[#This Row],[h2]],8))</f>
        <v>0</v>
      </c>
    </row>
    <row r="708" spans="1:18" x14ac:dyDescent="0.3">
      <c r="A708" s="15" t="str">
        <f t="shared" si="15"/>
        <v>2BA</v>
      </c>
      <c r="B708" s="15">
        <v>698</v>
      </c>
      <c r="C708" s="42"/>
      <c r="F708" s="22"/>
      <c r="G708" s="22"/>
      <c r="J708" s="24">
        <v>50000</v>
      </c>
      <c r="M708" s="24">
        <v>50000</v>
      </c>
      <c r="O708" s="48" t="s">
        <v>97</v>
      </c>
      <c r="P708" s="48">
        <f>HEX2DEC(RIGHT(Table1323212714[[#This Row],[h1]],8))</f>
        <v>0</v>
      </c>
      <c r="Q708" s="48" t="s">
        <v>97</v>
      </c>
      <c r="R708" s="48">
        <f>HEX2DEC(RIGHT(Table1323212714[[#This Row],[h2]],8))</f>
        <v>0</v>
      </c>
    </row>
    <row r="709" spans="1:18" x14ac:dyDescent="0.3">
      <c r="A709" s="15" t="str">
        <f t="shared" si="15"/>
        <v>2BB</v>
      </c>
      <c r="B709" s="15">
        <v>699</v>
      </c>
      <c r="C709" s="42"/>
      <c r="F709" s="22"/>
      <c r="G709" s="22"/>
      <c r="J709" s="24">
        <v>50000</v>
      </c>
      <c r="M709" s="24">
        <v>50000</v>
      </c>
      <c r="O709" s="48" t="s">
        <v>97</v>
      </c>
      <c r="P709" s="48">
        <f>HEX2DEC(RIGHT(Table1323212714[[#This Row],[h1]],8))</f>
        <v>0</v>
      </c>
      <c r="Q709" s="48" t="s">
        <v>97</v>
      </c>
      <c r="R709" s="48">
        <f>HEX2DEC(RIGHT(Table1323212714[[#This Row],[h2]],8))</f>
        <v>0</v>
      </c>
    </row>
    <row r="710" spans="1:18" x14ac:dyDescent="0.3">
      <c r="A710" s="15" t="str">
        <f t="shared" si="15"/>
        <v>2BC</v>
      </c>
      <c r="B710" s="15">
        <v>700</v>
      </c>
      <c r="C710" s="42"/>
      <c r="F710" s="22"/>
      <c r="G710" s="22"/>
      <c r="J710" s="24">
        <v>50000</v>
      </c>
      <c r="M710" s="24">
        <v>50000</v>
      </c>
      <c r="O710" s="48" t="s">
        <v>97</v>
      </c>
      <c r="P710" s="48">
        <f>HEX2DEC(RIGHT(Table1323212714[[#This Row],[h1]],8))</f>
        <v>0</v>
      </c>
      <c r="Q710" s="48" t="s">
        <v>97</v>
      </c>
      <c r="R710" s="48">
        <f>HEX2DEC(RIGHT(Table1323212714[[#This Row],[h2]],8))</f>
        <v>0</v>
      </c>
    </row>
    <row r="711" spans="1:18" x14ac:dyDescent="0.3">
      <c r="A711" s="15" t="str">
        <f t="shared" si="15"/>
        <v>2BD</v>
      </c>
      <c r="B711" s="15">
        <v>701</v>
      </c>
      <c r="C711" s="42"/>
      <c r="F711" s="22"/>
      <c r="G711" s="22"/>
      <c r="J711" s="24">
        <v>50000</v>
      </c>
      <c r="M711" s="24">
        <v>50000</v>
      </c>
      <c r="O711" s="48" t="s">
        <v>97</v>
      </c>
      <c r="P711" s="48">
        <f>HEX2DEC(RIGHT(Table1323212714[[#This Row],[h1]],8))</f>
        <v>0</v>
      </c>
      <c r="Q711" s="48" t="s">
        <v>97</v>
      </c>
      <c r="R711" s="48">
        <f>HEX2DEC(RIGHT(Table1323212714[[#This Row],[h2]],8))</f>
        <v>0</v>
      </c>
    </row>
    <row r="712" spans="1:18" x14ac:dyDescent="0.3">
      <c r="A712" s="15" t="str">
        <f t="shared" si="15"/>
        <v>2BE</v>
      </c>
      <c r="B712" s="15">
        <v>702</v>
      </c>
      <c r="C712" s="42"/>
      <c r="F712" s="22"/>
      <c r="G712" s="22"/>
      <c r="J712" s="24">
        <v>50000</v>
      </c>
      <c r="M712" s="24">
        <v>50000</v>
      </c>
      <c r="O712" s="48" t="s">
        <v>97</v>
      </c>
      <c r="P712" s="48">
        <f>HEX2DEC(RIGHT(Table1323212714[[#This Row],[h1]],8))</f>
        <v>0</v>
      </c>
      <c r="Q712" s="48" t="s">
        <v>97</v>
      </c>
      <c r="R712" s="48">
        <f>HEX2DEC(RIGHT(Table1323212714[[#This Row],[h2]],8))</f>
        <v>0</v>
      </c>
    </row>
    <row r="713" spans="1:18" x14ac:dyDescent="0.3">
      <c r="A713" s="15" t="str">
        <f t="shared" si="15"/>
        <v>2BF</v>
      </c>
      <c r="B713" s="15">
        <v>703</v>
      </c>
      <c r="C713" s="42"/>
      <c r="F713" s="22"/>
      <c r="G713" s="22"/>
      <c r="J713" s="24">
        <v>50000</v>
      </c>
      <c r="M713" s="24">
        <v>50000</v>
      </c>
      <c r="O713" s="48" t="s">
        <v>97</v>
      </c>
      <c r="P713" s="48">
        <f>HEX2DEC(RIGHT(Table1323212714[[#This Row],[h1]],8))</f>
        <v>0</v>
      </c>
      <c r="Q713" s="48" t="s">
        <v>97</v>
      </c>
      <c r="R713" s="48">
        <f>HEX2DEC(RIGHT(Table1323212714[[#This Row],[h2]],8))</f>
        <v>0</v>
      </c>
    </row>
    <row r="714" spans="1:18" x14ac:dyDescent="0.3">
      <c r="A714" s="15" t="str">
        <f t="shared" si="15"/>
        <v>2C0</v>
      </c>
      <c r="B714" s="15">
        <v>704</v>
      </c>
      <c r="C714" s="42"/>
      <c r="F714" s="22"/>
      <c r="G714" s="22"/>
      <c r="J714" s="24">
        <v>50000</v>
      </c>
      <c r="M714" s="24">
        <v>50000</v>
      </c>
      <c r="O714" s="48" t="s">
        <v>97</v>
      </c>
      <c r="P714" s="48">
        <f>HEX2DEC(RIGHT(Table1323212714[[#This Row],[h1]],8))</f>
        <v>0</v>
      </c>
      <c r="Q714" s="48" t="s">
        <v>97</v>
      </c>
      <c r="R714" s="48">
        <f>HEX2DEC(RIGHT(Table1323212714[[#This Row],[h2]],8))</f>
        <v>0</v>
      </c>
    </row>
    <row r="715" spans="1:18" x14ac:dyDescent="0.3">
      <c r="A715" s="15" t="str">
        <f t="shared" ref="A715:A778" si="16">DEC2HEX(B715,3)</f>
        <v>2C1</v>
      </c>
      <c r="B715" s="15">
        <v>705</v>
      </c>
      <c r="C715" s="42"/>
      <c r="F715" s="22"/>
      <c r="G715" s="22"/>
      <c r="J715" s="24">
        <v>50000</v>
      </c>
      <c r="M715" s="24">
        <v>50000</v>
      </c>
      <c r="O715" s="48" t="s">
        <v>97</v>
      </c>
      <c r="P715" s="48">
        <f>HEX2DEC(RIGHT(Table1323212714[[#This Row],[h1]],8))</f>
        <v>0</v>
      </c>
      <c r="Q715" s="48" t="s">
        <v>97</v>
      </c>
      <c r="R715" s="48">
        <f>HEX2DEC(RIGHT(Table1323212714[[#This Row],[h2]],8))</f>
        <v>0</v>
      </c>
    </row>
    <row r="716" spans="1:18" x14ac:dyDescent="0.3">
      <c r="A716" s="15" t="str">
        <f t="shared" si="16"/>
        <v>2C2</v>
      </c>
      <c r="B716" s="15">
        <v>706</v>
      </c>
      <c r="C716" s="42"/>
      <c r="F716" s="22"/>
      <c r="G716" s="22"/>
      <c r="J716" s="24">
        <v>50000</v>
      </c>
      <c r="M716" s="24">
        <v>50000</v>
      </c>
      <c r="O716" s="48" t="s">
        <v>97</v>
      </c>
      <c r="P716" s="48">
        <f>HEX2DEC(RIGHT(Table1323212714[[#This Row],[h1]],8))</f>
        <v>0</v>
      </c>
      <c r="Q716" s="48" t="s">
        <v>97</v>
      </c>
      <c r="R716" s="48">
        <f>HEX2DEC(RIGHT(Table1323212714[[#This Row],[h2]],8))</f>
        <v>0</v>
      </c>
    </row>
    <row r="717" spans="1:18" x14ac:dyDescent="0.3">
      <c r="A717" s="15" t="str">
        <f t="shared" si="16"/>
        <v>2C3</v>
      </c>
      <c r="B717" s="15">
        <v>707</v>
      </c>
      <c r="C717" s="42"/>
      <c r="F717" s="22"/>
      <c r="G717" s="22"/>
      <c r="J717" s="24">
        <v>50000</v>
      </c>
      <c r="M717" s="24">
        <v>50000</v>
      </c>
      <c r="O717" s="48" t="s">
        <v>97</v>
      </c>
      <c r="P717" s="48">
        <f>HEX2DEC(RIGHT(Table1323212714[[#This Row],[h1]],8))</f>
        <v>0</v>
      </c>
      <c r="Q717" s="48" t="s">
        <v>97</v>
      </c>
      <c r="R717" s="48">
        <f>HEX2DEC(RIGHT(Table1323212714[[#This Row],[h2]],8))</f>
        <v>0</v>
      </c>
    </row>
    <row r="718" spans="1:18" x14ac:dyDescent="0.3">
      <c r="A718" s="15" t="str">
        <f t="shared" si="16"/>
        <v>2C4</v>
      </c>
      <c r="B718" s="15">
        <v>708</v>
      </c>
      <c r="C718" s="42"/>
      <c r="F718" s="22"/>
      <c r="G718" s="22"/>
      <c r="J718" s="24">
        <v>50000</v>
      </c>
      <c r="M718" s="24">
        <v>50000</v>
      </c>
      <c r="O718" s="48" t="s">
        <v>97</v>
      </c>
      <c r="P718" s="48">
        <f>HEX2DEC(RIGHT(Table1323212714[[#This Row],[h1]],8))</f>
        <v>0</v>
      </c>
      <c r="Q718" s="48" t="s">
        <v>97</v>
      </c>
      <c r="R718" s="48">
        <f>HEX2DEC(RIGHT(Table1323212714[[#This Row],[h2]],8))</f>
        <v>0</v>
      </c>
    </row>
    <row r="719" spans="1:18" x14ac:dyDescent="0.3">
      <c r="A719" s="15" t="str">
        <f t="shared" si="16"/>
        <v>2C5</v>
      </c>
      <c r="B719" s="15">
        <v>709</v>
      </c>
      <c r="C719" s="42"/>
      <c r="F719" s="22"/>
      <c r="G719" s="22"/>
      <c r="J719" s="24">
        <v>50000</v>
      </c>
      <c r="M719" s="24">
        <v>50000</v>
      </c>
      <c r="O719" s="48" t="s">
        <v>97</v>
      </c>
      <c r="P719" s="48">
        <f>HEX2DEC(RIGHT(Table1323212714[[#This Row],[h1]],8))</f>
        <v>0</v>
      </c>
      <c r="Q719" s="48" t="s">
        <v>97</v>
      </c>
      <c r="R719" s="48">
        <f>HEX2DEC(RIGHT(Table1323212714[[#This Row],[h2]],8))</f>
        <v>0</v>
      </c>
    </row>
    <row r="720" spans="1:18" x14ac:dyDescent="0.3">
      <c r="A720" s="15" t="str">
        <f t="shared" si="16"/>
        <v>2C6</v>
      </c>
      <c r="B720" s="15">
        <v>710</v>
      </c>
      <c r="C720" s="42"/>
      <c r="F720" s="22"/>
      <c r="G720" s="22"/>
      <c r="J720" s="24">
        <v>50000</v>
      </c>
      <c r="M720" s="24">
        <v>50000</v>
      </c>
      <c r="O720" s="48" t="s">
        <v>97</v>
      </c>
      <c r="P720" s="48">
        <f>HEX2DEC(RIGHT(Table1323212714[[#This Row],[h1]],8))</f>
        <v>0</v>
      </c>
      <c r="Q720" s="48" t="s">
        <v>97</v>
      </c>
      <c r="R720" s="48">
        <f>HEX2DEC(RIGHT(Table1323212714[[#This Row],[h2]],8))</f>
        <v>0</v>
      </c>
    </row>
    <row r="721" spans="1:18" x14ac:dyDescent="0.3">
      <c r="A721" s="15" t="str">
        <f t="shared" si="16"/>
        <v>2C7</v>
      </c>
      <c r="B721" s="15">
        <v>711</v>
      </c>
      <c r="C721" s="42"/>
      <c r="F721" s="22"/>
      <c r="G721" s="22"/>
      <c r="J721" s="24">
        <v>50000</v>
      </c>
      <c r="M721" s="24">
        <v>50000</v>
      </c>
      <c r="O721" s="48" t="s">
        <v>97</v>
      </c>
      <c r="P721" s="48">
        <f>HEX2DEC(RIGHT(Table1323212714[[#This Row],[h1]],8))</f>
        <v>0</v>
      </c>
      <c r="Q721" s="48" t="s">
        <v>97</v>
      </c>
      <c r="R721" s="48">
        <f>HEX2DEC(RIGHT(Table1323212714[[#This Row],[h2]],8))</f>
        <v>0</v>
      </c>
    </row>
    <row r="722" spans="1:18" x14ac:dyDescent="0.3">
      <c r="A722" s="15" t="str">
        <f t="shared" si="16"/>
        <v>2C8</v>
      </c>
      <c r="B722" s="15">
        <v>712</v>
      </c>
      <c r="C722" s="42"/>
      <c r="F722" s="22"/>
      <c r="G722" s="22"/>
      <c r="J722" s="24">
        <v>50000</v>
      </c>
      <c r="M722" s="24">
        <v>50000</v>
      </c>
      <c r="O722" s="48" t="s">
        <v>97</v>
      </c>
      <c r="P722" s="48">
        <f>HEX2DEC(RIGHT(Table1323212714[[#This Row],[h1]],8))</f>
        <v>0</v>
      </c>
      <c r="Q722" s="48" t="s">
        <v>97</v>
      </c>
      <c r="R722" s="48">
        <f>HEX2DEC(RIGHT(Table1323212714[[#This Row],[h2]],8))</f>
        <v>0</v>
      </c>
    </row>
    <row r="723" spans="1:18" x14ac:dyDescent="0.3">
      <c r="A723" s="15" t="str">
        <f t="shared" si="16"/>
        <v>2C9</v>
      </c>
      <c r="B723" s="15">
        <v>713</v>
      </c>
      <c r="C723" s="42"/>
      <c r="F723" s="22"/>
      <c r="G723" s="22"/>
      <c r="J723" s="24">
        <v>50000</v>
      </c>
      <c r="M723" s="24">
        <v>50000</v>
      </c>
      <c r="O723" s="48" t="s">
        <v>97</v>
      </c>
      <c r="P723" s="48">
        <f>HEX2DEC(RIGHT(Table1323212714[[#This Row],[h1]],8))</f>
        <v>0</v>
      </c>
      <c r="Q723" s="48" t="s">
        <v>97</v>
      </c>
      <c r="R723" s="48">
        <f>HEX2DEC(RIGHT(Table1323212714[[#This Row],[h2]],8))</f>
        <v>0</v>
      </c>
    </row>
    <row r="724" spans="1:18" x14ac:dyDescent="0.3">
      <c r="A724" s="15" t="str">
        <f t="shared" si="16"/>
        <v>2CA</v>
      </c>
      <c r="B724" s="15">
        <v>714</v>
      </c>
      <c r="C724" s="42"/>
      <c r="F724" s="22"/>
      <c r="G724" s="22"/>
      <c r="J724" s="24">
        <v>50000</v>
      </c>
      <c r="M724" s="24">
        <v>50000</v>
      </c>
      <c r="O724" s="48" t="s">
        <v>97</v>
      </c>
      <c r="P724" s="48">
        <f>HEX2DEC(RIGHT(Table1323212714[[#This Row],[h1]],8))</f>
        <v>0</v>
      </c>
      <c r="Q724" s="48" t="s">
        <v>97</v>
      </c>
      <c r="R724" s="48">
        <f>HEX2DEC(RIGHT(Table1323212714[[#This Row],[h2]],8))</f>
        <v>0</v>
      </c>
    </row>
    <row r="725" spans="1:18" x14ac:dyDescent="0.3">
      <c r="A725" s="15" t="str">
        <f t="shared" si="16"/>
        <v>2CB</v>
      </c>
      <c r="B725" s="15">
        <v>715</v>
      </c>
      <c r="C725" s="42"/>
      <c r="F725" s="22"/>
      <c r="G725" s="22"/>
      <c r="J725" s="24">
        <v>50000</v>
      </c>
      <c r="M725" s="24">
        <v>50000</v>
      </c>
      <c r="O725" s="48" t="s">
        <v>97</v>
      </c>
      <c r="P725" s="48">
        <f>HEX2DEC(RIGHT(Table1323212714[[#This Row],[h1]],8))</f>
        <v>0</v>
      </c>
      <c r="Q725" s="48" t="s">
        <v>97</v>
      </c>
      <c r="R725" s="48">
        <f>HEX2DEC(RIGHT(Table1323212714[[#This Row],[h2]],8))</f>
        <v>0</v>
      </c>
    </row>
    <row r="726" spans="1:18" x14ac:dyDescent="0.3">
      <c r="A726" s="15" t="str">
        <f t="shared" si="16"/>
        <v>2CC</v>
      </c>
      <c r="B726" s="15">
        <v>716</v>
      </c>
      <c r="C726" s="42"/>
      <c r="F726" s="22"/>
      <c r="G726" s="22"/>
      <c r="J726" s="24">
        <v>50000</v>
      </c>
      <c r="M726" s="24">
        <v>50000</v>
      </c>
      <c r="O726" s="48" t="s">
        <v>97</v>
      </c>
      <c r="P726" s="48">
        <f>HEX2DEC(RIGHT(Table1323212714[[#This Row],[h1]],8))</f>
        <v>0</v>
      </c>
      <c r="Q726" s="48" t="s">
        <v>97</v>
      </c>
      <c r="R726" s="48">
        <f>HEX2DEC(RIGHT(Table1323212714[[#This Row],[h2]],8))</f>
        <v>0</v>
      </c>
    </row>
    <row r="727" spans="1:18" x14ac:dyDescent="0.3">
      <c r="A727" s="15" t="str">
        <f t="shared" si="16"/>
        <v>2CD</v>
      </c>
      <c r="B727" s="15">
        <v>717</v>
      </c>
      <c r="C727" s="42"/>
      <c r="F727" s="22"/>
      <c r="G727" s="22"/>
      <c r="J727" s="24">
        <v>50000</v>
      </c>
      <c r="M727" s="24">
        <v>50000</v>
      </c>
      <c r="O727" s="48" t="s">
        <v>97</v>
      </c>
      <c r="P727" s="48">
        <f>HEX2DEC(RIGHT(Table1323212714[[#This Row],[h1]],8))</f>
        <v>0</v>
      </c>
      <c r="Q727" s="48" t="s">
        <v>97</v>
      </c>
      <c r="R727" s="48">
        <f>HEX2DEC(RIGHT(Table1323212714[[#This Row],[h2]],8))</f>
        <v>0</v>
      </c>
    </row>
    <row r="728" spans="1:18" x14ac:dyDescent="0.3">
      <c r="A728" s="15" t="str">
        <f t="shared" si="16"/>
        <v>2CE</v>
      </c>
      <c r="B728" s="15">
        <v>718</v>
      </c>
      <c r="C728" s="42"/>
      <c r="F728" s="22"/>
      <c r="G728" s="22"/>
      <c r="J728" s="24">
        <v>50000</v>
      </c>
      <c r="M728" s="24">
        <v>50000</v>
      </c>
      <c r="O728" s="48" t="s">
        <v>97</v>
      </c>
      <c r="P728" s="48">
        <f>HEX2DEC(RIGHT(Table1323212714[[#This Row],[h1]],8))</f>
        <v>0</v>
      </c>
      <c r="Q728" s="48" t="s">
        <v>97</v>
      </c>
      <c r="R728" s="48">
        <f>HEX2DEC(RIGHT(Table1323212714[[#This Row],[h2]],8))</f>
        <v>0</v>
      </c>
    </row>
    <row r="729" spans="1:18" x14ac:dyDescent="0.3">
      <c r="A729" s="15" t="str">
        <f t="shared" si="16"/>
        <v>2CF</v>
      </c>
      <c r="B729" s="15">
        <v>719</v>
      </c>
      <c r="C729" s="42"/>
      <c r="F729" s="22"/>
      <c r="G729" s="22"/>
      <c r="J729" s="24">
        <v>50000</v>
      </c>
      <c r="M729" s="24">
        <v>50000</v>
      </c>
      <c r="O729" s="48" t="s">
        <v>97</v>
      </c>
      <c r="P729" s="48">
        <f>HEX2DEC(RIGHT(Table1323212714[[#This Row],[h1]],8))</f>
        <v>0</v>
      </c>
      <c r="Q729" s="48" t="s">
        <v>97</v>
      </c>
      <c r="R729" s="48">
        <f>HEX2DEC(RIGHT(Table1323212714[[#This Row],[h2]],8))</f>
        <v>0</v>
      </c>
    </row>
    <row r="730" spans="1:18" x14ac:dyDescent="0.3">
      <c r="A730" s="15" t="str">
        <f t="shared" si="16"/>
        <v>2D0</v>
      </c>
      <c r="B730" s="15">
        <v>720</v>
      </c>
      <c r="C730" s="42"/>
      <c r="F730" s="22"/>
      <c r="G730" s="22"/>
      <c r="J730" s="24">
        <v>50000</v>
      </c>
      <c r="M730" s="24">
        <v>50000</v>
      </c>
      <c r="O730" s="48" t="s">
        <v>97</v>
      </c>
      <c r="P730" s="48">
        <f>HEX2DEC(RIGHT(Table1323212714[[#This Row],[h1]],8))</f>
        <v>0</v>
      </c>
      <c r="Q730" s="48" t="s">
        <v>97</v>
      </c>
      <c r="R730" s="48">
        <f>HEX2DEC(RIGHT(Table1323212714[[#This Row],[h2]],8))</f>
        <v>0</v>
      </c>
    </row>
    <row r="731" spans="1:18" x14ac:dyDescent="0.3">
      <c r="A731" s="15" t="str">
        <f t="shared" si="16"/>
        <v>2D1</v>
      </c>
      <c r="B731" s="15">
        <v>721</v>
      </c>
      <c r="C731" s="42"/>
      <c r="F731" s="22"/>
      <c r="G731" s="22"/>
      <c r="J731" s="24">
        <v>50000</v>
      </c>
      <c r="M731" s="24">
        <v>50000</v>
      </c>
      <c r="O731" s="48" t="s">
        <v>97</v>
      </c>
      <c r="P731" s="48">
        <f>HEX2DEC(RIGHT(Table1323212714[[#This Row],[h1]],8))</f>
        <v>0</v>
      </c>
      <c r="Q731" s="48" t="s">
        <v>97</v>
      </c>
      <c r="R731" s="48">
        <f>HEX2DEC(RIGHT(Table1323212714[[#This Row],[h2]],8))</f>
        <v>0</v>
      </c>
    </row>
    <row r="732" spans="1:18" x14ac:dyDescent="0.3">
      <c r="A732" s="15" t="str">
        <f t="shared" si="16"/>
        <v>2D2</v>
      </c>
      <c r="B732" s="15">
        <v>722</v>
      </c>
      <c r="C732" s="42"/>
      <c r="F732" s="22"/>
      <c r="G732" s="22"/>
      <c r="J732" s="24">
        <v>50000</v>
      </c>
      <c r="M732" s="24">
        <v>50000</v>
      </c>
      <c r="O732" s="48" t="s">
        <v>97</v>
      </c>
      <c r="P732" s="48">
        <f>HEX2DEC(RIGHT(Table1323212714[[#This Row],[h1]],8))</f>
        <v>0</v>
      </c>
      <c r="Q732" s="48" t="s">
        <v>97</v>
      </c>
      <c r="R732" s="48">
        <f>HEX2DEC(RIGHT(Table1323212714[[#This Row],[h2]],8))</f>
        <v>0</v>
      </c>
    </row>
    <row r="733" spans="1:18" x14ac:dyDescent="0.3">
      <c r="A733" s="15" t="str">
        <f t="shared" si="16"/>
        <v>2D3</v>
      </c>
      <c r="B733" s="15">
        <v>723</v>
      </c>
      <c r="C733" s="42"/>
      <c r="F733" s="22"/>
      <c r="G733" s="22"/>
      <c r="J733" s="24">
        <v>50000</v>
      </c>
      <c r="M733" s="24">
        <v>50000</v>
      </c>
      <c r="O733" s="48" t="s">
        <v>97</v>
      </c>
      <c r="P733" s="48">
        <f>HEX2DEC(RIGHT(Table1323212714[[#This Row],[h1]],8))</f>
        <v>0</v>
      </c>
      <c r="Q733" s="48" t="s">
        <v>97</v>
      </c>
      <c r="R733" s="48">
        <f>HEX2DEC(RIGHT(Table1323212714[[#This Row],[h2]],8))</f>
        <v>0</v>
      </c>
    </row>
    <row r="734" spans="1:18" x14ac:dyDescent="0.3">
      <c r="A734" s="15" t="str">
        <f t="shared" si="16"/>
        <v>2D4</v>
      </c>
      <c r="B734" s="15">
        <v>724</v>
      </c>
      <c r="C734" s="42"/>
      <c r="F734" s="22"/>
      <c r="G734" s="22"/>
      <c r="J734" s="24">
        <v>50000</v>
      </c>
      <c r="M734" s="24">
        <v>50000</v>
      </c>
      <c r="O734" s="48" t="s">
        <v>97</v>
      </c>
      <c r="P734" s="48">
        <f>HEX2DEC(RIGHT(Table1323212714[[#This Row],[h1]],8))</f>
        <v>0</v>
      </c>
      <c r="Q734" s="48" t="s">
        <v>97</v>
      </c>
      <c r="R734" s="48">
        <f>HEX2DEC(RIGHT(Table1323212714[[#This Row],[h2]],8))</f>
        <v>0</v>
      </c>
    </row>
    <row r="735" spans="1:18" x14ac:dyDescent="0.3">
      <c r="A735" s="15" t="str">
        <f t="shared" si="16"/>
        <v>2D5</v>
      </c>
      <c r="B735" s="15">
        <v>725</v>
      </c>
      <c r="C735" s="42"/>
      <c r="F735" s="22"/>
      <c r="G735" s="22"/>
      <c r="J735" s="24">
        <v>50000</v>
      </c>
      <c r="M735" s="24">
        <v>50000</v>
      </c>
      <c r="O735" s="48" t="s">
        <v>97</v>
      </c>
      <c r="P735" s="48">
        <f>HEX2DEC(RIGHT(Table1323212714[[#This Row],[h1]],8))</f>
        <v>0</v>
      </c>
      <c r="Q735" s="48" t="s">
        <v>97</v>
      </c>
      <c r="R735" s="48">
        <f>HEX2DEC(RIGHT(Table1323212714[[#This Row],[h2]],8))</f>
        <v>0</v>
      </c>
    </row>
    <row r="736" spans="1:18" x14ac:dyDescent="0.3">
      <c r="A736" s="15" t="str">
        <f t="shared" si="16"/>
        <v>2D6</v>
      </c>
      <c r="B736" s="15">
        <v>726</v>
      </c>
      <c r="C736" s="42"/>
      <c r="F736" s="22"/>
      <c r="G736" s="22"/>
      <c r="J736" s="24">
        <v>50000</v>
      </c>
      <c r="M736" s="24">
        <v>50000</v>
      </c>
      <c r="O736" s="48" t="s">
        <v>97</v>
      </c>
      <c r="P736" s="48">
        <f>HEX2DEC(RIGHT(Table1323212714[[#This Row],[h1]],8))</f>
        <v>0</v>
      </c>
      <c r="Q736" s="48" t="s">
        <v>97</v>
      </c>
      <c r="R736" s="48">
        <f>HEX2DEC(RIGHT(Table1323212714[[#This Row],[h2]],8))</f>
        <v>0</v>
      </c>
    </row>
    <row r="737" spans="1:18" x14ac:dyDescent="0.3">
      <c r="A737" s="15" t="str">
        <f t="shared" si="16"/>
        <v>2D7</v>
      </c>
      <c r="B737" s="15">
        <v>727</v>
      </c>
      <c r="C737" s="42"/>
      <c r="F737" s="22"/>
      <c r="G737" s="22"/>
      <c r="J737" s="24">
        <v>50000</v>
      </c>
      <c r="M737" s="24">
        <v>50000</v>
      </c>
      <c r="O737" s="48" t="s">
        <v>97</v>
      </c>
      <c r="P737" s="48">
        <f>HEX2DEC(RIGHT(Table1323212714[[#This Row],[h1]],8))</f>
        <v>0</v>
      </c>
      <c r="Q737" s="48" t="s">
        <v>97</v>
      </c>
      <c r="R737" s="48">
        <f>HEX2DEC(RIGHT(Table1323212714[[#This Row],[h2]],8))</f>
        <v>0</v>
      </c>
    </row>
    <row r="738" spans="1:18" x14ac:dyDescent="0.3">
      <c r="A738" s="15" t="str">
        <f t="shared" si="16"/>
        <v>2D8</v>
      </c>
      <c r="B738" s="15">
        <v>728</v>
      </c>
      <c r="C738" s="42"/>
      <c r="F738" s="22"/>
      <c r="G738" s="22"/>
      <c r="J738" s="24">
        <v>50000</v>
      </c>
      <c r="M738" s="24">
        <v>50000</v>
      </c>
      <c r="O738" s="48" t="s">
        <v>97</v>
      </c>
      <c r="P738" s="48">
        <f>HEX2DEC(RIGHT(Table1323212714[[#This Row],[h1]],8))</f>
        <v>0</v>
      </c>
      <c r="Q738" s="48" t="s">
        <v>97</v>
      </c>
      <c r="R738" s="48">
        <f>HEX2DEC(RIGHT(Table1323212714[[#This Row],[h2]],8))</f>
        <v>0</v>
      </c>
    </row>
    <row r="739" spans="1:18" x14ac:dyDescent="0.3">
      <c r="A739" s="15" t="str">
        <f t="shared" si="16"/>
        <v>2D9</v>
      </c>
      <c r="B739" s="15">
        <v>729</v>
      </c>
      <c r="C739" s="42"/>
      <c r="F739" s="22"/>
      <c r="G739" s="22"/>
      <c r="J739" s="24">
        <v>50000</v>
      </c>
      <c r="M739" s="24">
        <v>50000</v>
      </c>
      <c r="O739" s="48" t="s">
        <v>97</v>
      </c>
      <c r="P739" s="48">
        <f>HEX2DEC(RIGHT(Table1323212714[[#This Row],[h1]],8))</f>
        <v>0</v>
      </c>
      <c r="Q739" s="48" t="s">
        <v>97</v>
      </c>
      <c r="R739" s="48">
        <f>HEX2DEC(RIGHT(Table1323212714[[#This Row],[h2]],8))</f>
        <v>0</v>
      </c>
    </row>
    <row r="740" spans="1:18" x14ac:dyDescent="0.3">
      <c r="A740" s="15" t="str">
        <f t="shared" si="16"/>
        <v>2DA</v>
      </c>
      <c r="B740" s="15">
        <v>730</v>
      </c>
      <c r="C740" s="42"/>
      <c r="F740" s="22"/>
      <c r="G740" s="22"/>
      <c r="J740" s="24">
        <v>50000</v>
      </c>
      <c r="M740" s="24">
        <v>50000</v>
      </c>
      <c r="O740" s="48" t="s">
        <v>97</v>
      </c>
      <c r="P740" s="48">
        <f>HEX2DEC(RIGHT(Table1323212714[[#This Row],[h1]],8))</f>
        <v>0</v>
      </c>
      <c r="Q740" s="48" t="s">
        <v>97</v>
      </c>
      <c r="R740" s="48">
        <f>HEX2DEC(RIGHT(Table1323212714[[#This Row],[h2]],8))</f>
        <v>0</v>
      </c>
    </row>
    <row r="741" spans="1:18" x14ac:dyDescent="0.3">
      <c r="A741" s="15" t="str">
        <f t="shared" si="16"/>
        <v>2DB</v>
      </c>
      <c r="B741" s="15">
        <v>731</v>
      </c>
      <c r="C741" s="42"/>
      <c r="F741" s="22"/>
      <c r="G741" s="22"/>
      <c r="J741" s="24">
        <v>50000</v>
      </c>
      <c r="M741" s="24">
        <v>50000</v>
      </c>
      <c r="O741" s="48" t="s">
        <v>97</v>
      </c>
      <c r="P741" s="48">
        <f>HEX2DEC(RIGHT(Table1323212714[[#This Row],[h1]],8))</f>
        <v>0</v>
      </c>
      <c r="Q741" s="48" t="s">
        <v>97</v>
      </c>
      <c r="R741" s="48">
        <f>HEX2DEC(RIGHT(Table1323212714[[#This Row],[h2]],8))</f>
        <v>0</v>
      </c>
    </row>
    <row r="742" spans="1:18" x14ac:dyDescent="0.3">
      <c r="A742" s="15" t="str">
        <f t="shared" si="16"/>
        <v>2DC</v>
      </c>
      <c r="B742" s="15">
        <v>732</v>
      </c>
      <c r="C742" s="42"/>
      <c r="F742" s="22"/>
      <c r="G742" s="22"/>
      <c r="J742" s="24">
        <v>50000</v>
      </c>
      <c r="M742" s="24">
        <v>50000</v>
      </c>
      <c r="O742" s="48" t="s">
        <v>97</v>
      </c>
      <c r="P742" s="48">
        <f>HEX2DEC(RIGHT(Table1323212714[[#This Row],[h1]],8))</f>
        <v>0</v>
      </c>
      <c r="Q742" s="48" t="s">
        <v>97</v>
      </c>
      <c r="R742" s="48">
        <f>HEX2DEC(RIGHT(Table1323212714[[#This Row],[h2]],8))</f>
        <v>0</v>
      </c>
    </row>
    <row r="743" spans="1:18" x14ac:dyDescent="0.3">
      <c r="A743" s="15" t="str">
        <f t="shared" si="16"/>
        <v>2DD</v>
      </c>
      <c r="B743" s="15">
        <v>733</v>
      </c>
      <c r="C743" s="42"/>
      <c r="F743" s="22"/>
      <c r="G743" s="22"/>
      <c r="J743" s="24">
        <v>50000</v>
      </c>
      <c r="M743" s="24">
        <v>50000</v>
      </c>
      <c r="O743" s="48" t="s">
        <v>97</v>
      </c>
      <c r="P743" s="48">
        <f>HEX2DEC(RIGHT(Table1323212714[[#This Row],[h1]],8))</f>
        <v>0</v>
      </c>
      <c r="Q743" s="48" t="s">
        <v>97</v>
      </c>
      <c r="R743" s="48">
        <f>HEX2DEC(RIGHT(Table1323212714[[#This Row],[h2]],8))</f>
        <v>0</v>
      </c>
    </row>
    <row r="744" spans="1:18" x14ac:dyDescent="0.3">
      <c r="A744" s="15" t="str">
        <f t="shared" si="16"/>
        <v>2DE</v>
      </c>
      <c r="B744" s="15">
        <v>734</v>
      </c>
      <c r="C744" s="42"/>
      <c r="F744" s="22"/>
      <c r="G744" s="22"/>
      <c r="J744" s="24">
        <v>50000</v>
      </c>
      <c r="M744" s="24">
        <v>50000</v>
      </c>
      <c r="O744" s="48" t="s">
        <v>97</v>
      </c>
      <c r="P744" s="48">
        <f>HEX2DEC(RIGHT(Table1323212714[[#This Row],[h1]],8))</f>
        <v>0</v>
      </c>
      <c r="Q744" s="48" t="s">
        <v>97</v>
      </c>
      <c r="R744" s="48">
        <f>HEX2DEC(RIGHT(Table1323212714[[#This Row],[h2]],8))</f>
        <v>0</v>
      </c>
    </row>
    <row r="745" spans="1:18" x14ac:dyDescent="0.3">
      <c r="A745" s="15" t="str">
        <f t="shared" si="16"/>
        <v>2DF</v>
      </c>
      <c r="B745" s="15">
        <v>735</v>
      </c>
      <c r="C745" s="42"/>
      <c r="F745" s="22"/>
      <c r="G745" s="22"/>
      <c r="J745" s="24">
        <v>50000</v>
      </c>
      <c r="M745" s="24">
        <v>50000</v>
      </c>
      <c r="O745" s="48" t="s">
        <v>97</v>
      </c>
      <c r="P745" s="48">
        <f>HEX2DEC(RIGHT(Table1323212714[[#This Row],[h1]],8))</f>
        <v>0</v>
      </c>
      <c r="Q745" s="48" t="s">
        <v>97</v>
      </c>
      <c r="R745" s="48">
        <f>HEX2DEC(RIGHT(Table1323212714[[#This Row],[h2]],8))</f>
        <v>0</v>
      </c>
    </row>
    <row r="746" spans="1:18" x14ac:dyDescent="0.3">
      <c r="A746" s="15" t="str">
        <f t="shared" si="16"/>
        <v>2E0</v>
      </c>
      <c r="B746" s="15">
        <v>736</v>
      </c>
      <c r="C746" s="42"/>
      <c r="F746" s="22"/>
      <c r="G746" s="22"/>
      <c r="J746" s="24">
        <v>50000</v>
      </c>
      <c r="M746" s="24">
        <v>50000</v>
      </c>
      <c r="O746" s="48" t="s">
        <v>97</v>
      </c>
      <c r="P746" s="48">
        <f>HEX2DEC(RIGHT(Table1323212714[[#This Row],[h1]],8))</f>
        <v>0</v>
      </c>
      <c r="Q746" s="48" t="s">
        <v>97</v>
      </c>
      <c r="R746" s="48">
        <f>HEX2DEC(RIGHT(Table1323212714[[#This Row],[h2]],8))</f>
        <v>0</v>
      </c>
    </row>
    <row r="747" spans="1:18" x14ac:dyDescent="0.3">
      <c r="A747" s="15" t="str">
        <f t="shared" si="16"/>
        <v>2E1</v>
      </c>
      <c r="B747" s="15">
        <v>737</v>
      </c>
      <c r="C747" s="42"/>
      <c r="F747" s="22"/>
      <c r="G747" s="22"/>
      <c r="J747" s="24">
        <v>50000</v>
      </c>
      <c r="M747" s="24">
        <v>50000</v>
      </c>
      <c r="O747" s="48" t="s">
        <v>97</v>
      </c>
      <c r="P747" s="48">
        <f>HEX2DEC(RIGHT(Table1323212714[[#This Row],[h1]],8))</f>
        <v>0</v>
      </c>
      <c r="Q747" s="48" t="s">
        <v>97</v>
      </c>
      <c r="R747" s="48">
        <f>HEX2DEC(RIGHT(Table1323212714[[#This Row],[h2]],8))</f>
        <v>0</v>
      </c>
    </row>
    <row r="748" spans="1:18" x14ac:dyDescent="0.3">
      <c r="A748" s="15" t="str">
        <f t="shared" si="16"/>
        <v>2E2</v>
      </c>
      <c r="B748" s="15">
        <v>738</v>
      </c>
      <c r="C748" s="42"/>
      <c r="F748" s="22"/>
      <c r="G748" s="22"/>
      <c r="J748" s="24">
        <v>50000</v>
      </c>
      <c r="M748" s="24">
        <v>50000</v>
      </c>
      <c r="O748" s="48" t="s">
        <v>97</v>
      </c>
      <c r="P748" s="48">
        <f>HEX2DEC(RIGHT(Table1323212714[[#This Row],[h1]],8))</f>
        <v>0</v>
      </c>
      <c r="Q748" s="48" t="s">
        <v>97</v>
      </c>
      <c r="R748" s="48">
        <f>HEX2DEC(RIGHT(Table1323212714[[#This Row],[h2]],8))</f>
        <v>0</v>
      </c>
    </row>
    <row r="749" spans="1:18" x14ac:dyDescent="0.3">
      <c r="A749" s="15" t="str">
        <f t="shared" si="16"/>
        <v>2E3</v>
      </c>
      <c r="B749" s="15">
        <v>739</v>
      </c>
      <c r="C749" s="42"/>
      <c r="F749" s="22"/>
      <c r="G749" s="22"/>
      <c r="J749" s="24">
        <v>50000</v>
      </c>
      <c r="M749" s="24">
        <v>50000</v>
      </c>
      <c r="O749" s="48" t="s">
        <v>97</v>
      </c>
      <c r="P749" s="48">
        <f>HEX2DEC(RIGHT(Table1323212714[[#This Row],[h1]],8))</f>
        <v>0</v>
      </c>
      <c r="Q749" s="48" t="s">
        <v>97</v>
      </c>
      <c r="R749" s="48">
        <f>HEX2DEC(RIGHT(Table1323212714[[#This Row],[h2]],8))</f>
        <v>0</v>
      </c>
    </row>
    <row r="750" spans="1:18" x14ac:dyDescent="0.3">
      <c r="A750" s="15" t="str">
        <f t="shared" si="16"/>
        <v>2E4</v>
      </c>
      <c r="B750" s="15">
        <v>740</v>
      </c>
      <c r="C750" s="42"/>
      <c r="F750" s="22"/>
      <c r="G750" s="22"/>
      <c r="J750" s="24">
        <v>50000</v>
      </c>
      <c r="M750" s="24">
        <v>50000</v>
      </c>
      <c r="O750" s="48" t="s">
        <v>97</v>
      </c>
      <c r="P750" s="48">
        <f>HEX2DEC(RIGHT(Table1323212714[[#This Row],[h1]],8))</f>
        <v>0</v>
      </c>
      <c r="Q750" s="48" t="s">
        <v>97</v>
      </c>
      <c r="R750" s="48">
        <f>HEX2DEC(RIGHT(Table1323212714[[#This Row],[h2]],8))</f>
        <v>0</v>
      </c>
    </row>
    <row r="751" spans="1:18" x14ac:dyDescent="0.3">
      <c r="A751" s="15" t="str">
        <f t="shared" si="16"/>
        <v>2E5</v>
      </c>
      <c r="B751" s="15">
        <v>741</v>
      </c>
      <c r="C751" s="42"/>
      <c r="F751" s="22"/>
      <c r="G751" s="22"/>
      <c r="J751" s="24">
        <v>50000</v>
      </c>
      <c r="M751" s="24">
        <v>50000</v>
      </c>
      <c r="O751" s="48" t="s">
        <v>97</v>
      </c>
      <c r="P751" s="48">
        <f>HEX2DEC(RIGHT(Table1323212714[[#This Row],[h1]],8))</f>
        <v>0</v>
      </c>
      <c r="Q751" s="48" t="s">
        <v>97</v>
      </c>
      <c r="R751" s="48">
        <f>HEX2DEC(RIGHT(Table1323212714[[#This Row],[h2]],8))</f>
        <v>0</v>
      </c>
    </row>
    <row r="752" spans="1:18" x14ac:dyDescent="0.3">
      <c r="A752" s="15" t="str">
        <f t="shared" si="16"/>
        <v>2E6</v>
      </c>
      <c r="B752" s="15">
        <v>742</v>
      </c>
      <c r="C752" s="42"/>
      <c r="F752" s="22"/>
      <c r="G752" s="22"/>
      <c r="J752" s="24">
        <v>50000</v>
      </c>
      <c r="M752" s="24">
        <v>50000</v>
      </c>
      <c r="O752" s="48" t="s">
        <v>97</v>
      </c>
      <c r="P752" s="48">
        <f>HEX2DEC(RIGHT(Table1323212714[[#This Row],[h1]],8))</f>
        <v>0</v>
      </c>
      <c r="Q752" s="48" t="s">
        <v>97</v>
      </c>
      <c r="R752" s="48">
        <f>HEX2DEC(RIGHT(Table1323212714[[#This Row],[h2]],8))</f>
        <v>0</v>
      </c>
    </row>
    <row r="753" spans="1:18" x14ac:dyDescent="0.3">
      <c r="A753" s="15" t="str">
        <f t="shared" si="16"/>
        <v>2E7</v>
      </c>
      <c r="B753" s="15">
        <v>743</v>
      </c>
      <c r="C753" s="42"/>
      <c r="F753" s="22"/>
      <c r="G753" s="22"/>
      <c r="J753" s="24">
        <v>50000</v>
      </c>
      <c r="M753" s="24">
        <v>50000</v>
      </c>
      <c r="O753" s="48" t="s">
        <v>97</v>
      </c>
      <c r="P753" s="48">
        <f>HEX2DEC(RIGHT(Table1323212714[[#This Row],[h1]],8))</f>
        <v>0</v>
      </c>
      <c r="Q753" s="48" t="s">
        <v>97</v>
      </c>
      <c r="R753" s="48">
        <f>HEX2DEC(RIGHT(Table1323212714[[#This Row],[h2]],8))</f>
        <v>0</v>
      </c>
    </row>
    <row r="754" spans="1:18" x14ac:dyDescent="0.3">
      <c r="A754" s="15" t="str">
        <f t="shared" si="16"/>
        <v>2E8</v>
      </c>
      <c r="B754" s="15">
        <v>744</v>
      </c>
      <c r="C754" s="42"/>
      <c r="F754" s="22"/>
      <c r="G754" s="22"/>
      <c r="J754" s="24">
        <v>50000</v>
      </c>
      <c r="M754" s="24">
        <v>50000</v>
      </c>
      <c r="O754" s="48" t="s">
        <v>97</v>
      </c>
      <c r="P754" s="48">
        <f>HEX2DEC(RIGHT(Table1323212714[[#This Row],[h1]],8))</f>
        <v>0</v>
      </c>
      <c r="Q754" s="48" t="s">
        <v>97</v>
      </c>
      <c r="R754" s="48">
        <f>HEX2DEC(RIGHT(Table1323212714[[#This Row],[h2]],8))</f>
        <v>0</v>
      </c>
    </row>
    <row r="755" spans="1:18" x14ac:dyDescent="0.3">
      <c r="A755" s="15" t="str">
        <f t="shared" si="16"/>
        <v>2E9</v>
      </c>
      <c r="B755" s="15">
        <v>745</v>
      </c>
      <c r="C755" s="42"/>
      <c r="F755" s="22"/>
      <c r="G755" s="22"/>
      <c r="J755" s="24">
        <v>50000</v>
      </c>
      <c r="M755" s="24">
        <v>50000</v>
      </c>
      <c r="O755" s="48" t="s">
        <v>97</v>
      </c>
      <c r="P755" s="48">
        <f>HEX2DEC(RIGHT(Table1323212714[[#This Row],[h1]],8))</f>
        <v>0</v>
      </c>
      <c r="Q755" s="48" t="s">
        <v>97</v>
      </c>
      <c r="R755" s="48">
        <f>HEX2DEC(RIGHT(Table1323212714[[#This Row],[h2]],8))</f>
        <v>0</v>
      </c>
    </row>
    <row r="756" spans="1:18" x14ac:dyDescent="0.3">
      <c r="A756" s="15" t="str">
        <f t="shared" si="16"/>
        <v>2EA</v>
      </c>
      <c r="B756" s="15">
        <v>746</v>
      </c>
      <c r="C756" s="42"/>
      <c r="F756" s="22"/>
      <c r="G756" s="22"/>
      <c r="J756" s="24">
        <v>50000</v>
      </c>
      <c r="M756" s="24">
        <v>50000</v>
      </c>
      <c r="O756" s="48" t="s">
        <v>97</v>
      </c>
      <c r="P756" s="48">
        <f>HEX2DEC(RIGHT(Table1323212714[[#This Row],[h1]],8))</f>
        <v>0</v>
      </c>
      <c r="Q756" s="48" t="s">
        <v>97</v>
      </c>
      <c r="R756" s="48">
        <f>HEX2DEC(RIGHT(Table1323212714[[#This Row],[h2]],8))</f>
        <v>0</v>
      </c>
    </row>
    <row r="757" spans="1:18" x14ac:dyDescent="0.3">
      <c r="A757" s="15" t="str">
        <f t="shared" si="16"/>
        <v>2EB</v>
      </c>
      <c r="B757" s="15">
        <v>747</v>
      </c>
      <c r="C757" s="42"/>
      <c r="F757" s="22"/>
      <c r="G757" s="22"/>
      <c r="J757" s="24">
        <v>50000</v>
      </c>
      <c r="M757" s="24">
        <v>50000</v>
      </c>
      <c r="O757" s="48" t="s">
        <v>97</v>
      </c>
      <c r="P757" s="48">
        <f>HEX2DEC(RIGHT(Table1323212714[[#This Row],[h1]],8))</f>
        <v>0</v>
      </c>
      <c r="Q757" s="48" t="s">
        <v>97</v>
      </c>
      <c r="R757" s="48">
        <f>HEX2DEC(RIGHT(Table1323212714[[#This Row],[h2]],8))</f>
        <v>0</v>
      </c>
    </row>
    <row r="758" spans="1:18" x14ac:dyDescent="0.3">
      <c r="A758" s="15" t="str">
        <f t="shared" si="16"/>
        <v>2EC</v>
      </c>
      <c r="B758" s="15">
        <v>748</v>
      </c>
      <c r="C758" s="42"/>
      <c r="F758" s="22"/>
      <c r="G758" s="22"/>
      <c r="J758" s="24">
        <v>50000</v>
      </c>
      <c r="M758" s="24">
        <v>50000</v>
      </c>
      <c r="O758" s="48" t="s">
        <v>97</v>
      </c>
      <c r="P758" s="48">
        <f>HEX2DEC(RIGHT(Table1323212714[[#This Row],[h1]],8))</f>
        <v>0</v>
      </c>
      <c r="Q758" s="48" t="s">
        <v>97</v>
      </c>
      <c r="R758" s="48">
        <f>HEX2DEC(RIGHT(Table1323212714[[#This Row],[h2]],8))</f>
        <v>0</v>
      </c>
    </row>
    <row r="759" spans="1:18" x14ac:dyDescent="0.3">
      <c r="A759" s="15" t="str">
        <f t="shared" si="16"/>
        <v>2ED</v>
      </c>
      <c r="B759" s="15">
        <v>749</v>
      </c>
      <c r="C759" s="42"/>
      <c r="F759" s="22"/>
      <c r="G759" s="22"/>
      <c r="J759" s="24">
        <v>50000</v>
      </c>
      <c r="M759" s="24">
        <v>50000</v>
      </c>
      <c r="O759" s="48" t="s">
        <v>97</v>
      </c>
      <c r="P759" s="48">
        <f>HEX2DEC(RIGHT(Table1323212714[[#This Row],[h1]],8))</f>
        <v>0</v>
      </c>
      <c r="Q759" s="48" t="s">
        <v>97</v>
      </c>
      <c r="R759" s="48">
        <f>HEX2DEC(RIGHT(Table1323212714[[#This Row],[h2]],8))</f>
        <v>0</v>
      </c>
    </row>
    <row r="760" spans="1:18" x14ac:dyDescent="0.3">
      <c r="A760" s="15" t="str">
        <f t="shared" si="16"/>
        <v>2EE</v>
      </c>
      <c r="B760" s="15">
        <v>750</v>
      </c>
      <c r="C760" s="42"/>
      <c r="F760" s="22"/>
      <c r="G760" s="22"/>
      <c r="J760" s="24">
        <v>50000</v>
      </c>
      <c r="M760" s="24">
        <v>50000</v>
      </c>
      <c r="O760" s="48" t="s">
        <v>97</v>
      </c>
      <c r="P760" s="48">
        <f>HEX2DEC(RIGHT(Table1323212714[[#This Row],[h1]],8))</f>
        <v>0</v>
      </c>
      <c r="Q760" s="48" t="s">
        <v>97</v>
      </c>
      <c r="R760" s="48">
        <f>HEX2DEC(RIGHT(Table1323212714[[#This Row],[h2]],8))</f>
        <v>0</v>
      </c>
    </row>
    <row r="761" spans="1:18" x14ac:dyDescent="0.3">
      <c r="A761" s="15" t="str">
        <f t="shared" si="16"/>
        <v>2EF</v>
      </c>
      <c r="B761" s="15">
        <v>751</v>
      </c>
      <c r="C761" s="42"/>
      <c r="F761" s="22"/>
      <c r="G761" s="22"/>
      <c r="J761" s="24">
        <v>50000</v>
      </c>
      <c r="M761" s="24">
        <v>50000</v>
      </c>
      <c r="O761" s="48" t="s">
        <v>97</v>
      </c>
      <c r="P761" s="48">
        <f>HEX2DEC(RIGHT(Table1323212714[[#This Row],[h1]],8))</f>
        <v>0</v>
      </c>
      <c r="Q761" s="48" t="s">
        <v>97</v>
      </c>
      <c r="R761" s="48">
        <f>HEX2DEC(RIGHT(Table1323212714[[#This Row],[h2]],8))</f>
        <v>0</v>
      </c>
    </row>
    <row r="762" spans="1:18" x14ac:dyDescent="0.3">
      <c r="A762" s="15" t="str">
        <f t="shared" si="16"/>
        <v>2F0</v>
      </c>
      <c r="B762" s="15">
        <v>752</v>
      </c>
      <c r="C762" s="42"/>
      <c r="F762" s="22"/>
      <c r="G762" s="22"/>
      <c r="J762" s="24">
        <v>50000</v>
      </c>
      <c r="M762" s="24">
        <v>50000</v>
      </c>
      <c r="O762" s="48" t="s">
        <v>97</v>
      </c>
      <c r="P762" s="48">
        <f>HEX2DEC(RIGHT(Table1323212714[[#This Row],[h1]],8))</f>
        <v>0</v>
      </c>
      <c r="Q762" s="48" t="s">
        <v>97</v>
      </c>
      <c r="R762" s="48">
        <f>HEX2DEC(RIGHT(Table1323212714[[#This Row],[h2]],8))</f>
        <v>0</v>
      </c>
    </row>
    <row r="763" spans="1:18" x14ac:dyDescent="0.3">
      <c r="A763" s="15" t="str">
        <f t="shared" si="16"/>
        <v>2F1</v>
      </c>
      <c r="B763" s="15">
        <v>753</v>
      </c>
      <c r="C763" s="42"/>
      <c r="F763" s="22"/>
      <c r="G763" s="22"/>
      <c r="J763" s="24">
        <v>50000</v>
      </c>
      <c r="M763" s="24">
        <v>50000</v>
      </c>
      <c r="O763" s="48" t="s">
        <v>97</v>
      </c>
      <c r="P763" s="48">
        <f>HEX2DEC(RIGHT(Table1323212714[[#This Row],[h1]],8))</f>
        <v>0</v>
      </c>
      <c r="Q763" s="48" t="s">
        <v>97</v>
      </c>
      <c r="R763" s="48">
        <f>HEX2DEC(RIGHT(Table1323212714[[#This Row],[h2]],8))</f>
        <v>0</v>
      </c>
    </row>
    <row r="764" spans="1:18" x14ac:dyDescent="0.3">
      <c r="A764" s="15" t="str">
        <f t="shared" si="16"/>
        <v>2F2</v>
      </c>
      <c r="B764" s="15">
        <v>754</v>
      </c>
      <c r="C764" s="42"/>
      <c r="F764" s="22"/>
      <c r="G764" s="22"/>
      <c r="J764" s="24">
        <v>50000</v>
      </c>
      <c r="M764" s="24">
        <v>50000</v>
      </c>
      <c r="O764" s="48" t="s">
        <v>97</v>
      </c>
      <c r="P764" s="48">
        <f>HEX2DEC(RIGHT(Table1323212714[[#This Row],[h1]],8))</f>
        <v>0</v>
      </c>
      <c r="Q764" s="48" t="s">
        <v>97</v>
      </c>
      <c r="R764" s="48">
        <f>HEX2DEC(RIGHT(Table1323212714[[#This Row],[h2]],8))</f>
        <v>0</v>
      </c>
    </row>
    <row r="765" spans="1:18" x14ac:dyDescent="0.3">
      <c r="A765" s="15" t="str">
        <f t="shared" si="16"/>
        <v>2F3</v>
      </c>
      <c r="B765" s="15">
        <v>755</v>
      </c>
      <c r="C765" s="42"/>
      <c r="F765" s="22"/>
      <c r="G765" s="22"/>
      <c r="J765" s="24">
        <v>50000</v>
      </c>
      <c r="M765" s="24">
        <v>50000</v>
      </c>
      <c r="O765" s="48" t="s">
        <v>97</v>
      </c>
      <c r="P765" s="48">
        <f>HEX2DEC(RIGHT(Table1323212714[[#This Row],[h1]],8))</f>
        <v>0</v>
      </c>
      <c r="Q765" s="48" t="s">
        <v>97</v>
      </c>
      <c r="R765" s="48">
        <f>HEX2DEC(RIGHT(Table1323212714[[#This Row],[h2]],8))</f>
        <v>0</v>
      </c>
    </row>
    <row r="766" spans="1:18" x14ac:dyDescent="0.3">
      <c r="A766" s="15" t="str">
        <f t="shared" si="16"/>
        <v>2F4</v>
      </c>
      <c r="B766" s="15">
        <v>756</v>
      </c>
      <c r="C766" s="42"/>
      <c r="F766" s="22"/>
      <c r="G766" s="22"/>
      <c r="J766" s="24">
        <v>50000</v>
      </c>
      <c r="M766" s="24">
        <v>50000</v>
      </c>
      <c r="O766" s="48" t="s">
        <v>97</v>
      </c>
      <c r="P766" s="48">
        <f>HEX2DEC(RIGHT(Table1323212714[[#This Row],[h1]],8))</f>
        <v>0</v>
      </c>
      <c r="Q766" s="48" t="s">
        <v>97</v>
      </c>
      <c r="R766" s="48">
        <f>HEX2DEC(RIGHT(Table1323212714[[#This Row],[h2]],8))</f>
        <v>0</v>
      </c>
    </row>
    <row r="767" spans="1:18" x14ac:dyDescent="0.3">
      <c r="A767" s="15" t="str">
        <f t="shared" si="16"/>
        <v>2F5</v>
      </c>
      <c r="B767" s="15">
        <v>757</v>
      </c>
      <c r="C767" s="42"/>
      <c r="F767" s="22"/>
      <c r="G767" s="22"/>
      <c r="J767" s="24">
        <v>50000</v>
      </c>
      <c r="M767" s="24">
        <v>50000</v>
      </c>
      <c r="O767" s="48" t="s">
        <v>97</v>
      </c>
      <c r="P767" s="48">
        <f>HEX2DEC(RIGHT(Table1323212714[[#This Row],[h1]],8))</f>
        <v>0</v>
      </c>
      <c r="Q767" s="48" t="s">
        <v>97</v>
      </c>
      <c r="R767" s="48">
        <f>HEX2DEC(RIGHT(Table1323212714[[#This Row],[h2]],8))</f>
        <v>0</v>
      </c>
    </row>
    <row r="768" spans="1:18" x14ac:dyDescent="0.3">
      <c r="A768" s="15" t="str">
        <f t="shared" si="16"/>
        <v>2F6</v>
      </c>
      <c r="B768" s="15">
        <v>758</v>
      </c>
      <c r="C768" s="42"/>
      <c r="F768" s="22"/>
      <c r="G768" s="22"/>
      <c r="J768" s="24">
        <v>50000</v>
      </c>
      <c r="M768" s="24">
        <v>50000</v>
      </c>
      <c r="O768" s="48" t="s">
        <v>97</v>
      </c>
      <c r="P768" s="48">
        <f>HEX2DEC(RIGHT(Table1323212714[[#This Row],[h1]],8))</f>
        <v>0</v>
      </c>
      <c r="Q768" s="48" t="s">
        <v>97</v>
      </c>
      <c r="R768" s="48">
        <f>HEX2DEC(RIGHT(Table1323212714[[#This Row],[h2]],8))</f>
        <v>0</v>
      </c>
    </row>
    <row r="769" spans="1:18" x14ac:dyDescent="0.3">
      <c r="A769" s="15" t="str">
        <f t="shared" si="16"/>
        <v>2F7</v>
      </c>
      <c r="B769" s="15">
        <v>759</v>
      </c>
      <c r="C769" s="42"/>
      <c r="F769" s="22"/>
      <c r="G769" s="22"/>
      <c r="J769" s="24">
        <v>50000</v>
      </c>
      <c r="M769" s="24">
        <v>50000</v>
      </c>
      <c r="O769" s="48" t="s">
        <v>97</v>
      </c>
      <c r="P769" s="48">
        <f>HEX2DEC(RIGHT(Table1323212714[[#This Row],[h1]],8))</f>
        <v>0</v>
      </c>
      <c r="Q769" s="48" t="s">
        <v>97</v>
      </c>
      <c r="R769" s="48">
        <f>HEX2DEC(RIGHT(Table1323212714[[#This Row],[h2]],8))</f>
        <v>0</v>
      </c>
    </row>
    <row r="770" spans="1:18" x14ac:dyDescent="0.3">
      <c r="A770" s="15" t="str">
        <f t="shared" si="16"/>
        <v>2F8</v>
      </c>
      <c r="B770" s="15">
        <v>760</v>
      </c>
      <c r="C770" s="42"/>
      <c r="F770" s="22"/>
      <c r="G770" s="22"/>
      <c r="J770" s="24">
        <v>50000</v>
      </c>
      <c r="M770" s="24">
        <v>50000</v>
      </c>
      <c r="O770" s="48" t="s">
        <v>97</v>
      </c>
      <c r="P770" s="48">
        <f>HEX2DEC(RIGHT(Table1323212714[[#This Row],[h1]],8))</f>
        <v>0</v>
      </c>
      <c r="Q770" s="48" t="s">
        <v>97</v>
      </c>
      <c r="R770" s="48">
        <f>HEX2DEC(RIGHT(Table1323212714[[#This Row],[h2]],8))</f>
        <v>0</v>
      </c>
    </row>
    <row r="771" spans="1:18" x14ac:dyDescent="0.3">
      <c r="A771" s="15" t="str">
        <f t="shared" si="16"/>
        <v>2F9</v>
      </c>
      <c r="B771" s="15">
        <v>761</v>
      </c>
      <c r="C771" s="42"/>
      <c r="F771" s="22"/>
      <c r="G771" s="22"/>
      <c r="J771" s="24">
        <v>50000</v>
      </c>
      <c r="M771" s="24">
        <v>50000</v>
      </c>
      <c r="O771" s="48" t="s">
        <v>97</v>
      </c>
      <c r="P771" s="48">
        <f>HEX2DEC(RIGHT(Table1323212714[[#This Row],[h1]],8))</f>
        <v>0</v>
      </c>
      <c r="Q771" s="48" t="s">
        <v>97</v>
      </c>
      <c r="R771" s="48">
        <f>HEX2DEC(RIGHT(Table1323212714[[#This Row],[h2]],8))</f>
        <v>0</v>
      </c>
    </row>
    <row r="772" spans="1:18" x14ac:dyDescent="0.3">
      <c r="A772" s="15" t="str">
        <f t="shared" si="16"/>
        <v>2FA</v>
      </c>
      <c r="B772" s="15">
        <v>762</v>
      </c>
      <c r="C772" s="42"/>
      <c r="F772" s="22"/>
      <c r="G772" s="22"/>
      <c r="J772" s="24">
        <v>50000</v>
      </c>
      <c r="M772" s="24">
        <v>50000</v>
      </c>
      <c r="O772" s="48" t="s">
        <v>97</v>
      </c>
      <c r="P772" s="48">
        <f>HEX2DEC(RIGHT(Table1323212714[[#This Row],[h1]],8))</f>
        <v>0</v>
      </c>
      <c r="Q772" s="48" t="s">
        <v>97</v>
      </c>
      <c r="R772" s="48">
        <f>HEX2DEC(RIGHT(Table1323212714[[#This Row],[h2]],8))</f>
        <v>0</v>
      </c>
    </row>
    <row r="773" spans="1:18" x14ac:dyDescent="0.3">
      <c r="A773" s="15" t="str">
        <f t="shared" si="16"/>
        <v>2FB</v>
      </c>
      <c r="B773" s="15">
        <v>763</v>
      </c>
      <c r="C773" s="42"/>
      <c r="F773" s="22"/>
      <c r="G773" s="22"/>
      <c r="J773" s="24">
        <v>50000</v>
      </c>
      <c r="M773" s="24">
        <v>50000</v>
      </c>
      <c r="O773" s="48" t="s">
        <v>97</v>
      </c>
      <c r="P773" s="48">
        <f>HEX2DEC(RIGHT(Table1323212714[[#This Row],[h1]],8))</f>
        <v>0</v>
      </c>
      <c r="Q773" s="48" t="s">
        <v>97</v>
      </c>
      <c r="R773" s="48">
        <f>HEX2DEC(RIGHT(Table1323212714[[#This Row],[h2]],8))</f>
        <v>0</v>
      </c>
    </row>
    <row r="774" spans="1:18" x14ac:dyDescent="0.3">
      <c r="A774" s="15" t="str">
        <f t="shared" si="16"/>
        <v>2FC</v>
      </c>
      <c r="B774" s="15">
        <v>764</v>
      </c>
      <c r="C774" s="42"/>
      <c r="F774" s="22"/>
      <c r="G774" s="22"/>
      <c r="J774" s="24">
        <v>50000</v>
      </c>
      <c r="M774" s="24">
        <v>50000</v>
      </c>
      <c r="O774" s="48" t="s">
        <v>97</v>
      </c>
      <c r="P774" s="48">
        <f>HEX2DEC(RIGHT(Table1323212714[[#This Row],[h1]],8))</f>
        <v>0</v>
      </c>
      <c r="Q774" s="48" t="s">
        <v>97</v>
      </c>
      <c r="R774" s="48">
        <f>HEX2DEC(RIGHT(Table1323212714[[#This Row],[h2]],8))</f>
        <v>0</v>
      </c>
    </row>
    <row r="775" spans="1:18" x14ac:dyDescent="0.3">
      <c r="A775" s="15" t="str">
        <f t="shared" si="16"/>
        <v>2FD</v>
      </c>
      <c r="B775" s="15">
        <v>765</v>
      </c>
      <c r="C775" s="42"/>
      <c r="F775" s="22"/>
      <c r="G775" s="22"/>
      <c r="J775" s="24">
        <v>50000</v>
      </c>
      <c r="M775" s="24">
        <v>50000</v>
      </c>
      <c r="O775" s="48" t="s">
        <v>97</v>
      </c>
      <c r="P775" s="48">
        <f>HEX2DEC(RIGHT(Table1323212714[[#This Row],[h1]],8))</f>
        <v>0</v>
      </c>
      <c r="Q775" s="48" t="s">
        <v>97</v>
      </c>
      <c r="R775" s="48">
        <f>HEX2DEC(RIGHT(Table1323212714[[#This Row],[h2]],8))</f>
        <v>0</v>
      </c>
    </row>
    <row r="776" spans="1:18" x14ac:dyDescent="0.3">
      <c r="A776" s="15" t="str">
        <f t="shared" si="16"/>
        <v>2FE</v>
      </c>
      <c r="B776" s="15">
        <v>766</v>
      </c>
      <c r="C776" s="42"/>
      <c r="F776" s="22"/>
      <c r="G776" s="22"/>
      <c r="J776" s="24">
        <v>50000</v>
      </c>
      <c r="M776" s="24">
        <v>50000</v>
      </c>
      <c r="O776" s="48" t="s">
        <v>97</v>
      </c>
      <c r="P776" s="48">
        <f>HEX2DEC(RIGHT(Table1323212714[[#This Row],[h1]],8))</f>
        <v>0</v>
      </c>
      <c r="Q776" s="48" t="s">
        <v>97</v>
      </c>
      <c r="R776" s="48">
        <f>HEX2DEC(RIGHT(Table1323212714[[#This Row],[h2]],8))</f>
        <v>0</v>
      </c>
    </row>
    <row r="777" spans="1:18" x14ac:dyDescent="0.3">
      <c r="A777" s="15" t="str">
        <f t="shared" si="16"/>
        <v>2FF</v>
      </c>
      <c r="B777" s="15">
        <v>767</v>
      </c>
      <c r="C777" s="42"/>
      <c r="F777" s="22"/>
      <c r="G777" s="22"/>
      <c r="J777" s="24">
        <v>50000</v>
      </c>
      <c r="M777" s="24">
        <v>50000</v>
      </c>
      <c r="O777" s="48" t="s">
        <v>97</v>
      </c>
      <c r="P777" s="48">
        <f>HEX2DEC(RIGHT(Table1323212714[[#This Row],[h1]],8))</f>
        <v>0</v>
      </c>
      <c r="Q777" s="48" t="s">
        <v>97</v>
      </c>
      <c r="R777" s="48">
        <f>HEX2DEC(RIGHT(Table1323212714[[#This Row],[h2]],8))</f>
        <v>0</v>
      </c>
    </row>
    <row r="778" spans="1:18" x14ac:dyDescent="0.3">
      <c r="A778" s="15" t="str">
        <f t="shared" si="16"/>
        <v>300</v>
      </c>
      <c r="B778" s="15">
        <v>768</v>
      </c>
      <c r="C778" s="42"/>
      <c r="F778" s="22"/>
      <c r="G778" s="22"/>
      <c r="J778" s="24">
        <v>50000</v>
      </c>
      <c r="M778" s="24">
        <v>50000</v>
      </c>
      <c r="O778" s="48" t="s">
        <v>97</v>
      </c>
      <c r="P778" s="48">
        <f>HEX2DEC(RIGHT(Table1323212714[[#This Row],[h1]],8))</f>
        <v>0</v>
      </c>
      <c r="Q778" s="48" t="s">
        <v>97</v>
      </c>
      <c r="R778" s="48">
        <f>HEX2DEC(RIGHT(Table1323212714[[#This Row],[h2]],8))</f>
        <v>0</v>
      </c>
    </row>
    <row r="779" spans="1:18" x14ac:dyDescent="0.3">
      <c r="A779" s="15" t="str">
        <f t="shared" ref="A779:A842" si="17">DEC2HEX(B779,3)</f>
        <v>301</v>
      </c>
      <c r="B779" s="15">
        <v>769</v>
      </c>
      <c r="C779" s="42"/>
      <c r="F779" s="22"/>
      <c r="G779" s="22"/>
      <c r="J779" s="24">
        <v>50000</v>
      </c>
      <c r="M779" s="24">
        <v>50000</v>
      </c>
      <c r="O779" s="48" t="s">
        <v>97</v>
      </c>
      <c r="P779" s="48">
        <f>HEX2DEC(RIGHT(Table1323212714[[#This Row],[h1]],8))</f>
        <v>0</v>
      </c>
      <c r="Q779" s="48" t="s">
        <v>97</v>
      </c>
      <c r="R779" s="48">
        <f>HEX2DEC(RIGHT(Table1323212714[[#This Row],[h2]],8))</f>
        <v>0</v>
      </c>
    </row>
    <row r="780" spans="1:18" x14ac:dyDescent="0.3">
      <c r="A780" s="15" t="str">
        <f t="shared" si="17"/>
        <v>302</v>
      </c>
      <c r="B780" s="15">
        <v>770</v>
      </c>
      <c r="C780" s="42"/>
      <c r="F780" s="22"/>
      <c r="G780" s="22"/>
      <c r="J780" s="24">
        <v>50000</v>
      </c>
      <c r="M780" s="24">
        <v>50000</v>
      </c>
      <c r="O780" s="48" t="s">
        <v>97</v>
      </c>
      <c r="P780" s="48">
        <f>HEX2DEC(RIGHT(Table1323212714[[#This Row],[h1]],8))</f>
        <v>0</v>
      </c>
      <c r="Q780" s="48" t="s">
        <v>97</v>
      </c>
      <c r="R780" s="48">
        <f>HEX2DEC(RIGHT(Table1323212714[[#This Row],[h2]],8))</f>
        <v>0</v>
      </c>
    </row>
    <row r="781" spans="1:18" x14ac:dyDescent="0.3">
      <c r="A781" s="15" t="str">
        <f t="shared" si="17"/>
        <v>303</v>
      </c>
      <c r="B781" s="15">
        <v>771</v>
      </c>
      <c r="C781" s="42"/>
      <c r="F781" s="22"/>
      <c r="G781" s="22"/>
      <c r="J781" s="24">
        <v>50000</v>
      </c>
      <c r="M781" s="24">
        <v>50000</v>
      </c>
      <c r="O781" s="48" t="s">
        <v>97</v>
      </c>
      <c r="P781" s="48">
        <f>HEX2DEC(RIGHT(Table1323212714[[#This Row],[h1]],8))</f>
        <v>0</v>
      </c>
      <c r="Q781" s="48" t="s">
        <v>97</v>
      </c>
      <c r="R781" s="48">
        <f>HEX2DEC(RIGHT(Table1323212714[[#This Row],[h2]],8))</f>
        <v>0</v>
      </c>
    </row>
    <row r="782" spans="1:18" x14ac:dyDescent="0.3">
      <c r="A782" s="15" t="str">
        <f t="shared" si="17"/>
        <v>304</v>
      </c>
      <c r="B782" s="15">
        <v>772</v>
      </c>
      <c r="C782" s="42"/>
      <c r="F782" s="22"/>
      <c r="G782" s="22"/>
      <c r="J782" s="24">
        <v>50000</v>
      </c>
      <c r="M782" s="24">
        <v>50000</v>
      </c>
      <c r="O782" s="48" t="s">
        <v>97</v>
      </c>
      <c r="P782" s="48">
        <f>HEX2DEC(RIGHT(Table1323212714[[#This Row],[h1]],8))</f>
        <v>0</v>
      </c>
      <c r="Q782" s="48" t="s">
        <v>97</v>
      </c>
      <c r="R782" s="48">
        <f>HEX2DEC(RIGHT(Table1323212714[[#This Row],[h2]],8))</f>
        <v>0</v>
      </c>
    </row>
    <row r="783" spans="1:18" x14ac:dyDescent="0.3">
      <c r="A783" s="15" t="str">
        <f t="shared" si="17"/>
        <v>305</v>
      </c>
      <c r="B783" s="15">
        <v>773</v>
      </c>
      <c r="C783" s="42"/>
      <c r="F783" s="22"/>
      <c r="G783" s="22"/>
      <c r="J783" s="24">
        <v>50000</v>
      </c>
      <c r="M783" s="24">
        <v>50000</v>
      </c>
      <c r="O783" s="48" t="s">
        <v>97</v>
      </c>
      <c r="P783" s="48">
        <f>HEX2DEC(RIGHT(Table1323212714[[#This Row],[h1]],8))</f>
        <v>0</v>
      </c>
      <c r="Q783" s="48" t="s">
        <v>97</v>
      </c>
      <c r="R783" s="48">
        <f>HEX2DEC(RIGHT(Table1323212714[[#This Row],[h2]],8))</f>
        <v>0</v>
      </c>
    </row>
    <row r="784" spans="1:18" x14ac:dyDescent="0.3">
      <c r="A784" s="15" t="str">
        <f t="shared" si="17"/>
        <v>306</v>
      </c>
      <c r="B784" s="15">
        <v>774</v>
      </c>
      <c r="C784" s="42"/>
      <c r="F784" s="22"/>
      <c r="G784" s="22"/>
      <c r="J784" s="24">
        <v>50000</v>
      </c>
      <c r="M784" s="24">
        <v>50000</v>
      </c>
      <c r="O784" s="48" t="s">
        <v>97</v>
      </c>
      <c r="P784" s="48">
        <f>HEX2DEC(RIGHT(Table1323212714[[#This Row],[h1]],8))</f>
        <v>0</v>
      </c>
      <c r="Q784" s="48" t="s">
        <v>97</v>
      </c>
      <c r="R784" s="48">
        <f>HEX2DEC(RIGHT(Table1323212714[[#This Row],[h2]],8))</f>
        <v>0</v>
      </c>
    </row>
    <row r="785" spans="1:18" x14ac:dyDescent="0.3">
      <c r="A785" s="15" t="str">
        <f t="shared" si="17"/>
        <v>307</v>
      </c>
      <c r="B785" s="15">
        <v>775</v>
      </c>
      <c r="C785" s="42"/>
      <c r="F785" s="22"/>
      <c r="G785" s="22"/>
      <c r="J785" s="24">
        <v>50000</v>
      </c>
      <c r="M785" s="24">
        <v>50000</v>
      </c>
      <c r="O785" s="48" t="s">
        <v>97</v>
      </c>
      <c r="P785" s="48">
        <f>HEX2DEC(RIGHT(Table1323212714[[#This Row],[h1]],8))</f>
        <v>0</v>
      </c>
      <c r="Q785" s="48" t="s">
        <v>97</v>
      </c>
      <c r="R785" s="48">
        <f>HEX2DEC(RIGHT(Table1323212714[[#This Row],[h2]],8))</f>
        <v>0</v>
      </c>
    </row>
    <row r="786" spans="1:18" x14ac:dyDescent="0.3">
      <c r="A786" s="15" t="str">
        <f t="shared" si="17"/>
        <v>308</v>
      </c>
      <c r="B786" s="15">
        <v>776</v>
      </c>
      <c r="C786" s="42"/>
      <c r="F786" s="22"/>
      <c r="G786" s="22"/>
      <c r="J786" s="24">
        <v>50000</v>
      </c>
      <c r="M786" s="24">
        <v>50000</v>
      </c>
      <c r="O786" s="48" t="s">
        <v>97</v>
      </c>
      <c r="P786" s="48">
        <f>HEX2DEC(RIGHT(Table1323212714[[#This Row],[h1]],8))</f>
        <v>0</v>
      </c>
      <c r="Q786" s="48" t="s">
        <v>97</v>
      </c>
      <c r="R786" s="48">
        <f>HEX2DEC(RIGHT(Table1323212714[[#This Row],[h2]],8))</f>
        <v>0</v>
      </c>
    </row>
    <row r="787" spans="1:18" x14ac:dyDescent="0.3">
      <c r="A787" s="15" t="str">
        <f t="shared" si="17"/>
        <v>309</v>
      </c>
      <c r="B787" s="15">
        <v>777</v>
      </c>
      <c r="C787" s="42"/>
      <c r="F787" s="22"/>
      <c r="G787" s="22"/>
      <c r="J787" s="24">
        <v>50000</v>
      </c>
      <c r="M787" s="24">
        <v>50000</v>
      </c>
      <c r="O787" s="48" t="s">
        <v>97</v>
      </c>
      <c r="P787" s="48">
        <f>HEX2DEC(RIGHT(Table1323212714[[#This Row],[h1]],8))</f>
        <v>0</v>
      </c>
      <c r="Q787" s="48" t="s">
        <v>97</v>
      </c>
      <c r="R787" s="48">
        <f>HEX2DEC(RIGHT(Table1323212714[[#This Row],[h2]],8))</f>
        <v>0</v>
      </c>
    </row>
    <row r="788" spans="1:18" x14ac:dyDescent="0.3">
      <c r="A788" s="15" t="str">
        <f t="shared" si="17"/>
        <v>30A</v>
      </c>
      <c r="B788" s="15">
        <v>778</v>
      </c>
      <c r="C788" s="42"/>
      <c r="F788" s="22"/>
      <c r="G788" s="22"/>
      <c r="J788" s="24">
        <v>50000</v>
      </c>
      <c r="M788" s="24">
        <v>50000</v>
      </c>
      <c r="O788" s="48" t="s">
        <v>97</v>
      </c>
      <c r="P788" s="48">
        <f>HEX2DEC(RIGHT(Table1323212714[[#This Row],[h1]],8))</f>
        <v>0</v>
      </c>
      <c r="Q788" s="48" t="s">
        <v>97</v>
      </c>
      <c r="R788" s="48">
        <f>HEX2DEC(RIGHT(Table1323212714[[#This Row],[h2]],8))</f>
        <v>0</v>
      </c>
    </row>
    <row r="789" spans="1:18" x14ac:dyDescent="0.3">
      <c r="A789" s="15" t="str">
        <f t="shared" si="17"/>
        <v>30B</v>
      </c>
      <c r="B789" s="15">
        <v>779</v>
      </c>
      <c r="C789" s="42"/>
      <c r="F789" s="22"/>
      <c r="G789" s="22"/>
      <c r="J789" s="24">
        <v>50000</v>
      </c>
      <c r="M789" s="24">
        <v>50000</v>
      </c>
      <c r="O789" s="48" t="s">
        <v>97</v>
      </c>
      <c r="P789" s="48">
        <f>HEX2DEC(RIGHT(Table1323212714[[#This Row],[h1]],8))</f>
        <v>0</v>
      </c>
      <c r="Q789" s="48" t="s">
        <v>97</v>
      </c>
      <c r="R789" s="48">
        <f>HEX2DEC(RIGHT(Table1323212714[[#This Row],[h2]],8))</f>
        <v>0</v>
      </c>
    </row>
    <row r="790" spans="1:18" x14ac:dyDescent="0.3">
      <c r="A790" s="15" t="str">
        <f t="shared" si="17"/>
        <v>30C</v>
      </c>
      <c r="B790" s="15">
        <v>780</v>
      </c>
      <c r="C790" s="42"/>
      <c r="F790" s="22"/>
      <c r="G790" s="22"/>
      <c r="J790" s="24">
        <v>50000</v>
      </c>
      <c r="M790" s="24">
        <v>50000</v>
      </c>
      <c r="O790" s="48" t="s">
        <v>97</v>
      </c>
      <c r="P790" s="48">
        <f>HEX2DEC(RIGHT(Table1323212714[[#This Row],[h1]],8))</f>
        <v>0</v>
      </c>
      <c r="Q790" s="48" t="s">
        <v>97</v>
      </c>
      <c r="R790" s="48">
        <f>HEX2DEC(RIGHT(Table1323212714[[#This Row],[h2]],8))</f>
        <v>0</v>
      </c>
    </row>
    <row r="791" spans="1:18" x14ac:dyDescent="0.3">
      <c r="A791" s="15" t="str">
        <f t="shared" si="17"/>
        <v>30D</v>
      </c>
      <c r="B791" s="15">
        <v>781</v>
      </c>
      <c r="C791" s="42"/>
      <c r="F791" s="22"/>
      <c r="G791" s="22"/>
      <c r="J791" s="24">
        <v>50000</v>
      </c>
      <c r="M791" s="24">
        <v>50000</v>
      </c>
      <c r="O791" s="48" t="s">
        <v>97</v>
      </c>
      <c r="P791" s="48">
        <f>HEX2DEC(RIGHT(Table1323212714[[#This Row],[h1]],8))</f>
        <v>0</v>
      </c>
      <c r="Q791" s="48" t="s">
        <v>97</v>
      </c>
      <c r="R791" s="48">
        <f>HEX2DEC(RIGHT(Table1323212714[[#This Row],[h2]],8))</f>
        <v>0</v>
      </c>
    </row>
    <row r="792" spans="1:18" x14ac:dyDescent="0.3">
      <c r="A792" s="15" t="str">
        <f t="shared" si="17"/>
        <v>30E</v>
      </c>
      <c r="B792" s="15">
        <v>782</v>
      </c>
      <c r="C792" s="42"/>
      <c r="F792" s="22"/>
      <c r="G792" s="22"/>
      <c r="J792" s="24">
        <v>50000</v>
      </c>
      <c r="M792" s="24">
        <v>50000</v>
      </c>
      <c r="O792" s="48" t="s">
        <v>97</v>
      </c>
      <c r="P792" s="48">
        <f>HEX2DEC(RIGHT(Table1323212714[[#This Row],[h1]],8))</f>
        <v>0</v>
      </c>
      <c r="Q792" s="48" t="s">
        <v>97</v>
      </c>
      <c r="R792" s="48">
        <f>HEX2DEC(RIGHT(Table1323212714[[#This Row],[h2]],8))</f>
        <v>0</v>
      </c>
    </row>
    <row r="793" spans="1:18" x14ac:dyDescent="0.3">
      <c r="A793" s="15" t="str">
        <f t="shared" si="17"/>
        <v>30F</v>
      </c>
      <c r="B793" s="15">
        <v>783</v>
      </c>
      <c r="C793" s="42"/>
      <c r="F793" s="22"/>
      <c r="G793" s="22"/>
      <c r="J793" s="24">
        <v>50000</v>
      </c>
      <c r="M793" s="24">
        <v>50000</v>
      </c>
      <c r="O793" s="48" t="s">
        <v>97</v>
      </c>
      <c r="P793" s="48">
        <f>HEX2DEC(RIGHT(Table1323212714[[#This Row],[h1]],8))</f>
        <v>0</v>
      </c>
      <c r="Q793" s="48" t="s">
        <v>97</v>
      </c>
      <c r="R793" s="48">
        <f>HEX2DEC(RIGHT(Table1323212714[[#This Row],[h2]],8))</f>
        <v>0</v>
      </c>
    </row>
    <row r="794" spans="1:18" x14ac:dyDescent="0.3">
      <c r="A794" s="15" t="str">
        <f t="shared" si="17"/>
        <v>310</v>
      </c>
      <c r="B794" s="15">
        <v>784</v>
      </c>
      <c r="C794" s="42"/>
      <c r="F794" s="22"/>
      <c r="G794" s="22"/>
      <c r="J794" s="24">
        <v>50000</v>
      </c>
      <c r="M794" s="24">
        <v>50000</v>
      </c>
      <c r="O794" s="48" t="s">
        <v>97</v>
      </c>
      <c r="P794" s="48">
        <f>HEX2DEC(RIGHT(Table1323212714[[#This Row],[h1]],8))</f>
        <v>0</v>
      </c>
      <c r="Q794" s="48" t="s">
        <v>97</v>
      </c>
      <c r="R794" s="48">
        <f>HEX2DEC(RIGHT(Table1323212714[[#This Row],[h2]],8))</f>
        <v>0</v>
      </c>
    </row>
    <row r="795" spans="1:18" x14ac:dyDescent="0.3">
      <c r="A795" s="15" t="str">
        <f t="shared" si="17"/>
        <v>311</v>
      </c>
      <c r="B795" s="15">
        <v>785</v>
      </c>
      <c r="C795" s="42"/>
      <c r="F795" s="22"/>
      <c r="G795" s="22"/>
      <c r="J795" s="24">
        <v>50000</v>
      </c>
      <c r="M795" s="24">
        <v>50000</v>
      </c>
      <c r="O795" s="48" t="s">
        <v>97</v>
      </c>
      <c r="P795" s="48">
        <f>HEX2DEC(RIGHT(Table1323212714[[#This Row],[h1]],8))</f>
        <v>0</v>
      </c>
      <c r="Q795" s="48" t="s">
        <v>97</v>
      </c>
      <c r="R795" s="48">
        <f>HEX2DEC(RIGHT(Table1323212714[[#This Row],[h2]],8))</f>
        <v>0</v>
      </c>
    </row>
    <row r="796" spans="1:18" x14ac:dyDescent="0.3">
      <c r="A796" s="15" t="str">
        <f t="shared" si="17"/>
        <v>312</v>
      </c>
      <c r="B796" s="15">
        <v>786</v>
      </c>
      <c r="C796" s="42"/>
      <c r="F796" s="22"/>
      <c r="G796" s="22"/>
      <c r="J796" s="24">
        <v>50000</v>
      </c>
      <c r="M796" s="24">
        <v>50000</v>
      </c>
      <c r="O796" s="48" t="s">
        <v>97</v>
      </c>
      <c r="P796" s="48">
        <f>HEX2DEC(RIGHT(Table1323212714[[#This Row],[h1]],8))</f>
        <v>0</v>
      </c>
      <c r="Q796" s="48" t="s">
        <v>97</v>
      </c>
      <c r="R796" s="48">
        <f>HEX2DEC(RIGHT(Table1323212714[[#This Row],[h2]],8))</f>
        <v>0</v>
      </c>
    </row>
    <row r="797" spans="1:18" x14ac:dyDescent="0.3">
      <c r="A797" s="15" t="str">
        <f t="shared" si="17"/>
        <v>313</v>
      </c>
      <c r="B797" s="15">
        <v>787</v>
      </c>
      <c r="C797" s="42"/>
      <c r="F797" s="22"/>
      <c r="G797" s="22"/>
      <c r="J797" s="24">
        <v>50000</v>
      </c>
      <c r="M797" s="24">
        <v>50000</v>
      </c>
      <c r="O797" s="48" t="s">
        <v>97</v>
      </c>
      <c r="P797" s="48">
        <f>HEX2DEC(RIGHT(Table1323212714[[#This Row],[h1]],8))</f>
        <v>0</v>
      </c>
      <c r="Q797" s="48" t="s">
        <v>97</v>
      </c>
      <c r="R797" s="48">
        <f>HEX2DEC(RIGHT(Table1323212714[[#This Row],[h2]],8))</f>
        <v>0</v>
      </c>
    </row>
    <row r="798" spans="1:18" x14ac:dyDescent="0.3">
      <c r="A798" s="15" t="str">
        <f t="shared" si="17"/>
        <v>314</v>
      </c>
      <c r="B798" s="15">
        <v>788</v>
      </c>
      <c r="C798" s="42"/>
      <c r="F798" s="22"/>
      <c r="G798" s="22"/>
      <c r="J798" s="24">
        <v>50000</v>
      </c>
      <c r="M798" s="24">
        <v>50000</v>
      </c>
      <c r="O798" s="48" t="s">
        <v>97</v>
      </c>
      <c r="P798" s="48">
        <f>HEX2DEC(RIGHT(Table1323212714[[#This Row],[h1]],8))</f>
        <v>0</v>
      </c>
      <c r="Q798" s="48" t="s">
        <v>97</v>
      </c>
      <c r="R798" s="48">
        <f>HEX2DEC(RIGHT(Table1323212714[[#This Row],[h2]],8))</f>
        <v>0</v>
      </c>
    </row>
    <row r="799" spans="1:18" x14ac:dyDescent="0.3">
      <c r="A799" s="15" t="str">
        <f t="shared" si="17"/>
        <v>315</v>
      </c>
      <c r="B799" s="15">
        <v>789</v>
      </c>
      <c r="C799" s="42"/>
      <c r="F799" s="22"/>
      <c r="G799" s="22"/>
      <c r="J799" s="24">
        <v>50000</v>
      </c>
      <c r="M799" s="24">
        <v>50000</v>
      </c>
      <c r="O799" s="48" t="s">
        <v>97</v>
      </c>
      <c r="P799" s="48">
        <f>HEX2DEC(RIGHT(Table1323212714[[#This Row],[h1]],8))</f>
        <v>0</v>
      </c>
      <c r="Q799" s="48" t="s">
        <v>97</v>
      </c>
      <c r="R799" s="48">
        <f>HEX2DEC(RIGHT(Table1323212714[[#This Row],[h2]],8))</f>
        <v>0</v>
      </c>
    </row>
    <row r="800" spans="1:18" x14ac:dyDescent="0.3">
      <c r="A800" s="15" t="str">
        <f t="shared" si="17"/>
        <v>316</v>
      </c>
      <c r="B800" s="15">
        <v>790</v>
      </c>
      <c r="C800" s="42"/>
      <c r="F800" s="22"/>
      <c r="G800" s="22"/>
      <c r="J800" s="24">
        <v>50000</v>
      </c>
      <c r="M800" s="24">
        <v>50000</v>
      </c>
      <c r="O800" s="48" t="s">
        <v>97</v>
      </c>
      <c r="P800" s="48">
        <f>HEX2DEC(RIGHT(Table1323212714[[#This Row],[h1]],8))</f>
        <v>0</v>
      </c>
      <c r="Q800" s="48" t="s">
        <v>97</v>
      </c>
      <c r="R800" s="48">
        <f>HEX2DEC(RIGHT(Table1323212714[[#This Row],[h2]],8))</f>
        <v>0</v>
      </c>
    </row>
    <row r="801" spans="1:18" x14ac:dyDescent="0.3">
      <c r="A801" s="15" t="str">
        <f t="shared" si="17"/>
        <v>317</v>
      </c>
      <c r="B801" s="15">
        <v>791</v>
      </c>
      <c r="C801" s="42"/>
      <c r="F801" s="22"/>
      <c r="G801" s="22"/>
      <c r="J801" s="24">
        <v>50000</v>
      </c>
      <c r="M801" s="24">
        <v>50000</v>
      </c>
      <c r="O801" s="48" t="s">
        <v>97</v>
      </c>
      <c r="P801" s="48">
        <f>HEX2DEC(RIGHT(Table1323212714[[#This Row],[h1]],8))</f>
        <v>0</v>
      </c>
      <c r="Q801" s="48" t="s">
        <v>97</v>
      </c>
      <c r="R801" s="48">
        <f>HEX2DEC(RIGHT(Table1323212714[[#This Row],[h2]],8))</f>
        <v>0</v>
      </c>
    </row>
    <row r="802" spans="1:18" x14ac:dyDescent="0.3">
      <c r="A802" s="15" t="str">
        <f t="shared" si="17"/>
        <v>318</v>
      </c>
      <c r="B802" s="15">
        <v>792</v>
      </c>
      <c r="C802" s="42"/>
      <c r="F802" s="22"/>
      <c r="G802" s="22"/>
      <c r="J802" s="24">
        <v>50000</v>
      </c>
      <c r="M802" s="24">
        <v>50000</v>
      </c>
      <c r="O802" s="48" t="s">
        <v>97</v>
      </c>
      <c r="P802" s="48">
        <f>HEX2DEC(RIGHT(Table1323212714[[#This Row],[h1]],8))</f>
        <v>0</v>
      </c>
      <c r="Q802" s="48" t="s">
        <v>97</v>
      </c>
      <c r="R802" s="48">
        <f>HEX2DEC(RIGHT(Table1323212714[[#This Row],[h2]],8))</f>
        <v>0</v>
      </c>
    </row>
    <row r="803" spans="1:18" x14ac:dyDescent="0.3">
      <c r="A803" s="15" t="str">
        <f t="shared" si="17"/>
        <v>319</v>
      </c>
      <c r="B803" s="15">
        <v>793</v>
      </c>
      <c r="C803" s="42"/>
      <c r="F803" s="22"/>
      <c r="G803" s="22"/>
      <c r="J803" s="24">
        <v>50000</v>
      </c>
      <c r="M803" s="24">
        <v>50000</v>
      </c>
      <c r="O803" s="48" t="s">
        <v>97</v>
      </c>
      <c r="P803" s="48">
        <f>HEX2DEC(RIGHT(Table1323212714[[#This Row],[h1]],8))</f>
        <v>0</v>
      </c>
      <c r="Q803" s="48" t="s">
        <v>97</v>
      </c>
      <c r="R803" s="48">
        <f>HEX2DEC(RIGHT(Table1323212714[[#This Row],[h2]],8))</f>
        <v>0</v>
      </c>
    </row>
    <row r="804" spans="1:18" x14ac:dyDescent="0.3">
      <c r="A804" s="15" t="str">
        <f t="shared" si="17"/>
        <v>31A</v>
      </c>
      <c r="B804" s="15">
        <v>794</v>
      </c>
      <c r="C804" s="42"/>
      <c r="F804" s="22"/>
      <c r="G804" s="22"/>
      <c r="J804" s="24">
        <v>50000</v>
      </c>
      <c r="M804" s="24">
        <v>50000</v>
      </c>
      <c r="O804" s="48" t="s">
        <v>97</v>
      </c>
      <c r="P804" s="48">
        <f>HEX2DEC(RIGHT(Table1323212714[[#This Row],[h1]],8))</f>
        <v>0</v>
      </c>
      <c r="Q804" s="48" t="s">
        <v>97</v>
      </c>
      <c r="R804" s="48">
        <f>HEX2DEC(RIGHT(Table1323212714[[#This Row],[h2]],8))</f>
        <v>0</v>
      </c>
    </row>
    <row r="805" spans="1:18" x14ac:dyDescent="0.3">
      <c r="A805" s="15" t="str">
        <f t="shared" si="17"/>
        <v>31B</v>
      </c>
      <c r="B805" s="15">
        <v>795</v>
      </c>
      <c r="C805" s="42"/>
      <c r="F805" s="22"/>
      <c r="G805" s="22"/>
      <c r="J805" s="24">
        <v>50000</v>
      </c>
      <c r="M805" s="24">
        <v>50000</v>
      </c>
      <c r="O805" s="48" t="s">
        <v>97</v>
      </c>
      <c r="P805" s="48">
        <f>HEX2DEC(RIGHT(Table1323212714[[#This Row],[h1]],8))</f>
        <v>0</v>
      </c>
      <c r="Q805" s="48" t="s">
        <v>97</v>
      </c>
      <c r="R805" s="48">
        <f>HEX2DEC(RIGHT(Table1323212714[[#This Row],[h2]],8))</f>
        <v>0</v>
      </c>
    </row>
    <row r="806" spans="1:18" x14ac:dyDescent="0.3">
      <c r="A806" s="15" t="str">
        <f t="shared" si="17"/>
        <v>31C</v>
      </c>
      <c r="B806" s="15">
        <v>796</v>
      </c>
      <c r="C806" s="42"/>
      <c r="F806" s="22"/>
      <c r="G806" s="22"/>
      <c r="J806" s="24">
        <v>50000</v>
      </c>
      <c r="M806" s="24">
        <v>50000</v>
      </c>
      <c r="O806" s="48" t="s">
        <v>97</v>
      </c>
      <c r="P806" s="48">
        <f>HEX2DEC(RIGHT(Table1323212714[[#This Row],[h1]],8))</f>
        <v>0</v>
      </c>
      <c r="Q806" s="48" t="s">
        <v>97</v>
      </c>
      <c r="R806" s="48">
        <f>HEX2DEC(RIGHT(Table1323212714[[#This Row],[h2]],8))</f>
        <v>0</v>
      </c>
    </row>
    <row r="807" spans="1:18" x14ac:dyDescent="0.3">
      <c r="A807" s="15" t="str">
        <f t="shared" si="17"/>
        <v>31D</v>
      </c>
      <c r="B807" s="15">
        <v>797</v>
      </c>
      <c r="C807" s="42"/>
      <c r="F807" s="22"/>
      <c r="G807" s="22"/>
      <c r="J807" s="24">
        <v>50000</v>
      </c>
      <c r="M807" s="24">
        <v>50000</v>
      </c>
      <c r="O807" s="48" t="s">
        <v>97</v>
      </c>
      <c r="P807" s="48">
        <f>HEX2DEC(RIGHT(Table1323212714[[#This Row],[h1]],8))</f>
        <v>0</v>
      </c>
      <c r="Q807" s="48" t="s">
        <v>97</v>
      </c>
      <c r="R807" s="48">
        <f>HEX2DEC(RIGHT(Table1323212714[[#This Row],[h2]],8))</f>
        <v>0</v>
      </c>
    </row>
    <row r="808" spans="1:18" x14ac:dyDescent="0.3">
      <c r="A808" s="15" t="str">
        <f t="shared" si="17"/>
        <v>31E</v>
      </c>
      <c r="B808" s="15">
        <v>798</v>
      </c>
      <c r="C808" s="42"/>
      <c r="F808" s="22"/>
      <c r="G808" s="22"/>
      <c r="J808" s="24">
        <v>50000</v>
      </c>
      <c r="M808" s="24">
        <v>50000</v>
      </c>
      <c r="O808" s="48" t="s">
        <v>97</v>
      </c>
      <c r="P808" s="48">
        <f>HEX2DEC(RIGHT(Table1323212714[[#This Row],[h1]],8))</f>
        <v>0</v>
      </c>
      <c r="Q808" s="48" t="s">
        <v>97</v>
      </c>
      <c r="R808" s="48">
        <f>HEX2DEC(RIGHT(Table1323212714[[#This Row],[h2]],8))</f>
        <v>0</v>
      </c>
    </row>
    <row r="809" spans="1:18" x14ac:dyDescent="0.3">
      <c r="A809" s="15" t="str">
        <f t="shared" si="17"/>
        <v>31F</v>
      </c>
      <c r="B809" s="15">
        <v>799</v>
      </c>
      <c r="C809" s="42"/>
      <c r="F809" s="22"/>
      <c r="G809" s="22"/>
      <c r="J809" s="24">
        <v>50000</v>
      </c>
      <c r="M809" s="24">
        <v>50000</v>
      </c>
      <c r="O809" s="48" t="s">
        <v>97</v>
      </c>
      <c r="P809" s="48">
        <f>HEX2DEC(RIGHT(Table1323212714[[#This Row],[h1]],8))</f>
        <v>0</v>
      </c>
      <c r="Q809" s="48" t="s">
        <v>97</v>
      </c>
      <c r="R809" s="48">
        <f>HEX2DEC(RIGHT(Table1323212714[[#This Row],[h2]],8))</f>
        <v>0</v>
      </c>
    </row>
    <row r="810" spans="1:18" x14ac:dyDescent="0.3">
      <c r="A810" s="15" t="str">
        <f t="shared" si="17"/>
        <v>320</v>
      </c>
      <c r="B810" s="15">
        <v>800</v>
      </c>
      <c r="C810" s="42"/>
      <c r="F810" s="22"/>
      <c r="G810" s="22"/>
      <c r="J810" s="24">
        <v>50000</v>
      </c>
      <c r="M810" s="24">
        <v>50000</v>
      </c>
      <c r="O810" s="48" t="s">
        <v>97</v>
      </c>
      <c r="P810" s="48">
        <f>HEX2DEC(RIGHT(Table1323212714[[#This Row],[h1]],8))</f>
        <v>0</v>
      </c>
      <c r="Q810" s="48" t="s">
        <v>97</v>
      </c>
      <c r="R810" s="48">
        <f>HEX2DEC(RIGHT(Table1323212714[[#This Row],[h2]],8))</f>
        <v>0</v>
      </c>
    </row>
    <row r="811" spans="1:18" x14ac:dyDescent="0.3">
      <c r="A811" s="15" t="str">
        <f t="shared" si="17"/>
        <v>321</v>
      </c>
      <c r="B811" s="15">
        <v>801</v>
      </c>
      <c r="C811" s="42"/>
      <c r="F811" s="22"/>
      <c r="G811" s="22"/>
      <c r="J811" s="24">
        <v>50000</v>
      </c>
      <c r="M811" s="24">
        <v>50000</v>
      </c>
      <c r="O811" s="48" t="s">
        <v>97</v>
      </c>
      <c r="P811" s="48">
        <f>HEX2DEC(RIGHT(Table1323212714[[#This Row],[h1]],8))</f>
        <v>0</v>
      </c>
      <c r="Q811" s="48" t="s">
        <v>97</v>
      </c>
      <c r="R811" s="48">
        <f>HEX2DEC(RIGHT(Table1323212714[[#This Row],[h2]],8))</f>
        <v>0</v>
      </c>
    </row>
    <row r="812" spans="1:18" x14ac:dyDescent="0.3">
      <c r="A812" s="15" t="str">
        <f t="shared" si="17"/>
        <v>322</v>
      </c>
      <c r="B812" s="15">
        <v>802</v>
      </c>
      <c r="C812" s="42"/>
      <c r="F812" s="22"/>
      <c r="G812" s="22"/>
      <c r="J812" s="24">
        <v>50000</v>
      </c>
      <c r="M812" s="24">
        <v>50000</v>
      </c>
      <c r="O812" s="48" t="s">
        <v>97</v>
      </c>
      <c r="P812" s="48">
        <f>HEX2DEC(RIGHT(Table1323212714[[#This Row],[h1]],8))</f>
        <v>0</v>
      </c>
      <c r="Q812" s="48" t="s">
        <v>97</v>
      </c>
      <c r="R812" s="48">
        <f>HEX2DEC(RIGHT(Table1323212714[[#This Row],[h2]],8))</f>
        <v>0</v>
      </c>
    </row>
    <row r="813" spans="1:18" x14ac:dyDescent="0.3">
      <c r="A813" s="15" t="str">
        <f t="shared" si="17"/>
        <v>323</v>
      </c>
      <c r="B813" s="15">
        <v>803</v>
      </c>
      <c r="C813" s="42"/>
      <c r="F813" s="22"/>
      <c r="G813" s="22"/>
      <c r="J813" s="24">
        <v>50000</v>
      </c>
      <c r="M813" s="24">
        <v>50000</v>
      </c>
      <c r="O813" s="48" t="s">
        <v>97</v>
      </c>
      <c r="P813" s="48">
        <f>HEX2DEC(RIGHT(Table1323212714[[#This Row],[h1]],8))</f>
        <v>0</v>
      </c>
      <c r="Q813" s="48" t="s">
        <v>97</v>
      </c>
      <c r="R813" s="48">
        <f>HEX2DEC(RIGHT(Table1323212714[[#This Row],[h2]],8))</f>
        <v>0</v>
      </c>
    </row>
    <row r="814" spans="1:18" x14ac:dyDescent="0.3">
      <c r="A814" s="15" t="str">
        <f t="shared" si="17"/>
        <v>324</v>
      </c>
      <c r="B814" s="15">
        <v>804</v>
      </c>
      <c r="C814" s="42"/>
      <c r="F814" s="22"/>
      <c r="G814" s="22"/>
      <c r="J814" s="24">
        <v>50000</v>
      </c>
      <c r="M814" s="24">
        <v>50000</v>
      </c>
      <c r="O814" s="48" t="s">
        <v>97</v>
      </c>
      <c r="P814" s="48">
        <f>HEX2DEC(RIGHT(Table1323212714[[#This Row],[h1]],8))</f>
        <v>0</v>
      </c>
      <c r="Q814" s="48" t="s">
        <v>97</v>
      </c>
      <c r="R814" s="48">
        <f>HEX2DEC(RIGHT(Table1323212714[[#This Row],[h2]],8))</f>
        <v>0</v>
      </c>
    </row>
    <row r="815" spans="1:18" x14ac:dyDescent="0.3">
      <c r="A815" s="15" t="str">
        <f t="shared" si="17"/>
        <v>325</v>
      </c>
      <c r="B815" s="15">
        <v>805</v>
      </c>
      <c r="C815" s="42"/>
      <c r="F815" s="22"/>
      <c r="G815" s="22"/>
      <c r="J815" s="24">
        <v>50000</v>
      </c>
      <c r="M815" s="24">
        <v>50000</v>
      </c>
      <c r="O815" s="48" t="s">
        <v>97</v>
      </c>
      <c r="P815" s="48">
        <f>HEX2DEC(RIGHT(Table1323212714[[#This Row],[h1]],8))</f>
        <v>0</v>
      </c>
      <c r="Q815" s="48" t="s">
        <v>97</v>
      </c>
      <c r="R815" s="48">
        <f>HEX2DEC(RIGHT(Table1323212714[[#This Row],[h2]],8))</f>
        <v>0</v>
      </c>
    </row>
    <row r="816" spans="1:18" x14ac:dyDescent="0.3">
      <c r="A816" s="15" t="str">
        <f t="shared" si="17"/>
        <v>326</v>
      </c>
      <c r="B816" s="15">
        <v>806</v>
      </c>
      <c r="C816" s="42"/>
      <c r="F816" s="22"/>
      <c r="G816" s="22"/>
      <c r="J816" s="24">
        <v>50000</v>
      </c>
      <c r="M816" s="24">
        <v>50000</v>
      </c>
      <c r="O816" s="48" t="s">
        <v>97</v>
      </c>
      <c r="P816" s="48">
        <f>HEX2DEC(RIGHT(Table1323212714[[#This Row],[h1]],8))</f>
        <v>0</v>
      </c>
      <c r="Q816" s="48" t="s">
        <v>97</v>
      </c>
      <c r="R816" s="48">
        <f>HEX2DEC(RIGHT(Table1323212714[[#This Row],[h2]],8))</f>
        <v>0</v>
      </c>
    </row>
    <row r="817" spans="1:18" x14ac:dyDescent="0.3">
      <c r="A817" s="15" t="str">
        <f t="shared" si="17"/>
        <v>327</v>
      </c>
      <c r="B817" s="15">
        <v>807</v>
      </c>
      <c r="C817" s="42"/>
      <c r="F817" s="22"/>
      <c r="G817" s="22"/>
      <c r="J817" s="24">
        <v>50000</v>
      </c>
      <c r="M817" s="24">
        <v>50000</v>
      </c>
      <c r="O817" s="48" t="s">
        <v>97</v>
      </c>
      <c r="P817" s="48">
        <f>HEX2DEC(RIGHT(Table1323212714[[#This Row],[h1]],8))</f>
        <v>0</v>
      </c>
      <c r="Q817" s="48" t="s">
        <v>97</v>
      </c>
      <c r="R817" s="48">
        <f>HEX2DEC(RIGHT(Table1323212714[[#This Row],[h2]],8))</f>
        <v>0</v>
      </c>
    </row>
    <row r="818" spans="1:18" x14ac:dyDescent="0.3">
      <c r="A818" s="15" t="str">
        <f t="shared" si="17"/>
        <v>328</v>
      </c>
      <c r="B818" s="15">
        <v>808</v>
      </c>
      <c r="C818" s="42"/>
      <c r="F818" s="22"/>
      <c r="G818" s="22"/>
      <c r="J818" s="24">
        <v>50000</v>
      </c>
      <c r="M818" s="24">
        <v>50000</v>
      </c>
      <c r="O818" s="48" t="s">
        <v>97</v>
      </c>
      <c r="P818" s="48">
        <f>HEX2DEC(RIGHT(Table1323212714[[#This Row],[h1]],8))</f>
        <v>0</v>
      </c>
      <c r="Q818" s="48" t="s">
        <v>97</v>
      </c>
      <c r="R818" s="48">
        <f>HEX2DEC(RIGHT(Table1323212714[[#This Row],[h2]],8))</f>
        <v>0</v>
      </c>
    </row>
    <row r="819" spans="1:18" x14ac:dyDescent="0.3">
      <c r="A819" s="15" t="str">
        <f t="shared" si="17"/>
        <v>329</v>
      </c>
      <c r="B819" s="15">
        <v>809</v>
      </c>
      <c r="C819" s="42"/>
      <c r="F819" s="22"/>
      <c r="G819" s="22"/>
      <c r="J819" s="24">
        <v>50000</v>
      </c>
      <c r="M819" s="24">
        <v>50000</v>
      </c>
      <c r="O819" s="48" t="s">
        <v>97</v>
      </c>
      <c r="P819" s="48">
        <f>HEX2DEC(RIGHT(Table1323212714[[#This Row],[h1]],8))</f>
        <v>0</v>
      </c>
      <c r="Q819" s="48" t="s">
        <v>97</v>
      </c>
      <c r="R819" s="48">
        <f>HEX2DEC(RIGHT(Table1323212714[[#This Row],[h2]],8))</f>
        <v>0</v>
      </c>
    </row>
    <row r="820" spans="1:18" x14ac:dyDescent="0.3">
      <c r="A820" s="15" t="str">
        <f t="shared" si="17"/>
        <v>32A</v>
      </c>
      <c r="B820" s="15">
        <v>810</v>
      </c>
      <c r="C820" s="42"/>
      <c r="F820" s="22"/>
      <c r="G820" s="22"/>
      <c r="J820" s="24">
        <v>50000</v>
      </c>
      <c r="M820" s="24">
        <v>50000</v>
      </c>
      <c r="O820" s="48" t="s">
        <v>97</v>
      </c>
      <c r="P820" s="48">
        <f>HEX2DEC(RIGHT(Table1323212714[[#This Row],[h1]],8))</f>
        <v>0</v>
      </c>
      <c r="Q820" s="48" t="s">
        <v>97</v>
      </c>
      <c r="R820" s="48">
        <f>HEX2DEC(RIGHT(Table1323212714[[#This Row],[h2]],8))</f>
        <v>0</v>
      </c>
    </row>
    <row r="821" spans="1:18" x14ac:dyDescent="0.3">
      <c r="A821" s="15" t="str">
        <f t="shared" si="17"/>
        <v>32B</v>
      </c>
      <c r="B821" s="15">
        <v>811</v>
      </c>
      <c r="C821" s="42"/>
      <c r="F821" s="22"/>
      <c r="G821" s="22"/>
      <c r="J821" s="24">
        <v>50000</v>
      </c>
      <c r="M821" s="24">
        <v>50000</v>
      </c>
      <c r="O821" s="48" t="s">
        <v>97</v>
      </c>
      <c r="P821" s="48">
        <f>HEX2DEC(RIGHT(Table1323212714[[#This Row],[h1]],8))</f>
        <v>0</v>
      </c>
      <c r="Q821" s="48" t="s">
        <v>97</v>
      </c>
      <c r="R821" s="48">
        <f>HEX2DEC(RIGHT(Table1323212714[[#This Row],[h2]],8))</f>
        <v>0</v>
      </c>
    </row>
    <row r="822" spans="1:18" x14ac:dyDescent="0.3">
      <c r="A822" s="15" t="str">
        <f t="shared" si="17"/>
        <v>32C</v>
      </c>
      <c r="B822" s="15">
        <v>812</v>
      </c>
      <c r="C822" s="42"/>
      <c r="F822" s="22"/>
      <c r="G822" s="22"/>
      <c r="J822" s="24">
        <v>50000</v>
      </c>
      <c r="M822" s="24">
        <v>50000</v>
      </c>
      <c r="O822" s="48" t="s">
        <v>97</v>
      </c>
      <c r="P822" s="48">
        <f>HEX2DEC(RIGHT(Table1323212714[[#This Row],[h1]],8))</f>
        <v>0</v>
      </c>
      <c r="Q822" s="48" t="s">
        <v>97</v>
      </c>
      <c r="R822" s="48">
        <f>HEX2DEC(RIGHT(Table1323212714[[#This Row],[h2]],8))</f>
        <v>0</v>
      </c>
    </row>
    <row r="823" spans="1:18" x14ac:dyDescent="0.3">
      <c r="A823" s="15" t="str">
        <f t="shared" si="17"/>
        <v>32D</v>
      </c>
      <c r="B823" s="15">
        <v>813</v>
      </c>
      <c r="C823" s="42"/>
      <c r="F823" s="22"/>
      <c r="G823" s="22"/>
      <c r="J823" s="24">
        <v>50000</v>
      </c>
      <c r="M823" s="24">
        <v>50000</v>
      </c>
      <c r="O823" s="48" t="s">
        <v>97</v>
      </c>
      <c r="P823" s="48">
        <f>HEX2DEC(RIGHT(Table1323212714[[#This Row],[h1]],8))</f>
        <v>0</v>
      </c>
      <c r="Q823" s="48" t="s">
        <v>97</v>
      </c>
      <c r="R823" s="48">
        <f>HEX2DEC(RIGHT(Table1323212714[[#This Row],[h2]],8))</f>
        <v>0</v>
      </c>
    </row>
    <row r="824" spans="1:18" x14ac:dyDescent="0.3">
      <c r="A824" s="15" t="str">
        <f t="shared" si="17"/>
        <v>32E</v>
      </c>
      <c r="B824" s="15">
        <v>814</v>
      </c>
      <c r="C824" s="42"/>
      <c r="F824" s="22"/>
      <c r="G824" s="22"/>
      <c r="J824" s="24">
        <v>50000</v>
      </c>
      <c r="M824" s="24">
        <v>50000</v>
      </c>
      <c r="O824" s="48" t="s">
        <v>97</v>
      </c>
      <c r="P824" s="48">
        <f>HEX2DEC(RIGHT(Table1323212714[[#This Row],[h1]],8))</f>
        <v>0</v>
      </c>
      <c r="Q824" s="48" t="s">
        <v>97</v>
      </c>
      <c r="R824" s="48">
        <f>HEX2DEC(RIGHT(Table1323212714[[#This Row],[h2]],8))</f>
        <v>0</v>
      </c>
    </row>
    <row r="825" spans="1:18" x14ac:dyDescent="0.3">
      <c r="A825" s="15" t="str">
        <f t="shared" si="17"/>
        <v>32F</v>
      </c>
      <c r="B825" s="15">
        <v>815</v>
      </c>
      <c r="C825" s="42"/>
      <c r="F825" s="22"/>
      <c r="G825" s="22"/>
      <c r="J825" s="24">
        <v>50000</v>
      </c>
      <c r="M825" s="24">
        <v>50000</v>
      </c>
      <c r="O825" s="48" t="s">
        <v>97</v>
      </c>
      <c r="P825" s="48">
        <f>HEX2DEC(RIGHT(Table1323212714[[#This Row],[h1]],8))</f>
        <v>0</v>
      </c>
      <c r="Q825" s="48" t="s">
        <v>97</v>
      </c>
      <c r="R825" s="48">
        <f>HEX2DEC(RIGHT(Table1323212714[[#This Row],[h2]],8))</f>
        <v>0</v>
      </c>
    </row>
    <row r="826" spans="1:18" x14ac:dyDescent="0.3">
      <c r="A826" s="15" t="str">
        <f t="shared" si="17"/>
        <v>330</v>
      </c>
      <c r="B826" s="15">
        <v>816</v>
      </c>
      <c r="C826" s="42"/>
      <c r="F826" s="22"/>
      <c r="G826" s="22"/>
      <c r="J826" s="24">
        <v>50000</v>
      </c>
      <c r="M826" s="24">
        <v>50000</v>
      </c>
      <c r="O826" s="48" t="s">
        <v>97</v>
      </c>
      <c r="P826" s="48">
        <f>HEX2DEC(RIGHT(Table1323212714[[#This Row],[h1]],8))</f>
        <v>0</v>
      </c>
      <c r="Q826" s="48" t="s">
        <v>97</v>
      </c>
      <c r="R826" s="48">
        <f>HEX2DEC(RIGHT(Table1323212714[[#This Row],[h2]],8))</f>
        <v>0</v>
      </c>
    </row>
    <row r="827" spans="1:18" x14ac:dyDescent="0.3">
      <c r="A827" s="15" t="str">
        <f t="shared" si="17"/>
        <v>331</v>
      </c>
      <c r="B827" s="15">
        <v>817</v>
      </c>
      <c r="C827" s="42"/>
      <c r="F827" s="22"/>
      <c r="G827" s="22"/>
      <c r="J827" s="24">
        <v>50000</v>
      </c>
      <c r="M827" s="24">
        <v>50000</v>
      </c>
      <c r="O827" s="48" t="s">
        <v>97</v>
      </c>
      <c r="P827" s="48">
        <f>HEX2DEC(RIGHT(Table1323212714[[#This Row],[h1]],8))</f>
        <v>0</v>
      </c>
      <c r="Q827" s="48" t="s">
        <v>97</v>
      </c>
      <c r="R827" s="48">
        <f>HEX2DEC(RIGHT(Table1323212714[[#This Row],[h2]],8))</f>
        <v>0</v>
      </c>
    </row>
    <row r="828" spans="1:18" x14ac:dyDescent="0.3">
      <c r="A828" s="15" t="str">
        <f t="shared" si="17"/>
        <v>332</v>
      </c>
      <c r="B828" s="15">
        <v>818</v>
      </c>
      <c r="C828" s="42"/>
      <c r="F828" s="22"/>
      <c r="G828" s="22"/>
      <c r="J828" s="24">
        <v>50000</v>
      </c>
      <c r="M828" s="24">
        <v>50000</v>
      </c>
      <c r="O828" s="48" t="s">
        <v>97</v>
      </c>
      <c r="P828" s="48">
        <f>HEX2DEC(RIGHT(Table1323212714[[#This Row],[h1]],8))</f>
        <v>0</v>
      </c>
      <c r="Q828" s="48" t="s">
        <v>97</v>
      </c>
      <c r="R828" s="48">
        <f>HEX2DEC(RIGHT(Table1323212714[[#This Row],[h2]],8))</f>
        <v>0</v>
      </c>
    </row>
    <row r="829" spans="1:18" x14ac:dyDescent="0.3">
      <c r="A829" s="15" t="str">
        <f t="shared" si="17"/>
        <v>333</v>
      </c>
      <c r="B829" s="15">
        <v>819</v>
      </c>
      <c r="C829" s="42"/>
      <c r="F829" s="22"/>
      <c r="G829" s="22"/>
      <c r="J829" s="24">
        <v>50000</v>
      </c>
      <c r="M829" s="24">
        <v>50000</v>
      </c>
      <c r="O829" s="48" t="s">
        <v>97</v>
      </c>
      <c r="P829" s="48">
        <f>HEX2DEC(RIGHT(Table1323212714[[#This Row],[h1]],8))</f>
        <v>0</v>
      </c>
      <c r="Q829" s="48" t="s">
        <v>97</v>
      </c>
      <c r="R829" s="48">
        <f>HEX2DEC(RIGHT(Table1323212714[[#This Row],[h2]],8))</f>
        <v>0</v>
      </c>
    </row>
    <row r="830" spans="1:18" x14ac:dyDescent="0.3">
      <c r="A830" s="15" t="str">
        <f t="shared" si="17"/>
        <v>334</v>
      </c>
      <c r="B830" s="15">
        <v>820</v>
      </c>
      <c r="C830" s="42"/>
      <c r="F830" s="22"/>
      <c r="G830" s="22"/>
      <c r="J830" s="24">
        <v>50000</v>
      </c>
      <c r="M830" s="24">
        <v>50000</v>
      </c>
      <c r="O830" s="48" t="s">
        <v>97</v>
      </c>
      <c r="P830" s="48">
        <f>HEX2DEC(RIGHT(Table1323212714[[#This Row],[h1]],8))</f>
        <v>0</v>
      </c>
      <c r="Q830" s="48" t="s">
        <v>97</v>
      </c>
      <c r="R830" s="48">
        <f>HEX2DEC(RIGHT(Table1323212714[[#This Row],[h2]],8))</f>
        <v>0</v>
      </c>
    </row>
    <row r="831" spans="1:18" x14ac:dyDescent="0.3">
      <c r="A831" s="15" t="str">
        <f t="shared" si="17"/>
        <v>335</v>
      </c>
      <c r="B831" s="15">
        <v>821</v>
      </c>
      <c r="C831" s="42"/>
      <c r="F831" s="22"/>
      <c r="G831" s="22"/>
      <c r="J831" s="24">
        <v>50000</v>
      </c>
      <c r="M831" s="24">
        <v>50000</v>
      </c>
      <c r="O831" s="48" t="s">
        <v>97</v>
      </c>
      <c r="P831" s="48">
        <f>HEX2DEC(RIGHT(Table1323212714[[#This Row],[h1]],8))</f>
        <v>0</v>
      </c>
      <c r="Q831" s="48" t="s">
        <v>97</v>
      </c>
      <c r="R831" s="48">
        <f>HEX2DEC(RIGHT(Table1323212714[[#This Row],[h2]],8))</f>
        <v>0</v>
      </c>
    </row>
    <row r="832" spans="1:18" x14ac:dyDescent="0.3">
      <c r="A832" s="15" t="str">
        <f t="shared" si="17"/>
        <v>336</v>
      </c>
      <c r="B832" s="15">
        <v>822</v>
      </c>
      <c r="C832" s="42"/>
      <c r="F832" s="22"/>
      <c r="G832" s="22"/>
      <c r="J832" s="24">
        <v>50000</v>
      </c>
      <c r="M832" s="24">
        <v>50000</v>
      </c>
      <c r="O832" s="48" t="s">
        <v>97</v>
      </c>
      <c r="P832" s="48">
        <f>HEX2DEC(RIGHT(Table1323212714[[#This Row],[h1]],8))</f>
        <v>0</v>
      </c>
      <c r="Q832" s="48" t="s">
        <v>97</v>
      </c>
      <c r="R832" s="48">
        <f>HEX2DEC(RIGHT(Table1323212714[[#This Row],[h2]],8))</f>
        <v>0</v>
      </c>
    </row>
    <row r="833" spans="1:18" x14ac:dyDescent="0.3">
      <c r="A833" s="15" t="str">
        <f t="shared" si="17"/>
        <v>337</v>
      </c>
      <c r="B833" s="15">
        <v>823</v>
      </c>
      <c r="C833" s="42"/>
      <c r="F833" s="22"/>
      <c r="G833" s="22"/>
      <c r="J833" s="24">
        <v>50000</v>
      </c>
      <c r="M833" s="24">
        <v>50000</v>
      </c>
      <c r="O833" s="48" t="s">
        <v>97</v>
      </c>
      <c r="P833" s="48">
        <f>HEX2DEC(RIGHT(Table1323212714[[#This Row],[h1]],8))</f>
        <v>0</v>
      </c>
      <c r="Q833" s="48" t="s">
        <v>97</v>
      </c>
      <c r="R833" s="48">
        <f>HEX2DEC(RIGHT(Table1323212714[[#This Row],[h2]],8))</f>
        <v>0</v>
      </c>
    </row>
    <row r="834" spans="1:18" x14ac:dyDescent="0.3">
      <c r="A834" s="15" t="str">
        <f t="shared" si="17"/>
        <v>338</v>
      </c>
      <c r="B834" s="15">
        <v>824</v>
      </c>
      <c r="C834" s="42"/>
      <c r="F834" s="22"/>
      <c r="G834" s="22"/>
      <c r="J834" s="24">
        <v>50000</v>
      </c>
      <c r="M834" s="24">
        <v>50000</v>
      </c>
      <c r="O834" s="48" t="s">
        <v>97</v>
      </c>
      <c r="P834" s="48">
        <f>HEX2DEC(RIGHT(Table1323212714[[#This Row],[h1]],8))</f>
        <v>0</v>
      </c>
      <c r="Q834" s="48" t="s">
        <v>97</v>
      </c>
      <c r="R834" s="48">
        <f>HEX2DEC(RIGHT(Table1323212714[[#This Row],[h2]],8))</f>
        <v>0</v>
      </c>
    </row>
    <row r="835" spans="1:18" x14ac:dyDescent="0.3">
      <c r="A835" s="15" t="str">
        <f t="shared" si="17"/>
        <v>339</v>
      </c>
      <c r="B835" s="15">
        <v>825</v>
      </c>
      <c r="C835" s="42"/>
      <c r="F835" s="22"/>
      <c r="G835" s="22"/>
      <c r="J835" s="24">
        <v>50000</v>
      </c>
      <c r="M835" s="24">
        <v>50000</v>
      </c>
      <c r="O835" s="48" t="s">
        <v>97</v>
      </c>
      <c r="P835" s="48">
        <f>HEX2DEC(RIGHT(Table1323212714[[#This Row],[h1]],8))</f>
        <v>0</v>
      </c>
      <c r="Q835" s="48" t="s">
        <v>97</v>
      </c>
      <c r="R835" s="48">
        <f>HEX2DEC(RIGHT(Table1323212714[[#This Row],[h2]],8))</f>
        <v>0</v>
      </c>
    </row>
    <row r="836" spans="1:18" x14ac:dyDescent="0.3">
      <c r="A836" s="15" t="str">
        <f t="shared" si="17"/>
        <v>33A</v>
      </c>
      <c r="B836" s="15">
        <v>826</v>
      </c>
      <c r="C836" s="42"/>
      <c r="F836" s="22"/>
      <c r="G836" s="22"/>
      <c r="J836" s="24">
        <v>50000</v>
      </c>
      <c r="M836" s="24">
        <v>50000</v>
      </c>
      <c r="O836" s="48" t="s">
        <v>97</v>
      </c>
      <c r="P836" s="48">
        <f>HEX2DEC(RIGHT(Table1323212714[[#This Row],[h1]],8))</f>
        <v>0</v>
      </c>
      <c r="Q836" s="48" t="s">
        <v>97</v>
      </c>
      <c r="R836" s="48">
        <f>HEX2DEC(RIGHT(Table1323212714[[#This Row],[h2]],8))</f>
        <v>0</v>
      </c>
    </row>
    <row r="837" spans="1:18" x14ac:dyDescent="0.3">
      <c r="A837" s="15" t="str">
        <f t="shared" si="17"/>
        <v>33B</v>
      </c>
      <c r="B837" s="15">
        <v>827</v>
      </c>
      <c r="C837" s="42"/>
      <c r="F837" s="22"/>
      <c r="G837" s="22"/>
      <c r="J837" s="24">
        <v>50000</v>
      </c>
      <c r="M837" s="24">
        <v>50000</v>
      </c>
      <c r="O837" s="48" t="s">
        <v>97</v>
      </c>
      <c r="P837" s="48">
        <f>HEX2DEC(RIGHT(Table1323212714[[#This Row],[h1]],8))</f>
        <v>0</v>
      </c>
      <c r="Q837" s="48" t="s">
        <v>97</v>
      </c>
      <c r="R837" s="48">
        <f>HEX2DEC(RIGHT(Table1323212714[[#This Row],[h2]],8))</f>
        <v>0</v>
      </c>
    </row>
    <row r="838" spans="1:18" x14ac:dyDescent="0.3">
      <c r="A838" s="15" t="str">
        <f t="shared" si="17"/>
        <v>33C</v>
      </c>
      <c r="B838" s="15">
        <v>828</v>
      </c>
      <c r="C838" s="42"/>
      <c r="F838" s="22"/>
      <c r="G838" s="22"/>
      <c r="J838" s="24">
        <v>50000</v>
      </c>
      <c r="M838" s="24">
        <v>50000</v>
      </c>
      <c r="O838" s="48" t="s">
        <v>97</v>
      </c>
      <c r="P838" s="48">
        <f>HEX2DEC(RIGHT(Table1323212714[[#This Row],[h1]],8))</f>
        <v>0</v>
      </c>
      <c r="Q838" s="48" t="s">
        <v>97</v>
      </c>
      <c r="R838" s="48">
        <f>HEX2DEC(RIGHT(Table1323212714[[#This Row],[h2]],8))</f>
        <v>0</v>
      </c>
    </row>
    <row r="839" spans="1:18" x14ac:dyDescent="0.3">
      <c r="A839" s="15" t="str">
        <f t="shared" si="17"/>
        <v>33D</v>
      </c>
      <c r="B839" s="15">
        <v>829</v>
      </c>
      <c r="C839" s="42"/>
      <c r="F839" s="22"/>
      <c r="G839" s="22"/>
      <c r="J839" s="24">
        <v>50000</v>
      </c>
      <c r="M839" s="24">
        <v>50000</v>
      </c>
      <c r="O839" s="48" t="s">
        <v>97</v>
      </c>
      <c r="P839" s="48">
        <f>HEX2DEC(RIGHT(Table1323212714[[#This Row],[h1]],8))</f>
        <v>0</v>
      </c>
      <c r="Q839" s="48" t="s">
        <v>97</v>
      </c>
      <c r="R839" s="48">
        <f>HEX2DEC(RIGHT(Table1323212714[[#This Row],[h2]],8))</f>
        <v>0</v>
      </c>
    </row>
    <row r="840" spans="1:18" x14ac:dyDescent="0.3">
      <c r="A840" s="15" t="str">
        <f t="shared" si="17"/>
        <v>33E</v>
      </c>
      <c r="B840" s="15">
        <v>830</v>
      </c>
      <c r="C840" s="42"/>
      <c r="F840" s="22"/>
      <c r="G840" s="22"/>
      <c r="J840" s="24">
        <v>50000</v>
      </c>
      <c r="M840" s="24">
        <v>50000</v>
      </c>
      <c r="O840" s="48" t="s">
        <v>97</v>
      </c>
      <c r="P840" s="48">
        <f>HEX2DEC(RIGHT(Table1323212714[[#This Row],[h1]],8))</f>
        <v>0</v>
      </c>
      <c r="Q840" s="48" t="s">
        <v>97</v>
      </c>
      <c r="R840" s="48">
        <f>HEX2DEC(RIGHT(Table1323212714[[#This Row],[h2]],8))</f>
        <v>0</v>
      </c>
    </row>
    <row r="841" spans="1:18" x14ac:dyDescent="0.3">
      <c r="A841" s="15" t="str">
        <f t="shared" si="17"/>
        <v>33F</v>
      </c>
      <c r="B841" s="15">
        <v>831</v>
      </c>
      <c r="C841" s="42"/>
      <c r="F841" s="22"/>
      <c r="G841" s="22"/>
      <c r="J841" s="24">
        <v>50000</v>
      </c>
      <c r="M841" s="24">
        <v>50000</v>
      </c>
      <c r="O841" s="48" t="s">
        <v>97</v>
      </c>
      <c r="P841" s="48">
        <f>HEX2DEC(RIGHT(Table1323212714[[#This Row],[h1]],8))</f>
        <v>0</v>
      </c>
      <c r="Q841" s="48" t="s">
        <v>97</v>
      </c>
      <c r="R841" s="48">
        <f>HEX2DEC(RIGHT(Table1323212714[[#This Row],[h2]],8))</f>
        <v>0</v>
      </c>
    </row>
    <row r="842" spans="1:18" x14ac:dyDescent="0.3">
      <c r="A842" s="15" t="str">
        <f t="shared" si="17"/>
        <v>340</v>
      </c>
      <c r="B842" s="15">
        <v>832</v>
      </c>
      <c r="C842" s="42"/>
      <c r="F842" s="22"/>
      <c r="G842" s="22"/>
      <c r="J842" s="24">
        <v>50000</v>
      </c>
      <c r="M842" s="24">
        <v>50000</v>
      </c>
      <c r="O842" s="48" t="s">
        <v>97</v>
      </c>
      <c r="P842" s="48">
        <f>HEX2DEC(RIGHT(Table1323212714[[#This Row],[h1]],8))</f>
        <v>0</v>
      </c>
      <c r="Q842" s="48" t="s">
        <v>97</v>
      </c>
      <c r="R842" s="48">
        <f>HEX2DEC(RIGHT(Table1323212714[[#This Row],[h2]],8))</f>
        <v>0</v>
      </c>
    </row>
    <row r="843" spans="1:18" x14ac:dyDescent="0.3">
      <c r="A843" s="15" t="str">
        <f t="shared" ref="A843:A906" si="18">DEC2HEX(B843,3)</f>
        <v>341</v>
      </c>
      <c r="B843" s="15">
        <v>833</v>
      </c>
      <c r="C843" s="42"/>
      <c r="F843" s="22"/>
      <c r="G843" s="22"/>
      <c r="J843" s="24">
        <v>50000</v>
      </c>
      <c r="M843" s="24">
        <v>50000</v>
      </c>
      <c r="O843" s="48" t="s">
        <v>97</v>
      </c>
      <c r="P843" s="48">
        <f>HEX2DEC(RIGHT(Table1323212714[[#This Row],[h1]],8))</f>
        <v>0</v>
      </c>
      <c r="Q843" s="48" t="s">
        <v>97</v>
      </c>
      <c r="R843" s="48">
        <f>HEX2DEC(RIGHT(Table1323212714[[#This Row],[h2]],8))</f>
        <v>0</v>
      </c>
    </row>
    <row r="844" spans="1:18" x14ac:dyDescent="0.3">
      <c r="A844" s="15" t="str">
        <f t="shared" si="18"/>
        <v>342</v>
      </c>
      <c r="B844" s="15">
        <v>834</v>
      </c>
      <c r="C844" s="42"/>
      <c r="F844" s="22"/>
      <c r="G844" s="22"/>
      <c r="J844" s="24">
        <v>50000</v>
      </c>
      <c r="M844" s="24">
        <v>50000</v>
      </c>
      <c r="O844" s="48" t="s">
        <v>97</v>
      </c>
      <c r="P844" s="48">
        <f>HEX2DEC(RIGHT(Table1323212714[[#This Row],[h1]],8))</f>
        <v>0</v>
      </c>
      <c r="Q844" s="48" t="s">
        <v>97</v>
      </c>
      <c r="R844" s="48">
        <f>HEX2DEC(RIGHT(Table1323212714[[#This Row],[h2]],8))</f>
        <v>0</v>
      </c>
    </row>
    <row r="845" spans="1:18" x14ac:dyDescent="0.3">
      <c r="A845" s="15" t="str">
        <f t="shared" si="18"/>
        <v>343</v>
      </c>
      <c r="B845" s="15">
        <v>835</v>
      </c>
      <c r="C845" s="42"/>
      <c r="F845" s="22"/>
      <c r="G845" s="22"/>
      <c r="J845" s="24">
        <v>50000</v>
      </c>
      <c r="M845" s="24">
        <v>50000</v>
      </c>
      <c r="O845" s="48" t="s">
        <v>97</v>
      </c>
      <c r="P845" s="48">
        <f>HEX2DEC(RIGHT(Table1323212714[[#This Row],[h1]],8))</f>
        <v>0</v>
      </c>
      <c r="Q845" s="48" t="s">
        <v>97</v>
      </c>
      <c r="R845" s="48">
        <f>HEX2DEC(RIGHT(Table1323212714[[#This Row],[h2]],8))</f>
        <v>0</v>
      </c>
    </row>
    <row r="846" spans="1:18" x14ac:dyDescent="0.3">
      <c r="A846" s="15" t="str">
        <f t="shared" si="18"/>
        <v>344</v>
      </c>
      <c r="B846" s="15">
        <v>836</v>
      </c>
      <c r="C846" s="42"/>
      <c r="F846" s="22"/>
      <c r="G846" s="22"/>
      <c r="J846" s="24">
        <v>50000</v>
      </c>
      <c r="M846" s="24">
        <v>50000</v>
      </c>
      <c r="O846" s="48" t="s">
        <v>97</v>
      </c>
      <c r="P846" s="48">
        <f>HEX2DEC(RIGHT(Table1323212714[[#This Row],[h1]],8))</f>
        <v>0</v>
      </c>
      <c r="Q846" s="48" t="s">
        <v>97</v>
      </c>
      <c r="R846" s="48">
        <f>HEX2DEC(RIGHT(Table1323212714[[#This Row],[h2]],8))</f>
        <v>0</v>
      </c>
    </row>
    <row r="847" spans="1:18" x14ac:dyDescent="0.3">
      <c r="A847" s="15" t="str">
        <f t="shared" si="18"/>
        <v>345</v>
      </c>
      <c r="B847" s="15">
        <v>837</v>
      </c>
      <c r="C847" s="42"/>
      <c r="F847" s="22"/>
      <c r="G847" s="22"/>
      <c r="J847" s="24">
        <v>50000</v>
      </c>
      <c r="M847" s="24">
        <v>50000</v>
      </c>
      <c r="O847" s="48" t="s">
        <v>97</v>
      </c>
      <c r="P847" s="48">
        <f>HEX2DEC(RIGHT(Table1323212714[[#This Row],[h1]],8))</f>
        <v>0</v>
      </c>
      <c r="Q847" s="48" t="s">
        <v>97</v>
      </c>
      <c r="R847" s="48">
        <f>HEX2DEC(RIGHT(Table1323212714[[#This Row],[h2]],8))</f>
        <v>0</v>
      </c>
    </row>
    <row r="848" spans="1:18" x14ac:dyDescent="0.3">
      <c r="A848" s="15" t="str">
        <f t="shared" si="18"/>
        <v>346</v>
      </c>
      <c r="B848" s="15">
        <v>838</v>
      </c>
      <c r="C848" s="42"/>
      <c r="F848" s="22"/>
      <c r="G848" s="22"/>
      <c r="J848" s="24">
        <v>50000</v>
      </c>
      <c r="M848" s="24">
        <v>50000</v>
      </c>
      <c r="O848" s="48" t="s">
        <v>97</v>
      </c>
      <c r="P848" s="48">
        <f>HEX2DEC(RIGHT(Table1323212714[[#This Row],[h1]],8))</f>
        <v>0</v>
      </c>
      <c r="Q848" s="48" t="s">
        <v>97</v>
      </c>
      <c r="R848" s="48">
        <f>HEX2DEC(RIGHT(Table1323212714[[#This Row],[h2]],8))</f>
        <v>0</v>
      </c>
    </row>
    <row r="849" spans="1:18" x14ac:dyDescent="0.3">
      <c r="A849" s="15" t="str">
        <f t="shared" si="18"/>
        <v>347</v>
      </c>
      <c r="B849" s="15">
        <v>839</v>
      </c>
      <c r="C849" s="42"/>
      <c r="F849" s="22"/>
      <c r="G849" s="22"/>
      <c r="J849" s="24">
        <v>50000</v>
      </c>
      <c r="M849" s="24">
        <v>50000</v>
      </c>
      <c r="O849" s="48" t="s">
        <v>97</v>
      </c>
      <c r="P849" s="48">
        <f>HEX2DEC(RIGHT(Table1323212714[[#This Row],[h1]],8))</f>
        <v>0</v>
      </c>
      <c r="Q849" s="48" t="s">
        <v>97</v>
      </c>
      <c r="R849" s="48">
        <f>HEX2DEC(RIGHT(Table1323212714[[#This Row],[h2]],8))</f>
        <v>0</v>
      </c>
    </row>
    <row r="850" spans="1:18" x14ac:dyDescent="0.3">
      <c r="A850" s="15" t="str">
        <f t="shared" si="18"/>
        <v>348</v>
      </c>
      <c r="B850" s="15">
        <v>840</v>
      </c>
      <c r="C850" s="42"/>
      <c r="F850" s="22"/>
      <c r="G850" s="22"/>
      <c r="J850" s="24">
        <v>50000</v>
      </c>
      <c r="M850" s="24">
        <v>50000</v>
      </c>
      <c r="O850" s="48" t="s">
        <v>97</v>
      </c>
      <c r="P850" s="48">
        <f>HEX2DEC(RIGHT(Table1323212714[[#This Row],[h1]],8))</f>
        <v>0</v>
      </c>
      <c r="Q850" s="48" t="s">
        <v>97</v>
      </c>
      <c r="R850" s="48">
        <f>HEX2DEC(RIGHT(Table1323212714[[#This Row],[h2]],8))</f>
        <v>0</v>
      </c>
    </row>
    <row r="851" spans="1:18" x14ac:dyDescent="0.3">
      <c r="A851" s="15" t="str">
        <f t="shared" si="18"/>
        <v>349</v>
      </c>
      <c r="B851" s="15">
        <v>841</v>
      </c>
      <c r="C851" s="42"/>
      <c r="F851" s="22"/>
      <c r="G851" s="22"/>
      <c r="J851" s="24">
        <v>50000</v>
      </c>
      <c r="M851" s="24">
        <v>50000</v>
      </c>
      <c r="O851" s="48" t="s">
        <v>97</v>
      </c>
      <c r="P851" s="48">
        <f>HEX2DEC(RIGHT(Table1323212714[[#This Row],[h1]],8))</f>
        <v>0</v>
      </c>
      <c r="Q851" s="48" t="s">
        <v>97</v>
      </c>
      <c r="R851" s="48">
        <f>HEX2DEC(RIGHT(Table1323212714[[#This Row],[h2]],8))</f>
        <v>0</v>
      </c>
    </row>
    <row r="852" spans="1:18" x14ac:dyDescent="0.3">
      <c r="A852" s="15" t="str">
        <f t="shared" si="18"/>
        <v>34A</v>
      </c>
      <c r="B852" s="15">
        <v>842</v>
      </c>
      <c r="C852" s="42"/>
      <c r="F852" s="22"/>
      <c r="G852" s="22"/>
      <c r="J852" s="24">
        <v>50000</v>
      </c>
      <c r="M852" s="24">
        <v>50000</v>
      </c>
      <c r="O852" s="48" t="s">
        <v>97</v>
      </c>
      <c r="P852" s="48">
        <f>HEX2DEC(RIGHT(Table1323212714[[#This Row],[h1]],8))</f>
        <v>0</v>
      </c>
      <c r="Q852" s="48" t="s">
        <v>97</v>
      </c>
      <c r="R852" s="48">
        <f>HEX2DEC(RIGHT(Table1323212714[[#This Row],[h2]],8))</f>
        <v>0</v>
      </c>
    </row>
    <row r="853" spans="1:18" x14ac:dyDescent="0.3">
      <c r="A853" s="15" t="str">
        <f t="shared" si="18"/>
        <v>34B</v>
      </c>
      <c r="B853" s="15">
        <v>843</v>
      </c>
      <c r="C853" s="42"/>
      <c r="F853" s="22"/>
      <c r="G853" s="22"/>
      <c r="J853" s="24">
        <v>50000</v>
      </c>
      <c r="M853" s="24">
        <v>50000</v>
      </c>
      <c r="O853" s="48" t="s">
        <v>97</v>
      </c>
      <c r="P853" s="48">
        <f>HEX2DEC(RIGHT(Table1323212714[[#This Row],[h1]],8))</f>
        <v>0</v>
      </c>
      <c r="Q853" s="48" t="s">
        <v>97</v>
      </c>
      <c r="R853" s="48">
        <f>HEX2DEC(RIGHT(Table1323212714[[#This Row],[h2]],8))</f>
        <v>0</v>
      </c>
    </row>
    <row r="854" spans="1:18" x14ac:dyDescent="0.3">
      <c r="A854" s="15" t="str">
        <f t="shared" si="18"/>
        <v>34C</v>
      </c>
      <c r="B854" s="15">
        <v>844</v>
      </c>
      <c r="C854" s="42"/>
      <c r="F854" s="22"/>
      <c r="G854" s="22"/>
      <c r="J854" s="24">
        <v>50000</v>
      </c>
      <c r="M854" s="24">
        <v>50000</v>
      </c>
      <c r="O854" s="48" t="s">
        <v>97</v>
      </c>
      <c r="P854" s="48">
        <f>HEX2DEC(RIGHT(Table1323212714[[#This Row],[h1]],8))</f>
        <v>0</v>
      </c>
      <c r="Q854" s="48" t="s">
        <v>97</v>
      </c>
      <c r="R854" s="48">
        <f>HEX2DEC(RIGHT(Table1323212714[[#This Row],[h2]],8))</f>
        <v>0</v>
      </c>
    </row>
    <row r="855" spans="1:18" x14ac:dyDescent="0.3">
      <c r="A855" s="15" t="str">
        <f t="shared" si="18"/>
        <v>34D</v>
      </c>
      <c r="B855" s="15">
        <v>845</v>
      </c>
      <c r="C855" s="42"/>
      <c r="F855" s="22"/>
      <c r="G855" s="22"/>
      <c r="J855" s="24">
        <v>50000</v>
      </c>
      <c r="M855" s="24">
        <v>50000</v>
      </c>
      <c r="O855" s="48" t="s">
        <v>97</v>
      </c>
      <c r="P855" s="48">
        <f>HEX2DEC(RIGHT(Table1323212714[[#This Row],[h1]],8))</f>
        <v>0</v>
      </c>
      <c r="Q855" s="48" t="s">
        <v>97</v>
      </c>
      <c r="R855" s="48">
        <f>HEX2DEC(RIGHT(Table1323212714[[#This Row],[h2]],8))</f>
        <v>0</v>
      </c>
    </row>
    <row r="856" spans="1:18" x14ac:dyDescent="0.3">
      <c r="A856" s="15" t="str">
        <f t="shared" si="18"/>
        <v>34E</v>
      </c>
      <c r="B856" s="15">
        <v>846</v>
      </c>
      <c r="C856" s="42"/>
      <c r="F856" s="22"/>
      <c r="G856" s="22"/>
      <c r="J856" s="24">
        <v>50000</v>
      </c>
      <c r="M856" s="24">
        <v>50000</v>
      </c>
      <c r="O856" s="48" t="s">
        <v>97</v>
      </c>
      <c r="P856" s="48">
        <f>HEX2DEC(RIGHT(Table1323212714[[#This Row],[h1]],8))</f>
        <v>0</v>
      </c>
      <c r="Q856" s="48" t="s">
        <v>97</v>
      </c>
      <c r="R856" s="48">
        <f>HEX2DEC(RIGHT(Table1323212714[[#This Row],[h2]],8))</f>
        <v>0</v>
      </c>
    </row>
    <row r="857" spans="1:18" x14ac:dyDescent="0.3">
      <c r="A857" s="15" t="str">
        <f t="shared" si="18"/>
        <v>34F</v>
      </c>
      <c r="B857" s="15">
        <v>847</v>
      </c>
      <c r="C857" s="42"/>
      <c r="F857" s="22"/>
      <c r="G857" s="22"/>
      <c r="J857" s="24">
        <v>50000</v>
      </c>
      <c r="M857" s="24">
        <v>50000</v>
      </c>
      <c r="O857" s="48" t="s">
        <v>97</v>
      </c>
      <c r="P857" s="48">
        <f>HEX2DEC(RIGHT(Table1323212714[[#This Row],[h1]],8))</f>
        <v>0</v>
      </c>
      <c r="Q857" s="48" t="s">
        <v>97</v>
      </c>
      <c r="R857" s="48">
        <f>HEX2DEC(RIGHT(Table1323212714[[#This Row],[h2]],8))</f>
        <v>0</v>
      </c>
    </row>
    <row r="858" spans="1:18" x14ac:dyDescent="0.3">
      <c r="A858" s="15" t="str">
        <f t="shared" si="18"/>
        <v>350</v>
      </c>
      <c r="B858" s="15">
        <v>848</v>
      </c>
      <c r="C858" s="42"/>
      <c r="F858" s="22"/>
      <c r="G858" s="22"/>
      <c r="J858" s="24">
        <v>50000</v>
      </c>
      <c r="M858" s="24">
        <v>50000</v>
      </c>
      <c r="O858" s="48" t="s">
        <v>97</v>
      </c>
      <c r="P858" s="48">
        <f>HEX2DEC(RIGHT(Table1323212714[[#This Row],[h1]],8))</f>
        <v>0</v>
      </c>
      <c r="Q858" s="48" t="s">
        <v>97</v>
      </c>
      <c r="R858" s="48">
        <f>HEX2DEC(RIGHT(Table1323212714[[#This Row],[h2]],8))</f>
        <v>0</v>
      </c>
    </row>
    <row r="859" spans="1:18" x14ac:dyDescent="0.3">
      <c r="A859" s="15" t="str">
        <f t="shared" si="18"/>
        <v>351</v>
      </c>
      <c r="B859" s="15">
        <v>849</v>
      </c>
      <c r="C859" s="42"/>
      <c r="F859" s="22"/>
      <c r="G859" s="22"/>
      <c r="J859" s="24">
        <v>50000</v>
      </c>
      <c r="M859" s="24">
        <v>50000</v>
      </c>
      <c r="O859" s="48" t="s">
        <v>97</v>
      </c>
      <c r="P859" s="48">
        <f>HEX2DEC(RIGHT(Table1323212714[[#This Row],[h1]],8))</f>
        <v>0</v>
      </c>
      <c r="Q859" s="48" t="s">
        <v>97</v>
      </c>
      <c r="R859" s="48">
        <f>HEX2DEC(RIGHT(Table1323212714[[#This Row],[h2]],8))</f>
        <v>0</v>
      </c>
    </row>
    <row r="860" spans="1:18" x14ac:dyDescent="0.3">
      <c r="A860" s="15" t="str">
        <f t="shared" si="18"/>
        <v>352</v>
      </c>
      <c r="B860" s="15">
        <v>850</v>
      </c>
      <c r="C860" s="42"/>
      <c r="F860" s="22"/>
      <c r="G860" s="22"/>
      <c r="J860" s="24">
        <v>50000</v>
      </c>
      <c r="M860" s="24">
        <v>50000</v>
      </c>
      <c r="O860" s="48" t="s">
        <v>97</v>
      </c>
      <c r="P860" s="48">
        <f>HEX2DEC(RIGHT(Table1323212714[[#This Row],[h1]],8))</f>
        <v>0</v>
      </c>
      <c r="Q860" s="48" t="s">
        <v>97</v>
      </c>
      <c r="R860" s="48">
        <f>HEX2DEC(RIGHT(Table1323212714[[#This Row],[h2]],8))</f>
        <v>0</v>
      </c>
    </row>
    <row r="861" spans="1:18" x14ac:dyDescent="0.3">
      <c r="A861" s="15" t="str">
        <f t="shared" si="18"/>
        <v>353</v>
      </c>
      <c r="B861" s="15">
        <v>851</v>
      </c>
      <c r="C861" s="42"/>
      <c r="F861" s="22"/>
      <c r="G861" s="22"/>
      <c r="J861" s="24">
        <v>50000</v>
      </c>
      <c r="M861" s="24">
        <v>50000</v>
      </c>
      <c r="O861" s="48" t="s">
        <v>97</v>
      </c>
      <c r="P861" s="48">
        <f>HEX2DEC(RIGHT(Table1323212714[[#This Row],[h1]],8))</f>
        <v>0</v>
      </c>
      <c r="Q861" s="48" t="s">
        <v>97</v>
      </c>
      <c r="R861" s="48">
        <f>HEX2DEC(RIGHT(Table1323212714[[#This Row],[h2]],8))</f>
        <v>0</v>
      </c>
    </row>
    <row r="862" spans="1:18" x14ac:dyDescent="0.3">
      <c r="A862" s="15" t="str">
        <f t="shared" si="18"/>
        <v>354</v>
      </c>
      <c r="B862" s="15">
        <v>852</v>
      </c>
      <c r="C862" s="42"/>
      <c r="F862" s="22"/>
      <c r="G862" s="22"/>
      <c r="J862" s="24">
        <v>50000</v>
      </c>
      <c r="M862" s="24">
        <v>50000</v>
      </c>
      <c r="O862" s="48" t="s">
        <v>97</v>
      </c>
      <c r="P862" s="48">
        <f>HEX2DEC(RIGHT(Table1323212714[[#This Row],[h1]],8))</f>
        <v>0</v>
      </c>
      <c r="Q862" s="48" t="s">
        <v>97</v>
      </c>
      <c r="R862" s="48">
        <f>HEX2DEC(RIGHT(Table1323212714[[#This Row],[h2]],8))</f>
        <v>0</v>
      </c>
    </row>
    <row r="863" spans="1:18" x14ac:dyDescent="0.3">
      <c r="A863" s="15" t="str">
        <f t="shared" si="18"/>
        <v>355</v>
      </c>
      <c r="B863" s="15">
        <v>853</v>
      </c>
      <c r="C863" s="42"/>
      <c r="F863" s="22"/>
      <c r="G863" s="22"/>
      <c r="J863" s="24">
        <v>50000</v>
      </c>
      <c r="M863" s="24">
        <v>50000</v>
      </c>
      <c r="O863" s="48" t="s">
        <v>97</v>
      </c>
      <c r="P863" s="48">
        <f>HEX2DEC(RIGHT(Table1323212714[[#This Row],[h1]],8))</f>
        <v>0</v>
      </c>
      <c r="Q863" s="48" t="s">
        <v>97</v>
      </c>
      <c r="R863" s="48">
        <f>HEX2DEC(RIGHT(Table1323212714[[#This Row],[h2]],8))</f>
        <v>0</v>
      </c>
    </row>
    <row r="864" spans="1:18" x14ac:dyDescent="0.3">
      <c r="A864" s="15" t="str">
        <f t="shared" si="18"/>
        <v>356</v>
      </c>
      <c r="B864" s="15">
        <v>854</v>
      </c>
      <c r="C864" s="42"/>
      <c r="F864" s="22"/>
      <c r="G864" s="22"/>
      <c r="J864" s="24">
        <v>50000</v>
      </c>
      <c r="M864" s="24">
        <v>50000</v>
      </c>
      <c r="O864" s="48" t="s">
        <v>97</v>
      </c>
      <c r="P864" s="48">
        <f>HEX2DEC(RIGHT(Table1323212714[[#This Row],[h1]],8))</f>
        <v>0</v>
      </c>
      <c r="Q864" s="48" t="s">
        <v>97</v>
      </c>
      <c r="R864" s="48">
        <f>HEX2DEC(RIGHT(Table1323212714[[#This Row],[h2]],8))</f>
        <v>0</v>
      </c>
    </row>
    <row r="865" spans="1:18" x14ac:dyDescent="0.3">
      <c r="A865" s="15" t="str">
        <f t="shared" si="18"/>
        <v>357</v>
      </c>
      <c r="B865" s="15">
        <v>855</v>
      </c>
      <c r="C865" s="42"/>
      <c r="F865" s="22"/>
      <c r="G865" s="22"/>
      <c r="J865" s="24">
        <v>50000</v>
      </c>
      <c r="M865" s="24">
        <v>50000</v>
      </c>
      <c r="O865" s="48" t="s">
        <v>97</v>
      </c>
      <c r="P865" s="48">
        <f>HEX2DEC(RIGHT(Table1323212714[[#This Row],[h1]],8))</f>
        <v>0</v>
      </c>
      <c r="Q865" s="48" t="s">
        <v>97</v>
      </c>
      <c r="R865" s="48">
        <f>HEX2DEC(RIGHT(Table1323212714[[#This Row],[h2]],8))</f>
        <v>0</v>
      </c>
    </row>
    <row r="866" spans="1:18" x14ac:dyDescent="0.3">
      <c r="A866" s="15" t="str">
        <f t="shared" si="18"/>
        <v>358</v>
      </c>
      <c r="B866" s="15">
        <v>856</v>
      </c>
      <c r="C866" s="42"/>
      <c r="F866" s="22"/>
      <c r="G866" s="22"/>
      <c r="J866" s="24">
        <v>50000</v>
      </c>
      <c r="M866" s="24">
        <v>50000</v>
      </c>
      <c r="O866" s="48" t="s">
        <v>97</v>
      </c>
      <c r="P866" s="48">
        <f>HEX2DEC(RIGHT(Table1323212714[[#This Row],[h1]],8))</f>
        <v>0</v>
      </c>
      <c r="Q866" s="48" t="s">
        <v>97</v>
      </c>
      <c r="R866" s="48">
        <f>HEX2DEC(RIGHT(Table1323212714[[#This Row],[h2]],8))</f>
        <v>0</v>
      </c>
    </row>
    <row r="867" spans="1:18" x14ac:dyDescent="0.3">
      <c r="A867" s="15" t="str">
        <f t="shared" si="18"/>
        <v>359</v>
      </c>
      <c r="B867" s="15">
        <v>857</v>
      </c>
      <c r="C867" s="42"/>
      <c r="F867" s="22"/>
      <c r="G867" s="22"/>
      <c r="J867" s="24">
        <v>50000</v>
      </c>
      <c r="M867" s="24">
        <v>50000</v>
      </c>
      <c r="O867" s="48" t="s">
        <v>97</v>
      </c>
      <c r="P867" s="48">
        <f>HEX2DEC(RIGHT(Table1323212714[[#This Row],[h1]],8))</f>
        <v>0</v>
      </c>
      <c r="Q867" s="48" t="s">
        <v>97</v>
      </c>
      <c r="R867" s="48">
        <f>HEX2DEC(RIGHT(Table1323212714[[#This Row],[h2]],8))</f>
        <v>0</v>
      </c>
    </row>
    <row r="868" spans="1:18" x14ac:dyDescent="0.3">
      <c r="A868" s="15" t="str">
        <f t="shared" si="18"/>
        <v>35A</v>
      </c>
      <c r="B868" s="15">
        <v>858</v>
      </c>
      <c r="C868" s="42"/>
      <c r="F868" s="22"/>
      <c r="G868" s="22"/>
      <c r="J868" s="24">
        <v>50000</v>
      </c>
      <c r="M868" s="24">
        <v>50000</v>
      </c>
      <c r="O868" s="48" t="s">
        <v>97</v>
      </c>
      <c r="P868" s="48">
        <f>HEX2DEC(RIGHT(Table1323212714[[#This Row],[h1]],8))</f>
        <v>0</v>
      </c>
      <c r="Q868" s="48" t="s">
        <v>97</v>
      </c>
      <c r="R868" s="48">
        <f>HEX2DEC(RIGHT(Table1323212714[[#This Row],[h2]],8))</f>
        <v>0</v>
      </c>
    </row>
    <row r="869" spans="1:18" x14ac:dyDescent="0.3">
      <c r="A869" s="15" t="str">
        <f t="shared" si="18"/>
        <v>35B</v>
      </c>
      <c r="B869" s="15">
        <v>859</v>
      </c>
      <c r="C869" s="42"/>
      <c r="F869" s="22"/>
      <c r="G869" s="22"/>
      <c r="J869" s="24">
        <v>50000</v>
      </c>
      <c r="M869" s="24">
        <v>50000</v>
      </c>
      <c r="O869" s="48" t="s">
        <v>97</v>
      </c>
      <c r="P869" s="48">
        <f>HEX2DEC(RIGHT(Table1323212714[[#This Row],[h1]],8))</f>
        <v>0</v>
      </c>
      <c r="Q869" s="48" t="s">
        <v>97</v>
      </c>
      <c r="R869" s="48">
        <f>HEX2DEC(RIGHT(Table1323212714[[#This Row],[h2]],8))</f>
        <v>0</v>
      </c>
    </row>
    <row r="870" spans="1:18" x14ac:dyDescent="0.3">
      <c r="A870" s="15" t="str">
        <f t="shared" si="18"/>
        <v>35C</v>
      </c>
      <c r="B870" s="15">
        <v>860</v>
      </c>
      <c r="C870" s="42"/>
      <c r="F870" s="22"/>
      <c r="G870" s="22"/>
      <c r="J870" s="24">
        <v>50000</v>
      </c>
      <c r="M870" s="24">
        <v>50000</v>
      </c>
      <c r="O870" s="48" t="s">
        <v>97</v>
      </c>
      <c r="P870" s="48">
        <f>HEX2DEC(RIGHT(Table1323212714[[#This Row],[h1]],8))</f>
        <v>0</v>
      </c>
      <c r="Q870" s="48" t="s">
        <v>97</v>
      </c>
      <c r="R870" s="48">
        <f>HEX2DEC(RIGHT(Table1323212714[[#This Row],[h2]],8))</f>
        <v>0</v>
      </c>
    </row>
    <row r="871" spans="1:18" x14ac:dyDescent="0.3">
      <c r="A871" s="15" t="str">
        <f t="shared" si="18"/>
        <v>35D</v>
      </c>
      <c r="B871" s="15">
        <v>861</v>
      </c>
      <c r="C871" s="42"/>
      <c r="F871" s="22"/>
      <c r="G871" s="22"/>
      <c r="J871" s="24">
        <v>50000</v>
      </c>
      <c r="M871" s="24">
        <v>50000</v>
      </c>
      <c r="O871" s="48" t="s">
        <v>97</v>
      </c>
      <c r="P871" s="48">
        <f>HEX2DEC(RIGHT(Table1323212714[[#This Row],[h1]],8))</f>
        <v>0</v>
      </c>
      <c r="Q871" s="48" t="s">
        <v>97</v>
      </c>
      <c r="R871" s="48">
        <f>HEX2DEC(RIGHT(Table1323212714[[#This Row],[h2]],8))</f>
        <v>0</v>
      </c>
    </row>
    <row r="872" spans="1:18" x14ac:dyDescent="0.3">
      <c r="A872" s="15" t="str">
        <f t="shared" si="18"/>
        <v>35E</v>
      </c>
      <c r="B872" s="15">
        <v>862</v>
      </c>
      <c r="C872" s="42"/>
      <c r="F872" s="22"/>
      <c r="G872" s="22"/>
      <c r="J872" s="24">
        <v>50000</v>
      </c>
      <c r="M872" s="24">
        <v>50000</v>
      </c>
      <c r="O872" s="48" t="s">
        <v>97</v>
      </c>
      <c r="P872" s="48">
        <f>HEX2DEC(RIGHT(Table1323212714[[#This Row],[h1]],8))</f>
        <v>0</v>
      </c>
      <c r="Q872" s="48" t="s">
        <v>97</v>
      </c>
      <c r="R872" s="48">
        <f>HEX2DEC(RIGHT(Table1323212714[[#This Row],[h2]],8))</f>
        <v>0</v>
      </c>
    </row>
    <row r="873" spans="1:18" x14ac:dyDescent="0.3">
      <c r="A873" s="15" t="str">
        <f t="shared" si="18"/>
        <v>35F</v>
      </c>
      <c r="B873" s="15">
        <v>863</v>
      </c>
      <c r="C873" s="42"/>
      <c r="F873" s="22"/>
      <c r="G873" s="22"/>
      <c r="J873" s="24">
        <v>50000</v>
      </c>
      <c r="M873" s="24">
        <v>50000</v>
      </c>
      <c r="O873" s="48" t="s">
        <v>97</v>
      </c>
      <c r="P873" s="48">
        <f>HEX2DEC(RIGHT(Table1323212714[[#This Row],[h1]],8))</f>
        <v>0</v>
      </c>
      <c r="Q873" s="48" t="s">
        <v>97</v>
      </c>
      <c r="R873" s="48">
        <f>HEX2DEC(RIGHT(Table1323212714[[#This Row],[h2]],8))</f>
        <v>0</v>
      </c>
    </row>
    <row r="874" spans="1:18" x14ac:dyDescent="0.3">
      <c r="A874" s="15" t="str">
        <f t="shared" si="18"/>
        <v>360</v>
      </c>
      <c r="B874" s="15">
        <v>864</v>
      </c>
      <c r="C874" s="42"/>
      <c r="F874" s="22"/>
      <c r="G874" s="22"/>
      <c r="J874" s="24">
        <v>50000</v>
      </c>
      <c r="M874" s="24">
        <v>50000</v>
      </c>
      <c r="O874" s="48" t="s">
        <v>97</v>
      </c>
      <c r="P874" s="48">
        <f>HEX2DEC(RIGHT(Table1323212714[[#This Row],[h1]],8))</f>
        <v>0</v>
      </c>
      <c r="Q874" s="48" t="s">
        <v>97</v>
      </c>
      <c r="R874" s="48">
        <f>HEX2DEC(RIGHT(Table1323212714[[#This Row],[h2]],8))</f>
        <v>0</v>
      </c>
    </row>
    <row r="875" spans="1:18" x14ac:dyDescent="0.3">
      <c r="A875" s="15" t="str">
        <f t="shared" si="18"/>
        <v>361</v>
      </c>
      <c r="B875" s="15">
        <v>865</v>
      </c>
      <c r="C875" s="42"/>
      <c r="F875" s="22"/>
      <c r="G875" s="22"/>
      <c r="J875" s="24">
        <v>50000</v>
      </c>
      <c r="M875" s="24">
        <v>50000</v>
      </c>
      <c r="O875" s="48" t="s">
        <v>97</v>
      </c>
      <c r="P875" s="48">
        <f>HEX2DEC(RIGHT(Table1323212714[[#This Row],[h1]],8))</f>
        <v>0</v>
      </c>
      <c r="Q875" s="48" t="s">
        <v>97</v>
      </c>
      <c r="R875" s="48">
        <f>HEX2DEC(RIGHT(Table1323212714[[#This Row],[h2]],8))</f>
        <v>0</v>
      </c>
    </row>
    <row r="876" spans="1:18" x14ac:dyDescent="0.3">
      <c r="A876" s="15" t="str">
        <f t="shared" si="18"/>
        <v>362</v>
      </c>
      <c r="B876" s="15">
        <v>866</v>
      </c>
      <c r="C876" s="42"/>
      <c r="F876" s="22"/>
      <c r="G876" s="22"/>
      <c r="J876" s="24">
        <v>50000</v>
      </c>
      <c r="M876" s="24">
        <v>50000</v>
      </c>
      <c r="O876" s="48" t="s">
        <v>97</v>
      </c>
      <c r="P876" s="48">
        <f>HEX2DEC(RIGHT(Table1323212714[[#This Row],[h1]],8))</f>
        <v>0</v>
      </c>
      <c r="Q876" s="48" t="s">
        <v>97</v>
      </c>
      <c r="R876" s="48">
        <f>HEX2DEC(RIGHT(Table1323212714[[#This Row],[h2]],8))</f>
        <v>0</v>
      </c>
    </row>
    <row r="877" spans="1:18" x14ac:dyDescent="0.3">
      <c r="A877" s="15" t="str">
        <f t="shared" si="18"/>
        <v>363</v>
      </c>
      <c r="B877" s="15">
        <v>867</v>
      </c>
      <c r="C877" s="42"/>
      <c r="F877" s="22"/>
      <c r="G877" s="22"/>
      <c r="J877" s="24">
        <v>50000</v>
      </c>
      <c r="M877" s="24">
        <v>50000</v>
      </c>
      <c r="O877" s="48" t="s">
        <v>97</v>
      </c>
      <c r="P877" s="48">
        <f>HEX2DEC(RIGHT(Table1323212714[[#This Row],[h1]],8))</f>
        <v>0</v>
      </c>
      <c r="Q877" s="48" t="s">
        <v>97</v>
      </c>
      <c r="R877" s="48">
        <f>HEX2DEC(RIGHT(Table1323212714[[#This Row],[h2]],8))</f>
        <v>0</v>
      </c>
    </row>
    <row r="878" spans="1:18" x14ac:dyDescent="0.3">
      <c r="A878" s="15" t="str">
        <f t="shared" si="18"/>
        <v>364</v>
      </c>
      <c r="B878" s="15">
        <v>868</v>
      </c>
      <c r="C878" s="42"/>
      <c r="F878" s="22"/>
      <c r="G878" s="22"/>
      <c r="J878" s="24">
        <v>50000</v>
      </c>
      <c r="M878" s="24">
        <v>50000</v>
      </c>
      <c r="O878" s="48" t="s">
        <v>97</v>
      </c>
      <c r="P878" s="48">
        <f>HEX2DEC(RIGHT(Table1323212714[[#This Row],[h1]],8))</f>
        <v>0</v>
      </c>
      <c r="Q878" s="48" t="s">
        <v>97</v>
      </c>
      <c r="R878" s="48">
        <f>HEX2DEC(RIGHT(Table1323212714[[#This Row],[h2]],8))</f>
        <v>0</v>
      </c>
    </row>
    <row r="879" spans="1:18" x14ac:dyDescent="0.3">
      <c r="A879" s="15" t="str">
        <f t="shared" si="18"/>
        <v>365</v>
      </c>
      <c r="B879" s="15">
        <v>869</v>
      </c>
      <c r="C879" s="42"/>
      <c r="F879" s="22"/>
      <c r="G879" s="22"/>
      <c r="J879" s="24">
        <v>50000</v>
      </c>
      <c r="M879" s="24">
        <v>50000</v>
      </c>
      <c r="O879" s="48" t="s">
        <v>97</v>
      </c>
      <c r="P879" s="48">
        <f>HEX2DEC(RIGHT(Table1323212714[[#This Row],[h1]],8))</f>
        <v>0</v>
      </c>
      <c r="Q879" s="48" t="s">
        <v>97</v>
      </c>
      <c r="R879" s="48">
        <f>HEX2DEC(RIGHT(Table1323212714[[#This Row],[h2]],8))</f>
        <v>0</v>
      </c>
    </row>
    <row r="880" spans="1:18" x14ac:dyDescent="0.3">
      <c r="A880" s="15" t="str">
        <f t="shared" si="18"/>
        <v>366</v>
      </c>
      <c r="B880" s="15">
        <v>870</v>
      </c>
      <c r="C880" s="42"/>
      <c r="F880" s="22"/>
      <c r="G880" s="22"/>
      <c r="J880" s="24">
        <v>50000</v>
      </c>
      <c r="M880" s="24">
        <v>50000</v>
      </c>
      <c r="O880" s="48" t="s">
        <v>97</v>
      </c>
      <c r="P880" s="48">
        <f>HEX2DEC(RIGHT(Table1323212714[[#This Row],[h1]],8))</f>
        <v>0</v>
      </c>
      <c r="Q880" s="48" t="s">
        <v>97</v>
      </c>
      <c r="R880" s="48">
        <f>HEX2DEC(RIGHT(Table1323212714[[#This Row],[h2]],8))</f>
        <v>0</v>
      </c>
    </row>
    <row r="881" spans="1:18" x14ac:dyDescent="0.3">
      <c r="A881" s="15" t="str">
        <f t="shared" si="18"/>
        <v>367</v>
      </c>
      <c r="B881" s="15">
        <v>871</v>
      </c>
      <c r="C881" s="42"/>
      <c r="F881" s="22"/>
      <c r="G881" s="22"/>
      <c r="J881" s="24">
        <v>50000</v>
      </c>
      <c r="M881" s="24">
        <v>50000</v>
      </c>
      <c r="O881" s="48" t="s">
        <v>97</v>
      </c>
      <c r="P881" s="48">
        <f>HEX2DEC(RIGHT(Table1323212714[[#This Row],[h1]],8))</f>
        <v>0</v>
      </c>
      <c r="Q881" s="48" t="s">
        <v>97</v>
      </c>
      <c r="R881" s="48">
        <f>HEX2DEC(RIGHT(Table1323212714[[#This Row],[h2]],8))</f>
        <v>0</v>
      </c>
    </row>
    <row r="882" spans="1:18" x14ac:dyDescent="0.3">
      <c r="A882" s="15" t="str">
        <f t="shared" si="18"/>
        <v>368</v>
      </c>
      <c r="B882" s="15">
        <v>872</v>
      </c>
      <c r="C882" s="42"/>
      <c r="F882" s="22"/>
      <c r="G882" s="22"/>
      <c r="J882" s="24">
        <v>50000</v>
      </c>
      <c r="M882" s="24">
        <v>50000</v>
      </c>
      <c r="O882" s="48" t="s">
        <v>97</v>
      </c>
      <c r="P882" s="48">
        <f>HEX2DEC(RIGHT(Table1323212714[[#This Row],[h1]],8))</f>
        <v>0</v>
      </c>
      <c r="Q882" s="48" t="s">
        <v>97</v>
      </c>
      <c r="R882" s="48">
        <f>HEX2DEC(RIGHT(Table1323212714[[#This Row],[h2]],8))</f>
        <v>0</v>
      </c>
    </row>
    <row r="883" spans="1:18" x14ac:dyDescent="0.3">
      <c r="A883" s="15" t="str">
        <f t="shared" si="18"/>
        <v>369</v>
      </c>
      <c r="B883" s="15">
        <v>873</v>
      </c>
      <c r="C883" s="42"/>
      <c r="F883" s="22"/>
      <c r="G883" s="22"/>
      <c r="J883" s="24">
        <v>50000</v>
      </c>
      <c r="M883" s="24">
        <v>50000</v>
      </c>
      <c r="O883" s="48" t="s">
        <v>97</v>
      </c>
      <c r="P883" s="48">
        <f>HEX2DEC(RIGHT(Table1323212714[[#This Row],[h1]],8))</f>
        <v>0</v>
      </c>
      <c r="Q883" s="48" t="s">
        <v>97</v>
      </c>
      <c r="R883" s="48">
        <f>HEX2DEC(RIGHT(Table1323212714[[#This Row],[h2]],8))</f>
        <v>0</v>
      </c>
    </row>
    <row r="884" spans="1:18" x14ac:dyDescent="0.3">
      <c r="A884" s="15" t="str">
        <f t="shared" si="18"/>
        <v>36A</v>
      </c>
      <c r="B884" s="15">
        <v>874</v>
      </c>
      <c r="C884" s="42"/>
      <c r="F884" s="22"/>
      <c r="G884" s="22"/>
      <c r="J884" s="24">
        <v>50000</v>
      </c>
      <c r="M884" s="24">
        <v>50000</v>
      </c>
      <c r="O884" s="48" t="s">
        <v>97</v>
      </c>
      <c r="P884" s="48">
        <f>HEX2DEC(RIGHT(Table1323212714[[#This Row],[h1]],8))</f>
        <v>0</v>
      </c>
      <c r="Q884" s="48" t="s">
        <v>97</v>
      </c>
      <c r="R884" s="48">
        <f>HEX2DEC(RIGHT(Table1323212714[[#This Row],[h2]],8))</f>
        <v>0</v>
      </c>
    </row>
    <row r="885" spans="1:18" x14ac:dyDescent="0.3">
      <c r="A885" s="15" t="str">
        <f t="shared" si="18"/>
        <v>36B</v>
      </c>
      <c r="B885" s="15">
        <v>875</v>
      </c>
      <c r="C885" s="42"/>
      <c r="F885" s="22"/>
      <c r="G885" s="22"/>
      <c r="J885" s="24">
        <v>50000</v>
      </c>
      <c r="M885" s="24">
        <v>50000</v>
      </c>
      <c r="O885" s="48" t="s">
        <v>97</v>
      </c>
      <c r="P885" s="48">
        <f>HEX2DEC(RIGHT(Table1323212714[[#This Row],[h1]],8))</f>
        <v>0</v>
      </c>
      <c r="Q885" s="48" t="s">
        <v>97</v>
      </c>
      <c r="R885" s="48">
        <f>HEX2DEC(RIGHT(Table1323212714[[#This Row],[h2]],8))</f>
        <v>0</v>
      </c>
    </row>
    <row r="886" spans="1:18" x14ac:dyDescent="0.3">
      <c r="A886" s="15" t="str">
        <f t="shared" si="18"/>
        <v>36C</v>
      </c>
      <c r="B886" s="15">
        <v>876</v>
      </c>
      <c r="C886" s="42"/>
      <c r="F886" s="22"/>
      <c r="G886" s="22"/>
      <c r="J886" s="24">
        <v>50000</v>
      </c>
      <c r="M886" s="24">
        <v>50000</v>
      </c>
      <c r="O886" s="48" t="s">
        <v>97</v>
      </c>
      <c r="P886" s="48">
        <f>HEX2DEC(RIGHT(Table1323212714[[#This Row],[h1]],8))</f>
        <v>0</v>
      </c>
      <c r="Q886" s="48" t="s">
        <v>97</v>
      </c>
      <c r="R886" s="48">
        <f>HEX2DEC(RIGHT(Table1323212714[[#This Row],[h2]],8))</f>
        <v>0</v>
      </c>
    </row>
    <row r="887" spans="1:18" x14ac:dyDescent="0.3">
      <c r="A887" s="15" t="str">
        <f t="shared" si="18"/>
        <v>36D</v>
      </c>
      <c r="B887" s="15">
        <v>877</v>
      </c>
      <c r="C887" s="42"/>
      <c r="F887" s="22"/>
      <c r="G887" s="22"/>
      <c r="J887" s="24">
        <v>50000</v>
      </c>
      <c r="M887" s="24">
        <v>50000</v>
      </c>
      <c r="O887" s="48" t="s">
        <v>97</v>
      </c>
      <c r="P887" s="48">
        <f>HEX2DEC(RIGHT(Table1323212714[[#This Row],[h1]],8))</f>
        <v>0</v>
      </c>
      <c r="Q887" s="48" t="s">
        <v>97</v>
      </c>
      <c r="R887" s="48">
        <f>HEX2DEC(RIGHT(Table1323212714[[#This Row],[h2]],8))</f>
        <v>0</v>
      </c>
    </row>
    <row r="888" spans="1:18" x14ac:dyDescent="0.3">
      <c r="A888" s="15" t="str">
        <f t="shared" si="18"/>
        <v>36E</v>
      </c>
      <c r="B888" s="15">
        <v>878</v>
      </c>
      <c r="C888" s="42"/>
      <c r="F888" s="22"/>
      <c r="G888" s="22"/>
      <c r="J888" s="24">
        <v>50000</v>
      </c>
      <c r="M888" s="24">
        <v>50000</v>
      </c>
      <c r="O888" s="48" t="s">
        <v>97</v>
      </c>
      <c r="P888" s="48">
        <f>HEX2DEC(RIGHT(Table1323212714[[#This Row],[h1]],8))</f>
        <v>0</v>
      </c>
      <c r="Q888" s="48" t="s">
        <v>97</v>
      </c>
      <c r="R888" s="48">
        <f>HEX2DEC(RIGHT(Table1323212714[[#This Row],[h2]],8))</f>
        <v>0</v>
      </c>
    </row>
    <row r="889" spans="1:18" x14ac:dyDescent="0.3">
      <c r="A889" s="15" t="str">
        <f t="shared" si="18"/>
        <v>36F</v>
      </c>
      <c r="B889" s="15">
        <v>879</v>
      </c>
      <c r="C889" s="42"/>
      <c r="F889" s="22"/>
      <c r="G889" s="22"/>
      <c r="J889" s="24">
        <v>50000</v>
      </c>
      <c r="M889" s="24">
        <v>50000</v>
      </c>
      <c r="O889" s="48" t="s">
        <v>97</v>
      </c>
      <c r="P889" s="48">
        <f>HEX2DEC(RIGHT(Table1323212714[[#This Row],[h1]],8))</f>
        <v>0</v>
      </c>
      <c r="Q889" s="48" t="s">
        <v>97</v>
      </c>
      <c r="R889" s="48">
        <f>HEX2DEC(RIGHT(Table1323212714[[#This Row],[h2]],8))</f>
        <v>0</v>
      </c>
    </row>
    <row r="890" spans="1:18" x14ac:dyDescent="0.3">
      <c r="A890" s="15" t="str">
        <f t="shared" si="18"/>
        <v>370</v>
      </c>
      <c r="B890" s="15">
        <v>880</v>
      </c>
      <c r="C890" s="42"/>
      <c r="F890" s="22"/>
      <c r="G890" s="22"/>
      <c r="J890" s="24">
        <v>50000</v>
      </c>
      <c r="M890" s="24">
        <v>50000</v>
      </c>
      <c r="O890" s="48" t="s">
        <v>97</v>
      </c>
      <c r="P890" s="48">
        <f>HEX2DEC(RIGHT(Table1323212714[[#This Row],[h1]],8))</f>
        <v>0</v>
      </c>
      <c r="Q890" s="48" t="s">
        <v>97</v>
      </c>
      <c r="R890" s="48">
        <f>HEX2DEC(RIGHT(Table1323212714[[#This Row],[h2]],8))</f>
        <v>0</v>
      </c>
    </row>
    <row r="891" spans="1:18" x14ac:dyDescent="0.3">
      <c r="A891" s="15" t="str">
        <f t="shared" si="18"/>
        <v>371</v>
      </c>
      <c r="B891" s="15">
        <v>881</v>
      </c>
      <c r="C891" s="42"/>
      <c r="F891" s="22"/>
      <c r="G891" s="22"/>
      <c r="J891" s="24">
        <v>50000</v>
      </c>
      <c r="M891" s="24">
        <v>50000</v>
      </c>
      <c r="O891" s="48" t="s">
        <v>97</v>
      </c>
      <c r="P891" s="48">
        <f>HEX2DEC(RIGHT(Table1323212714[[#This Row],[h1]],8))</f>
        <v>0</v>
      </c>
      <c r="Q891" s="48" t="s">
        <v>97</v>
      </c>
      <c r="R891" s="48">
        <f>HEX2DEC(RIGHT(Table1323212714[[#This Row],[h2]],8))</f>
        <v>0</v>
      </c>
    </row>
    <row r="892" spans="1:18" x14ac:dyDescent="0.3">
      <c r="A892" s="15" t="str">
        <f t="shared" si="18"/>
        <v>372</v>
      </c>
      <c r="B892" s="15">
        <v>882</v>
      </c>
      <c r="C892" s="42"/>
      <c r="F892" s="22"/>
      <c r="G892" s="22"/>
      <c r="J892" s="24">
        <v>50000</v>
      </c>
      <c r="M892" s="24">
        <v>50000</v>
      </c>
      <c r="O892" s="48" t="s">
        <v>97</v>
      </c>
      <c r="P892" s="48">
        <f>HEX2DEC(RIGHT(Table1323212714[[#This Row],[h1]],8))</f>
        <v>0</v>
      </c>
      <c r="Q892" s="48" t="s">
        <v>97</v>
      </c>
      <c r="R892" s="48">
        <f>HEX2DEC(RIGHT(Table1323212714[[#This Row],[h2]],8))</f>
        <v>0</v>
      </c>
    </row>
    <row r="893" spans="1:18" x14ac:dyDescent="0.3">
      <c r="A893" s="15" t="str">
        <f t="shared" si="18"/>
        <v>373</v>
      </c>
      <c r="B893" s="15">
        <v>883</v>
      </c>
      <c r="C893" s="42"/>
      <c r="F893" s="22"/>
      <c r="G893" s="22"/>
      <c r="J893" s="24">
        <v>50000</v>
      </c>
      <c r="M893" s="24">
        <v>50000</v>
      </c>
      <c r="O893" s="48" t="s">
        <v>97</v>
      </c>
      <c r="P893" s="48">
        <f>HEX2DEC(RIGHT(Table1323212714[[#This Row],[h1]],8))</f>
        <v>0</v>
      </c>
      <c r="Q893" s="48" t="s">
        <v>97</v>
      </c>
      <c r="R893" s="48">
        <f>HEX2DEC(RIGHT(Table1323212714[[#This Row],[h2]],8))</f>
        <v>0</v>
      </c>
    </row>
    <row r="894" spans="1:18" x14ac:dyDescent="0.3">
      <c r="A894" s="15" t="str">
        <f t="shared" si="18"/>
        <v>374</v>
      </c>
      <c r="B894" s="15">
        <v>884</v>
      </c>
      <c r="C894" s="42"/>
      <c r="F894" s="22"/>
      <c r="G894" s="22"/>
      <c r="J894" s="24">
        <v>50000</v>
      </c>
      <c r="M894" s="24">
        <v>50000</v>
      </c>
      <c r="O894" s="48" t="s">
        <v>97</v>
      </c>
      <c r="P894" s="48">
        <f>HEX2DEC(RIGHT(Table1323212714[[#This Row],[h1]],8))</f>
        <v>0</v>
      </c>
      <c r="Q894" s="48" t="s">
        <v>97</v>
      </c>
      <c r="R894" s="48">
        <f>HEX2DEC(RIGHT(Table1323212714[[#This Row],[h2]],8))</f>
        <v>0</v>
      </c>
    </row>
    <row r="895" spans="1:18" x14ac:dyDescent="0.3">
      <c r="A895" s="15" t="str">
        <f t="shared" si="18"/>
        <v>375</v>
      </c>
      <c r="B895" s="15">
        <v>885</v>
      </c>
      <c r="C895" s="42"/>
      <c r="F895" s="22"/>
      <c r="G895" s="22"/>
      <c r="J895" s="24">
        <v>50000</v>
      </c>
      <c r="M895" s="24">
        <v>50000</v>
      </c>
      <c r="O895" s="48" t="s">
        <v>97</v>
      </c>
      <c r="P895" s="48">
        <f>HEX2DEC(RIGHT(Table1323212714[[#This Row],[h1]],8))</f>
        <v>0</v>
      </c>
      <c r="Q895" s="48" t="s">
        <v>97</v>
      </c>
      <c r="R895" s="48">
        <f>HEX2DEC(RIGHT(Table1323212714[[#This Row],[h2]],8))</f>
        <v>0</v>
      </c>
    </row>
    <row r="896" spans="1:18" x14ac:dyDescent="0.3">
      <c r="A896" s="15" t="str">
        <f t="shared" si="18"/>
        <v>376</v>
      </c>
      <c r="B896" s="15">
        <v>886</v>
      </c>
      <c r="C896" s="42"/>
      <c r="F896" s="22"/>
      <c r="G896" s="22"/>
      <c r="J896" s="24">
        <v>50000</v>
      </c>
      <c r="M896" s="24">
        <v>50000</v>
      </c>
      <c r="O896" s="48" t="s">
        <v>97</v>
      </c>
      <c r="P896" s="48">
        <f>HEX2DEC(RIGHT(Table1323212714[[#This Row],[h1]],8))</f>
        <v>0</v>
      </c>
      <c r="Q896" s="48" t="s">
        <v>97</v>
      </c>
      <c r="R896" s="48">
        <f>HEX2DEC(RIGHT(Table1323212714[[#This Row],[h2]],8))</f>
        <v>0</v>
      </c>
    </row>
    <row r="897" spans="1:18" x14ac:dyDescent="0.3">
      <c r="A897" s="15" t="str">
        <f t="shared" si="18"/>
        <v>377</v>
      </c>
      <c r="B897" s="15">
        <v>887</v>
      </c>
      <c r="C897" s="42"/>
      <c r="F897" s="22"/>
      <c r="G897" s="22"/>
      <c r="J897" s="24">
        <v>50000</v>
      </c>
      <c r="M897" s="24">
        <v>50000</v>
      </c>
      <c r="O897" s="48" t="s">
        <v>97</v>
      </c>
      <c r="P897" s="48">
        <f>HEX2DEC(RIGHT(Table1323212714[[#This Row],[h1]],8))</f>
        <v>0</v>
      </c>
      <c r="Q897" s="48" t="s">
        <v>97</v>
      </c>
      <c r="R897" s="48">
        <f>HEX2DEC(RIGHT(Table1323212714[[#This Row],[h2]],8))</f>
        <v>0</v>
      </c>
    </row>
    <row r="898" spans="1:18" x14ac:dyDescent="0.3">
      <c r="A898" s="15" t="str">
        <f t="shared" si="18"/>
        <v>378</v>
      </c>
      <c r="B898" s="15">
        <v>888</v>
      </c>
      <c r="C898" s="42"/>
      <c r="F898" s="22"/>
      <c r="G898" s="22"/>
      <c r="J898" s="24">
        <v>50000</v>
      </c>
      <c r="M898" s="24">
        <v>50000</v>
      </c>
      <c r="O898" s="48" t="s">
        <v>97</v>
      </c>
      <c r="P898" s="48">
        <f>HEX2DEC(RIGHT(Table1323212714[[#This Row],[h1]],8))</f>
        <v>0</v>
      </c>
      <c r="Q898" s="48" t="s">
        <v>97</v>
      </c>
      <c r="R898" s="48">
        <f>HEX2DEC(RIGHT(Table1323212714[[#This Row],[h2]],8))</f>
        <v>0</v>
      </c>
    </row>
    <row r="899" spans="1:18" x14ac:dyDescent="0.3">
      <c r="A899" s="15" t="str">
        <f t="shared" si="18"/>
        <v>379</v>
      </c>
      <c r="B899" s="15">
        <v>889</v>
      </c>
      <c r="C899" s="42"/>
      <c r="F899" s="22"/>
      <c r="G899" s="22"/>
      <c r="J899" s="24">
        <v>50000</v>
      </c>
      <c r="M899" s="24">
        <v>50000</v>
      </c>
      <c r="O899" s="48" t="s">
        <v>97</v>
      </c>
      <c r="P899" s="48">
        <f>HEX2DEC(RIGHT(Table1323212714[[#This Row],[h1]],8))</f>
        <v>0</v>
      </c>
      <c r="Q899" s="48" t="s">
        <v>97</v>
      </c>
      <c r="R899" s="48">
        <f>HEX2DEC(RIGHT(Table1323212714[[#This Row],[h2]],8))</f>
        <v>0</v>
      </c>
    </row>
    <row r="900" spans="1:18" x14ac:dyDescent="0.3">
      <c r="A900" s="15" t="str">
        <f t="shared" si="18"/>
        <v>37A</v>
      </c>
      <c r="B900" s="15">
        <v>890</v>
      </c>
      <c r="C900" s="42"/>
      <c r="F900" s="22"/>
      <c r="G900" s="22"/>
      <c r="J900" s="24">
        <v>50000</v>
      </c>
      <c r="M900" s="24">
        <v>50000</v>
      </c>
      <c r="O900" s="48" t="s">
        <v>97</v>
      </c>
      <c r="P900" s="48">
        <f>HEX2DEC(RIGHT(Table1323212714[[#This Row],[h1]],8))</f>
        <v>0</v>
      </c>
      <c r="Q900" s="48" t="s">
        <v>97</v>
      </c>
      <c r="R900" s="48">
        <f>HEX2DEC(RIGHT(Table1323212714[[#This Row],[h2]],8))</f>
        <v>0</v>
      </c>
    </row>
    <row r="901" spans="1:18" x14ac:dyDescent="0.3">
      <c r="A901" s="15" t="str">
        <f t="shared" si="18"/>
        <v>37B</v>
      </c>
      <c r="B901" s="15">
        <v>891</v>
      </c>
      <c r="C901" s="42"/>
      <c r="F901" s="22"/>
      <c r="G901" s="22"/>
      <c r="J901" s="24">
        <v>50000</v>
      </c>
      <c r="M901" s="24">
        <v>50000</v>
      </c>
      <c r="O901" s="48" t="s">
        <v>97</v>
      </c>
      <c r="P901" s="48">
        <f>HEX2DEC(RIGHT(Table1323212714[[#This Row],[h1]],8))</f>
        <v>0</v>
      </c>
      <c r="Q901" s="48" t="s">
        <v>97</v>
      </c>
      <c r="R901" s="48">
        <f>HEX2DEC(RIGHT(Table1323212714[[#This Row],[h2]],8))</f>
        <v>0</v>
      </c>
    </row>
    <row r="902" spans="1:18" x14ac:dyDescent="0.3">
      <c r="A902" s="15" t="str">
        <f t="shared" si="18"/>
        <v>37C</v>
      </c>
      <c r="B902" s="15">
        <v>892</v>
      </c>
      <c r="C902" s="42"/>
      <c r="F902" s="22"/>
      <c r="G902" s="22"/>
      <c r="J902" s="24">
        <v>50000</v>
      </c>
      <c r="M902" s="24">
        <v>50000</v>
      </c>
      <c r="O902" s="48" t="s">
        <v>97</v>
      </c>
      <c r="P902" s="48">
        <f>HEX2DEC(RIGHT(Table1323212714[[#This Row],[h1]],8))</f>
        <v>0</v>
      </c>
      <c r="Q902" s="48" t="s">
        <v>97</v>
      </c>
      <c r="R902" s="48">
        <f>HEX2DEC(RIGHT(Table1323212714[[#This Row],[h2]],8))</f>
        <v>0</v>
      </c>
    </row>
    <row r="903" spans="1:18" x14ac:dyDescent="0.3">
      <c r="A903" s="15" t="str">
        <f t="shared" si="18"/>
        <v>37D</v>
      </c>
      <c r="B903" s="15">
        <v>893</v>
      </c>
      <c r="C903" s="42"/>
      <c r="F903" s="22"/>
      <c r="G903" s="22"/>
      <c r="J903" s="24">
        <v>50000</v>
      </c>
      <c r="M903" s="24">
        <v>50000</v>
      </c>
      <c r="O903" s="48" t="s">
        <v>97</v>
      </c>
      <c r="P903" s="48">
        <f>HEX2DEC(RIGHT(Table1323212714[[#This Row],[h1]],8))</f>
        <v>0</v>
      </c>
      <c r="Q903" s="48" t="s">
        <v>97</v>
      </c>
      <c r="R903" s="48">
        <f>HEX2DEC(RIGHT(Table1323212714[[#This Row],[h2]],8))</f>
        <v>0</v>
      </c>
    </row>
    <row r="904" spans="1:18" x14ac:dyDescent="0.3">
      <c r="A904" s="15" t="str">
        <f t="shared" si="18"/>
        <v>37E</v>
      </c>
      <c r="B904" s="15">
        <v>894</v>
      </c>
      <c r="C904" s="42"/>
      <c r="F904" s="22"/>
      <c r="G904" s="22"/>
      <c r="J904" s="24">
        <v>50000</v>
      </c>
      <c r="M904" s="24">
        <v>50000</v>
      </c>
      <c r="O904" s="48" t="s">
        <v>97</v>
      </c>
      <c r="P904" s="48">
        <f>HEX2DEC(RIGHT(Table1323212714[[#This Row],[h1]],8))</f>
        <v>0</v>
      </c>
      <c r="Q904" s="48" t="s">
        <v>97</v>
      </c>
      <c r="R904" s="48">
        <f>HEX2DEC(RIGHT(Table1323212714[[#This Row],[h2]],8))</f>
        <v>0</v>
      </c>
    </row>
    <row r="905" spans="1:18" x14ac:dyDescent="0.3">
      <c r="A905" s="15" t="str">
        <f t="shared" si="18"/>
        <v>37F</v>
      </c>
      <c r="B905" s="15">
        <v>895</v>
      </c>
      <c r="C905" s="42"/>
      <c r="F905" s="22"/>
      <c r="G905" s="22"/>
      <c r="J905" s="24">
        <v>50000</v>
      </c>
      <c r="M905" s="24">
        <v>50000</v>
      </c>
      <c r="O905" s="48" t="s">
        <v>97</v>
      </c>
      <c r="P905" s="48">
        <f>HEX2DEC(RIGHT(Table1323212714[[#This Row],[h1]],8))</f>
        <v>0</v>
      </c>
      <c r="Q905" s="48" t="s">
        <v>97</v>
      </c>
      <c r="R905" s="48">
        <f>HEX2DEC(RIGHT(Table1323212714[[#This Row],[h2]],8))</f>
        <v>0</v>
      </c>
    </row>
    <row r="906" spans="1:18" x14ac:dyDescent="0.3">
      <c r="A906" s="15" t="str">
        <f t="shared" si="18"/>
        <v>380</v>
      </c>
      <c r="B906" s="15">
        <v>896</v>
      </c>
      <c r="C906" s="42"/>
      <c r="F906" s="22"/>
      <c r="G906" s="22"/>
      <c r="J906" s="24">
        <v>50000</v>
      </c>
      <c r="M906" s="24">
        <v>50000</v>
      </c>
      <c r="O906" s="48" t="s">
        <v>97</v>
      </c>
      <c r="P906" s="48">
        <f>HEX2DEC(RIGHT(Table1323212714[[#This Row],[h1]],8))</f>
        <v>0</v>
      </c>
      <c r="Q906" s="48" t="s">
        <v>97</v>
      </c>
      <c r="R906" s="48">
        <f>HEX2DEC(RIGHT(Table1323212714[[#This Row],[h2]],8))</f>
        <v>0</v>
      </c>
    </row>
    <row r="907" spans="1:18" x14ac:dyDescent="0.3">
      <c r="A907" s="15" t="str">
        <f t="shared" ref="A907:A970" si="19">DEC2HEX(B907,3)</f>
        <v>381</v>
      </c>
      <c r="B907" s="15">
        <v>897</v>
      </c>
      <c r="C907" s="42"/>
      <c r="F907" s="22"/>
      <c r="G907" s="22"/>
      <c r="J907" s="24">
        <v>50000</v>
      </c>
      <c r="M907" s="24">
        <v>50000</v>
      </c>
      <c r="O907" s="48" t="s">
        <v>97</v>
      </c>
      <c r="P907" s="48">
        <f>HEX2DEC(RIGHT(Table1323212714[[#This Row],[h1]],8))</f>
        <v>0</v>
      </c>
      <c r="Q907" s="48" t="s">
        <v>97</v>
      </c>
      <c r="R907" s="48">
        <f>HEX2DEC(RIGHT(Table1323212714[[#This Row],[h2]],8))</f>
        <v>0</v>
      </c>
    </row>
    <row r="908" spans="1:18" x14ac:dyDescent="0.3">
      <c r="A908" s="15" t="str">
        <f t="shared" si="19"/>
        <v>382</v>
      </c>
      <c r="B908" s="15">
        <v>898</v>
      </c>
      <c r="C908" s="42"/>
      <c r="F908" s="22"/>
      <c r="G908" s="22"/>
      <c r="J908" s="24">
        <v>50000</v>
      </c>
      <c r="M908" s="24">
        <v>50000</v>
      </c>
      <c r="O908" s="48" t="s">
        <v>97</v>
      </c>
      <c r="P908" s="48">
        <f>HEX2DEC(RIGHT(Table1323212714[[#This Row],[h1]],8))</f>
        <v>0</v>
      </c>
      <c r="Q908" s="48" t="s">
        <v>97</v>
      </c>
      <c r="R908" s="48">
        <f>HEX2DEC(RIGHT(Table1323212714[[#This Row],[h2]],8))</f>
        <v>0</v>
      </c>
    </row>
    <row r="909" spans="1:18" x14ac:dyDescent="0.3">
      <c r="A909" s="15" t="str">
        <f t="shared" si="19"/>
        <v>383</v>
      </c>
      <c r="B909" s="15">
        <v>899</v>
      </c>
      <c r="C909" s="42"/>
      <c r="F909" s="22"/>
      <c r="G909" s="22"/>
      <c r="J909" s="24">
        <v>50000</v>
      </c>
      <c r="M909" s="24">
        <v>50000</v>
      </c>
      <c r="O909" s="48" t="s">
        <v>97</v>
      </c>
      <c r="P909" s="48">
        <f>HEX2DEC(RIGHT(Table1323212714[[#This Row],[h1]],8))</f>
        <v>0</v>
      </c>
      <c r="Q909" s="48" t="s">
        <v>97</v>
      </c>
      <c r="R909" s="48">
        <f>HEX2DEC(RIGHT(Table1323212714[[#This Row],[h2]],8))</f>
        <v>0</v>
      </c>
    </row>
    <row r="910" spans="1:18" x14ac:dyDescent="0.3">
      <c r="A910" s="15" t="str">
        <f t="shared" si="19"/>
        <v>384</v>
      </c>
      <c r="B910" s="15">
        <v>900</v>
      </c>
      <c r="C910" s="42"/>
      <c r="F910" s="22"/>
      <c r="G910" s="22"/>
      <c r="J910" s="24">
        <v>50000</v>
      </c>
      <c r="M910" s="24">
        <v>50000</v>
      </c>
      <c r="O910" s="48" t="s">
        <v>97</v>
      </c>
      <c r="P910" s="48">
        <f>HEX2DEC(RIGHT(Table1323212714[[#This Row],[h1]],8))</f>
        <v>0</v>
      </c>
      <c r="Q910" s="48" t="s">
        <v>97</v>
      </c>
      <c r="R910" s="48">
        <f>HEX2DEC(RIGHT(Table1323212714[[#This Row],[h2]],8))</f>
        <v>0</v>
      </c>
    </row>
    <row r="911" spans="1:18" x14ac:dyDescent="0.3">
      <c r="A911" s="15" t="str">
        <f t="shared" si="19"/>
        <v>385</v>
      </c>
      <c r="B911" s="15">
        <v>901</v>
      </c>
      <c r="C911" s="42"/>
      <c r="F911" s="22"/>
      <c r="G911" s="22"/>
      <c r="J911" s="24">
        <v>50000</v>
      </c>
      <c r="M911" s="24">
        <v>50000</v>
      </c>
      <c r="O911" s="48" t="s">
        <v>97</v>
      </c>
      <c r="P911" s="48">
        <f>HEX2DEC(RIGHT(Table1323212714[[#This Row],[h1]],8))</f>
        <v>0</v>
      </c>
      <c r="Q911" s="48" t="s">
        <v>97</v>
      </c>
      <c r="R911" s="48">
        <f>HEX2DEC(RIGHT(Table1323212714[[#This Row],[h2]],8))</f>
        <v>0</v>
      </c>
    </row>
    <row r="912" spans="1:18" x14ac:dyDescent="0.3">
      <c r="A912" s="15" t="str">
        <f t="shared" si="19"/>
        <v>386</v>
      </c>
      <c r="B912" s="15">
        <v>902</v>
      </c>
      <c r="C912" s="42"/>
      <c r="F912" s="22"/>
      <c r="G912" s="22"/>
      <c r="J912" s="24">
        <v>50000</v>
      </c>
      <c r="M912" s="24">
        <v>50000</v>
      </c>
      <c r="O912" s="48" t="s">
        <v>97</v>
      </c>
      <c r="P912" s="48">
        <f>HEX2DEC(RIGHT(Table1323212714[[#This Row],[h1]],8))</f>
        <v>0</v>
      </c>
      <c r="Q912" s="48" t="s">
        <v>97</v>
      </c>
      <c r="R912" s="48">
        <f>HEX2DEC(RIGHT(Table1323212714[[#This Row],[h2]],8))</f>
        <v>0</v>
      </c>
    </row>
    <row r="913" spans="1:18" x14ac:dyDescent="0.3">
      <c r="A913" s="15" t="str">
        <f t="shared" si="19"/>
        <v>387</v>
      </c>
      <c r="B913" s="15">
        <v>903</v>
      </c>
      <c r="C913" s="42"/>
      <c r="F913" s="22"/>
      <c r="G913" s="22"/>
      <c r="J913" s="24">
        <v>50000</v>
      </c>
      <c r="M913" s="24">
        <v>50000</v>
      </c>
      <c r="O913" s="48" t="s">
        <v>97</v>
      </c>
      <c r="P913" s="48">
        <f>HEX2DEC(RIGHT(Table1323212714[[#This Row],[h1]],8))</f>
        <v>0</v>
      </c>
      <c r="Q913" s="48" t="s">
        <v>97</v>
      </c>
      <c r="R913" s="48">
        <f>HEX2DEC(RIGHT(Table1323212714[[#This Row],[h2]],8))</f>
        <v>0</v>
      </c>
    </row>
    <row r="914" spans="1:18" x14ac:dyDescent="0.3">
      <c r="A914" s="15" t="str">
        <f t="shared" si="19"/>
        <v>388</v>
      </c>
      <c r="B914" s="15">
        <v>904</v>
      </c>
      <c r="C914" s="42"/>
      <c r="F914" s="22"/>
      <c r="G914" s="22"/>
      <c r="J914" s="24">
        <v>50000</v>
      </c>
      <c r="M914" s="24">
        <v>50000</v>
      </c>
      <c r="O914" s="48" t="s">
        <v>97</v>
      </c>
      <c r="P914" s="48">
        <f>HEX2DEC(RIGHT(Table1323212714[[#This Row],[h1]],8))</f>
        <v>0</v>
      </c>
      <c r="Q914" s="48" t="s">
        <v>97</v>
      </c>
      <c r="R914" s="48">
        <f>HEX2DEC(RIGHT(Table1323212714[[#This Row],[h2]],8))</f>
        <v>0</v>
      </c>
    </row>
    <row r="915" spans="1:18" x14ac:dyDescent="0.3">
      <c r="A915" s="15" t="str">
        <f t="shared" si="19"/>
        <v>389</v>
      </c>
      <c r="B915" s="15">
        <v>905</v>
      </c>
      <c r="C915" s="42"/>
      <c r="F915" s="22"/>
      <c r="G915" s="22"/>
      <c r="J915" s="24">
        <v>50000</v>
      </c>
      <c r="M915" s="24">
        <v>50000</v>
      </c>
      <c r="O915" s="48" t="s">
        <v>97</v>
      </c>
      <c r="P915" s="48">
        <f>HEX2DEC(RIGHT(Table1323212714[[#This Row],[h1]],8))</f>
        <v>0</v>
      </c>
      <c r="Q915" s="48" t="s">
        <v>97</v>
      </c>
      <c r="R915" s="48">
        <f>HEX2DEC(RIGHT(Table1323212714[[#This Row],[h2]],8))</f>
        <v>0</v>
      </c>
    </row>
    <row r="916" spans="1:18" x14ac:dyDescent="0.3">
      <c r="A916" s="15" t="str">
        <f t="shared" si="19"/>
        <v>38A</v>
      </c>
      <c r="B916" s="15">
        <v>906</v>
      </c>
      <c r="C916" s="42"/>
      <c r="F916" s="22"/>
      <c r="G916" s="22"/>
      <c r="J916" s="24">
        <v>50000</v>
      </c>
      <c r="M916" s="24">
        <v>50000</v>
      </c>
      <c r="O916" s="48" t="s">
        <v>97</v>
      </c>
      <c r="P916" s="48">
        <f>HEX2DEC(RIGHT(Table1323212714[[#This Row],[h1]],8))</f>
        <v>0</v>
      </c>
      <c r="Q916" s="48" t="s">
        <v>97</v>
      </c>
      <c r="R916" s="48">
        <f>HEX2DEC(RIGHT(Table1323212714[[#This Row],[h2]],8))</f>
        <v>0</v>
      </c>
    </row>
    <row r="917" spans="1:18" x14ac:dyDescent="0.3">
      <c r="A917" s="15" t="str">
        <f t="shared" si="19"/>
        <v>38B</v>
      </c>
      <c r="B917" s="15">
        <v>907</v>
      </c>
      <c r="C917" s="42"/>
      <c r="F917" s="22"/>
      <c r="G917" s="22"/>
      <c r="J917" s="24">
        <v>50000</v>
      </c>
      <c r="M917" s="24">
        <v>50000</v>
      </c>
      <c r="O917" s="48" t="s">
        <v>97</v>
      </c>
      <c r="P917" s="48">
        <f>HEX2DEC(RIGHT(Table1323212714[[#This Row],[h1]],8))</f>
        <v>0</v>
      </c>
      <c r="Q917" s="48" t="s">
        <v>97</v>
      </c>
      <c r="R917" s="48">
        <f>HEX2DEC(RIGHT(Table1323212714[[#This Row],[h2]],8))</f>
        <v>0</v>
      </c>
    </row>
    <row r="918" spans="1:18" x14ac:dyDescent="0.3">
      <c r="A918" s="15" t="str">
        <f t="shared" si="19"/>
        <v>38C</v>
      </c>
      <c r="B918" s="15">
        <v>908</v>
      </c>
      <c r="C918" s="42"/>
      <c r="F918" s="22"/>
      <c r="G918" s="22"/>
      <c r="J918" s="24">
        <v>50000</v>
      </c>
      <c r="M918" s="24">
        <v>50000</v>
      </c>
      <c r="O918" s="48" t="s">
        <v>97</v>
      </c>
      <c r="P918" s="48">
        <f>HEX2DEC(RIGHT(Table1323212714[[#This Row],[h1]],8))</f>
        <v>0</v>
      </c>
      <c r="Q918" s="48" t="s">
        <v>97</v>
      </c>
      <c r="R918" s="48">
        <f>HEX2DEC(RIGHT(Table1323212714[[#This Row],[h2]],8))</f>
        <v>0</v>
      </c>
    </row>
    <row r="919" spans="1:18" x14ac:dyDescent="0.3">
      <c r="A919" s="15" t="str">
        <f t="shared" si="19"/>
        <v>38D</v>
      </c>
      <c r="B919" s="15">
        <v>909</v>
      </c>
      <c r="C919" s="42"/>
      <c r="F919" s="22"/>
      <c r="G919" s="22"/>
      <c r="J919" s="24">
        <v>50000</v>
      </c>
      <c r="M919" s="24">
        <v>50000</v>
      </c>
      <c r="O919" s="48" t="s">
        <v>97</v>
      </c>
      <c r="P919" s="48">
        <f>HEX2DEC(RIGHT(Table1323212714[[#This Row],[h1]],8))</f>
        <v>0</v>
      </c>
      <c r="Q919" s="48" t="s">
        <v>97</v>
      </c>
      <c r="R919" s="48">
        <f>HEX2DEC(RIGHT(Table1323212714[[#This Row],[h2]],8))</f>
        <v>0</v>
      </c>
    </row>
    <row r="920" spans="1:18" x14ac:dyDescent="0.3">
      <c r="A920" s="15" t="str">
        <f t="shared" si="19"/>
        <v>38E</v>
      </c>
      <c r="B920" s="15">
        <v>910</v>
      </c>
      <c r="C920" s="42"/>
      <c r="F920" s="22"/>
      <c r="G920" s="22"/>
      <c r="J920" s="24">
        <v>50000</v>
      </c>
      <c r="M920" s="24">
        <v>50000</v>
      </c>
      <c r="O920" s="48" t="s">
        <v>97</v>
      </c>
      <c r="P920" s="48">
        <f>HEX2DEC(RIGHT(Table1323212714[[#This Row],[h1]],8))</f>
        <v>0</v>
      </c>
      <c r="Q920" s="48" t="s">
        <v>97</v>
      </c>
      <c r="R920" s="48">
        <f>HEX2DEC(RIGHT(Table1323212714[[#This Row],[h2]],8))</f>
        <v>0</v>
      </c>
    </row>
    <row r="921" spans="1:18" x14ac:dyDescent="0.3">
      <c r="A921" s="15" t="str">
        <f t="shared" si="19"/>
        <v>38F</v>
      </c>
      <c r="B921" s="15">
        <v>911</v>
      </c>
      <c r="C921" s="42"/>
      <c r="F921" s="22"/>
      <c r="G921" s="22"/>
      <c r="J921" s="24">
        <v>50000</v>
      </c>
      <c r="M921" s="24">
        <v>50000</v>
      </c>
      <c r="O921" s="48" t="s">
        <v>97</v>
      </c>
      <c r="P921" s="48">
        <f>HEX2DEC(RIGHT(Table1323212714[[#This Row],[h1]],8))</f>
        <v>0</v>
      </c>
      <c r="Q921" s="48" t="s">
        <v>97</v>
      </c>
      <c r="R921" s="48">
        <f>HEX2DEC(RIGHT(Table1323212714[[#This Row],[h2]],8))</f>
        <v>0</v>
      </c>
    </row>
    <row r="922" spans="1:18" x14ac:dyDescent="0.3">
      <c r="A922" s="15" t="str">
        <f t="shared" si="19"/>
        <v>390</v>
      </c>
      <c r="B922" s="15">
        <v>912</v>
      </c>
      <c r="C922" s="42"/>
      <c r="F922" s="22"/>
      <c r="G922" s="22"/>
      <c r="J922" s="24">
        <v>50000</v>
      </c>
      <c r="M922" s="24">
        <v>50000</v>
      </c>
      <c r="O922" s="48" t="s">
        <v>97</v>
      </c>
      <c r="P922" s="48">
        <f>HEX2DEC(RIGHT(Table1323212714[[#This Row],[h1]],8))</f>
        <v>0</v>
      </c>
      <c r="Q922" s="48" t="s">
        <v>97</v>
      </c>
      <c r="R922" s="48">
        <f>HEX2DEC(RIGHT(Table1323212714[[#This Row],[h2]],8))</f>
        <v>0</v>
      </c>
    </row>
    <row r="923" spans="1:18" x14ac:dyDescent="0.3">
      <c r="A923" s="15" t="str">
        <f t="shared" si="19"/>
        <v>391</v>
      </c>
      <c r="B923" s="15">
        <v>913</v>
      </c>
      <c r="C923" s="42"/>
      <c r="F923" s="22"/>
      <c r="G923" s="22"/>
      <c r="J923" s="24">
        <v>50000</v>
      </c>
      <c r="M923" s="24">
        <v>50000</v>
      </c>
      <c r="O923" s="48" t="s">
        <v>97</v>
      </c>
      <c r="P923" s="48">
        <f>HEX2DEC(RIGHT(Table1323212714[[#This Row],[h1]],8))</f>
        <v>0</v>
      </c>
      <c r="Q923" s="48" t="s">
        <v>97</v>
      </c>
      <c r="R923" s="48">
        <f>HEX2DEC(RIGHT(Table1323212714[[#This Row],[h2]],8))</f>
        <v>0</v>
      </c>
    </row>
    <row r="924" spans="1:18" x14ac:dyDescent="0.3">
      <c r="A924" s="15" t="str">
        <f t="shared" si="19"/>
        <v>392</v>
      </c>
      <c r="B924" s="15">
        <v>914</v>
      </c>
      <c r="C924" s="42"/>
      <c r="F924" s="22"/>
      <c r="G924" s="22"/>
      <c r="J924" s="24">
        <v>50000</v>
      </c>
      <c r="M924" s="24">
        <v>50000</v>
      </c>
      <c r="O924" s="48" t="s">
        <v>97</v>
      </c>
      <c r="P924" s="48">
        <f>HEX2DEC(RIGHT(Table1323212714[[#This Row],[h1]],8))</f>
        <v>0</v>
      </c>
      <c r="Q924" s="48" t="s">
        <v>97</v>
      </c>
      <c r="R924" s="48">
        <f>HEX2DEC(RIGHT(Table1323212714[[#This Row],[h2]],8))</f>
        <v>0</v>
      </c>
    </row>
    <row r="925" spans="1:18" x14ac:dyDescent="0.3">
      <c r="A925" s="15" t="str">
        <f t="shared" si="19"/>
        <v>393</v>
      </c>
      <c r="B925" s="15">
        <v>915</v>
      </c>
      <c r="C925" s="42"/>
      <c r="F925" s="22"/>
      <c r="G925" s="22"/>
      <c r="J925" s="24">
        <v>50000</v>
      </c>
      <c r="M925" s="24">
        <v>50000</v>
      </c>
      <c r="O925" s="48" t="s">
        <v>97</v>
      </c>
      <c r="P925" s="48">
        <f>HEX2DEC(RIGHT(Table1323212714[[#This Row],[h1]],8))</f>
        <v>0</v>
      </c>
      <c r="Q925" s="48" t="s">
        <v>97</v>
      </c>
      <c r="R925" s="48">
        <f>HEX2DEC(RIGHT(Table1323212714[[#This Row],[h2]],8))</f>
        <v>0</v>
      </c>
    </row>
    <row r="926" spans="1:18" x14ac:dyDescent="0.3">
      <c r="A926" s="15" t="str">
        <f t="shared" si="19"/>
        <v>394</v>
      </c>
      <c r="B926" s="15">
        <v>916</v>
      </c>
      <c r="C926" s="42"/>
      <c r="F926" s="22"/>
      <c r="G926" s="22"/>
      <c r="J926" s="24">
        <v>50000</v>
      </c>
      <c r="M926" s="24">
        <v>50000</v>
      </c>
      <c r="O926" s="48" t="s">
        <v>97</v>
      </c>
      <c r="P926" s="48">
        <f>HEX2DEC(RIGHT(Table1323212714[[#This Row],[h1]],8))</f>
        <v>0</v>
      </c>
      <c r="Q926" s="48" t="s">
        <v>97</v>
      </c>
      <c r="R926" s="48">
        <f>HEX2DEC(RIGHT(Table1323212714[[#This Row],[h2]],8))</f>
        <v>0</v>
      </c>
    </row>
    <row r="927" spans="1:18" x14ac:dyDescent="0.3">
      <c r="A927" s="15" t="str">
        <f t="shared" si="19"/>
        <v>395</v>
      </c>
      <c r="B927" s="15">
        <v>917</v>
      </c>
      <c r="C927" s="42"/>
      <c r="F927" s="22"/>
      <c r="G927" s="22"/>
      <c r="J927" s="24">
        <v>50000</v>
      </c>
      <c r="M927" s="24">
        <v>50000</v>
      </c>
      <c r="O927" s="48" t="s">
        <v>97</v>
      </c>
      <c r="P927" s="48">
        <f>HEX2DEC(RIGHT(Table1323212714[[#This Row],[h1]],8))</f>
        <v>0</v>
      </c>
      <c r="Q927" s="48" t="s">
        <v>97</v>
      </c>
      <c r="R927" s="48">
        <f>HEX2DEC(RIGHT(Table1323212714[[#This Row],[h2]],8))</f>
        <v>0</v>
      </c>
    </row>
    <row r="928" spans="1:18" x14ac:dyDescent="0.3">
      <c r="A928" s="15" t="str">
        <f t="shared" si="19"/>
        <v>396</v>
      </c>
      <c r="B928" s="15">
        <v>918</v>
      </c>
      <c r="C928" s="42"/>
      <c r="F928" s="22"/>
      <c r="G928" s="22"/>
      <c r="J928" s="24">
        <v>50000</v>
      </c>
      <c r="M928" s="24">
        <v>50000</v>
      </c>
      <c r="O928" s="48" t="s">
        <v>97</v>
      </c>
      <c r="P928" s="48">
        <f>HEX2DEC(RIGHT(Table1323212714[[#This Row],[h1]],8))</f>
        <v>0</v>
      </c>
      <c r="Q928" s="48" t="s">
        <v>97</v>
      </c>
      <c r="R928" s="48">
        <f>HEX2DEC(RIGHT(Table1323212714[[#This Row],[h2]],8))</f>
        <v>0</v>
      </c>
    </row>
    <row r="929" spans="1:18" x14ac:dyDescent="0.3">
      <c r="A929" s="15" t="str">
        <f t="shared" si="19"/>
        <v>397</v>
      </c>
      <c r="B929" s="15">
        <v>919</v>
      </c>
      <c r="C929" s="42"/>
      <c r="F929" s="22"/>
      <c r="G929" s="22"/>
      <c r="J929" s="24">
        <v>50000</v>
      </c>
      <c r="M929" s="24">
        <v>50000</v>
      </c>
      <c r="O929" s="48" t="s">
        <v>97</v>
      </c>
      <c r="P929" s="48">
        <f>HEX2DEC(RIGHT(Table1323212714[[#This Row],[h1]],8))</f>
        <v>0</v>
      </c>
      <c r="Q929" s="48" t="s">
        <v>97</v>
      </c>
      <c r="R929" s="48">
        <f>HEX2DEC(RIGHT(Table1323212714[[#This Row],[h2]],8))</f>
        <v>0</v>
      </c>
    </row>
    <row r="930" spans="1:18" x14ac:dyDescent="0.3">
      <c r="A930" s="15" t="str">
        <f t="shared" si="19"/>
        <v>398</v>
      </c>
      <c r="B930" s="15">
        <v>920</v>
      </c>
      <c r="C930" s="42"/>
      <c r="F930" s="22"/>
      <c r="G930" s="22"/>
      <c r="J930" s="24">
        <v>50000</v>
      </c>
      <c r="M930" s="24">
        <v>50000</v>
      </c>
      <c r="O930" s="48" t="s">
        <v>97</v>
      </c>
      <c r="P930" s="48">
        <f>HEX2DEC(RIGHT(Table1323212714[[#This Row],[h1]],8))</f>
        <v>0</v>
      </c>
      <c r="Q930" s="48" t="s">
        <v>97</v>
      </c>
      <c r="R930" s="48">
        <f>HEX2DEC(RIGHT(Table1323212714[[#This Row],[h2]],8))</f>
        <v>0</v>
      </c>
    </row>
    <row r="931" spans="1:18" x14ac:dyDescent="0.3">
      <c r="A931" s="15" t="str">
        <f t="shared" si="19"/>
        <v>399</v>
      </c>
      <c r="B931" s="15">
        <v>921</v>
      </c>
      <c r="C931" s="42"/>
      <c r="F931" s="22"/>
      <c r="G931" s="22"/>
      <c r="J931" s="24">
        <v>50000</v>
      </c>
      <c r="M931" s="24">
        <v>50000</v>
      </c>
      <c r="O931" s="48" t="s">
        <v>97</v>
      </c>
      <c r="P931" s="48">
        <f>HEX2DEC(RIGHT(Table1323212714[[#This Row],[h1]],8))</f>
        <v>0</v>
      </c>
      <c r="Q931" s="48" t="s">
        <v>97</v>
      </c>
      <c r="R931" s="48">
        <f>HEX2DEC(RIGHT(Table1323212714[[#This Row],[h2]],8))</f>
        <v>0</v>
      </c>
    </row>
    <row r="932" spans="1:18" x14ac:dyDescent="0.3">
      <c r="A932" s="15" t="str">
        <f t="shared" si="19"/>
        <v>39A</v>
      </c>
      <c r="B932" s="15">
        <v>922</v>
      </c>
      <c r="C932" s="42"/>
      <c r="F932" s="22"/>
      <c r="G932" s="22"/>
      <c r="J932" s="24">
        <v>50000</v>
      </c>
      <c r="M932" s="24">
        <v>50000</v>
      </c>
      <c r="O932" s="48" t="s">
        <v>97</v>
      </c>
      <c r="P932" s="48">
        <f>HEX2DEC(RIGHT(Table1323212714[[#This Row],[h1]],8))</f>
        <v>0</v>
      </c>
      <c r="Q932" s="48" t="s">
        <v>97</v>
      </c>
      <c r="R932" s="48">
        <f>HEX2DEC(RIGHT(Table1323212714[[#This Row],[h2]],8))</f>
        <v>0</v>
      </c>
    </row>
    <row r="933" spans="1:18" x14ac:dyDescent="0.3">
      <c r="A933" s="15" t="str">
        <f t="shared" si="19"/>
        <v>39B</v>
      </c>
      <c r="B933" s="15">
        <v>923</v>
      </c>
      <c r="C933" s="42"/>
      <c r="F933" s="22"/>
      <c r="G933" s="22"/>
      <c r="J933" s="24">
        <v>50000</v>
      </c>
      <c r="M933" s="24">
        <v>50000</v>
      </c>
      <c r="O933" s="48" t="s">
        <v>97</v>
      </c>
      <c r="P933" s="48">
        <f>HEX2DEC(RIGHT(Table1323212714[[#This Row],[h1]],8))</f>
        <v>0</v>
      </c>
      <c r="Q933" s="48" t="s">
        <v>97</v>
      </c>
      <c r="R933" s="48">
        <f>HEX2DEC(RIGHT(Table1323212714[[#This Row],[h2]],8))</f>
        <v>0</v>
      </c>
    </row>
    <row r="934" spans="1:18" x14ac:dyDescent="0.3">
      <c r="A934" s="15" t="str">
        <f t="shared" si="19"/>
        <v>39C</v>
      </c>
      <c r="B934" s="15">
        <v>924</v>
      </c>
      <c r="C934" s="42"/>
      <c r="F934" s="22"/>
      <c r="G934" s="22"/>
      <c r="J934" s="24">
        <v>50000</v>
      </c>
      <c r="M934" s="24">
        <v>50000</v>
      </c>
      <c r="O934" s="48" t="s">
        <v>97</v>
      </c>
      <c r="P934" s="48">
        <f>HEX2DEC(RIGHT(Table1323212714[[#This Row],[h1]],8))</f>
        <v>0</v>
      </c>
      <c r="Q934" s="48" t="s">
        <v>97</v>
      </c>
      <c r="R934" s="48">
        <f>HEX2DEC(RIGHT(Table1323212714[[#This Row],[h2]],8))</f>
        <v>0</v>
      </c>
    </row>
    <row r="935" spans="1:18" x14ac:dyDescent="0.3">
      <c r="A935" s="15" t="str">
        <f t="shared" si="19"/>
        <v>39D</v>
      </c>
      <c r="B935" s="15">
        <v>925</v>
      </c>
      <c r="C935" s="42"/>
      <c r="F935" s="22"/>
      <c r="G935" s="22"/>
      <c r="J935" s="24">
        <v>50000</v>
      </c>
      <c r="M935" s="24">
        <v>50000</v>
      </c>
      <c r="O935" s="48" t="s">
        <v>97</v>
      </c>
      <c r="P935" s="48">
        <f>HEX2DEC(RIGHT(Table1323212714[[#This Row],[h1]],8))</f>
        <v>0</v>
      </c>
      <c r="Q935" s="48" t="s">
        <v>97</v>
      </c>
      <c r="R935" s="48">
        <f>HEX2DEC(RIGHT(Table1323212714[[#This Row],[h2]],8))</f>
        <v>0</v>
      </c>
    </row>
    <row r="936" spans="1:18" x14ac:dyDescent="0.3">
      <c r="A936" s="15" t="str">
        <f t="shared" si="19"/>
        <v>39E</v>
      </c>
      <c r="B936" s="15">
        <v>926</v>
      </c>
      <c r="C936" s="42"/>
      <c r="F936" s="22"/>
      <c r="G936" s="22"/>
      <c r="J936" s="24">
        <v>50000</v>
      </c>
      <c r="M936" s="24">
        <v>50000</v>
      </c>
      <c r="O936" s="48" t="s">
        <v>97</v>
      </c>
      <c r="P936" s="48">
        <f>HEX2DEC(RIGHT(Table1323212714[[#This Row],[h1]],8))</f>
        <v>0</v>
      </c>
      <c r="Q936" s="48" t="s">
        <v>97</v>
      </c>
      <c r="R936" s="48">
        <f>HEX2DEC(RIGHT(Table1323212714[[#This Row],[h2]],8))</f>
        <v>0</v>
      </c>
    </row>
    <row r="937" spans="1:18" x14ac:dyDescent="0.3">
      <c r="A937" s="15" t="str">
        <f t="shared" si="19"/>
        <v>39F</v>
      </c>
      <c r="B937" s="15">
        <v>927</v>
      </c>
      <c r="C937" s="42"/>
      <c r="F937" s="22"/>
      <c r="G937" s="22"/>
      <c r="J937" s="24">
        <v>50000</v>
      </c>
      <c r="M937" s="24">
        <v>50000</v>
      </c>
      <c r="O937" s="48" t="s">
        <v>97</v>
      </c>
      <c r="P937" s="48">
        <f>HEX2DEC(RIGHT(Table1323212714[[#This Row],[h1]],8))</f>
        <v>0</v>
      </c>
      <c r="Q937" s="48" t="s">
        <v>97</v>
      </c>
      <c r="R937" s="48">
        <f>HEX2DEC(RIGHT(Table1323212714[[#This Row],[h2]],8))</f>
        <v>0</v>
      </c>
    </row>
    <row r="938" spans="1:18" x14ac:dyDescent="0.3">
      <c r="A938" s="15" t="str">
        <f t="shared" si="19"/>
        <v>3A0</v>
      </c>
      <c r="B938" s="15">
        <v>928</v>
      </c>
      <c r="C938" s="42"/>
      <c r="F938" s="22"/>
      <c r="G938" s="22"/>
      <c r="J938" s="24">
        <v>50000</v>
      </c>
      <c r="M938" s="24">
        <v>50000</v>
      </c>
      <c r="O938" s="48" t="s">
        <v>97</v>
      </c>
      <c r="P938" s="48">
        <f>HEX2DEC(RIGHT(Table1323212714[[#This Row],[h1]],8))</f>
        <v>0</v>
      </c>
      <c r="Q938" s="48" t="s">
        <v>97</v>
      </c>
      <c r="R938" s="48">
        <f>HEX2DEC(RIGHT(Table1323212714[[#This Row],[h2]],8))</f>
        <v>0</v>
      </c>
    </row>
    <row r="939" spans="1:18" x14ac:dyDescent="0.3">
      <c r="A939" s="15" t="str">
        <f t="shared" si="19"/>
        <v>3A1</v>
      </c>
      <c r="B939" s="15">
        <v>929</v>
      </c>
      <c r="C939" s="42"/>
      <c r="F939" s="22"/>
      <c r="G939" s="22"/>
      <c r="J939" s="24">
        <v>50000</v>
      </c>
      <c r="M939" s="24">
        <v>50000</v>
      </c>
      <c r="O939" s="48" t="s">
        <v>97</v>
      </c>
      <c r="P939" s="48">
        <f>HEX2DEC(RIGHT(Table1323212714[[#This Row],[h1]],8))</f>
        <v>0</v>
      </c>
      <c r="Q939" s="48" t="s">
        <v>97</v>
      </c>
      <c r="R939" s="48">
        <f>HEX2DEC(RIGHT(Table1323212714[[#This Row],[h2]],8))</f>
        <v>0</v>
      </c>
    </row>
    <row r="940" spans="1:18" x14ac:dyDescent="0.3">
      <c r="A940" s="15" t="str">
        <f t="shared" si="19"/>
        <v>3A2</v>
      </c>
      <c r="B940" s="15">
        <v>930</v>
      </c>
      <c r="C940" s="42"/>
      <c r="F940" s="22"/>
      <c r="G940" s="22"/>
      <c r="J940" s="24">
        <v>50000</v>
      </c>
      <c r="M940" s="24">
        <v>50000</v>
      </c>
      <c r="O940" s="48" t="s">
        <v>97</v>
      </c>
      <c r="P940" s="48">
        <f>HEX2DEC(RIGHT(Table1323212714[[#This Row],[h1]],8))</f>
        <v>0</v>
      </c>
      <c r="Q940" s="48" t="s">
        <v>97</v>
      </c>
      <c r="R940" s="48">
        <f>HEX2DEC(RIGHT(Table1323212714[[#This Row],[h2]],8))</f>
        <v>0</v>
      </c>
    </row>
    <row r="941" spans="1:18" x14ac:dyDescent="0.3">
      <c r="A941" s="15" t="str">
        <f t="shared" si="19"/>
        <v>3A3</v>
      </c>
      <c r="B941" s="15">
        <v>931</v>
      </c>
      <c r="C941" s="42"/>
      <c r="F941" s="22"/>
      <c r="G941" s="22"/>
      <c r="J941" s="24">
        <v>50000</v>
      </c>
      <c r="M941" s="24">
        <v>50000</v>
      </c>
      <c r="O941" s="48" t="s">
        <v>97</v>
      </c>
      <c r="P941" s="48">
        <f>HEX2DEC(RIGHT(Table1323212714[[#This Row],[h1]],8))</f>
        <v>0</v>
      </c>
      <c r="Q941" s="48" t="s">
        <v>97</v>
      </c>
      <c r="R941" s="48">
        <f>HEX2DEC(RIGHT(Table1323212714[[#This Row],[h2]],8))</f>
        <v>0</v>
      </c>
    </row>
    <row r="942" spans="1:18" x14ac:dyDescent="0.3">
      <c r="A942" s="15" t="str">
        <f t="shared" si="19"/>
        <v>3A4</v>
      </c>
      <c r="B942" s="15">
        <v>932</v>
      </c>
      <c r="C942" s="42"/>
      <c r="F942" s="22"/>
      <c r="G942" s="22"/>
      <c r="J942" s="24">
        <v>50000</v>
      </c>
      <c r="M942" s="24">
        <v>50000</v>
      </c>
      <c r="O942" s="48" t="s">
        <v>97</v>
      </c>
      <c r="P942" s="48">
        <f>HEX2DEC(RIGHT(Table1323212714[[#This Row],[h1]],8))</f>
        <v>0</v>
      </c>
      <c r="Q942" s="48" t="s">
        <v>97</v>
      </c>
      <c r="R942" s="48">
        <f>HEX2DEC(RIGHT(Table1323212714[[#This Row],[h2]],8))</f>
        <v>0</v>
      </c>
    </row>
    <row r="943" spans="1:18" x14ac:dyDescent="0.3">
      <c r="A943" s="15" t="str">
        <f t="shared" si="19"/>
        <v>3A5</v>
      </c>
      <c r="B943" s="15">
        <v>933</v>
      </c>
      <c r="C943" s="42"/>
      <c r="F943" s="22"/>
      <c r="G943" s="22"/>
      <c r="J943" s="24">
        <v>50000</v>
      </c>
      <c r="M943" s="24">
        <v>50000</v>
      </c>
      <c r="O943" s="48" t="s">
        <v>97</v>
      </c>
      <c r="P943" s="48">
        <f>HEX2DEC(RIGHT(Table1323212714[[#This Row],[h1]],8))</f>
        <v>0</v>
      </c>
      <c r="Q943" s="48" t="s">
        <v>97</v>
      </c>
      <c r="R943" s="48">
        <f>HEX2DEC(RIGHT(Table1323212714[[#This Row],[h2]],8))</f>
        <v>0</v>
      </c>
    </row>
    <row r="944" spans="1:18" x14ac:dyDescent="0.3">
      <c r="A944" s="15" t="str">
        <f t="shared" si="19"/>
        <v>3A6</v>
      </c>
      <c r="B944" s="15">
        <v>934</v>
      </c>
      <c r="C944" s="42"/>
      <c r="F944" s="22"/>
      <c r="G944" s="22"/>
      <c r="J944" s="24">
        <v>50000</v>
      </c>
      <c r="M944" s="24">
        <v>50000</v>
      </c>
      <c r="O944" s="48" t="s">
        <v>97</v>
      </c>
      <c r="P944" s="48">
        <f>HEX2DEC(RIGHT(Table1323212714[[#This Row],[h1]],8))</f>
        <v>0</v>
      </c>
      <c r="Q944" s="48" t="s">
        <v>97</v>
      </c>
      <c r="R944" s="48">
        <f>HEX2DEC(RIGHT(Table1323212714[[#This Row],[h2]],8))</f>
        <v>0</v>
      </c>
    </row>
    <row r="945" spans="1:18" x14ac:dyDescent="0.3">
      <c r="A945" s="15" t="str">
        <f t="shared" si="19"/>
        <v>3A7</v>
      </c>
      <c r="B945" s="15">
        <v>935</v>
      </c>
      <c r="C945" s="42"/>
      <c r="F945" s="22"/>
      <c r="G945" s="22"/>
      <c r="J945" s="24">
        <v>50000</v>
      </c>
      <c r="M945" s="24">
        <v>50000</v>
      </c>
      <c r="O945" s="48" t="s">
        <v>97</v>
      </c>
      <c r="P945" s="48">
        <f>HEX2DEC(RIGHT(Table1323212714[[#This Row],[h1]],8))</f>
        <v>0</v>
      </c>
      <c r="Q945" s="48" t="s">
        <v>97</v>
      </c>
      <c r="R945" s="48">
        <f>HEX2DEC(RIGHT(Table1323212714[[#This Row],[h2]],8))</f>
        <v>0</v>
      </c>
    </row>
    <row r="946" spans="1:18" x14ac:dyDescent="0.3">
      <c r="A946" s="15" t="str">
        <f t="shared" si="19"/>
        <v>3A8</v>
      </c>
      <c r="B946" s="15">
        <v>936</v>
      </c>
      <c r="C946" s="42"/>
      <c r="F946" s="22"/>
      <c r="G946" s="22"/>
      <c r="J946" s="24">
        <v>50000</v>
      </c>
      <c r="M946" s="24">
        <v>50000</v>
      </c>
      <c r="O946" s="48" t="s">
        <v>97</v>
      </c>
      <c r="P946" s="48">
        <f>HEX2DEC(RIGHT(Table1323212714[[#This Row],[h1]],8))</f>
        <v>0</v>
      </c>
      <c r="Q946" s="48" t="s">
        <v>97</v>
      </c>
      <c r="R946" s="48">
        <f>HEX2DEC(RIGHT(Table1323212714[[#This Row],[h2]],8))</f>
        <v>0</v>
      </c>
    </row>
    <row r="947" spans="1:18" x14ac:dyDescent="0.3">
      <c r="A947" s="15" t="str">
        <f t="shared" si="19"/>
        <v>3A9</v>
      </c>
      <c r="B947" s="15">
        <v>937</v>
      </c>
      <c r="C947" s="42"/>
      <c r="F947" s="22"/>
      <c r="G947" s="22"/>
      <c r="J947" s="24">
        <v>50000</v>
      </c>
      <c r="M947" s="24">
        <v>50000</v>
      </c>
      <c r="O947" s="48" t="s">
        <v>97</v>
      </c>
      <c r="P947" s="48">
        <f>HEX2DEC(RIGHT(Table1323212714[[#This Row],[h1]],8))</f>
        <v>0</v>
      </c>
      <c r="Q947" s="48" t="s">
        <v>97</v>
      </c>
      <c r="R947" s="48">
        <f>HEX2DEC(RIGHT(Table1323212714[[#This Row],[h2]],8))</f>
        <v>0</v>
      </c>
    </row>
    <row r="948" spans="1:18" x14ac:dyDescent="0.3">
      <c r="A948" s="15" t="str">
        <f t="shared" si="19"/>
        <v>3AA</v>
      </c>
      <c r="B948" s="15">
        <v>938</v>
      </c>
      <c r="C948" s="42"/>
      <c r="F948" s="22"/>
      <c r="G948" s="22"/>
      <c r="J948" s="24">
        <v>50000</v>
      </c>
      <c r="M948" s="24">
        <v>50000</v>
      </c>
      <c r="O948" s="48" t="s">
        <v>97</v>
      </c>
      <c r="P948" s="48">
        <f>HEX2DEC(RIGHT(Table1323212714[[#This Row],[h1]],8))</f>
        <v>0</v>
      </c>
      <c r="Q948" s="48" t="s">
        <v>97</v>
      </c>
      <c r="R948" s="48">
        <f>HEX2DEC(RIGHT(Table1323212714[[#This Row],[h2]],8))</f>
        <v>0</v>
      </c>
    </row>
    <row r="949" spans="1:18" x14ac:dyDescent="0.3">
      <c r="A949" s="15" t="str">
        <f t="shared" si="19"/>
        <v>3AB</v>
      </c>
      <c r="B949" s="15">
        <v>939</v>
      </c>
      <c r="C949" s="42"/>
      <c r="F949" s="22"/>
      <c r="G949" s="22"/>
      <c r="J949" s="24">
        <v>50000</v>
      </c>
      <c r="M949" s="24">
        <v>50000</v>
      </c>
      <c r="O949" s="48" t="s">
        <v>97</v>
      </c>
      <c r="P949" s="48">
        <f>HEX2DEC(RIGHT(Table1323212714[[#This Row],[h1]],8))</f>
        <v>0</v>
      </c>
      <c r="Q949" s="48" t="s">
        <v>97</v>
      </c>
      <c r="R949" s="48">
        <f>HEX2DEC(RIGHT(Table1323212714[[#This Row],[h2]],8))</f>
        <v>0</v>
      </c>
    </row>
    <row r="950" spans="1:18" x14ac:dyDescent="0.3">
      <c r="A950" s="15" t="str">
        <f t="shared" si="19"/>
        <v>3AC</v>
      </c>
      <c r="B950" s="15">
        <v>940</v>
      </c>
      <c r="C950" s="42"/>
      <c r="F950" s="22"/>
      <c r="G950" s="22"/>
      <c r="J950" s="24">
        <v>50000</v>
      </c>
      <c r="M950" s="24">
        <v>50000</v>
      </c>
      <c r="O950" s="48" t="s">
        <v>97</v>
      </c>
      <c r="P950" s="48">
        <f>HEX2DEC(RIGHT(Table1323212714[[#This Row],[h1]],8))</f>
        <v>0</v>
      </c>
      <c r="Q950" s="48" t="s">
        <v>97</v>
      </c>
      <c r="R950" s="48">
        <f>HEX2DEC(RIGHT(Table1323212714[[#This Row],[h2]],8))</f>
        <v>0</v>
      </c>
    </row>
    <row r="951" spans="1:18" x14ac:dyDescent="0.3">
      <c r="A951" s="15" t="str">
        <f t="shared" si="19"/>
        <v>3AD</v>
      </c>
      <c r="B951" s="15">
        <v>941</v>
      </c>
      <c r="C951" s="42"/>
      <c r="F951" s="22"/>
      <c r="G951" s="22"/>
      <c r="J951" s="24">
        <v>50000</v>
      </c>
      <c r="M951" s="24">
        <v>50000</v>
      </c>
      <c r="O951" s="48" t="s">
        <v>97</v>
      </c>
      <c r="P951" s="48">
        <f>HEX2DEC(RIGHT(Table1323212714[[#This Row],[h1]],8))</f>
        <v>0</v>
      </c>
      <c r="Q951" s="48" t="s">
        <v>97</v>
      </c>
      <c r="R951" s="48">
        <f>HEX2DEC(RIGHT(Table1323212714[[#This Row],[h2]],8))</f>
        <v>0</v>
      </c>
    </row>
    <row r="952" spans="1:18" x14ac:dyDescent="0.3">
      <c r="A952" s="15" t="str">
        <f t="shared" si="19"/>
        <v>3AE</v>
      </c>
      <c r="B952" s="15">
        <v>942</v>
      </c>
      <c r="C952" s="42"/>
      <c r="F952" s="22"/>
      <c r="G952" s="22"/>
      <c r="J952" s="24">
        <v>50000</v>
      </c>
      <c r="M952" s="24">
        <v>50000</v>
      </c>
      <c r="O952" s="48" t="s">
        <v>97</v>
      </c>
      <c r="P952" s="48">
        <f>HEX2DEC(RIGHT(Table1323212714[[#This Row],[h1]],8))</f>
        <v>0</v>
      </c>
      <c r="Q952" s="48" t="s">
        <v>97</v>
      </c>
      <c r="R952" s="48">
        <f>HEX2DEC(RIGHT(Table1323212714[[#This Row],[h2]],8))</f>
        <v>0</v>
      </c>
    </row>
    <row r="953" spans="1:18" x14ac:dyDescent="0.3">
      <c r="A953" s="15" t="str">
        <f t="shared" si="19"/>
        <v>3AF</v>
      </c>
      <c r="B953" s="15">
        <v>943</v>
      </c>
      <c r="C953" s="42"/>
      <c r="F953" s="22"/>
      <c r="G953" s="22"/>
      <c r="J953" s="24">
        <v>50000</v>
      </c>
      <c r="M953" s="24">
        <v>50000</v>
      </c>
      <c r="O953" s="48" t="s">
        <v>97</v>
      </c>
      <c r="P953" s="48">
        <f>HEX2DEC(RIGHT(Table1323212714[[#This Row],[h1]],8))</f>
        <v>0</v>
      </c>
      <c r="Q953" s="48" t="s">
        <v>97</v>
      </c>
      <c r="R953" s="48">
        <f>HEX2DEC(RIGHT(Table1323212714[[#This Row],[h2]],8))</f>
        <v>0</v>
      </c>
    </row>
    <row r="954" spans="1:18" x14ac:dyDescent="0.3">
      <c r="A954" s="15" t="str">
        <f t="shared" si="19"/>
        <v>3B0</v>
      </c>
      <c r="B954" s="15">
        <v>944</v>
      </c>
      <c r="C954" s="42"/>
      <c r="F954" s="22"/>
      <c r="G954" s="22"/>
      <c r="J954" s="24">
        <v>50000</v>
      </c>
      <c r="M954" s="24">
        <v>50000</v>
      </c>
      <c r="O954" s="48" t="s">
        <v>97</v>
      </c>
      <c r="P954" s="48">
        <f>HEX2DEC(RIGHT(Table1323212714[[#This Row],[h1]],8))</f>
        <v>0</v>
      </c>
      <c r="Q954" s="48" t="s">
        <v>97</v>
      </c>
      <c r="R954" s="48">
        <f>HEX2DEC(RIGHT(Table1323212714[[#This Row],[h2]],8))</f>
        <v>0</v>
      </c>
    </row>
    <row r="955" spans="1:18" x14ac:dyDescent="0.3">
      <c r="A955" s="15" t="str">
        <f t="shared" si="19"/>
        <v>3B1</v>
      </c>
      <c r="B955" s="15">
        <v>945</v>
      </c>
      <c r="C955" s="42"/>
      <c r="F955" s="22"/>
      <c r="G955" s="22"/>
      <c r="J955" s="24">
        <v>50000</v>
      </c>
      <c r="M955" s="24">
        <v>50000</v>
      </c>
      <c r="O955" s="48" t="s">
        <v>97</v>
      </c>
      <c r="P955" s="48">
        <f>HEX2DEC(RIGHT(Table1323212714[[#This Row],[h1]],8))</f>
        <v>0</v>
      </c>
      <c r="Q955" s="48" t="s">
        <v>97</v>
      </c>
      <c r="R955" s="48">
        <f>HEX2DEC(RIGHT(Table1323212714[[#This Row],[h2]],8))</f>
        <v>0</v>
      </c>
    </row>
    <row r="956" spans="1:18" x14ac:dyDescent="0.3">
      <c r="A956" s="15" t="str">
        <f t="shared" si="19"/>
        <v>3B2</v>
      </c>
      <c r="B956" s="15">
        <v>946</v>
      </c>
      <c r="C956" s="42"/>
      <c r="F956" s="22"/>
      <c r="G956" s="22"/>
      <c r="J956" s="24">
        <v>50000</v>
      </c>
      <c r="M956" s="24">
        <v>50000</v>
      </c>
      <c r="O956" s="48" t="s">
        <v>97</v>
      </c>
      <c r="P956" s="48">
        <f>HEX2DEC(RIGHT(Table1323212714[[#This Row],[h1]],8))</f>
        <v>0</v>
      </c>
      <c r="Q956" s="48" t="s">
        <v>97</v>
      </c>
      <c r="R956" s="48">
        <f>HEX2DEC(RIGHT(Table1323212714[[#This Row],[h2]],8))</f>
        <v>0</v>
      </c>
    </row>
    <row r="957" spans="1:18" x14ac:dyDescent="0.3">
      <c r="A957" s="15" t="str">
        <f t="shared" si="19"/>
        <v>3B3</v>
      </c>
      <c r="B957" s="15">
        <v>947</v>
      </c>
      <c r="C957" s="42"/>
      <c r="F957" s="22"/>
      <c r="G957" s="22"/>
      <c r="J957" s="24">
        <v>50000</v>
      </c>
      <c r="M957" s="24">
        <v>50000</v>
      </c>
      <c r="O957" s="48" t="s">
        <v>97</v>
      </c>
      <c r="P957" s="48">
        <f>HEX2DEC(RIGHT(Table1323212714[[#This Row],[h1]],8))</f>
        <v>0</v>
      </c>
      <c r="Q957" s="48" t="s">
        <v>97</v>
      </c>
      <c r="R957" s="48">
        <f>HEX2DEC(RIGHT(Table1323212714[[#This Row],[h2]],8))</f>
        <v>0</v>
      </c>
    </row>
    <row r="958" spans="1:18" x14ac:dyDescent="0.3">
      <c r="A958" s="15" t="str">
        <f t="shared" si="19"/>
        <v>3B4</v>
      </c>
      <c r="B958" s="15">
        <v>948</v>
      </c>
      <c r="C958" s="42"/>
      <c r="F958" s="22"/>
      <c r="G958" s="22"/>
      <c r="J958" s="24">
        <v>50000</v>
      </c>
      <c r="M958" s="24">
        <v>50000</v>
      </c>
      <c r="O958" s="48" t="s">
        <v>97</v>
      </c>
      <c r="P958" s="48">
        <f>HEX2DEC(RIGHT(Table1323212714[[#This Row],[h1]],8))</f>
        <v>0</v>
      </c>
      <c r="Q958" s="48" t="s">
        <v>97</v>
      </c>
      <c r="R958" s="48">
        <f>HEX2DEC(RIGHT(Table1323212714[[#This Row],[h2]],8))</f>
        <v>0</v>
      </c>
    </row>
    <row r="959" spans="1:18" x14ac:dyDescent="0.3">
      <c r="A959" s="15" t="str">
        <f t="shared" si="19"/>
        <v>3B5</v>
      </c>
      <c r="B959" s="15">
        <v>949</v>
      </c>
      <c r="C959" s="42"/>
      <c r="F959" s="22"/>
      <c r="G959" s="22"/>
      <c r="J959" s="24">
        <v>50000</v>
      </c>
      <c r="M959" s="24">
        <v>50000</v>
      </c>
      <c r="O959" s="48" t="s">
        <v>97</v>
      </c>
      <c r="P959" s="48">
        <f>HEX2DEC(RIGHT(Table1323212714[[#This Row],[h1]],8))</f>
        <v>0</v>
      </c>
      <c r="Q959" s="48" t="s">
        <v>97</v>
      </c>
      <c r="R959" s="48">
        <f>HEX2DEC(RIGHT(Table1323212714[[#This Row],[h2]],8))</f>
        <v>0</v>
      </c>
    </row>
    <row r="960" spans="1:18" x14ac:dyDescent="0.3">
      <c r="A960" s="15" t="str">
        <f t="shared" si="19"/>
        <v>3B6</v>
      </c>
      <c r="B960" s="15">
        <v>950</v>
      </c>
      <c r="C960" s="42"/>
      <c r="F960" s="22"/>
      <c r="G960" s="22"/>
      <c r="J960" s="24">
        <v>50000</v>
      </c>
      <c r="M960" s="24">
        <v>50000</v>
      </c>
      <c r="O960" s="48" t="s">
        <v>97</v>
      </c>
      <c r="P960" s="48">
        <f>HEX2DEC(RIGHT(Table1323212714[[#This Row],[h1]],8))</f>
        <v>0</v>
      </c>
      <c r="Q960" s="48" t="s">
        <v>97</v>
      </c>
      <c r="R960" s="48">
        <f>HEX2DEC(RIGHT(Table1323212714[[#This Row],[h2]],8))</f>
        <v>0</v>
      </c>
    </row>
    <row r="961" spans="1:18" x14ac:dyDescent="0.3">
      <c r="A961" s="15" t="str">
        <f t="shared" si="19"/>
        <v>3B7</v>
      </c>
      <c r="B961" s="15">
        <v>951</v>
      </c>
      <c r="C961" s="42"/>
      <c r="F961" s="22"/>
      <c r="G961" s="22"/>
      <c r="J961" s="24">
        <v>50000</v>
      </c>
      <c r="M961" s="24">
        <v>50000</v>
      </c>
      <c r="O961" s="48" t="s">
        <v>97</v>
      </c>
      <c r="P961" s="48">
        <f>HEX2DEC(RIGHT(Table1323212714[[#This Row],[h1]],8))</f>
        <v>0</v>
      </c>
      <c r="Q961" s="48" t="s">
        <v>97</v>
      </c>
      <c r="R961" s="48">
        <f>HEX2DEC(RIGHT(Table1323212714[[#This Row],[h2]],8))</f>
        <v>0</v>
      </c>
    </row>
    <row r="962" spans="1:18" x14ac:dyDescent="0.3">
      <c r="A962" s="15" t="str">
        <f t="shared" si="19"/>
        <v>3B8</v>
      </c>
      <c r="B962" s="15">
        <v>952</v>
      </c>
      <c r="C962" s="42"/>
      <c r="F962" s="22"/>
      <c r="G962" s="22"/>
      <c r="J962" s="24">
        <v>50000</v>
      </c>
      <c r="M962" s="24">
        <v>50000</v>
      </c>
      <c r="O962" s="48" t="s">
        <v>97</v>
      </c>
      <c r="P962" s="48">
        <f>HEX2DEC(RIGHT(Table1323212714[[#This Row],[h1]],8))</f>
        <v>0</v>
      </c>
      <c r="Q962" s="48" t="s">
        <v>97</v>
      </c>
      <c r="R962" s="48">
        <f>HEX2DEC(RIGHT(Table1323212714[[#This Row],[h2]],8))</f>
        <v>0</v>
      </c>
    </row>
    <row r="963" spans="1:18" x14ac:dyDescent="0.3">
      <c r="A963" s="15" t="str">
        <f t="shared" si="19"/>
        <v>3B9</v>
      </c>
      <c r="B963" s="15">
        <v>953</v>
      </c>
      <c r="C963" s="42"/>
      <c r="F963" s="22"/>
      <c r="G963" s="22"/>
      <c r="J963" s="24">
        <v>50000</v>
      </c>
      <c r="M963" s="24">
        <v>50000</v>
      </c>
      <c r="O963" s="48" t="s">
        <v>97</v>
      </c>
      <c r="P963" s="48">
        <f>HEX2DEC(RIGHT(Table1323212714[[#This Row],[h1]],8))</f>
        <v>0</v>
      </c>
      <c r="Q963" s="48" t="s">
        <v>97</v>
      </c>
      <c r="R963" s="48">
        <f>HEX2DEC(RIGHT(Table1323212714[[#This Row],[h2]],8))</f>
        <v>0</v>
      </c>
    </row>
    <row r="964" spans="1:18" x14ac:dyDescent="0.3">
      <c r="A964" s="15" t="str">
        <f t="shared" si="19"/>
        <v>3BA</v>
      </c>
      <c r="B964" s="15">
        <v>954</v>
      </c>
      <c r="C964" s="42"/>
      <c r="F964" s="22"/>
      <c r="G964" s="22"/>
      <c r="J964" s="24">
        <v>50000</v>
      </c>
      <c r="M964" s="24">
        <v>50000</v>
      </c>
      <c r="O964" s="48" t="s">
        <v>97</v>
      </c>
      <c r="P964" s="48">
        <f>HEX2DEC(RIGHT(Table1323212714[[#This Row],[h1]],8))</f>
        <v>0</v>
      </c>
      <c r="Q964" s="48" t="s">
        <v>97</v>
      </c>
      <c r="R964" s="48">
        <f>HEX2DEC(RIGHT(Table1323212714[[#This Row],[h2]],8))</f>
        <v>0</v>
      </c>
    </row>
    <row r="965" spans="1:18" x14ac:dyDescent="0.3">
      <c r="A965" s="15" t="str">
        <f t="shared" si="19"/>
        <v>3BB</v>
      </c>
      <c r="B965" s="15">
        <v>955</v>
      </c>
      <c r="C965" s="42"/>
      <c r="F965" s="22"/>
      <c r="G965" s="22"/>
      <c r="J965" s="24">
        <v>50000</v>
      </c>
      <c r="M965" s="24">
        <v>50000</v>
      </c>
      <c r="O965" s="48" t="s">
        <v>97</v>
      </c>
      <c r="P965" s="48">
        <f>HEX2DEC(RIGHT(Table1323212714[[#This Row],[h1]],8))</f>
        <v>0</v>
      </c>
      <c r="Q965" s="48" t="s">
        <v>97</v>
      </c>
      <c r="R965" s="48">
        <f>HEX2DEC(RIGHT(Table1323212714[[#This Row],[h2]],8))</f>
        <v>0</v>
      </c>
    </row>
    <row r="966" spans="1:18" x14ac:dyDescent="0.3">
      <c r="A966" s="15" t="str">
        <f t="shared" si="19"/>
        <v>3BC</v>
      </c>
      <c r="B966" s="15">
        <v>956</v>
      </c>
      <c r="C966" s="42"/>
      <c r="F966" s="22"/>
      <c r="G966" s="22"/>
      <c r="J966" s="24">
        <v>50000</v>
      </c>
      <c r="M966" s="24">
        <v>50000</v>
      </c>
      <c r="O966" s="48" t="s">
        <v>97</v>
      </c>
      <c r="P966" s="48">
        <f>HEX2DEC(RIGHT(Table1323212714[[#This Row],[h1]],8))</f>
        <v>0</v>
      </c>
      <c r="Q966" s="48" t="s">
        <v>97</v>
      </c>
      <c r="R966" s="48">
        <f>HEX2DEC(RIGHT(Table1323212714[[#This Row],[h2]],8))</f>
        <v>0</v>
      </c>
    </row>
    <row r="967" spans="1:18" x14ac:dyDescent="0.3">
      <c r="A967" s="15" t="str">
        <f t="shared" si="19"/>
        <v>3BD</v>
      </c>
      <c r="B967" s="15">
        <v>957</v>
      </c>
      <c r="C967" s="42"/>
      <c r="F967" s="22"/>
      <c r="G967" s="22"/>
      <c r="J967" s="24">
        <v>50000</v>
      </c>
      <c r="M967" s="24">
        <v>50000</v>
      </c>
      <c r="O967" s="48" t="s">
        <v>97</v>
      </c>
      <c r="P967" s="48">
        <f>HEX2DEC(RIGHT(Table1323212714[[#This Row],[h1]],8))</f>
        <v>0</v>
      </c>
      <c r="Q967" s="48" t="s">
        <v>97</v>
      </c>
      <c r="R967" s="48">
        <f>HEX2DEC(RIGHT(Table1323212714[[#This Row],[h2]],8))</f>
        <v>0</v>
      </c>
    </row>
    <row r="968" spans="1:18" x14ac:dyDescent="0.3">
      <c r="A968" s="15" t="str">
        <f t="shared" si="19"/>
        <v>3BE</v>
      </c>
      <c r="B968" s="15">
        <v>958</v>
      </c>
      <c r="C968" s="42"/>
      <c r="F968" s="22"/>
      <c r="G968" s="22"/>
      <c r="J968" s="24">
        <v>50000</v>
      </c>
      <c r="M968" s="24">
        <v>50000</v>
      </c>
      <c r="O968" s="48" t="s">
        <v>97</v>
      </c>
      <c r="P968" s="48">
        <f>HEX2DEC(RIGHT(Table1323212714[[#This Row],[h1]],8))</f>
        <v>0</v>
      </c>
      <c r="Q968" s="48" t="s">
        <v>97</v>
      </c>
      <c r="R968" s="48">
        <f>HEX2DEC(RIGHT(Table1323212714[[#This Row],[h2]],8))</f>
        <v>0</v>
      </c>
    </row>
    <row r="969" spans="1:18" x14ac:dyDescent="0.3">
      <c r="A969" s="15" t="str">
        <f t="shared" si="19"/>
        <v>3BF</v>
      </c>
      <c r="B969" s="15">
        <v>959</v>
      </c>
      <c r="C969" s="42"/>
      <c r="F969" s="22"/>
      <c r="G969" s="22"/>
      <c r="J969" s="24">
        <v>50000</v>
      </c>
      <c r="M969" s="24">
        <v>50000</v>
      </c>
      <c r="O969" s="48" t="s">
        <v>97</v>
      </c>
      <c r="P969" s="48">
        <f>HEX2DEC(RIGHT(Table1323212714[[#This Row],[h1]],8))</f>
        <v>0</v>
      </c>
      <c r="Q969" s="48" t="s">
        <v>97</v>
      </c>
      <c r="R969" s="48">
        <f>HEX2DEC(RIGHT(Table1323212714[[#This Row],[h2]],8))</f>
        <v>0</v>
      </c>
    </row>
    <row r="970" spans="1:18" x14ac:dyDescent="0.3">
      <c r="A970" s="15" t="str">
        <f t="shared" si="19"/>
        <v>3C0</v>
      </c>
      <c r="B970" s="15">
        <v>960</v>
      </c>
      <c r="C970" s="42"/>
      <c r="F970" s="22"/>
      <c r="G970" s="22"/>
      <c r="J970" s="24">
        <v>50000</v>
      </c>
      <c r="M970" s="24">
        <v>50000</v>
      </c>
      <c r="O970" s="48" t="s">
        <v>97</v>
      </c>
      <c r="P970" s="48">
        <f>HEX2DEC(RIGHT(Table1323212714[[#This Row],[h1]],8))</f>
        <v>0</v>
      </c>
      <c r="Q970" s="48" t="s">
        <v>97</v>
      </c>
      <c r="R970" s="48">
        <f>HEX2DEC(RIGHT(Table1323212714[[#This Row],[h2]],8))</f>
        <v>0</v>
      </c>
    </row>
    <row r="971" spans="1:18" x14ac:dyDescent="0.3">
      <c r="A971" s="15" t="str">
        <f t="shared" ref="A971:A1034" si="20">DEC2HEX(B971,3)</f>
        <v>3C1</v>
      </c>
      <c r="B971" s="15">
        <v>961</v>
      </c>
      <c r="C971" s="42"/>
      <c r="F971" s="22"/>
      <c r="G971" s="22"/>
      <c r="J971" s="24">
        <v>50000</v>
      </c>
      <c r="M971" s="24">
        <v>50000</v>
      </c>
      <c r="O971" s="48" t="s">
        <v>97</v>
      </c>
      <c r="P971" s="48">
        <f>HEX2DEC(RIGHT(Table1323212714[[#This Row],[h1]],8))</f>
        <v>0</v>
      </c>
      <c r="Q971" s="48" t="s">
        <v>97</v>
      </c>
      <c r="R971" s="48">
        <f>HEX2DEC(RIGHT(Table1323212714[[#This Row],[h2]],8))</f>
        <v>0</v>
      </c>
    </row>
    <row r="972" spans="1:18" x14ac:dyDescent="0.3">
      <c r="A972" s="15" t="str">
        <f t="shared" si="20"/>
        <v>3C2</v>
      </c>
      <c r="B972" s="15">
        <v>962</v>
      </c>
      <c r="C972" s="42"/>
      <c r="F972" s="22"/>
      <c r="G972" s="22"/>
      <c r="J972" s="24">
        <v>50000</v>
      </c>
      <c r="M972" s="24">
        <v>50000</v>
      </c>
      <c r="O972" s="48" t="s">
        <v>97</v>
      </c>
      <c r="P972" s="48">
        <f>HEX2DEC(RIGHT(Table1323212714[[#This Row],[h1]],8))</f>
        <v>0</v>
      </c>
      <c r="Q972" s="48" t="s">
        <v>97</v>
      </c>
      <c r="R972" s="48">
        <f>HEX2DEC(RIGHT(Table1323212714[[#This Row],[h2]],8))</f>
        <v>0</v>
      </c>
    </row>
    <row r="973" spans="1:18" x14ac:dyDescent="0.3">
      <c r="A973" s="15" t="str">
        <f t="shared" si="20"/>
        <v>3C3</v>
      </c>
      <c r="B973" s="15">
        <v>963</v>
      </c>
      <c r="C973" s="42"/>
      <c r="F973" s="22"/>
      <c r="G973" s="22"/>
      <c r="J973" s="24">
        <v>50000</v>
      </c>
      <c r="M973" s="24">
        <v>50000</v>
      </c>
      <c r="O973" s="48" t="s">
        <v>97</v>
      </c>
      <c r="P973" s="48">
        <f>HEX2DEC(RIGHT(Table1323212714[[#This Row],[h1]],8))</f>
        <v>0</v>
      </c>
      <c r="Q973" s="48" t="s">
        <v>97</v>
      </c>
      <c r="R973" s="48">
        <f>HEX2DEC(RIGHT(Table1323212714[[#This Row],[h2]],8))</f>
        <v>0</v>
      </c>
    </row>
    <row r="974" spans="1:18" x14ac:dyDescent="0.3">
      <c r="A974" s="15" t="str">
        <f t="shared" si="20"/>
        <v>3C4</v>
      </c>
      <c r="B974" s="15">
        <v>964</v>
      </c>
      <c r="C974" s="42"/>
      <c r="F974" s="22"/>
      <c r="G974" s="22"/>
      <c r="J974" s="24">
        <v>50000</v>
      </c>
      <c r="M974" s="24">
        <v>50000</v>
      </c>
      <c r="O974" s="48" t="s">
        <v>97</v>
      </c>
      <c r="P974" s="48">
        <f>HEX2DEC(RIGHT(Table1323212714[[#This Row],[h1]],8))</f>
        <v>0</v>
      </c>
      <c r="Q974" s="48" t="s">
        <v>97</v>
      </c>
      <c r="R974" s="48">
        <f>HEX2DEC(RIGHT(Table1323212714[[#This Row],[h2]],8))</f>
        <v>0</v>
      </c>
    </row>
    <row r="975" spans="1:18" x14ac:dyDescent="0.3">
      <c r="A975" s="15" t="str">
        <f t="shared" si="20"/>
        <v>3C5</v>
      </c>
      <c r="B975" s="15">
        <v>965</v>
      </c>
      <c r="C975" s="42"/>
      <c r="F975" s="22"/>
      <c r="G975" s="22"/>
      <c r="J975" s="24">
        <v>50000</v>
      </c>
      <c r="M975" s="24">
        <v>50000</v>
      </c>
      <c r="O975" s="48" t="s">
        <v>97</v>
      </c>
      <c r="P975" s="48">
        <f>HEX2DEC(RIGHT(Table1323212714[[#This Row],[h1]],8))</f>
        <v>0</v>
      </c>
      <c r="Q975" s="48" t="s">
        <v>97</v>
      </c>
      <c r="R975" s="48">
        <f>HEX2DEC(RIGHT(Table1323212714[[#This Row],[h2]],8))</f>
        <v>0</v>
      </c>
    </row>
    <row r="976" spans="1:18" x14ac:dyDescent="0.3">
      <c r="A976" s="15" t="str">
        <f t="shared" si="20"/>
        <v>3C6</v>
      </c>
      <c r="B976" s="15">
        <v>966</v>
      </c>
      <c r="C976" s="42"/>
      <c r="F976" s="22"/>
      <c r="G976" s="22"/>
      <c r="J976" s="24">
        <v>50000</v>
      </c>
      <c r="M976" s="24">
        <v>50000</v>
      </c>
      <c r="O976" s="48" t="s">
        <v>97</v>
      </c>
      <c r="P976" s="48">
        <f>HEX2DEC(RIGHT(Table1323212714[[#This Row],[h1]],8))</f>
        <v>0</v>
      </c>
      <c r="Q976" s="48" t="s">
        <v>97</v>
      </c>
      <c r="R976" s="48">
        <f>HEX2DEC(RIGHT(Table1323212714[[#This Row],[h2]],8))</f>
        <v>0</v>
      </c>
    </row>
    <row r="977" spans="1:18" x14ac:dyDescent="0.3">
      <c r="A977" s="15" t="str">
        <f t="shared" si="20"/>
        <v>3C7</v>
      </c>
      <c r="B977" s="15">
        <v>967</v>
      </c>
      <c r="C977" s="42"/>
      <c r="F977" s="22"/>
      <c r="G977" s="22"/>
      <c r="J977" s="24">
        <v>50000</v>
      </c>
      <c r="M977" s="24">
        <v>50000</v>
      </c>
      <c r="O977" s="48" t="s">
        <v>97</v>
      </c>
      <c r="P977" s="48">
        <f>HEX2DEC(RIGHT(Table1323212714[[#This Row],[h1]],8))</f>
        <v>0</v>
      </c>
      <c r="Q977" s="48" t="s">
        <v>97</v>
      </c>
      <c r="R977" s="48">
        <f>HEX2DEC(RIGHT(Table1323212714[[#This Row],[h2]],8))</f>
        <v>0</v>
      </c>
    </row>
    <row r="978" spans="1:18" x14ac:dyDescent="0.3">
      <c r="A978" s="15" t="str">
        <f t="shared" si="20"/>
        <v>3C8</v>
      </c>
      <c r="B978" s="15">
        <v>968</v>
      </c>
      <c r="C978" s="42"/>
      <c r="F978" s="22"/>
      <c r="G978" s="22"/>
      <c r="J978" s="24">
        <v>50000</v>
      </c>
      <c r="M978" s="24">
        <v>50000</v>
      </c>
      <c r="O978" s="48" t="s">
        <v>97</v>
      </c>
      <c r="P978" s="48">
        <f>HEX2DEC(RIGHT(Table1323212714[[#This Row],[h1]],8))</f>
        <v>0</v>
      </c>
      <c r="Q978" s="48" t="s">
        <v>97</v>
      </c>
      <c r="R978" s="48">
        <f>HEX2DEC(RIGHT(Table1323212714[[#This Row],[h2]],8))</f>
        <v>0</v>
      </c>
    </row>
    <row r="979" spans="1:18" x14ac:dyDescent="0.3">
      <c r="A979" s="15" t="str">
        <f t="shared" si="20"/>
        <v>3C9</v>
      </c>
      <c r="B979" s="15">
        <v>969</v>
      </c>
      <c r="C979" s="42"/>
      <c r="F979" s="22"/>
      <c r="G979" s="22"/>
      <c r="J979" s="24">
        <v>50000</v>
      </c>
      <c r="M979" s="24">
        <v>50000</v>
      </c>
      <c r="O979" s="48" t="s">
        <v>97</v>
      </c>
      <c r="P979" s="48">
        <f>HEX2DEC(RIGHT(Table1323212714[[#This Row],[h1]],8))</f>
        <v>0</v>
      </c>
      <c r="Q979" s="48" t="s">
        <v>97</v>
      </c>
      <c r="R979" s="48">
        <f>HEX2DEC(RIGHT(Table1323212714[[#This Row],[h2]],8))</f>
        <v>0</v>
      </c>
    </row>
    <row r="980" spans="1:18" x14ac:dyDescent="0.3">
      <c r="A980" s="15" t="str">
        <f t="shared" si="20"/>
        <v>3CA</v>
      </c>
      <c r="B980" s="15">
        <v>970</v>
      </c>
      <c r="C980" s="42"/>
      <c r="F980" s="22"/>
      <c r="G980" s="22"/>
      <c r="J980" s="24">
        <v>50000</v>
      </c>
      <c r="M980" s="24">
        <v>50000</v>
      </c>
      <c r="O980" s="48" t="s">
        <v>97</v>
      </c>
      <c r="P980" s="48">
        <f>HEX2DEC(RIGHT(Table1323212714[[#This Row],[h1]],8))</f>
        <v>0</v>
      </c>
      <c r="Q980" s="48" t="s">
        <v>97</v>
      </c>
      <c r="R980" s="48">
        <f>HEX2DEC(RIGHT(Table1323212714[[#This Row],[h2]],8))</f>
        <v>0</v>
      </c>
    </row>
    <row r="981" spans="1:18" x14ac:dyDescent="0.3">
      <c r="A981" s="15" t="str">
        <f t="shared" si="20"/>
        <v>3CB</v>
      </c>
      <c r="B981" s="15">
        <v>971</v>
      </c>
      <c r="C981" s="42"/>
      <c r="F981" s="22"/>
      <c r="G981" s="22"/>
      <c r="J981" s="24">
        <v>50000</v>
      </c>
      <c r="M981" s="24">
        <v>50000</v>
      </c>
      <c r="O981" s="48" t="s">
        <v>97</v>
      </c>
      <c r="P981" s="48">
        <f>HEX2DEC(RIGHT(Table1323212714[[#This Row],[h1]],8))</f>
        <v>0</v>
      </c>
      <c r="Q981" s="48" t="s">
        <v>97</v>
      </c>
      <c r="R981" s="48">
        <f>HEX2DEC(RIGHT(Table1323212714[[#This Row],[h2]],8))</f>
        <v>0</v>
      </c>
    </row>
    <row r="982" spans="1:18" x14ac:dyDescent="0.3">
      <c r="A982" s="15" t="str">
        <f t="shared" si="20"/>
        <v>3CC</v>
      </c>
      <c r="B982" s="15">
        <v>972</v>
      </c>
      <c r="C982" s="42"/>
      <c r="F982" s="22"/>
      <c r="G982" s="22"/>
      <c r="J982" s="24">
        <v>50000</v>
      </c>
      <c r="M982" s="24">
        <v>50000</v>
      </c>
      <c r="O982" s="48" t="s">
        <v>97</v>
      </c>
      <c r="P982" s="48">
        <f>HEX2DEC(RIGHT(Table1323212714[[#This Row],[h1]],8))</f>
        <v>0</v>
      </c>
      <c r="Q982" s="48" t="s">
        <v>97</v>
      </c>
      <c r="R982" s="48">
        <f>HEX2DEC(RIGHT(Table1323212714[[#This Row],[h2]],8))</f>
        <v>0</v>
      </c>
    </row>
    <row r="983" spans="1:18" x14ac:dyDescent="0.3">
      <c r="A983" s="15" t="str">
        <f t="shared" si="20"/>
        <v>3CD</v>
      </c>
      <c r="B983" s="15">
        <v>973</v>
      </c>
      <c r="C983" s="42"/>
      <c r="F983" s="22"/>
      <c r="G983" s="22"/>
      <c r="J983" s="24">
        <v>50000</v>
      </c>
      <c r="M983" s="24">
        <v>50000</v>
      </c>
      <c r="O983" s="48" t="s">
        <v>97</v>
      </c>
      <c r="P983" s="48">
        <f>HEX2DEC(RIGHT(Table1323212714[[#This Row],[h1]],8))</f>
        <v>0</v>
      </c>
      <c r="Q983" s="48" t="s">
        <v>97</v>
      </c>
      <c r="R983" s="48">
        <f>HEX2DEC(RIGHT(Table1323212714[[#This Row],[h2]],8))</f>
        <v>0</v>
      </c>
    </row>
    <row r="984" spans="1:18" x14ac:dyDescent="0.3">
      <c r="A984" s="15" t="str">
        <f t="shared" si="20"/>
        <v>3CE</v>
      </c>
      <c r="B984" s="15">
        <v>974</v>
      </c>
      <c r="C984" s="42"/>
      <c r="F984" s="22"/>
      <c r="G984" s="22"/>
      <c r="J984" s="24">
        <v>50000</v>
      </c>
      <c r="M984" s="24">
        <v>50000</v>
      </c>
      <c r="O984" s="48" t="s">
        <v>97</v>
      </c>
      <c r="P984" s="48">
        <f>HEX2DEC(RIGHT(Table1323212714[[#This Row],[h1]],8))</f>
        <v>0</v>
      </c>
      <c r="Q984" s="48" t="s">
        <v>97</v>
      </c>
      <c r="R984" s="48">
        <f>HEX2DEC(RIGHT(Table1323212714[[#This Row],[h2]],8))</f>
        <v>0</v>
      </c>
    </row>
    <row r="985" spans="1:18" x14ac:dyDescent="0.3">
      <c r="A985" s="15" t="str">
        <f t="shared" si="20"/>
        <v>3CF</v>
      </c>
      <c r="B985" s="15">
        <v>975</v>
      </c>
      <c r="C985" s="42"/>
      <c r="F985" s="22"/>
      <c r="G985" s="22"/>
      <c r="J985" s="24">
        <v>50000</v>
      </c>
      <c r="M985" s="24">
        <v>50000</v>
      </c>
      <c r="O985" s="48" t="s">
        <v>97</v>
      </c>
      <c r="P985" s="48">
        <f>HEX2DEC(RIGHT(Table1323212714[[#This Row],[h1]],8))</f>
        <v>0</v>
      </c>
      <c r="Q985" s="48" t="s">
        <v>97</v>
      </c>
      <c r="R985" s="48">
        <f>HEX2DEC(RIGHT(Table1323212714[[#This Row],[h2]],8))</f>
        <v>0</v>
      </c>
    </row>
    <row r="986" spans="1:18" x14ac:dyDescent="0.3">
      <c r="A986" s="15" t="str">
        <f t="shared" si="20"/>
        <v>3D0</v>
      </c>
      <c r="B986" s="15">
        <v>976</v>
      </c>
      <c r="C986" s="42"/>
      <c r="F986" s="22"/>
      <c r="G986" s="22"/>
      <c r="J986" s="24">
        <v>50000</v>
      </c>
      <c r="M986" s="24">
        <v>50000</v>
      </c>
      <c r="O986" s="48" t="s">
        <v>97</v>
      </c>
      <c r="P986" s="48">
        <f>HEX2DEC(RIGHT(Table1323212714[[#This Row],[h1]],8))</f>
        <v>0</v>
      </c>
      <c r="Q986" s="48" t="s">
        <v>97</v>
      </c>
      <c r="R986" s="48">
        <f>HEX2DEC(RIGHT(Table1323212714[[#This Row],[h2]],8))</f>
        <v>0</v>
      </c>
    </row>
    <row r="987" spans="1:18" x14ac:dyDescent="0.3">
      <c r="A987" s="15" t="str">
        <f t="shared" si="20"/>
        <v>3D1</v>
      </c>
      <c r="B987" s="15">
        <v>977</v>
      </c>
      <c r="C987" s="42"/>
      <c r="F987" s="22"/>
      <c r="G987" s="22"/>
      <c r="J987" s="24">
        <v>50000</v>
      </c>
      <c r="M987" s="24">
        <v>50000</v>
      </c>
      <c r="O987" s="48" t="s">
        <v>97</v>
      </c>
      <c r="P987" s="48">
        <f>HEX2DEC(RIGHT(Table1323212714[[#This Row],[h1]],8))</f>
        <v>0</v>
      </c>
      <c r="Q987" s="48" t="s">
        <v>97</v>
      </c>
      <c r="R987" s="48">
        <f>HEX2DEC(RIGHT(Table1323212714[[#This Row],[h2]],8))</f>
        <v>0</v>
      </c>
    </row>
    <row r="988" spans="1:18" x14ac:dyDescent="0.3">
      <c r="A988" s="15" t="str">
        <f t="shared" si="20"/>
        <v>3D2</v>
      </c>
      <c r="B988" s="15">
        <v>978</v>
      </c>
      <c r="C988" s="42"/>
      <c r="F988" s="22"/>
      <c r="G988" s="22"/>
      <c r="J988" s="24">
        <v>50000</v>
      </c>
      <c r="M988" s="24">
        <v>50000</v>
      </c>
      <c r="O988" s="48" t="s">
        <v>97</v>
      </c>
      <c r="P988" s="48">
        <f>HEX2DEC(RIGHT(Table1323212714[[#This Row],[h1]],8))</f>
        <v>0</v>
      </c>
      <c r="Q988" s="48" t="s">
        <v>97</v>
      </c>
      <c r="R988" s="48">
        <f>HEX2DEC(RIGHT(Table1323212714[[#This Row],[h2]],8))</f>
        <v>0</v>
      </c>
    </row>
    <row r="989" spans="1:18" x14ac:dyDescent="0.3">
      <c r="A989" s="15" t="str">
        <f t="shared" si="20"/>
        <v>3D3</v>
      </c>
      <c r="B989" s="15">
        <v>979</v>
      </c>
      <c r="C989" s="42"/>
      <c r="F989" s="22"/>
      <c r="G989" s="22"/>
      <c r="J989" s="24">
        <v>50000</v>
      </c>
      <c r="M989" s="24">
        <v>50000</v>
      </c>
      <c r="O989" s="48" t="s">
        <v>97</v>
      </c>
      <c r="P989" s="48">
        <f>HEX2DEC(RIGHT(Table1323212714[[#This Row],[h1]],8))</f>
        <v>0</v>
      </c>
      <c r="Q989" s="48" t="s">
        <v>97</v>
      </c>
      <c r="R989" s="48">
        <f>HEX2DEC(RIGHT(Table1323212714[[#This Row],[h2]],8))</f>
        <v>0</v>
      </c>
    </row>
    <row r="990" spans="1:18" x14ac:dyDescent="0.3">
      <c r="A990" s="15" t="str">
        <f t="shared" si="20"/>
        <v>3D4</v>
      </c>
      <c r="B990" s="15">
        <v>980</v>
      </c>
      <c r="C990" s="42"/>
      <c r="F990" s="22"/>
      <c r="G990" s="22"/>
      <c r="J990" s="24">
        <v>50000</v>
      </c>
      <c r="M990" s="24">
        <v>50000</v>
      </c>
      <c r="O990" s="48" t="s">
        <v>97</v>
      </c>
      <c r="P990" s="48">
        <f>HEX2DEC(RIGHT(Table1323212714[[#This Row],[h1]],8))</f>
        <v>0</v>
      </c>
      <c r="Q990" s="48" t="s">
        <v>97</v>
      </c>
      <c r="R990" s="48">
        <f>HEX2DEC(RIGHT(Table1323212714[[#This Row],[h2]],8))</f>
        <v>0</v>
      </c>
    </row>
    <row r="991" spans="1:18" x14ac:dyDescent="0.3">
      <c r="A991" s="15" t="str">
        <f t="shared" si="20"/>
        <v>3D5</v>
      </c>
      <c r="B991" s="15">
        <v>981</v>
      </c>
      <c r="C991" s="42"/>
      <c r="F991" s="22"/>
      <c r="G991" s="22"/>
      <c r="J991" s="24">
        <v>50000</v>
      </c>
      <c r="M991" s="24">
        <v>50000</v>
      </c>
      <c r="O991" s="48" t="s">
        <v>97</v>
      </c>
      <c r="P991" s="48">
        <f>HEX2DEC(RIGHT(Table1323212714[[#This Row],[h1]],8))</f>
        <v>0</v>
      </c>
      <c r="Q991" s="48" t="s">
        <v>97</v>
      </c>
      <c r="R991" s="48">
        <f>HEX2DEC(RIGHT(Table1323212714[[#This Row],[h2]],8))</f>
        <v>0</v>
      </c>
    </row>
    <row r="992" spans="1:18" x14ac:dyDescent="0.3">
      <c r="A992" s="15" t="str">
        <f t="shared" si="20"/>
        <v>3D6</v>
      </c>
      <c r="B992" s="15">
        <v>982</v>
      </c>
      <c r="C992" s="42"/>
      <c r="F992" s="22"/>
      <c r="G992" s="22"/>
      <c r="J992" s="24">
        <v>50000</v>
      </c>
      <c r="M992" s="24">
        <v>50000</v>
      </c>
      <c r="O992" s="48" t="s">
        <v>97</v>
      </c>
      <c r="P992" s="48">
        <f>HEX2DEC(RIGHT(Table1323212714[[#This Row],[h1]],8))</f>
        <v>0</v>
      </c>
      <c r="Q992" s="48" t="s">
        <v>97</v>
      </c>
      <c r="R992" s="48">
        <f>HEX2DEC(RIGHT(Table1323212714[[#This Row],[h2]],8))</f>
        <v>0</v>
      </c>
    </row>
    <row r="993" spans="1:18" x14ac:dyDescent="0.3">
      <c r="A993" s="15" t="str">
        <f t="shared" si="20"/>
        <v>3D7</v>
      </c>
      <c r="B993" s="15">
        <v>983</v>
      </c>
      <c r="C993" s="42"/>
      <c r="F993" s="22"/>
      <c r="G993" s="22"/>
      <c r="J993" s="24">
        <v>50000</v>
      </c>
      <c r="M993" s="24">
        <v>50000</v>
      </c>
      <c r="O993" s="48" t="s">
        <v>97</v>
      </c>
      <c r="P993" s="48">
        <f>HEX2DEC(RIGHT(Table1323212714[[#This Row],[h1]],8))</f>
        <v>0</v>
      </c>
      <c r="Q993" s="48" t="s">
        <v>97</v>
      </c>
      <c r="R993" s="48">
        <f>HEX2DEC(RIGHT(Table1323212714[[#This Row],[h2]],8))</f>
        <v>0</v>
      </c>
    </row>
    <row r="994" spans="1:18" x14ac:dyDescent="0.3">
      <c r="A994" s="15" t="str">
        <f t="shared" si="20"/>
        <v>3D8</v>
      </c>
      <c r="B994" s="15">
        <v>984</v>
      </c>
      <c r="C994" s="42"/>
      <c r="F994" s="22"/>
      <c r="G994" s="22"/>
      <c r="J994" s="24">
        <v>50000</v>
      </c>
      <c r="M994" s="24">
        <v>50000</v>
      </c>
      <c r="O994" s="48" t="s">
        <v>97</v>
      </c>
      <c r="P994" s="48">
        <f>HEX2DEC(RIGHT(Table1323212714[[#This Row],[h1]],8))</f>
        <v>0</v>
      </c>
      <c r="Q994" s="48" t="s">
        <v>97</v>
      </c>
      <c r="R994" s="48">
        <f>HEX2DEC(RIGHT(Table1323212714[[#This Row],[h2]],8))</f>
        <v>0</v>
      </c>
    </row>
    <row r="995" spans="1:18" x14ac:dyDescent="0.3">
      <c r="A995" s="15" t="str">
        <f t="shared" si="20"/>
        <v>3D9</v>
      </c>
      <c r="B995" s="15">
        <v>985</v>
      </c>
      <c r="C995" s="42"/>
      <c r="F995" s="22"/>
      <c r="G995" s="22"/>
      <c r="J995" s="24">
        <v>50000</v>
      </c>
      <c r="M995" s="24">
        <v>50000</v>
      </c>
      <c r="O995" s="48" t="s">
        <v>97</v>
      </c>
      <c r="P995" s="48">
        <f>HEX2DEC(RIGHT(Table1323212714[[#This Row],[h1]],8))</f>
        <v>0</v>
      </c>
      <c r="Q995" s="48" t="s">
        <v>97</v>
      </c>
      <c r="R995" s="48">
        <f>HEX2DEC(RIGHT(Table1323212714[[#This Row],[h2]],8))</f>
        <v>0</v>
      </c>
    </row>
    <row r="996" spans="1:18" x14ac:dyDescent="0.3">
      <c r="A996" s="15" t="str">
        <f t="shared" si="20"/>
        <v>3DA</v>
      </c>
      <c r="B996" s="15">
        <v>986</v>
      </c>
      <c r="C996" s="42"/>
      <c r="F996" s="22"/>
      <c r="G996" s="22"/>
      <c r="J996" s="24">
        <v>50000</v>
      </c>
      <c r="M996" s="24">
        <v>50000</v>
      </c>
      <c r="O996" s="48" t="s">
        <v>97</v>
      </c>
      <c r="P996" s="48">
        <f>HEX2DEC(RIGHT(Table1323212714[[#This Row],[h1]],8))</f>
        <v>0</v>
      </c>
      <c r="Q996" s="48" t="s">
        <v>97</v>
      </c>
      <c r="R996" s="48">
        <f>HEX2DEC(RIGHT(Table1323212714[[#This Row],[h2]],8))</f>
        <v>0</v>
      </c>
    </row>
    <row r="997" spans="1:18" x14ac:dyDescent="0.3">
      <c r="A997" s="15" t="str">
        <f t="shared" si="20"/>
        <v>3DB</v>
      </c>
      <c r="B997" s="15">
        <v>987</v>
      </c>
      <c r="C997" s="42"/>
      <c r="F997" s="22"/>
      <c r="G997" s="22"/>
      <c r="J997" s="24">
        <v>50000</v>
      </c>
      <c r="M997" s="24">
        <v>50000</v>
      </c>
      <c r="O997" s="48" t="s">
        <v>97</v>
      </c>
      <c r="P997" s="48">
        <f>HEX2DEC(RIGHT(Table1323212714[[#This Row],[h1]],8))</f>
        <v>0</v>
      </c>
      <c r="Q997" s="48" t="s">
        <v>97</v>
      </c>
      <c r="R997" s="48">
        <f>HEX2DEC(RIGHT(Table1323212714[[#This Row],[h2]],8))</f>
        <v>0</v>
      </c>
    </row>
    <row r="998" spans="1:18" x14ac:dyDescent="0.3">
      <c r="A998" s="15" t="str">
        <f t="shared" si="20"/>
        <v>3DC</v>
      </c>
      <c r="B998" s="15">
        <v>988</v>
      </c>
      <c r="C998" s="42"/>
      <c r="F998" s="22"/>
      <c r="G998" s="22"/>
      <c r="J998" s="24">
        <v>50000</v>
      </c>
      <c r="M998" s="24">
        <v>50000</v>
      </c>
      <c r="O998" s="48" t="s">
        <v>97</v>
      </c>
      <c r="P998" s="48">
        <f>HEX2DEC(RIGHT(Table1323212714[[#This Row],[h1]],8))</f>
        <v>0</v>
      </c>
      <c r="Q998" s="48" t="s">
        <v>97</v>
      </c>
      <c r="R998" s="48">
        <f>HEX2DEC(RIGHT(Table1323212714[[#This Row],[h2]],8))</f>
        <v>0</v>
      </c>
    </row>
    <row r="999" spans="1:18" x14ac:dyDescent="0.3">
      <c r="A999" s="15" t="str">
        <f t="shared" si="20"/>
        <v>3DD</v>
      </c>
      <c r="B999" s="15">
        <v>989</v>
      </c>
      <c r="C999" s="42"/>
      <c r="F999" s="22"/>
      <c r="G999" s="22"/>
      <c r="J999" s="24">
        <v>50000</v>
      </c>
      <c r="M999" s="24">
        <v>50000</v>
      </c>
      <c r="O999" s="48" t="s">
        <v>97</v>
      </c>
      <c r="P999" s="48">
        <f>HEX2DEC(RIGHT(Table1323212714[[#This Row],[h1]],8))</f>
        <v>0</v>
      </c>
      <c r="Q999" s="48" t="s">
        <v>97</v>
      </c>
      <c r="R999" s="48">
        <f>HEX2DEC(RIGHT(Table1323212714[[#This Row],[h2]],8))</f>
        <v>0</v>
      </c>
    </row>
    <row r="1000" spans="1:18" x14ac:dyDescent="0.3">
      <c r="A1000" s="15" t="str">
        <f t="shared" si="20"/>
        <v>3DE</v>
      </c>
      <c r="B1000" s="15">
        <v>990</v>
      </c>
      <c r="C1000" s="42"/>
      <c r="F1000" s="22"/>
      <c r="G1000" s="22"/>
      <c r="J1000" s="24">
        <v>50000</v>
      </c>
      <c r="M1000" s="24">
        <v>50000</v>
      </c>
      <c r="O1000" s="48" t="s">
        <v>97</v>
      </c>
      <c r="P1000" s="48">
        <f>HEX2DEC(RIGHT(Table1323212714[[#This Row],[h1]],8))</f>
        <v>0</v>
      </c>
      <c r="Q1000" s="48" t="s">
        <v>97</v>
      </c>
      <c r="R1000" s="48">
        <f>HEX2DEC(RIGHT(Table1323212714[[#This Row],[h2]],8))</f>
        <v>0</v>
      </c>
    </row>
    <row r="1001" spans="1:18" x14ac:dyDescent="0.3">
      <c r="A1001" s="15" t="str">
        <f t="shared" si="20"/>
        <v>3DF</v>
      </c>
      <c r="B1001" s="15">
        <v>991</v>
      </c>
      <c r="C1001" s="42"/>
      <c r="F1001" s="22"/>
      <c r="G1001" s="22"/>
      <c r="J1001" s="24">
        <v>50000</v>
      </c>
      <c r="M1001" s="24">
        <v>50000</v>
      </c>
      <c r="O1001" s="48" t="s">
        <v>97</v>
      </c>
      <c r="P1001" s="48">
        <f>HEX2DEC(RIGHT(Table1323212714[[#This Row],[h1]],8))</f>
        <v>0</v>
      </c>
      <c r="Q1001" s="48" t="s">
        <v>97</v>
      </c>
      <c r="R1001" s="48">
        <f>HEX2DEC(RIGHT(Table1323212714[[#This Row],[h2]],8))</f>
        <v>0</v>
      </c>
    </row>
    <row r="1002" spans="1:18" x14ac:dyDescent="0.3">
      <c r="A1002" s="15" t="str">
        <f t="shared" si="20"/>
        <v>3E0</v>
      </c>
      <c r="B1002" s="15">
        <v>992</v>
      </c>
      <c r="C1002" s="42"/>
      <c r="F1002" s="22"/>
      <c r="G1002" s="22"/>
      <c r="J1002" s="24">
        <v>50000</v>
      </c>
      <c r="M1002" s="24">
        <v>50000</v>
      </c>
      <c r="O1002" s="48" t="s">
        <v>97</v>
      </c>
      <c r="P1002" s="48">
        <f>HEX2DEC(RIGHT(Table1323212714[[#This Row],[h1]],8))</f>
        <v>0</v>
      </c>
      <c r="Q1002" s="48" t="s">
        <v>97</v>
      </c>
      <c r="R1002" s="48">
        <f>HEX2DEC(RIGHT(Table1323212714[[#This Row],[h2]],8))</f>
        <v>0</v>
      </c>
    </row>
    <row r="1003" spans="1:18" x14ac:dyDescent="0.3">
      <c r="A1003" s="15" t="str">
        <f t="shared" si="20"/>
        <v>3E1</v>
      </c>
      <c r="B1003" s="15">
        <v>993</v>
      </c>
      <c r="C1003" s="42"/>
      <c r="F1003" s="22"/>
      <c r="G1003" s="22"/>
      <c r="J1003" s="24">
        <v>50000</v>
      </c>
      <c r="M1003" s="24">
        <v>50000</v>
      </c>
      <c r="O1003" s="48" t="s">
        <v>97</v>
      </c>
      <c r="P1003" s="48">
        <f>HEX2DEC(RIGHT(Table1323212714[[#This Row],[h1]],8))</f>
        <v>0</v>
      </c>
      <c r="Q1003" s="48" t="s">
        <v>97</v>
      </c>
      <c r="R1003" s="48">
        <f>HEX2DEC(RIGHT(Table1323212714[[#This Row],[h2]],8))</f>
        <v>0</v>
      </c>
    </row>
    <row r="1004" spans="1:18" x14ac:dyDescent="0.3">
      <c r="A1004" s="15" t="str">
        <f t="shared" si="20"/>
        <v>3E2</v>
      </c>
      <c r="B1004" s="15">
        <v>994</v>
      </c>
      <c r="C1004" s="42"/>
      <c r="F1004" s="22"/>
      <c r="G1004" s="22"/>
      <c r="J1004" s="24">
        <v>50000</v>
      </c>
      <c r="M1004" s="24">
        <v>50000</v>
      </c>
      <c r="O1004" s="48" t="s">
        <v>97</v>
      </c>
      <c r="P1004" s="48">
        <f>HEX2DEC(RIGHT(Table1323212714[[#This Row],[h1]],8))</f>
        <v>0</v>
      </c>
      <c r="Q1004" s="48" t="s">
        <v>97</v>
      </c>
      <c r="R1004" s="48">
        <f>HEX2DEC(RIGHT(Table1323212714[[#This Row],[h2]],8))</f>
        <v>0</v>
      </c>
    </row>
    <row r="1005" spans="1:18" x14ac:dyDescent="0.3">
      <c r="A1005" s="15" t="str">
        <f t="shared" si="20"/>
        <v>3E3</v>
      </c>
      <c r="B1005" s="15">
        <v>995</v>
      </c>
      <c r="C1005" s="42"/>
      <c r="F1005" s="22"/>
      <c r="G1005" s="22"/>
      <c r="J1005" s="24">
        <v>50000</v>
      </c>
      <c r="M1005" s="24">
        <v>50000</v>
      </c>
      <c r="O1005" s="48" t="s">
        <v>97</v>
      </c>
      <c r="P1005" s="48">
        <f>HEX2DEC(RIGHT(Table1323212714[[#This Row],[h1]],8))</f>
        <v>0</v>
      </c>
      <c r="Q1005" s="48" t="s">
        <v>97</v>
      </c>
      <c r="R1005" s="48">
        <f>HEX2DEC(RIGHT(Table1323212714[[#This Row],[h2]],8))</f>
        <v>0</v>
      </c>
    </row>
    <row r="1006" spans="1:18" x14ac:dyDescent="0.3">
      <c r="A1006" s="15" t="str">
        <f t="shared" si="20"/>
        <v>3E4</v>
      </c>
      <c r="B1006" s="15">
        <v>996</v>
      </c>
      <c r="C1006" s="42"/>
      <c r="F1006" s="22"/>
      <c r="G1006" s="22"/>
      <c r="J1006" s="24">
        <v>50000</v>
      </c>
      <c r="M1006" s="24">
        <v>50000</v>
      </c>
      <c r="O1006" s="48" t="s">
        <v>97</v>
      </c>
      <c r="P1006" s="48">
        <f>HEX2DEC(RIGHT(Table1323212714[[#This Row],[h1]],8))</f>
        <v>0</v>
      </c>
      <c r="Q1006" s="48" t="s">
        <v>97</v>
      </c>
      <c r="R1006" s="48">
        <f>HEX2DEC(RIGHT(Table1323212714[[#This Row],[h2]],8))</f>
        <v>0</v>
      </c>
    </row>
    <row r="1007" spans="1:18" x14ac:dyDescent="0.3">
      <c r="A1007" s="15" t="str">
        <f t="shared" si="20"/>
        <v>3E5</v>
      </c>
      <c r="B1007" s="15">
        <v>997</v>
      </c>
      <c r="C1007" s="42"/>
      <c r="F1007" s="22"/>
      <c r="G1007" s="22"/>
      <c r="J1007" s="24">
        <v>50000</v>
      </c>
      <c r="M1007" s="24">
        <v>50000</v>
      </c>
      <c r="O1007" s="48" t="s">
        <v>97</v>
      </c>
      <c r="P1007" s="48">
        <f>HEX2DEC(RIGHT(Table1323212714[[#This Row],[h1]],8))</f>
        <v>0</v>
      </c>
      <c r="Q1007" s="48" t="s">
        <v>97</v>
      </c>
      <c r="R1007" s="48">
        <f>HEX2DEC(RIGHT(Table1323212714[[#This Row],[h2]],8))</f>
        <v>0</v>
      </c>
    </row>
    <row r="1008" spans="1:18" x14ac:dyDescent="0.3">
      <c r="A1008" s="15" t="str">
        <f t="shared" si="20"/>
        <v>3E6</v>
      </c>
      <c r="B1008" s="15">
        <v>998</v>
      </c>
      <c r="C1008" s="42"/>
      <c r="F1008" s="22"/>
      <c r="G1008" s="22"/>
      <c r="J1008" s="24">
        <v>50000</v>
      </c>
      <c r="M1008" s="24">
        <v>50000</v>
      </c>
      <c r="O1008" s="48" t="s">
        <v>97</v>
      </c>
      <c r="P1008" s="48">
        <f>HEX2DEC(RIGHT(Table1323212714[[#This Row],[h1]],8))</f>
        <v>0</v>
      </c>
      <c r="Q1008" s="48" t="s">
        <v>97</v>
      </c>
      <c r="R1008" s="48">
        <f>HEX2DEC(RIGHT(Table1323212714[[#This Row],[h2]],8))</f>
        <v>0</v>
      </c>
    </row>
    <row r="1009" spans="1:18" x14ac:dyDescent="0.3">
      <c r="A1009" s="15" t="str">
        <f t="shared" si="20"/>
        <v>3E7</v>
      </c>
      <c r="B1009" s="15">
        <v>999</v>
      </c>
      <c r="C1009" s="42"/>
      <c r="F1009" s="22"/>
      <c r="G1009" s="22"/>
      <c r="J1009" s="24">
        <v>50000</v>
      </c>
      <c r="M1009" s="24">
        <v>50000</v>
      </c>
      <c r="O1009" s="48" t="s">
        <v>97</v>
      </c>
      <c r="P1009" s="48">
        <f>HEX2DEC(RIGHT(Table1323212714[[#This Row],[h1]],8))</f>
        <v>0</v>
      </c>
      <c r="Q1009" s="48" t="s">
        <v>97</v>
      </c>
      <c r="R1009" s="48">
        <f>HEX2DEC(RIGHT(Table1323212714[[#This Row],[h2]],8))</f>
        <v>0</v>
      </c>
    </row>
    <row r="1010" spans="1:18" x14ac:dyDescent="0.3">
      <c r="A1010" s="15" t="str">
        <f t="shared" si="20"/>
        <v>3E8</v>
      </c>
      <c r="B1010" s="15">
        <v>1000</v>
      </c>
      <c r="C1010" s="42"/>
      <c r="F1010" s="22"/>
      <c r="G1010" s="22"/>
      <c r="J1010" s="24">
        <v>50000</v>
      </c>
      <c r="M1010" s="24">
        <v>50000</v>
      </c>
      <c r="O1010" s="48" t="s">
        <v>97</v>
      </c>
      <c r="P1010" s="48">
        <f>HEX2DEC(RIGHT(Table1323212714[[#This Row],[h1]],8))</f>
        <v>0</v>
      </c>
      <c r="Q1010" s="48" t="s">
        <v>97</v>
      </c>
      <c r="R1010" s="48">
        <f>HEX2DEC(RIGHT(Table1323212714[[#This Row],[h2]],8))</f>
        <v>0</v>
      </c>
    </row>
    <row r="1011" spans="1:18" x14ac:dyDescent="0.3">
      <c r="A1011" s="15" t="str">
        <f t="shared" si="20"/>
        <v>3E9</v>
      </c>
      <c r="B1011" s="15">
        <v>1001</v>
      </c>
      <c r="C1011" s="42"/>
      <c r="F1011" s="22"/>
      <c r="G1011" s="22"/>
      <c r="J1011" s="24">
        <v>50000</v>
      </c>
      <c r="M1011" s="24">
        <v>50000</v>
      </c>
      <c r="O1011" s="48" t="s">
        <v>97</v>
      </c>
      <c r="P1011" s="48">
        <f>HEX2DEC(RIGHT(Table1323212714[[#This Row],[h1]],8))</f>
        <v>0</v>
      </c>
      <c r="Q1011" s="48" t="s">
        <v>97</v>
      </c>
      <c r="R1011" s="48">
        <f>HEX2DEC(RIGHT(Table1323212714[[#This Row],[h2]],8))</f>
        <v>0</v>
      </c>
    </row>
    <row r="1012" spans="1:18" x14ac:dyDescent="0.3">
      <c r="A1012" s="15" t="str">
        <f t="shared" si="20"/>
        <v>3EA</v>
      </c>
      <c r="B1012" s="15">
        <v>1002</v>
      </c>
      <c r="C1012" s="42"/>
      <c r="F1012" s="22"/>
      <c r="G1012" s="22"/>
      <c r="J1012" s="24">
        <v>50000</v>
      </c>
      <c r="M1012" s="24">
        <v>50000</v>
      </c>
      <c r="O1012" s="48" t="s">
        <v>97</v>
      </c>
      <c r="P1012" s="48">
        <f>HEX2DEC(RIGHT(Table1323212714[[#This Row],[h1]],8))</f>
        <v>0</v>
      </c>
      <c r="Q1012" s="48" t="s">
        <v>97</v>
      </c>
      <c r="R1012" s="48">
        <f>HEX2DEC(RIGHT(Table1323212714[[#This Row],[h2]],8))</f>
        <v>0</v>
      </c>
    </row>
    <row r="1013" spans="1:18" x14ac:dyDescent="0.3">
      <c r="A1013" s="15" t="str">
        <f t="shared" si="20"/>
        <v>3EB</v>
      </c>
      <c r="B1013" s="15">
        <v>1003</v>
      </c>
      <c r="C1013" s="42"/>
      <c r="F1013" s="22"/>
      <c r="G1013" s="22"/>
      <c r="J1013" s="24">
        <v>50000</v>
      </c>
      <c r="M1013" s="24">
        <v>50000</v>
      </c>
      <c r="O1013" s="48" t="s">
        <v>97</v>
      </c>
      <c r="P1013" s="48">
        <f>HEX2DEC(RIGHT(Table1323212714[[#This Row],[h1]],8))</f>
        <v>0</v>
      </c>
      <c r="Q1013" s="48" t="s">
        <v>97</v>
      </c>
      <c r="R1013" s="48">
        <f>HEX2DEC(RIGHT(Table1323212714[[#This Row],[h2]],8))</f>
        <v>0</v>
      </c>
    </row>
    <row r="1014" spans="1:18" x14ac:dyDescent="0.3">
      <c r="A1014" s="15" t="str">
        <f t="shared" si="20"/>
        <v>3EC</v>
      </c>
      <c r="B1014" s="15">
        <v>1004</v>
      </c>
      <c r="C1014" s="42"/>
      <c r="F1014" s="22"/>
      <c r="G1014" s="22"/>
      <c r="J1014" s="24">
        <v>50000</v>
      </c>
      <c r="M1014" s="24">
        <v>50000</v>
      </c>
      <c r="O1014" s="48" t="s">
        <v>97</v>
      </c>
      <c r="P1014" s="48">
        <f>HEX2DEC(RIGHT(Table1323212714[[#This Row],[h1]],8))</f>
        <v>0</v>
      </c>
      <c r="Q1014" s="48" t="s">
        <v>97</v>
      </c>
      <c r="R1014" s="48">
        <f>HEX2DEC(RIGHT(Table1323212714[[#This Row],[h2]],8))</f>
        <v>0</v>
      </c>
    </row>
    <row r="1015" spans="1:18" x14ac:dyDescent="0.3">
      <c r="A1015" s="15" t="str">
        <f t="shared" si="20"/>
        <v>3ED</v>
      </c>
      <c r="B1015" s="15">
        <v>1005</v>
      </c>
      <c r="C1015" s="42"/>
      <c r="F1015" s="22"/>
      <c r="G1015" s="22"/>
      <c r="J1015" s="24">
        <v>50000</v>
      </c>
      <c r="M1015" s="24">
        <v>50000</v>
      </c>
      <c r="O1015" s="48" t="s">
        <v>97</v>
      </c>
      <c r="P1015" s="48">
        <f>HEX2DEC(RIGHT(Table1323212714[[#This Row],[h1]],8))</f>
        <v>0</v>
      </c>
      <c r="Q1015" s="48" t="s">
        <v>97</v>
      </c>
      <c r="R1015" s="48">
        <f>HEX2DEC(RIGHT(Table1323212714[[#This Row],[h2]],8))</f>
        <v>0</v>
      </c>
    </row>
    <row r="1016" spans="1:18" x14ac:dyDescent="0.3">
      <c r="A1016" s="15" t="str">
        <f t="shared" si="20"/>
        <v>3EE</v>
      </c>
      <c r="B1016" s="15">
        <v>1006</v>
      </c>
      <c r="C1016" s="42"/>
      <c r="F1016" s="22"/>
      <c r="G1016" s="22"/>
      <c r="J1016" s="24">
        <v>50000</v>
      </c>
      <c r="M1016" s="24">
        <v>50000</v>
      </c>
      <c r="O1016" s="48" t="s">
        <v>97</v>
      </c>
      <c r="P1016" s="48">
        <f>HEX2DEC(RIGHT(Table1323212714[[#This Row],[h1]],8))</f>
        <v>0</v>
      </c>
      <c r="Q1016" s="48" t="s">
        <v>97</v>
      </c>
      <c r="R1016" s="48">
        <f>HEX2DEC(RIGHT(Table1323212714[[#This Row],[h2]],8))</f>
        <v>0</v>
      </c>
    </row>
    <row r="1017" spans="1:18" x14ac:dyDescent="0.3">
      <c r="A1017" s="15" t="str">
        <f t="shared" si="20"/>
        <v>3EF</v>
      </c>
      <c r="B1017" s="15">
        <v>1007</v>
      </c>
      <c r="C1017" s="42"/>
      <c r="F1017" s="22"/>
      <c r="G1017" s="22"/>
      <c r="J1017" s="24">
        <v>50000</v>
      </c>
      <c r="M1017" s="24">
        <v>50000</v>
      </c>
      <c r="O1017" s="48" t="s">
        <v>97</v>
      </c>
      <c r="P1017" s="48">
        <f>HEX2DEC(RIGHT(Table1323212714[[#This Row],[h1]],8))</f>
        <v>0</v>
      </c>
      <c r="Q1017" s="48" t="s">
        <v>97</v>
      </c>
      <c r="R1017" s="48">
        <f>HEX2DEC(RIGHT(Table1323212714[[#This Row],[h2]],8))</f>
        <v>0</v>
      </c>
    </row>
    <row r="1018" spans="1:18" x14ac:dyDescent="0.3">
      <c r="A1018" s="15" t="str">
        <f t="shared" si="20"/>
        <v>3F0</v>
      </c>
      <c r="B1018" s="15">
        <v>1008</v>
      </c>
      <c r="C1018" s="42"/>
      <c r="F1018" s="22"/>
      <c r="G1018" s="22"/>
      <c r="J1018" s="24">
        <v>50000</v>
      </c>
      <c r="M1018" s="24">
        <v>50000</v>
      </c>
      <c r="O1018" s="48" t="s">
        <v>97</v>
      </c>
      <c r="P1018" s="48">
        <f>HEX2DEC(RIGHT(Table1323212714[[#This Row],[h1]],8))</f>
        <v>0</v>
      </c>
      <c r="Q1018" s="48" t="s">
        <v>97</v>
      </c>
      <c r="R1018" s="48">
        <f>HEX2DEC(RIGHT(Table1323212714[[#This Row],[h2]],8))</f>
        <v>0</v>
      </c>
    </row>
    <row r="1019" spans="1:18" x14ac:dyDescent="0.3">
      <c r="A1019" s="15" t="str">
        <f t="shared" si="20"/>
        <v>3F1</v>
      </c>
      <c r="B1019" s="15">
        <v>1009</v>
      </c>
      <c r="C1019" s="42"/>
      <c r="F1019" s="22"/>
      <c r="G1019" s="22"/>
      <c r="J1019" s="24">
        <v>50000</v>
      </c>
      <c r="M1019" s="24">
        <v>50000</v>
      </c>
      <c r="O1019" s="48" t="s">
        <v>97</v>
      </c>
      <c r="P1019" s="48">
        <f>HEX2DEC(RIGHT(Table1323212714[[#This Row],[h1]],8))</f>
        <v>0</v>
      </c>
      <c r="Q1019" s="48" t="s">
        <v>97</v>
      </c>
      <c r="R1019" s="48">
        <f>HEX2DEC(RIGHT(Table1323212714[[#This Row],[h2]],8))</f>
        <v>0</v>
      </c>
    </row>
    <row r="1020" spans="1:18" x14ac:dyDescent="0.3">
      <c r="A1020" s="15" t="str">
        <f t="shared" si="20"/>
        <v>3F2</v>
      </c>
      <c r="B1020" s="15">
        <v>1010</v>
      </c>
      <c r="C1020" s="42"/>
      <c r="F1020" s="22"/>
      <c r="G1020" s="22"/>
      <c r="J1020" s="24">
        <v>50000</v>
      </c>
      <c r="M1020" s="24">
        <v>50000</v>
      </c>
      <c r="O1020" s="48" t="s">
        <v>97</v>
      </c>
      <c r="P1020" s="48">
        <f>HEX2DEC(RIGHT(Table1323212714[[#This Row],[h1]],8))</f>
        <v>0</v>
      </c>
      <c r="Q1020" s="48" t="s">
        <v>97</v>
      </c>
      <c r="R1020" s="48">
        <f>HEX2DEC(RIGHT(Table1323212714[[#This Row],[h2]],8))</f>
        <v>0</v>
      </c>
    </row>
    <row r="1021" spans="1:18" x14ac:dyDescent="0.3">
      <c r="A1021" s="15" t="str">
        <f t="shared" si="20"/>
        <v>3F3</v>
      </c>
      <c r="B1021" s="15">
        <v>1011</v>
      </c>
      <c r="C1021" s="42"/>
      <c r="F1021" s="22"/>
      <c r="G1021" s="22"/>
      <c r="J1021" s="24">
        <v>50000</v>
      </c>
      <c r="M1021" s="24">
        <v>50000</v>
      </c>
      <c r="O1021" s="48" t="s">
        <v>97</v>
      </c>
      <c r="P1021" s="48">
        <f>HEX2DEC(RIGHT(Table1323212714[[#This Row],[h1]],8))</f>
        <v>0</v>
      </c>
      <c r="Q1021" s="48" t="s">
        <v>97</v>
      </c>
      <c r="R1021" s="48">
        <f>HEX2DEC(RIGHT(Table1323212714[[#This Row],[h2]],8))</f>
        <v>0</v>
      </c>
    </row>
    <row r="1022" spans="1:18" x14ac:dyDescent="0.3">
      <c r="A1022" s="15" t="str">
        <f t="shared" si="20"/>
        <v>3F4</v>
      </c>
      <c r="B1022" s="15">
        <v>1012</v>
      </c>
      <c r="C1022" s="42"/>
      <c r="F1022" s="22"/>
      <c r="G1022" s="22"/>
      <c r="J1022" s="24">
        <v>50000</v>
      </c>
      <c r="M1022" s="24">
        <v>50000</v>
      </c>
      <c r="O1022" s="48" t="s">
        <v>97</v>
      </c>
      <c r="P1022" s="48">
        <f>HEX2DEC(RIGHT(Table1323212714[[#This Row],[h1]],8))</f>
        <v>0</v>
      </c>
      <c r="Q1022" s="48" t="s">
        <v>97</v>
      </c>
      <c r="R1022" s="48">
        <f>HEX2DEC(RIGHT(Table1323212714[[#This Row],[h2]],8))</f>
        <v>0</v>
      </c>
    </row>
    <row r="1023" spans="1:18" x14ac:dyDescent="0.3">
      <c r="A1023" s="15" t="str">
        <f t="shared" si="20"/>
        <v>3F5</v>
      </c>
      <c r="B1023" s="15">
        <v>1013</v>
      </c>
      <c r="C1023" s="42"/>
      <c r="F1023" s="22"/>
      <c r="G1023" s="22"/>
      <c r="J1023" s="24">
        <v>50000</v>
      </c>
      <c r="M1023" s="24">
        <v>50000</v>
      </c>
      <c r="O1023" s="48" t="s">
        <v>97</v>
      </c>
      <c r="P1023" s="48">
        <f>HEX2DEC(RIGHT(Table1323212714[[#This Row],[h1]],8))</f>
        <v>0</v>
      </c>
      <c r="Q1023" s="48" t="s">
        <v>97</v>
      </c>
      <c r="R1023" s="48">
        <f>HEX2DEC(RIGHT(Table1323212714[[#This Row],[h2]],8))</f>
        <v>0</v>
      </c>
    </row>
    <row r="1024" spans="1:18" x14ac:dyDescent="0.3">
      <c r="A1024" s="15" t="str">
        <f t="shared" si="20"/>
        <v>3F6</v>
      </c>
      <c r="B1024" s="15">
        <v>1014</v>
      </c>
      <c r="C1024" s="42"/>
      <c r="F1024" s="22"/>
      <c r="G1024" s="22"/>
      <c r="J1024" s="24">
        <v>50000</v>
      </c>
      <c r="M1024" s="24">
        <v>50000</v>
      </c>
      <c r="O1024" s="48" t="s">
        <v>97</v>
      </c>
      <c r="P1024" s="48">
        <f>HEX2DEC(RIGHT(Table1323212714[[#This Row],[h1]],8))</f>
        <v>0</v>
      </c>
      <c r="Q1024" s="48" t="s">
        <v>97</v>
      </c>
      <c r="R1024" s="48">
        <f>HEX2DEC(RIGHT(Table1323212714[[#This Row],[h2]],8))</f>
        <v>0</v>
      </c>
    </row>
    <row r="1025" spans="1:18" x14ac:dyDescent="0.3">
      <c r="A1025" s="15" t="str">
        <f t="shared" si="20"/>
        <v>3F7</v>
      </c>
      <c r="B1025" s="15">
        <v>1015</v>
      </c>
      <c r="C1025" s="42"/>
      <c r="F1025" s="22"/>
      <c r="G1025" s="22"/>
      <c r="J1025" s="24">
        <v>50000</v>
      </c>
      <c r="M1025" s="24">
        <v>50000</v>
      </c>
      <c r="O1025" s="48" t="s">
        <v>97</v>
      </c>
      <c r="P1025" s="48">
        <f>HEX2DEC(RIGHT(Table1323212714[[#This Row],[h1]],8))</f>
        <v>0</v>
      </c>
      <c r="Q1025" s="48" t="s">
        <v>97</v>
      </c>
      <c r="R1025" s="48">
        <f>HEX2DEC(RIGHT(Table1323212714[[#This Row],[h2]],8))</f>
        <v>0</v>
      </c>
    </row>
    <row r="1026" spans="1:18" x14ac:dyDescent="0.3">
      <c r="A1026" s="15" t="str">
        <f t="shared" si="20"/>
        <v>3F8</v>
      </c>
      <c r="B1026" s="15">
        <v>1016</v>
      </c>
      <c r="C1026" s="42"/>
      <c r="F1026" s="22"/>
      <c r="G1026" s="22"/>
      <c r="J1026" s="24">
        <v>50000</v>
      </c>
      <c r="M1026" s="24">
        <v>50000</v>
      </c>
      <c r="O1026" s="48" t="s">
        <v>97</v>
      </c>
      <c r="P1026" s="48">
        <f>HEX2DEC(RIGHT(Table1323212714[[#This Row],[h1]],8))</f>
        <v>0</v>
      </c>
      <c r="Q1026" s="48" t="s">
        <v>97</v>
      </c>
      <c r="R1026" s="48">
        <f>HEX2DEC(RIGHT(Table1323212714[[#This Row],[h2]],8))</f>
        <v>0</v>
      </c>
    </row>
    <row r="1027" spans="1:18" x14ac:dyDescent="0.3">
      <c r="A1027" s="15" t="str">
        <f t="shared" si="20"/>
        <v>3F9</v>
      </c>
      <c r="B1027" s="15">
        <v>1017</v>
      </c>
      <c r="C1027" s="42"/>
      <c r="F1027" s="22"/>
      <c r="G1027" s="22"/>
      <c r="J1027" s="24">
        <v>50000</v>
      </c>
      <c r="M1027" s="24">
        <v>50000</v>
      </c>
      <c r="O1027" s="48" t="s">
        <v>97</v>
      </c>
      <c r="P1027" s="48">
        <f>HEX2DEC(RIGHT(Table1323212714[[#This Row],[h1]],8))</f>
        <v>0</v>
      </c>
      <c r="Q1027" s="48" t="s">
        <v>97</v>
      </c>
      <c r="R1027" s="48">
        <f>HEX2DEC(RIGHT(Table1323212714[[#This Row],[h2]],8))</f>
        <v>0</v>
      </c>
    </row>
    <row r="1028" spans="1:18" x14ac:dyDescent="0.3">
      <c r="A1028" s="15" t="str">
        <f t="shared" si="20"/>
        <v>3FA</v>
      </c>
      <c r="B1028" s="15">
        <v>1018</v>
      </c>
      <c r="C1028" s="42"/>
      <c r="F1028" s="22"/>
      <c r="G1028" s="22"/>
      <c r="J1028" s="24">
        <v>50000</v>
      </c>
      <c r="M1028" s="24">
        <v>50000</v>
      </c>
      <c r="O1028" s="48" t="s">
        <v>97</v>
      </c>
      <c r="P1028" s="48">
        <f>HEX2DEC(RIGHT(Table1323212714[[#This Row],[h1]],8))</f>
        <v>0</v>
      </c>
      <c r="Q1028" s="48" t="s">
        <v>97</v>
      </c>
      <c r="R1028" s="48">
        <f>HEX2DEC(RIGHT(Table1323212714[[#This Row],[h2]],8))</f>
        <v>0</v>
      </c>
    </row>
    <row r="1029" spans="1:18" x14ac:dyDescent="0.3">
      <c r="A1029" s="15" t="str">
        <f t="shared" si="20"/>
        <v>3FB</v>
      </c>
      <c r="B1029" s="15">
        <v>1019</v>
      </c>
      <c r="C1029" s="42"/>
      <c r="F1029" s="22"/>
      <c r="G1029" s="22"/>
      <c r="J1029" s="24">
        <v>50000</v>
      </c>
      <c r="M1029" s="24">
        <v>50000</v>
      </c>
      <c r="O1029" s="48" t="s">
        <v>97</v>
      </c>
      <c r="P1029" s="48">
        <f>HEX2DEC(RIGHT(Table1323212714[[#This Row],[h1]],8))</f>
        <v>0</v>
      </c>
      <c r="Q1029" s="48" t="s">
        <v>97</v>
      </c>
      <c r="R1029" s="48">
        <f>HEX2DEC(RIGHT(Table1323212714[[#This Row],[h2]],8))</f>
        <v>0</v>
      </c>
    </row>
    <row r="1030" spans="1:18" x14ac:dyDescent="0.3">
      <c r="A1030" s="15" t="str">
        <f t="shared" si="20"/>
        <v>3FC</v>
      </c>
      <c r="B1030" s="15">
        <v>1020</v>
      </c>
      <c r="C1030" s="42"/>
      <c r="F1030" s="22"/>
      <c r="G1030" s="22"/>
      <c r="J1030" s="24">
        <v>50000</v>
      </c>
      <c r="M1030" s="24">
        <v>50000</v>
      </c>
      <c r="O1030" s="48" t="s">
        <v>97</v>
      </c>
      <c r="P1030" s="48">
        <f>HEX2DEC(RIGHT(Table1323212714[[#This Row],[h1]],8))</f>
        <v>0</v>
      </c>
      <c r="Q1030" s="48" t="s">
        <v>97</v>
      </c>
      <c r="R1030" s="48">
        <f>HEX2DEC(RIGHT(Table1323212714[[#This Row],[h2]],8))</f>
        <v>0</v>
      </c>
    </row>
    <row r="1031" spans="1:18" x14ac:dyDescent="0.3">
      <c r="A1031" s="15" t="str">
        <f t="shared" si="20"/>
        <v>3FD</v>
      </c>
      <c r="B1031" s="15">
        <v>1021</v>
      </c>
      <c r="C1031" s="42"/>
      <c r="F1031" s="22"/>
      <c r="G1031" s="22"/>
      <c r="J1031" s="24">
        <v>50000</v>
      </c>
      <c r="M1031" s="24">
        <v>50000</v>
      </c>
      <c r="O1031" s="48" t="s">
        <v>97</v>
      </c>
      <c r="P1031" s="48">
        <f>HEX2DEC(RIGHT(Table1323212714[[#This Row],[h1]],8))</f>
        <v>0</v>
      </c>
      <c r="Q1031" s="48" t="s">
        <v>97</v>
      </c>
      <c r="R1031" s="48">
        <f>HEX2DEC(RIGHT(Table1323212714[[#This Row],[h2]],8))</f>
        <v>0</v>
      </c>
    </row>
    <row r="1032" spans="1:18" x14ac:dyDescent="0.3">
      <c r="A1032" s="15" t="str">
        <f t="shared" si="20"/>
        <v>3FE</v>
      </c>
      <c r="B1032" s="15">
        <v>1022</v>
      </c>
      <c r="C1032" s="42"/>
      <c r="F1032" s="22"/>
      <c r="G1032" s="22"/>
      <c r="J1032" s="24">
        <v>50000</v>
      </c>
      <c r="M1032" s="24">
        <v>50000</v>
      </c>
      <c r="O1032" s="48" t="s">
        <v>97</v>
      </c>
      <c r="P1032" s="48">
        <f>HEX2DEC(RIGHT(Table1323212714[[#This Row],[h1]],8))</f>
        <v>0</v>
      </c>
      <c r="Q1032" s="48" t="s">
        <v>97</v>
      </c>
      <c r="R1032" s="48">
        <f>HEX2DEC(RIGHT(Table1323212714[[#This Row],[h2]],8))</f>
        <v>0</v>
      </c>
    </row>
    <row r="1033" spans="1:18" x14ac:dyDescent="0.3">
      <c r="A1033" s="15" t="str">
        <f t="shared" si="20"/>
        <v>3FF</v>
      </c>
      <c r="B1033" s="15">
        <v>1023</v>
      </c>
      <c r="C1033" s="42"/>
      <c r="F1033" s="22"/>
      <c r="G1033" s="22"/>
      <c r="J1033" s="24">
        <v>50000</v>
      </c>
      <c r="M1033" s="24">
        <v>50000</v>
      </c>
      <c r="O1033" s="48" t="s">
        <v>97</v>
      </c>
      <c r="P1033" s="48">
        <f>HEX2DEC(RIGHT(Table1323212714[[#This Row],[h1]],8))</f>
        <v>0</v>
      </c>
      <c r="Q1033" s="48" t="s">
        <v>97</v>
      </c>
      <c r="R1033" s="48">
        <f>HEX2DEC(RIGHT(Table1323212714[[#This Row],[h2]],8))</f>
        <v>0</v>
      </c>
    </row>
    <row r="1034" spans="1:18" x14ac:dyDescent="0.3">
      <c r="A1034" s="15" t="str">
        <f t="shared" si="20"/>
        <v>400</v>
      </c>
      <c r="B1034" s="15">
        <v>1024</v>
      </c>
      <c r="C1034" s="42"/>
      <c r="F1034" s="22"/>
      <c r="G1034" s="22"/>
      <c r="J1034" s="24">
        <v>50000</v>
      </c>
      <c r="M1034" s="24">
        <v>50000</v>
      </c>
      <c r="O1034" s="48" t="s">
        <v>97</v>
      </c>
      <c r="P1034" s="48">
        <f>HEX2DEC(RIGHT(Table1323212714[[#This Row],[h1]],8))</f>
        <v>0</v>
      </c>
      <c r="Q1034" s="48" t="s">
        <v>97</v>
      </c>
      <c r="R1034" s="48">
        <f>HEX2DEC(RIGHT(Table1323212714[[#This Row],[h2]],8))</f>
        <v>0</v>
      </c>
    </row>
    <row r="1035" spans="1:18" x14ac:dyDescent="0.3">
      <c r="A1035" s="15" t="str">
        <f t="shared" ref="A1035:A1098" si="21">DEC2HEX(B1035,3)</f>
        <v>401</v>
      </c>
      <c r="B1035" s="15">
        <v>1025</v>
      </c>
      <c r="C1035" s="42"/>
      <c r="F1035" s="22"/>
      <c r="G1035" s="22"/>
      <c r="J1035" s="24">
        <v>50000</v>
      </c>
      <c r="M1035" s="24">
        <v>50000</v>
      </c>
      <c r="O1035" s="48" t="s">
        <v>97</v>
      </c>
      <c r="P1035" s="48">
        <f>HEX2DEC(RIGHT(Table1323212714[[#This Row],[h1]],8))</f>
        <v>0</v>
      </c>
      <c r="Q1035" s="48" t="s">
        <v>97</v>
      </c>
      <c r="R1035" s="48">
        <f>HEX2DEC(RIGHT(Table1323212714[[#This Row],[h2]],8))</f>
        <v>0</v>
      </c>
    </row>
    <row r="1036" spans="1:18" x14ac:dyDescent="0.3">
      <c r="A1036" s="15" t="str">
        <f t="shared" si="21"/>
        <v>402</v>
      </c>
      <c r="B1036" s="15">
        <v>1026</v>
      </c>
      <c r="C1036" s="42"/>
      <c r="F1036" s="22"/>
      <c r="G1036" s="22"/>
      <c r="J1036" s="24">
        <v>50000</v>
      </c>
      <c r="M1036" s="24">
        <v>50000</v>
      </c>
      <c r="O1036" s="48" t="s">
        <v>97</v>
      </c>
      <c r="P1036" s="48">
        <f>HEX2DEC(RIGHT(Table1323212714[[#This Row],[h1]],8))</f>
        <v>0</v>
      </c>
      <c r="Q1036" s="48" t="s">
        <v>97</v>
      </c>
      <c r="R1036" s="48">
        <f>HEX2DEC(RIGHT(Table1323212714[[#This Row],[h2]],8))</f>
        <v>0</v>
      </c>
    </row>
    <row r="1037" spans="1:18" x14ac:dyDescent="0.3">
      <c r="A1037" s="15" t="str">
        <f t="shared" si="21"/>
        <v>403</v>
      </c>
      <c r="B1037" s="15">
        <v>1027</v>
      </c>
      <c r="C1037" s="42"/>
      <c r="F1037" s="22"/>
      <c r="G1037" s="22"/>
      <c r="J1037" s="24">
        <v>50000</v>
      </c>
      <c r="M1037" s="24">
        <v>50000</v>
      </c>
      <c r="O1037" s="48" t="s">
        <v>97</v>
      </c>
      <c r="P1037" s="48">
        <f>HEX2DEC(RIGHT(Table1323212714[[#This Row],[h1]],8))</f>
        <v>0</v>
      </c>
      <c r="Q1037" s="48" t="s">
        <v>97</v>
      </c>
      <c r="R1037" s="48">
        <f>HEX2DEC(RIGHT(Table1323212714[[#This Row],[h2]],8))</f>
        <v>0</v>
      </c>
    </row>
    <row r="1038" spans="1:18" x14ac:dyDescent="0.3">
      <c r="A1038" s="15" t="str">
        <f t="shared" si="21"/>
        <v>404</v>
      </c>
      <c r="B1038" s="15">
        <v>1028</v>
      </c>
      <c r="C1038" s="42"/>
      <c r="F1038" s="22"/>
      <c r="G1038" s="22"/>
      <c r="J1038" s="24">
        <v>50000</v>
      </c>
      <c r="M1038" s="24">
        <v>50000</v>
      </c>
      <c r="O1038" s="48" t="s">
        <v>97</v>
      </c>
      <c r="P1038" s="48">
        <f>HEX2DEC(RIGHT(Table1323212714[[#This Row],[h1]],8))</f>
        <v>0</v>
      </c>
      <c r="Q1038" s="48" t="s">
        <v>97</v>
      </c>
      <c r="R1038" s="48">
        <f>HEX2DEC(RIGHT(Table1323212714[[#This Row],[h2]],8))</f>
        <v>0</v>
      </c>
    </row>
    <row r="1039" spans="1:18" x14ac:dyDescent="0.3">
      <c r="A1039" s="15" t="str">
        <f t="shared" si="21"/>
        <v>405</v>
      </c>
      <c r="B1039" s="15">
        <v>1029</v>
      </c>
      <c r="C1039" s="42"/>
      <c r="F1039" s="22"/>
      <c r="G1039" s="22"/>
      <c r="J1039" s="24">
        <v>50000</v>
      </c>
      <c r="M1039" s="24">
        <v>50000</v>
      </c>
      <c r="O1039" s="48" t="s">
        <v>97</v>
      </c>
      <c r="P1039" s="48">
        <f>HEX2DEC(RIGHT(Table1323212714[[#This Row],[h1]],8))</f>
        <v>0</v>
      </c>
      <c r="Q1039" s="48" t="s">
        <v>97</v>
      </c>
      <c r="R1039" s="48">
        <f>HEX2DEC(RIGHT(Table1323212714[[#This Row],[h2]],8))</f>
        <v>0</v>
      </c>
    </row>
    <row r="1040" spans="1:18" x14ac:dyDescent="0.3">
      <c r="A1040" s="15" t="str">
        <f t="shared" si="21"/>
        <v>406</v>
      </c>
      <c r="B1040" s="15">
        <v>1030</v>
      </c>
      <c r="C1040" s="42"/>
      <c r="F1040" s="22"/>
      <c r="G1040" s="22"/>
      <c r="J1040" s="24">
        <v>50000</v>
      </c>
      <c r="M1040" s="24">
        <v>50000</v>
      </c>
      <c r="O1040" s="48" t="s">
        <v>97</v>
      </c>
      <c r="P1040" s="48">
        <f>HEX2DEC(RIGHT(Table1323212714[[#This Row],[h1]],8))</f>
        <v>0</v>
      </c>
      <c r="Q1040" s="48" t="s">
        <v>97</v>
      </c>
      <c r="R1040" s="48">
        <f>HEX2DEC(RIGHT(Table1323212714[[#This Row],[h2]],8))</f>
        <v>0</v>
      </c>
    </row>
    <row r="1041" spans="1:18" x14ac:dyDescent="0.3">
      <c r="A1041" s="15" t="str">
        <f t="shared" si="21"/>
        <v>407</v>
      </c>
      <c r="B1041" s="15">
        <v>1031</v>
      </c>
      <c r="C1041" s="42"/>
      <c r="F1041" s="22"/>
      <c r="G1041" s="22"/>
      <c r="J1041" s="24">
        <v>50000</v>
      </c>
      <c r="M1041" s="24">
        <v>50000</v>
      </c>
      <c r="O1041" s="48" t="s">
        <v>97</v>
      </c>
      <c r="P1041" s="48">
        <f>HEX2DEC(RIGHT(Table1323212714[[#This Row],[h1]],8))</f>
        <v>0</v>
      </c>
      <c r="Q1041" s="48" t="s">
        <v>97</v>
      </c>
      <c r="R1041" s="48">
        <f>HEX2DEC(RIGHT(Table1323212714[[#This Row],[h2]],8))</f>
        <v>0</v>
      </c>
    </row>
    <row r="1042" spans="1:18" x14ac:dyDescent="0.3">
      <c r="A1042" s="15" t="str">
        <f t="shared" si="21"/>
        <v>408</v>
      </c>
      <c r="B1042" s="15">
        <v>1032</v>
      </c>
      <c r="C1042" s="42"/>
      <c r="F1042" s="22"/>
      <c r="G1042" s="22"/>
      <c r="J1042" s="24">
        <v>50000</v>
      </c>
      <c r="M1042" s="24">
        <v>50000</v>
      </c>
      <c r="O1042" s="48" t="s">
        <v>97</v>
      </c>
      <c r="P1042" s="48">
        <f>HEX2DEC(RIGHT(Table1323212714[[#This Row],[h1]],8))</f>
        <v>0</v>
      </c>
      <c r="Q1042" s="48" t="s">
        <v>97</v>
      </c>
      <c r="R1042" s="48">
        <f>HEX2DEC(RIGHT(Table1323212714[[#This Row],[h2]],8))</f>
        <v>0</v>
      </c>
    </row>
    <row r="1043" spans="1:18" x14ac:dyDescent="0.3">
      <c r="A1043" s="15" t="str">
        <f t="shared" si="21"/>
        <v>409</v>
      </c>
      <c r="B1043" s="15">
        <v>1033</v>
      </c>
      <c r="C1043" s="42"/>
      <c r="F1043" s="22"/>
      <c r="G1043" s="22"/>
      <c r="J1043" s="24">
        <v>50000</v>
      </c>
      <c r="M1043" s="24">
        <v>50000</v>
      </c>
      <c r="O1043" s="48" t="s">
        <v>97</v>
      </c>
      <c r="P1043" s="48">
        <f>HEX2DEC(RIGHT(Table1323212714[[#This Row],[h1]],8))</f>
        <v>0</v>
      </c>
      <c r="Q1043" s="48" t="s">
        <v>97</v>
      </c>
      <c r="R1043" s="48">
        <f>HEX2DEC(RIGHT(Table1323212714[[#This Row],[h2]],8))</f>
        <v>0</v>
      </c>
    </row>
    <row r="1044" spans="1:18" x14ac:dyDescent="0.3">
      <c r="A1044" s="15" t="str">
        <f t="shared" si="21"/>
        <v>40A</v>
      </c>
      <c r="B1044" s="15">
        <v>1034</v>
      </c>
      <c r="C1044" s="42"/>
      <c r="F1044" s="22"/>
      <c r="G1044" s="22"/>
      <c r="J1044" s="24">
        <v>50000</v>
      </c>
      <c r="M1044" s="24">
        <v>50000</v>
      </c>
      <c r="O1044" s="48" t="s">
        <v>97</v>
      </c>
      <c r="P1044" s="48">
        <f>HEX2DEC(RIGHT(Table1323212714[[#This Row],[h1]],8))</f>
        <v>0</v>
      </c>
      <c r="Q1044" s="48" t="s">
        <v>97</v>
      </c>
      <c r="R1044" s="48">
        <f>HEX2DEC(RIGHT(Table1323212714[[#This Row],[h2]],8))</f>
        <v>0</v>
      </c>
    </row>
    <row r="1045" spans="1:18" x14ac:dyDescent="0.3">
      <c r="A1045" s="15" t="str">
        <f t="shared" si="21"/>
        <v>40B</v>
      </c>
      <c r="B1045" s="15">
        <v>1035</v>
      </c>
      <c r="C1045" s="42"/>
      <c r="F1045" s="22"/>
      <c r="G1045" s="22"/>
      <c r="J1045" s="24">
        <v>50000</v>
      </c>
      <c r="M1045" s="24">
        <v>50000</v>
      </c>
      <c r="O1045" s="48" t="s">
        <v>97</v>
      </c>
      <c r="P1045" s="48">
        <f>HEX2DEC(RIGHT(Table1323212714[[#This Row],[h1]],8))</f>
        <v>0</v>
      </c>
      <c r="Q1045" s="48" t="s">
        <v>97</v>
      </c>
      <c r="R1045" s="48">
        <f>HEX2DEC(RIGHT(Table1323212714[[#This Row],[h2]],8))</f>
        <v>0</v>
      </c>
    </row>
    <row r="1046" spans="1:18" x14ac:dyDescent="0.3">
      <c r="A1046" s="15" t="str">
        <f t="shared" si="21"/>
        <v>40C</v>
      </c>
      <c r="B1046" s="15">
        <v>1036</v>
      </c>
      <c r="C1046" s="42"/>
      <c r="F1046" s="22"/>
      <c r="G1046" s="22"/>
      <c r="J1046" s="24">
        <v>50000</v>
      </c>
      <c r="M1046" s="24">
        <v>50000</v>
      </c>
      <c r="O1046" s="48" t="s">
        <v>97</v>
      </c>
      <c r="P1046" s="48">
        <f>HEX2DEC(RIGHT(Table1323212714[[#This Row],[h1]],8))</f>
        <v>0</v>
      </c>
      <c r="Q1046" s="48" t="s">
        <v>97</v>
      </c>
      <c r="R1046" s="48">
        <f>HEX2DEC(RIGHT(Table1323212714[[#This Row],[h2]],8))</f>
        <v>0</v>
      </c>
    </row>
    <row r="1047" spans="1:18" x14ac:dyDescent="0.3">
      <c r="A1047" s="15" t="str">
        <f t="shared" si="21"/>
        <v>40D</v>
      </c>
      <c r="B1047" s="15">
        <v>1037</v>
      </c>
      <c r="C1047" s="42"/>
      <c r="F1047" s="22"/>
      <c r="G1047" s="22"/>
      <c r="J1047" s="24">
        <v>50000</v>
      </c>
      <c r="M1047" s="24">
        <v>50000</v>
      </c>
      <c r="O1047" s="48" t="s">
        <v>97</v>
      </c>
      <c r="P1047" s="48">
        <f>HEX2DEC(RIGHT(Table1323212714[[#This Row],[h1]],8))</f>
        <v>0</v>
      </c>
      <c r="Q1047" s="48" t="s">
        <v>97</v>
      </c>
      <c r="R1047" s="48">
        <f>HEX2DEC(RIGHT(Table1323212714[[#This Row],[h2]],8))</f>
        <v>0</v>
      </c>
    </row>
    <row r="1048" spans="1:18" x14ac:dyDescent="0.3">
      <c r="A1048" s="15" t="str">
        <f t="shared" si="21"/>
        <v>40E</v>
      </c>
      <c r="B1048" s="15">
        <v>1038</v>
      </c>
      <c r="C1048" s="42"/>
      <c r="F1048" s="22"/>
      <c r="G1048" s="22"/>
      <c r="J1048" s="24">
        <v>50000</v>
      </c>
      <c r="M1048" s="24">
        <v>50000</v>
      </c>
      <c r="O1048" s="48" t="s">
        <v>97</v>
      </c>
      <c r="P1048" s="48">
        <f>HEX2DEC(RIGHT(Table1323212714[[#This Row],[h1]],8))</f>
        <v>0</v>
      </c>
      <c r="Q1048" s="48" t="s">
        <v>97</v>
      </c>
      <c r="R1048" s="48">
        <f>HEX2DEC(RIGHT(Table1323212714[[#This Row],[h2]],8))</f>
        <v>0</v>
      </c>
    </row>
    <row r="1049" spans="1:18" x14ac:dyDescent="0.3">
      <c r="A1049" s="15" t="str">
        <f t="shared" si="21"/>
        <v>40F</v>
      </c>
      <c r="B1049" s="15">
        <v>1039</v>
      </c>
      <c r="C1049" s="42"/>
      <c r="F1049" s="22"/>
      <c r="G1049" s="22"/>
      <c r="J1049" s="24">
        <v>50000</v>
      </c>
      <c r="M1049" s="24">
        <v>50000</v>
      </c>
      <c r="O1049" s="48" t="s">
        <v>97</v>
      </c>
      <c r="P1049" s="48">
        <f>HEX2DEC(RIGHT(Table1323212714[[#This Row],[h1]],8))</f>
        <v>0</v>
      </c>
      <c r="Q1049" s="48" t="s">
        <v>97</v>
      </c>
      <c r="R1049" s="48">
        <f>HEX2DEC(RIGHT(Table1323212714[[#This Row],[h2]],8))</f>
        <v>0</v>
      </c>
    </row>
    <row r="1050" spans="1:18" x14ac:dyDescent="0.3">
      <c r="A1050" s="15" t="str">
        <f t="shared" si="21"/>
        <v>410</v>
      </c>
      <c r="B1050" s="15">
        <v>1040</v>
      </c>
      <c r="C1050" s="42"/>
      <c r="F1050" s="22"/>
      <c r="G1050" s="22"/>
      <c r="J1050" s="24">
        <v>50000</v>
      </c>
      <c r="M1050" s="24">
        <v>50000</v>
      </c>
      <c r="O1050" s="48" t="s">
        <v>97</v>
      </c>
      <c r="P1050" s="48">
        <f>HEX2DEC(RIGHT(Table1323212714[[#This Row],[h1]],8))</f>
        <v>0</v>
      </c>
      <c r="Q1050" s="48" t="s">
        <v>97</v>
      </c>
      <c r="R1050" s="48">
        <f>HEX2DEC(RIGHT(Table1323212714[[#This Row],[h2]],8))</f>
        <v>0</v>
      </c>
    </row>
    <row r="1051" spans="1:18" x14ac:dyDescent="0.3">
      <c r="A1051" s="15" t="str">
        <f t="shared" si="21"/>
        <v>411</v>
      </c>
      <c r="B1051" s="15">
        <v>1041</v>
      </c>
      <c r="C1051" s="42"/>
      <c r="F1051" s="22"/>
      <c r="G1051" s="22"/>
      <c r="J1051" s="24">
        <v>50000</v>
      </c>
      <c r="M1051" s="24">
        <v>50000</v>
      </c>
      <c r="O1051" s="48" t="s">
        <v>97</v>
      </c>
      <c r="P1051" s="48">
        <f>HEX2DEC(RIGHT(Table1323212714[[#This Row],[h1]],8))</f>
        <v>0</v>
      </c>
      <c r="Q1051" s="48" t="s">
        <v>97</v>
      </c>
      <c r="R1051" s="48">
        <f>HEX2DEC(RIGHT(Table1323212714[[#This Row],[h2]],8))</f>
        <v>0</v>
      </c>
    </row>
    <row r="1052" spans="1:18" x14ac:dyDescent="0.3">
      <c r="A1052" s="15" t="str">
        <f t="shared" si="21"/>
        <v>412</v>
      </c>
      <c r="B1052" s="15">
        <v>1042</v>
      </c>
      <c r="C1052" s="42"/>
      <c r="F1052" s="22"/>
      <c r="G1052" s="22"/>
      <c r="J1052" s="24">
        <v>50000</v>
      </c>
      <c r="M1052" s="24">
        <v>50000</v>
      </c>
      <c r="O1052" s="48" t="s">
        <v>97</v>
      </c>
      <c r="P1052" s="48">
        <f>HEX2DEC(RIGHT(Table1323212714[[#This Row],[h1]],8))</f>
        <v>0</v>
      </c>
      <c r="Q1052" s="48" t="s">
        <v>97</v>
      </c>
      <c r="R1052" s="48">
        <f>HEX2DEC(RIGHT(Table1323212714[[#This Row],[h2]],8))</f>
        <v>0</v>
      </c>
    </row>
    <row r="1053" spans="1:18" x14ac:dyDescent="0.3">
      <c r="A1053" s="15" t="str">
        <f t="shared" si="21"/>
        <v>413</v>
      </c>
      <c r="B1053" s="15">
        <v>1043</v>
      </c>
      <c r="C1053" s="42"/>
      <c r="F1053" s="22"/>
      <c r="G1053" s="22"/>
      <c r="J1053" s="24">
        <v>50000</v>
      </c>
      <c r="M1053" s="24">
        <v>50000</v>
      </c>
      <c r="O1053" s="48" t="s">
        <v>97</v>
      </c>
      <c r="P1053" s="48">
        <f>HEX2DEC(RIGHT(Table1323212714[[#This Row],[h1]],8))</f>
        <v>0</v>
      </c>
      <c r="Q1053" s="48" t="s">
        <v>97</v>
      </c>
      <c r="R1053" s="48">
        <f>HEX2DEC(RIGHT(Table1323212714[[#This Row],[h2]],8))</f>
        <v>0</v>
      </c>
    </row>
    <row r="1054" spans="1:18" x14ac:dyDescent="0.3">
      <c r="A1054" s="15" t="str">
        <f t="shared" si="21"/>
        <v>414</v>
      </c>
      <c r="B1054" s="15">
        <v>1044</v>
      </c>
      <c r="C1054" s="42"/>
      <c r="F1054" s="22"/>
      <c r="G1054" s="22"/>
      <c r="J1054" s="24">
        <v>50000</v>
      </c>
      <c r="M1054" s="24">
        <v>50000</v>
      </c>
      <c r="O1054" s="48" t="s">
        <v>97</v>
      </c>
      <c r="P1054" s="48">
        <f>HEX2DEC(RIGHT(Table1323212714[[#This Row],[h1]],8))</f>
        <v>0</v>
      </c>
      <c r="Q1054" s="48" t="s">
        <v>97</v>
      </c>
      <c r="R1054" s="48">
        <f>HEX2DEC(RIGHT(Table1323212714[[#This Row],[h2]],8))</f>
        <v>0</v>
      </c>
    </row>
    <row r="1055" spans="1:18" x14ac:dyDescent="0.3">
      <c r="A1055" s="15" t="str">
        <f t="shared" si="21"/>
        <v>415</v>
      </c>
      <c r="B1055" s="15">
        <v>1045</v>
      </c>
      <c r="C1055" s="42"/>
      <c r="F1055" s="22"/>
      <c r="G1055" s="22"/>
      <c r="J1055" s="24">
        <v>50000</v>
      </c>
      <c r="M1055" s="24">
        <v>50000</v>
      </c>
      <c r="O1055" s="48" t="s">
        <v>97</v>
      </c>
      <c r="P1055" s="48">
        <f>HEX2DEC(RIGHT(Table1323212714[[#This Row],[h1]],8))</f>
        <v>0</v>
      </c>
      <c r="Q1055" s="48" t="s">
        <v>97</v>
      </c>
      <c r="R1055" s="48">
        <f>HEX2DEC(RIGHT(Table1323212714[[#This Row],[h2]],8))</f>
        <v>0</v>
      </c>
    </row>
    <row r="1056" spans="1:18" x14ac:dyDescent="0.3">
      <c r="A1056" s="15" t="str">
        <f t="shared" si="21"/>
        <v>416</v>
      </c>
      <c r="B1056" s="15">
        <v>1046</v>
      </c>
      <c r="C1056" s="42"/>
      <c r="F1056" s="22"/>
      <c r="G1056" s="22"/>
      <c r="J1056" s="24">
        <v>50000</v>
      </c>
      <c r="M1056" s="24">
        <v>50000</v>
      </c>
      <c r="O1056" s="48" t="s">
        <v>97</v>
      </c>
      <c r="P1056" s="48">
        <f>HEX2DEC(RIGHT(Table1323212714[[#This Row],[h1]],8))</f>
        <v>0</v>
      </c>
      <c r="Q1056" s="48" t="s">
        <v>97</v>
      </c>
      <c r="R1056" s="48">
        <f>HEX2DEC(RIGHT(Table1323212714[[#This Row],[h2]],8))</f>
        <v>0</v>
      </c>
    </row>
    <row r="1057" spans="1:18" x14ac:dyDescent="0.3">
      <c r="A1057" s="15" t="str">
        <f t="shared" si="21"/>
        <v>417</v>
      </c>
      <c r="B1057" s="15">
        <v>1047</v>
      </c>
      <c r="C1057" s="42"/>
      <c r="F1057" s="22"/>
      <c r="G1057" s="22"/>
      <c r="J1057" s="24">
        <v>50000</v>
      </c>
      <c r="M1057" s="24">
        <v>50000</v>
      </c>
      <c r="O1057" s="48" t="s">
        <v>97</v>
      </c>
      <c r="P1057" s="48">
        <f>HEX2DEC(RIGHT(Table1323212714[[#This Row],[h1]],8))</f>
        <v>0</v>
      </c>
      <c r="Q1057" s="48" t="s">
        <v>97</v>
      </c>
      <c r="R1057" s="48">
        <f>HEX2DEC(RIGHT(Table1323212714[[#This Row],[h2]],8))</f>
        <v>0</v>
      </c>
    </row>
    <row r="1058" spans="1:18" x14ac:dyDescent="0.3">
      <c r="A1058" s="15" t="str">
        <f t="shared" si="21"/>
        <v>418</v>
      </c>
      <c r="B1058" s="15">
        <v>1048</v>
      </c>
      <c r="C1058" s="42"/>
      <c r="F1058" s="22"/>
      <c r="G1058" s="22"/>
      <c r="J1058" s="24">
        <v>50000</v>
      </c>
      <c r="M1058" s="24">
        <v>50000</v>
      </c>
      <c r="O1058" s="48" t="s">
        <v>97</v>
      </c>
      <c r="P1058" s="48">
        <f>HEX2DEC(RIGHT(Table1323212714[[#This Row],[h1]],8))</f>
        <v>0</v>
      </c>
      <c r="Q1058" s="48" t="s">
        <v>97</v>
      </c>
      <c r="R1058" s="48">
        <f>HEX2DEC(RIGHT(Table1323212714[[#This Row],[h2]],8))</f>
        <v>0</v>
      </c>
    </row>
    <row r="1059" spans="1:18" x14ac:dyDescent="0.3">
      <c r="A1059" s="15" t="str">
        <f t="shared" si="21"/>
        <v>419</v>
      </c>
      <c r="B1059" s="15">
        <v>1049</v>
      </c>
      <c r="C1059" s="42"/>
      <c r="F1059" s="22"/>
      <c r="G1059" s="22"/>
      <c r="J1059" s="24">
        <v>50000</v>
      </c>
      <c r="M1059" s="24">
        <v>50000</v>
      </c>
      <c r="O1059" s="48" t="s">
        <v>97</v>
      </c>
      <c r="P1059" s="48">
        <f>HEX2DEC(RIGHT(Table1323212714[[#This Row],[h1]],8))</f>
        <v>0</v>
      </c>
      <c r="Q1059" s="48" t="s">
        <v>97</v>
      </c>
      <c r="R1059" s="48">
        <f>HEX2DEC(RIGHT(Table1323212714[[#This Row],[h2]],8))</f>
        <v>0</v>
      </c>
    </row>
    <row r="1060" spans="1:18" x14ac:dyDescent="0.3">
      <c r="A1060" s="15" t="str">
        <f t="shared" si="21"/>
        <v>41A</v>
      </c>
      <c r="B1060" s="15">
        <v>1050</v>
      </c>
      <c r="C1060" s="42"/>
      <c r="F1060" s="22"/>
      <c r="G1060" s="22"/>
      <c r="J1060" s="24">
        <v>50000</v>
      </c>
      <c r="M1060" s="24">
        <v>50000</v>
      </c>
      <c r="O1060" s="48" t="s">
        <v>97</v>
      </c>
      <c r="P1060" s="48">
        <f>HEX2DEC(RIGHT(Table1323212714[[#This Row],[h1]],8))</f>
        <v>0</v>
      </c>
      <c r="Q1060" s="48" t="s">
        <v>97</v>
      </c>
      <c r="R1060" s="48">
        <f>HEX2DEC(RIGHT(Table1323212714[[#This Row],[h2]],8))</f>
        <v>0</v>
      </c>
    </row>
    <row r="1061" spans="1:18" x14ac:dyDescent="0.3">
      <c r="A1061" s="15" t="str">
        <f t="shared" si="21"/>
        <v>41B</v>
      </c>
      <c r="B1061" s="15">
        <v>1051</v>
      </c>
      <c r="C1061" s="42"/>
      <c r="F1061" s="22"/>
      <c r="G1061" s="22"/>
      <c r="J1061" s="24">
        <v>50000</v>
      </c>
      <c r="M1061" s="24">
        <v>50000</v>
      </c>
      <c r="O1061" s="48" t="s">
        <v>97</v>
      </c>
      <c r="P1061" s="48">
        <f>HEX2DEC(RIGHT(Table1323212714[[#This Row],[h1]],8))</f>
        <v>0</v>
      </c>
      <c r="Q1061" s="48" t="s">
        <v>97</v>
      </c>
      <c r="R1061" s="48">
        <f>HEX2DEC(RIGHT(Table1323212714[[#This Row],[h2]],8))</f>
        <v>0</v>
      </c>
    </row>
    <row r="1062" spans="1:18" x14ac:dyDescent="0.3">
      <c r="A1062" s="15" t="str">
        <f t="shared" si="21"/>
        <v>41C</v>
      </c>
      <c r="B1062" s="15">
        <v>1052</v>
      </c>
      <c r="C1062" s="42"/>
      <c r="F1062" s="22"/>
      <c r="G1062" s="22"/>
      <c r="J1062" s="24">
        <v>50000</v>
      </c>
      <c r="M1062" s="24">
        <v>50000</v>
      </c>
      <c r="O1062" s="48" t="s">
        <v>97</v>
      </c>
      <c r="P1062" s="48">
        <f>HEX2DEC(RIGHT(Table1323212714[[#This Row],[h1]],8))</f>
        <v>0</v>
      </c>
      <c r="Q1062" s="48" t="s">
        <v>97</v>
      </c>
      <c r="R1062" s="48">
        <f>HEX2DEC(RIGHT(Table1323212714[[#This Row],[h2]],8))</f>
        <v>0</v>
      </c>
    </row>
    <row r="1063" spans="1:18" x14ac:dyDescent="0.3">
      <c r="A1063" s="15" t="str">
        <f t="shared" si="21"/>
        <v>41D</v>
      </c>
      <c r="B1063" s="15">
        <v>1053</v>
      </c>
      <c r="C1063" s="42"/>
      <c r="F1063" s="22"/>
      <c r="G1063" s="22"/>
      <c r="J1063" s="24">
        <v>50000</v>
      </c>
      <c r="M1063" s="24">
        <v>50000</v>
      </c>
      <c r="O1063" s="48" t="s">
        <v>97</v>
      </c>
      <c r="P1063" s="48">
        <f>HEX2DEC(RIGHT(Table1323212714[[#This Row],[h1]],8))</f>
        <v>0</v>
      </c>
      <c r="Q1063" s="48" t="s">
        <v>97</v>
      </c>
      <c r="R1063" s="48">
        <f>HEX2DEC(RIGHT(Table1323212714[[#This Row],[h2]],8))</f>
        <v>0</v>
      </c>
    </row>
    <row r="1064" spans="1:18" x14ac:dyDescent="0.3">
      <c r="A1064" s="15" t="str">
        <f t="shared" si="21"/>
        <v>41E</v>
      </c>
      <c r="B1064" s="15">
        <v>1054</v>
      </c>
      <c r="C1064" s="42"/>
      <c r="F1064" s="22"/>
      <c r="G1064" s="22"/>
      <c r="J1064" s="24">
        <v>50000</v>
      </c>
      <c r="M1064" s="24">
        <v>50000</v>
      </c>
      <c r="O1064" s="48" t="s">
        <v>97</v>
      </c>
      <c r="P1064" s="48">
        <f>HEX2DEC(RIGHT(Table1323212714[[#This Row],[h1]],8))</f>
        <v>0</v>
      </c>
      <c r="Q1064" s="48" t="s">
        <v>97</v>
      </c>
      <c r="R1064" s="48">
        <f>HEX2DEC(RIGHT(Table1323212714[[#This Row],[h2]],8))</f>
        <v>0</v>
      </c>
    </row>
    <row r="1065" spans="1:18" x14ac:dyDescent="0.3">
      <c r="A1065" s="15" t="str">
        <f t="shared" si="21"/>
        <v>41F</v>
      </c>
      <c r="B1065" s="15">
        <v>1055</v>
      </c>
      <c r="C1065" s="42"/>
      <c r="F1065" s="22"/>
      <c r="G1065" s="22"/>
      <c r="J1065" s="24">
        <v>50000</v>
      </c>
      <c r="M1065" s="24">
        <v>50000</v>
      </c>
      <c r="O1065" s="48" t="s">
        <v>97</v>
      </c>
      <c r="P1065" s="48">
        <f>HEX2DEC(RIGHT(Table1323212714[[#This Row],[h1]],8))</f>
        <v>0</v>
      </c>
      <c r="Q1065" s="48" t="s">
        <v>97</v>
      </c>
      <c r="R1065" s="48">
        <f>HEX2DEC(RIGHT(Table1323212714[[#This Row],[h2]],8))</f>
        <v>0</v>
      </c>
    </row>
    <row r="1066" spans="1:18" x14ac:dyDescent="0.3">
      <c r="A1066" s="15" t="str">
        <f t="shared" si="21"/>
        <v>420</v>
      </c>
      <c r="B1066" s="15">
        <v>1056</v>
      </c>
      <c r="C1066" s="42"/>
      <c r="F1066" s="22"/>
      <c r="G1066" s="22"/>
      <c r="J1066" s="24">
        <v>50000</v>
      </c>
      <c r="M1066" s="24">
        <v>50000</v>
      </c>
      <c r="O1066" s="48" t="s">
        <v>97</v>
      </c>
      <c r="P1066" s="48">
        <f>HEX2DEC(RIGHT(Table1323212714[[#This Row],[h1]],8))</f>
        <v>0</v>
      </c>
      <c r="Q1066" s="48" t="s">
        <v>97</v>
      </c>
      <c r="R1066" s="48">
        <f>HEX2DEC(RIGHT(Table1323212714[[#This Row],[h2]],8))</f>
        <v>0</v>
      </c>
    </row>
    <row r="1067" spans="1:18" x14ac:dyDescent="0.3">
      <c r="A1067" s="15" t="str">
        <f t="shared" si="21"/>
        <v>421</v>
      </c>
      <c r="B1067" s="15">
        <v>1057</v>
      </c>
      <c r="C1067" s="42"/>
      <c r="F1067" s="22"/>
      <c r="G1067" s="22"/>
      <c r="J1067" s="24">
        <v>50000</v>
      </c>
      <c r="M1067" s="24">
        <v>50000</v>
      </c>
      <c r="O1067" s="48" t="s">
        <v>97</v>
      </c>
      <c r="P1067" s="48">
        <f>HEX2DEC(RIGHT(Table1323212714[[#This Row],[h1]],8))</f>
        <v>0</v>
      </c>
      <c r="Q1067" s="48" t="s">
        <v>97</v>
      </c>
      <c r="R1067" s="48">
        <f>HEX2DEC(RIGHT(Table1323212714[[#This Row],[h2]],8))</f>
        <v>0</v>
      </c>
    </row>
    <row r="1068" spans="1:18" x14ac:dyDescent="0.3">
      <c r="A1068" s="15" t="str">
        <f t="shared" si="21"/>
        <v>422</v>
      </c>
      <c r="B1068" s="15">
        <v>1058</v>
      </c>
      <c r="C1068" s="42"/>
      <c r="F1068" s="22"/>
      <c r="G1068" s="22"/>
      <c r="J1068" s="24">
        <v>50000</v>
      </c>
      <c r="M1068" s="24">
        <v>50000</v>
      </c>
      <c r="O1068" s="48" t="s">
        <v>97</v>
      </c>
      <c r="P1068" s="48">
        <f>HEX2DEC(RIGHT(Table1323212714[[#This Row],[h1]],8))</f>
        <v>0</v>
      </c>
      <c r="Q1068" s="48" t="s">
        <v>97</v>
      </c>
      <c r="R1068" s="48">
        <f>HEX2DEC(RIGHT(Table1323212714[[#This Row],[h2]],8))</f>
        <v>0</v>
      </c>
    </row>
    <row r="1069" spans="1:18" x14ac:dyDescent="0.3">
      <c r="A1069" s="15" t="str">
        <f t="shared" si="21"/>
        <v>423</v>
      </c>
      <c r="B1069" s="15">
        <v>1059</v>
      </c>
      <c r="C1069" s="42"/>
      <c r="F1069" s="22"/>
      <c r="G1069" s="22"/>
      <c r="J1069" s="24">
        <v>50000</v>
      </c>
      <c r="M1069" s="24">
        <v>50000</v>
      </c>
      <c r="O1069" s="48" t="s">
        <v>97</v>
      </c>
      <c r="P1069" s="48">
        <f>HEX2DEC(RIGHT(Table1323212714[[#This Row],[h1]],8))</f>
        <v>0</v>
      </c>
      <c r="Q1069" s="48" t="s">
        <v>97</v>
      </c>
      <c r="R1069" s="48">
        <f>HEX2DEC(RIGHT(Table1323212714[[#This Row],[h2]],8))</f>
        <v>0</v>
      </c>
    </row>
    <row r="1070" spans="1:18" x14ac:dyDescent="0.3">
      <c r="A1070" s="15" t="str">
        <f t="shared" si="21"/>
        <v>424</v>
      </c>
      <c r="B1070" s="15">
        <v>1060</v>
      </c>
      <c r="C1070" s="42"/>
      <c r="F1070" s="22"/>
      <c r="G1070" s="22"/>
      <c r="J1070" s="24">
        <v>50000</v>
      </c>
      <c r="M1070" s="24">
        <v>50000</v>
      </c>
      <c r="O1070" s="48" t="s">
        <v>97</v>
      </c>
      <c r="P1070" s="48">
        <f>HEX2DEC(RIGHT(Table1323212714[[#This Row],[h1]],8))</f>
        <v>0</v>
      </c>
      <c r="Q1070" s="48" t="s">
        <v>97</v>
      </c>
      <c r="R1070" s="48">
        <f>HEX2DEC(RIGHT(Table1323212714[[#This Row],[h2]],8))</f>
        <v>0</v>
      </c>
    </row>
    <row r="1071" spans="1:18" x14ac:dyDescent="0.3">
      <c r="A1071" s="15" t="str">
        <f t="shared" si="21"/>
        <v>425</v>
      </c>
      <c r="B1071" s="15">
        <v>1061</v>
      </c>
      <c r="C1071" s="42"/>
      <c r="F1071" s="22"/>
      <c r="G1071" s="22"/>
      <c r="J1071" s="24">
        <v>50000</v>
      </c>
      <c r="M1071" s="24">
        <v>50000</v>
      </c>
      <c r="O1071" s="48" t="s">
        <v>97</v>
      </c>
      <c r="P1071" s="48">
        <f>HEX2DEC(RIGHT(Table1323212714[[#This Row],[h1]],8))</f>
        <v>0</v>
      </c>
      <c r="Q1071" s="48" t="s">
        <v>97</v>
      </c>
      <c r="R1071" s="48">
        <f>HEX2DEC(RIGHT(Table1323212714[[#This Row],[h2]],8))</f>
        <v>0</v>
      </c>
    </row>
    <row r="1072" spans="1:18" x14ac:dyDescent="0.3">
      <c r="A1072" s="15" t="str">
        <f t="shared" si="21"/>
        <v>426</v>
      </c>
      <c r="B1072" s="15">
        <v>1062</v>
      </c>
      <c r="C1072" s="42"/>
      <c r="F1072" s="22"/>
      <c r="G1072" s="22"/>
      <c r="J1072" s="24">
        <v>50000</v>
      </c>
      <c r="M1072" s="24">
        <v>50000</v>
      </c>
      <c r="O1072" s="48" t="s">
        <v>97</v>
      </c>
      <c r="P1072" s="48">
        <f>HEX2DEC(RIGHT(Table1323212714[[#This Row],[h1]],8))</f>
        <v>0</v>
      </c>
      <c r="Q1072" s="48" t="s">
        <v>97</v>
      </c>
      <c r="R1072" s="48">
        <f>HEX2DEC(RIGHT(Table1323212714[[#This Row],[h2]],8))</f>
        <v>0</v>
      </c>
    </row>
    <row r="1073" spans="1:18" x14ac:dyDescent="0.3">
      <c r="A1073" s="15" t="str">
        <f t="shared" si="21"/>
        <v>427</v>
      </c>
      <c r="B1073" s="15">
        <v>1063</v>
      </c>
      <c r="C1073" s="42"/>
      <c r="F1073" s="22"/>
      <c r="G1073" s="22"/>
      <c r="J1073" s="24">
        <v>50000</v>
      </c>
      <c r="M1073" s="24">
        <v>50000</v>
      </c>
      <c r="O1073" s="48" t="s">
        <v>97</v>
      </c>
      <c r="P1073" s="48">
        <f>HEX2DEC(RIGHT(Table1323212714[[#This Row],[h1]],8))</f>
        <v>0</v>
      </c>
      <c r="Q1073" s="48" t="s">
        <v>97</v>
      </c>
      <c r="R1073" s="48">
        <f>HEX2DEC(RIGHT(Table1323212714[[#This Row],[h2]],8))</f>
        <v>0</v>
      </c>
    </row>
    <row r="1074" spans="1:18" x14ac:dyDescent="0.3">
      <c r="A1074" s="15" t="str">
        <f t="shared" si="21"/>
        <v>428</v>
      </c>
      <c r="B1074" s="15">
        <v>1064</v>
      </c>
      <c r="C1074" s="42"/>
      <c r="F1074" s="22"/>
      <c r="G1074" s="22"/>
      <c r="J1074" s="24">
        <v>50000</v>
      </c>
      <c r="M1074" s="24">
        <v>50000</v>
      </c>
      <c r="O1074" s="48" t="s">
        <v>97</v>
      </c>
      <c r="P1074" s="48">
        <f>HEX2DEC(RIGHT(Table1323212714[[#This Row],[h1]],8))</f>
        <v>0</v>
      </c>
      <c r="Q1074" s="48" t="s">
        <v>97</v>
      </c>
      <c r="R1074" s="48">
        <f>HEX2DEC(RIGHT(Table1323212714[[#This Row],[h2]],8))</f>
        <v>0</v>
      </c>
    </row>
    <row r="1075" spans="1:18" x14ac:dyDescent="0.3">
      <c r="A1075" s="15" t="str">
        <f t="shared" si="21"/>
        <v>429</v>
      </c>
      <c r="B1075" s="15">
        <v>1065</v>
      </c>
      <c r="C1075" s="42"/>
      <c r="F1075" s="22"/>
      <c r="G1075" s="22"/>
      <c r="J1075" s="24">
        <v>50000</v>
      </c>
      <c r="M1075" s="24">
        <v>50000</v>
      </c>
      <c r="O1075" s="48" t="s">
        <v>97</v>
      </c>
      <c r="P1075" s="48">
        <f>HEX2DEC(RIGHT(Table1323212714[[#This Row],[h1]],8))</f>
        <v>0</v>
      </c>
      <c r="Q1075" s="48" t="s">
        <v>97</v>
      </c>
      <c r="R1075" s="48">
        <f>HEX2DEC(RIGHT(Table1323212714[[#This Row],[h2]],8))</f>
        <v>0</v>
      </c>
    </row>
    <row r="1076" spans="1:18" x14ac:dyDescent="0.3">
      <c r="A1076" s="15" t="str">
        <f t="shared" si="21"/>
        <v>42A</v>
      </c>
      <c r="B1076" s="15">
        <v>1066</v>
      </c>
      <c r="C1076" s="42"/>
      <c r="F1076" s="22"/>
      <c r="G1076" s="22"/>
      <c r="J1076" s="24">
        <v>50000</v>
      </c>
      <c r="M1076" s="24">
        <v>50000</v>
      </c>
      <c r="O1076" s="48" t="s">
        <v>97</v>
      </c>
      <c r="P1076" s="48">
        <f>HEX2DEC(RIGHT(Table1323212714[[#This Row],[h1]],8))</f>
        <v>0</v>
      </c>
      <c r="Q1076" s="48" t="s">
        <v>97</v>
      </c>
      <c r="R1076" s="48">
        <f>HEX2DEC(RIGHT(Table1323212714[[#This Row],[h2]],8))</f>
        <v>0</v>
      </c>
    </row>
    <row r="1077" spans="1:18" x14ac:dyDescent="0.3">
      <c r="A1077" s="15" t="str">
        <f t="shared" si="21"/>
        <v>42B</v>
      </c>
      <c r="B1077" s="15">
        <v>1067</v>
      </c>
      <c r="C1077" s="42"/>
      <c r="F1077" s="22"/>
      <c r="G1077" s="22"/>
      <c r="J1077" s="24">
        <v>50000</v>
      </c>
      <c r="M1077" s="24">
        <v>50000</v>
      </c>
      <c r="O1077" s="48" t="s">
        <v>97</v>
      </c>
      <c r="P1077" s="48">
        <f>HEX2DEC(RIGHT(Table1323212714[[#This Row],[h1]],8))</f>
        <v>0</v>
      </c>
      <c r="Q1077" s="48" t="s">
        <v>97</v>
      </c>
      <c r="R1077" s="48">
        <f>HEX2DEC(RIGHT(Table1323212714[[#This Row],[h2]],8))</f>
        <v>0</v>
      </c>
    </row>
    <row r="1078" spans="1:18" x14ac:dyDescent="0.3">
      <c r="A1078" s="15" t="str">
        <f t="shared" si="21"/>
        <v>42C</v>
      </c>
      <c r="B1078" s="15">
        <v>1068</v>
      </c>
      <c r="C1078" s="42"/>
      <c r="F1078" s="22"/>
      <c r="G1078" s="22"/>
      <c r="J1078" s="24">
        <v>50000</v>
      </c>
      <c r="M1078" s="24">
        <v>50000</v>
      </c>
      <c r="O1078" s="48" t="s">
        <v>97</v>
      </c>
      <c r="P1078" s="48">
        <f>HEX2DEC(RIGHT(Table1323212714[[#This Row],[h1]],8))</f>
        <v>0</v>
      </c>
      <c r="Q1078" s="48" t="s">
        <v>97</v>
      </c>
      <c r="R1078" s="48">
        <f>HEX2DEC(RIGHT(Table1323212714[[#This Row],[h2]],8))</f>
        <v>0</v>
      </c>
    </row>
    <row r="1079" spans="1:18" x14ac:dyDescent="0.3">
      <c r="A1079" s="15" t="str">
        <f t="shared" si="21"/>
        <v>42D</v>
      </c>
      <c r="B1079" s="15">
        <v>1069</v>
      </c>
      <c r="C1079" s="42"/>
      <c r="F1079" s="22"/>
      <c r="G1079" s="22"/>
      <c r="J1079" s="24">
        <v>50000</v>
      </c>
      <c r="M1079" s="24">
        <v>50000</v>
      </c>
      <c r="O1079" s="48" t="s">
        <v>97</v>
      </c>
      <c r="P1079" s="48">
        <f>HEX2DEC(RIGHT(Table1323212714[[#This Row],[h1]],8))</f>
        <v>0</v>
      </c>
      <c r="Q1079" s="48" t="s">
        <v>97</v>
      </c>
      <c r="R1079" s="48">
        <f>HEX2DEC(RIGHT(Table1323212714[[#This Row],[h2]],8))</f>
        <v>0</v>
      </c>
    </row>
    <row r="1080" spans="1:18" x14ac:dyDescent="0.3">
      <c r="A1080" s="15" t="str">
        <f t="shared" si="21"/>
        <v>42E</v>
      </c>
      <c r="B1080" s="15">
        <v>1070</v>
      </c>
      <c r="C1080" s="42"/>
      <c r="F1080" s="22"/>
      <c r="G1080" s="22"/>
      <c r="J1080" s="24">
        <v>50000</v>
      </c>
      <c r="M1080" s="24">
        <v>50000</v>
      </c>
      <c r="O1080" s="48" t="s">
        <v>97</v>
      </c>
      <c r="P1080" s="48">
        <f>HEX2DEC(RIGHT(Table1323212714[[#This Row],[h1]],8))</f>
        <v>0</v>
      </c>
      <c r="Q1080" s="48" t="s">
        <v>97</v>
      </c>
      <c r="R1080" s="48">
        <f>HEX2DEC(RIGHT(Table1323212714[[#This Row],[h2]],8))</f>
        <v>0</v>
      </c>
    </row>
    <row r="1081" spans="1:18" x14ac:dyDescent="0.3">
      <c r="A1081" s="15" t="str">
        <f t="shared" si="21"/>
        <v>42F</v>
      </c>
      <c r="B1081" s="15">
        <v>1071</v>
      </c>
      <c r="C1081" s="42"/>
      <c r="F1081" s="22"/>
      <c r="G1081" s="22"/>
      <c r="J1081" s="24">
        <v>50000</v>
      </c>
      <c r="M1081" s="24">
        <v>50000</v>
      </c>
      <c r="O1081" s="48" t="s">
        <v>97</v>
      </c>
      <c r="P1081" s="48">
        <f>HEX2DEC(RIGHT(Table1323212714[[#This Row],[h1]],8))</f>
        <v>0</v>
      </c>
      <c r="Q1081" s="48" t="s">
        <v>97</v>
      </c>
      <c r="R1081" s="48">
        <f>HEX2DEC(RIGHT(Table1323212714[[#This Row],[h2]],8))</f>
        <v>0</v>
      </c>
    </row>
    <row r="1082" spans="1:18" x14ac:dyDescent="0.3">
      <c r="A1082" s="15" t="str">
        <f t="shared" si="21"/>
        <v>430</v>
      </c>
      <c r="B1082" s="15">
        <v>1072</v>
      </c>
      <c r="C1082" s="42"/>
      <c r="F1082" s="22"/>
      <c r="G1082" s="22"/>
      <c r="J1082" s="24">
        <v>50000</v>
      </c>
      <c r="M1082" s="24">
        <v>50000</v>
      </c>
      <c r="O1082" s="48" t="s">
        <v>97</v>
      </c>
      <c r="P1082" s="48">
        <f>HEX2DEC(RIGHT(Table1323212714[[#This Row],[h1]],8))</f>
        <v>0</v>
      </c>
      <c r="Q1082" s="48" t="s">
        <v>97</v>
      </c>
      <c r="R1082" s="48">
        <f>HEX2DEC(RIGHT(Table1323212714[[#This Row],[h2]],8))</f>
        <v>0</v>
      </c>
    </row>
    <row r="1083" spans="1:18" x14ac:dyDescent="0.3">
      <c r="A1083" s="15" t="str">
        <f t="shared" si="21"/>
        <v>431</v>
      </c>
      <c r="B1083" s="15">
        <v>1073</v>
      </c>
      <c r="C1083" s="42"/>
      <c r="F1083" s="22"/>
      <c r="G1083" s="22"/>
      <c r="J1083" s="24">
        <v>50000</v>
      </c>
      <c r="M1083" s="24">
        <v>50000</v>
      </c>
      <c r="O1083" s="48" t="s">
        <v>97</v>
      </c>
      <c r="P1083" s="48">
        <f>HEX2DEC(RIGHT(Table1323212714[[#This Row],[h1]],8))</f>
        <v>0</v>
      </c>
      <c r="Q1083" s="48" t="s">
        <v>97</v>
      </c>
      <c r="R1083" s="48">
        <f>HEX2DEC(RIGHT(Table1323212714[[#This Row],[h2]],8))</f>
        <v>0</v>
      </c>
    </row>
    <row r="1084" spans="1:18" x14ac:dyDescent="0.3">
      <c r="A1084" s="15" t="str">
        <f t="shared" si="21"/>
        <v>432</v>
      </c>
      <c r="B1084" s="15">
        <v>1074</v>
      </c>
      <c r="C1084" s="42"/>
      <c r="F1084" s="22"/>
      <c r="G1084" s="22"/>
      <c r="J1084" s="24">
        <v>50000</v>
      </c>
      <c r="M1084" s="24">
        <v>50000</v>
      </c>
      <c r="O1084" s="48" t="s">
        <v>97</v>
      </c>
      <c r="P1084" s="48">
        <f>HEX2DEC(RIGHT(Table1323212714[[#This Row],[h1]],8))</f>
        <v>0</v>
      </c>
      <c r="Q1084" s="48" t="s">
        <v>97</v>
      </c>
      <c r="R1084" s="48">
        <f>HEX2DEC(RIGHT(Table1323212714[[#This Row],[h2]],8))</f>
        <v>0</v>
      </c>
    </row>
    <row r="1085" spans="1:18" x14ac:dyDescent="0.3">
      <c r="A1085" s="15" t="str">
        <f t="shared" si="21"/>
        <v>433</v>
      </c>
      <c r="B1085" s="15">
        <v>1075</v>
      </c>
      <c r="C1085" s="42"/>
      <c r="F1085" s="22"/>
      <c r="G1085" s="22"/>
      <c r="J1085" s="24">
        <v>50000</v>
      </c>
      <c r="M1085" s="24">
        <v>50000</v>
      </c>
      <c r="O1085" s="48" t="s">
        <v>97</v>
      </c>
      <c r="P1085" s="48">
        <f>HEX2DEC(RIGHT(Table1323212714[[#This Row],[h1]],8))</f>
        <v>0</v>
      </c>
      <c r="Q1085" s="48" t="s">
        <v>97</v>
      </c>
      <c r="R1085" s="48">
        <f>HEX2DEC(RIGHT(Table1323212714[[#This Row],[h2]],8))</f>
        <v>0</v>
      </c>
    </row>
    <row r="1086" spans="1:18" x14ac:dyDescent="0.3">
      <c r="A1086" s="15" t="str">
        <f t="shared" si="21"/>
        <v>434</v>
      </c>
      <c r="B1086" s="15">
        <v>1076</v>
      </c>
      <c r="C1086" s="42"/>
      <c r="F1086" s="22"/>
      <c r="G1086" s="22"/>
      <c r="J1086" s="24">
        <v>50000</v>
      </c>
      <c r="M1086" s="24">
        <v>50000</v>
      </c>
      <c r="O1086" s="48" t="s">
        <v>97</v>
      </c>
      <c r="P1086" s="48">
        <f>HEX2DEC(RIGHT(Table1323212714[[#This Row],[h1]],8))</f>
        <v>0</v>
      </c>
      <c r="Q1086" s="48" t="s">
        <v>97</v>
      </c>
      <c r="R1086" s="48">
        <f>HEX2DEC(RIGHT(Table1323212714[[#This Row],[h2]],8))</f>
        <v>0</v>
      </c>
    </row>
    <row r="1087" spans="1:18" x14ac:dyDescent="0.3">
      <c r="A1087" s="15" t="str">
        <f t="shared" si="21"/>
        <v>435</v>
      </c>
      <c r="B1087" s="15">
        <v>1077</v>
      </c>
      <c r="C1087" s="42"/>
      <c r="F1087" s="22"/>
      <c r="G1087" s="22"/>
      <c r="J1087" s="24">
        <v>50000</v>
      </c>
      <c r="M1087" s="24">
        <v>50000</v>
      </c>
      <c r="O1087" s="48" t="s">
        <v>97</v>
      </c>
      <c r="P1087" s="48">
        <f>HEX2DEC(RIGHT(Table1323212714[[#This Row],[h1]],8))</f>
        <v>0</v>
      </c>
      <c r="Q1087" s="48" t="s">
        <v>97</v>
      </c>
      <c r="R1087" s="48">
        <f>HEX2DEC(RIGHT(Table1323212714[[#This Row],[h2]],8))</f>
        <v>0</v>
      </c>
    </row>
    <row r="1088" spans="1:18" x14ac:dyDescent="0.3">
      <c r="A1088" s="15" t="str">
        <f t="shared" si="21"/>
        <v>436</v>
      </c>
      <c r="B1088" s="15">
        <v>1078</v>
      </c>
      <c r="C1088" s="42"/>
      <c r="F1088" s="22"/>
      <c r="G1088" s="22"/>
      <c r="J1088" s="24">
        <v>50000</v>
      </c>
      <c r="M1088" s="24">
        <v>50000</v>
      </c>
      <c r="O1088" s="48" t="s">
        <v>97</v>
      </c>
      <c r="P1088" s="48">
        <f>HEX2DEC(RIGHT(Table1323212714[[#This Row],[h1]],8))</f>
        <v>0</v>
      </c>
      <c r="Q1088" s="48" t="s">
        <v>97</v>
      </c>
      <c r="R1088" s="48">
        <f>HEX2DEC(RIGHT(Table1323212714[[#This Row],[h2]],8))</f>
        <v>0</v>
      </c>
    </row>
    <row r="1089" spans="1:18" x14ac:dyDescent="0.3">
      <c r="A1089" s="15" t="str">
        <f t="shared" si="21"/>
        <v>437</v>
      </c>
      <c r="B1089" s="15">
        <v>1079</v>
      </c>
      <c r="C1089" s="42"/>
      <c r="F1089" s="22"/>
      <c r="G1089" s="22"/>
      <c r="J1089" s="24">
        <v>50000</v>
      </c>
      <c r="M1089" s="24">
        <v>50000</v>
      </c>
      <c r="O1089" s="48" t="s">
        <v>97</v>
      </c>
      <c r="P1089" s="48">
        <f>HEX2DEC(RIGHT(Table1323212714[[#This Row],[h1]],8))</f>
        <v>0</v>
      </c>
      <c r="Q1089" s="48" t="s">
        <v>97</v>
      </c>
      <c r="R1089" s="48">
        <f>HEX2DEC(RIGHT(Table1323212714[[#This Row],[h2]],8))</f>
        <v>0</v>
      </c>
    </row>
    <row r="1090" spans="1:18" x14ac:dyDescent="0.3">
      <c r="A1090" s="15" t="str">
        <f t="shared" si="21"/>
        <v>438</v>
      </c>
      <c r="B1090" s="15">
        <v>1080</v>
      </c>
      <c r="C1090" s="42"/>
      <c r="F1090" s="22"/>
      <c r="G1090" s="22"/>
      <c r="J1090" s="24">
        <v>50000</v>
      </c>
      <c r="M1090" s="24">
        <v>50000</v>
      </c>
      <c r="O1090" s="48" t="s">
        <v>97</v>
      </c>
      <c r="P1090" s="48">
        <f>HEX2DEC(RIGHT(Table1323212714[[#This Row],[h1]],8))</f>
        <v>0</v>
      </c>
      <c r="Q1090" s="48" t="s">
        <v>97</v>
      </c>
      <c r="R1090" s="48">
        <f>HEX2DEC(RIGHT(Table1323212714[[#This Row],[h2]],8))</f>
        <v>0</v>
      </c>
    </row>
    <row r="1091" spans="1:18" x14ac:dyDescent="0.3">
      <c r="A1091" s="15" t="str">
        <f t="shared" si="21"/>
        <v>439</v>
      </c>
      <c r="B1091" s="15">
        <v>1081</v>
      </c>
      <c r="C1091" s="42"/>
      <c r="F1091" s="22"/>
      <c r="G1091" s="22"/>
      <c r="J1091" s="24">
        <v>50000</v>
      </c>
      <c r="M1091" s="24">
        <v>50000</v>
      </c>
      <c r="O1091" s="48" t="s">
        <v>97</v>
      </c>
      <c r="P1091" s="48">
        <f>HEX2DEC(RIGHT(Table1323212714[[#This Row],[h1]],8))</f>
        <v>0</v>
      </c>
      <c r="Q1091" s="48" t="s">
        <v>97</v>
      </c>
      <c r="R1091" s="48">
        <f>HEX2DEC(RIGHT(Table1323212714[[#This Row],[h2]],8))</f>
        <v>0</v>
      </c>
    </row>
    <row r="1092" spans="1:18" x14ac:dyDescent="0.3">
      <c r="A1092" s="15" t="str">
        <f t="shared" si="21"/>
        <v>43A</v>
      </c>
      <c r="B1092" s="15">
        <v>1082</v>
      </c>
      <c r="C1092" s="42"/>
      <c r="F1092" s="22"/>
      <c r="G1092" s="22"/>
      <c r="J1092" s="24">
        <v>50000</v>
      </c>
      <c r="M1092" s="24">
        <v>50000</v>
      </c>
      <c r="O1092" s="48" t="s">
        <v>97</v>
      </c>
      <c r="P1092" s="48">
        <f>HEX2DEC(RIGHT(Table1323212714[[#This Row],[h1]],8))</f>
        <v>0</v>
      </c>
      <c r="Q1092" s="48" t="s">
        <v>97</v>
      </c>
      <c r="R1092" s="48">
        <f>HEX2DEC(RIGHT(Table1323212714[[#This Row],[h2]],8))</f>
        <v>0</v>
      </c>
    </row>
    <row r="1093" spans="1:18" x14ac:dyDescent="0.3">
      <c r="A1093" s="15" t="str">
        <f t="shared" si="21"/>
        <v>43B</v>
      </c>
      <c r="B1093" s="15">
        <v>1083</v>
      </c>
      <c r="C1093" s="42"/>
      <c r="F1093" s="22"/>
      <c r="G1093" s="22"/>
      <c r="J1093" s="24">
        <v>50000</v>
      </c>
      <c r="M1093" s="24">
        <v>50000</v>
      </c>
      <c r="O1093" s="48" t="s">
        <v>97</v>
      </c>
      <c r="P1093" s="48">
        <f>HEX2DEC(RIGHT(Table1323212714[[#This Row],[h1]],8))</f>
        <v>0</v>
      </c>
      <c r="Q1093" s="48" t="s">
        <v>97</v>
      </c>
      <c r="R1093" s="48">
        <f>HEX2DEC(RIGHT(Table1323212714[[#This Row],[h2]],8))</f>
        <v>0</v>
      </c>
    </row>
    <row r="1094" spans="1:18" x14ac:dyDescent="0.3">
      <c r="A1094" s="15" t="str">
        <f t="shared" si="21"/>
        <v>43C</v>
      </c>
      <c r="B1094" s="15">
        <v>1084</v>
      </c>
      <c r="C1094" s="42"/>
      <c r="F1094" s="22"/>
      <c r="G1094" s="22"/>
      <c r="J1094" s="24">
        <v>50000</v>
      </c>
      <c r="M1094" s="24">
        <v>50000</v>
      </c>
      <c r="O1094" s="48" t="s">
        <v>97</v>
      </c>
      <c r="P1094" s="48">
        <f>HEX2DEC(RIGHT(Table1323212714[[#This Row],[h1]],8))</f>
        <v>0</v>
      </c>
      <c r="Q1094" s="48" t="s">
        <v>97</v>
      </c>
      <c r="R1094" s="48">
        <f>HEX2DEC(RIGHT(Table1323212714[[#This Row],[h2]],8))</f>
        <v>0</v>
      </c>
    </row>
    <row r="1095" spans="1:18" x14ac:dyDescent="0.3">
      <c r="A1095" s="15" t="str">
        <f t="shared" si="21"/>
        <v>43D</v>
      </c>
      <c r="B1095" s="15">
        <v>1085</v>
      </c>
      <c r="C1095" s="42"/>
      <c r="F1095" s="22"/>
      <c r="G1095" s="22"/>
      <c r="J1095" s="24">
        <v>50000</v>
      </c>
      <c r="M1095" s="24">
        <v>50000</v>
      </c>
      <c r="O1095" s="48" t="s">
        <v>97</v>
      </c>
      <c r="P1095" s="48">
        <f>HEX2DEC(RIGHT(Table1323212714[[#This Row],[h1]],8))</f>
        <v>0</v>
      </c>
      <c r="Q1095" s="48" t="s">
        <v>97</v>
      </c>
      <c r="R1095" s="48">
        <f>HEX2DEC(RIGHT(Table1323212714[[#This Row],[h2]],8))</f>
        <v>0</v>
      </c>
    </row>
    <row r="1096" spans="1:18" x14ac:dyDescent="0.3">
      <c r="A1096" s="15" t="str">
        <f t="shared" si="21"/>
        <v>43E</v>
      </c>
      <c r="B1096" s="15">
        <v>1086</v>
      </c>
      <c r="C1096" s="42"/>
      <c r="F1096" s="22"/>
      <c r="G1096" s="22"/>
      <c r="J1096" s="24">
        <v>50000</v>
      </c>
      <c r="M1096" s="24">
        <v>50000</v>
      </c>
      <c r="O1096" s="48" t="s">
        <v>97</v>
      </c>
      <c r="P1096" s="48">
        <f>HEX2DEC(RIGHT(Table1323212714[[#This Row],[h1]],8))</f>
        <v>0</v>
      </c>
      <c r="Q1096" s="48" t="s">
        <v>97</v>
      </c>
      <c r="R1096" s="48">
        <f>HEX2DEC(RIGHT(Table1323212714[[#This Row],[h2]],8))</f>
        <v>0</v>
      </c>
    </row>
    <row r="1097" spans="1:18" x14ac:dyDescent="0.3">
      <c r="A1097" s="15" t="str">
        <f t="shared" si="21"/>
        <v>43F</v>
      </c>
      <c r="B1097" s="15">
        <v>1087</v>
      </c>
      <c r="C1097" s="42"/>
      <c r="F1097" s="22"/>
      <c r="G1097" s="22"/>
      <c r="J1097" s="24">
        <v>50000</v>
      </c>
      <c r="M1097" s="24">
        <v>50000</v>
      </c>
      <c r="O1097" s="48" t="s">
        <v>97</v>
      </c>
      <c r="P1097" s="48">
        <f>HEX2DEC(RIGHT(Table1323212714[[#This Row],[h1]],8))</f>
        <v>0</v>
      </c>
      <c r="Q1097" s="48" t="s">
        <v>97</v>
      </c>
      <c r="R1097" s="48">
        <f>HEX2DEC(RIGHT(Table1323212714[[#This Row],[h2]],8))</f>
        <v>0</v>
      </c>
    </row>
    <row r="1098" spans="1:18" x14ac:dyDescent="0.3">
      <c r="A1098" s="15" t="str">
        <f t="shared" si="21"/>
        <v>440</v>
      </c>
      <c r="B1098" s="15">
        <v>1088</v>
      </c>
      <c r="C1098" s="42"/>
      <c r="F1098" s="22"/>
      <c r="G1098" s="22"/>
      <c r="J1098" s="24">
        <v>50000</v>
      </c>
      <c r="M1098" s="24">
        <v>50000</v>
      </c>
      <c r="O1098" s="48" t="s">
        <v>97</v>
      </c>
      <c r="P1098" s="48">
        <f>HEX2DEC(RIGHT(Table1323212714[[#This Row],[h1]],8))</f>
        <v>0</v>
      </c>
      <c r="Q1098" s="48" t="s">
        <v>97</v>
      </c>
      <c r="R1098" s="48">
        <f>HEX2DEC(RIGHT(Table1323212714[[#This Row],[h2]],8))</f>
        <v>0</v>
      </c>
    </row>
    <row r="1099" spans="1:18" x14ac:dyDescent="0.3">
      <c r="A1099" s="15" t="str">
        <f t="shared" ref="A1099:A1162" si="22">DEC2HEX(B1099,3)</f>
        <v>441</v>
      </c>
      <c r="B1099" s="15">
        <v>1089</v>
      </c>
      <c r="C1099" s="42"/>
      <c r="F1099" s="22"/>
      <c r="G1099" s="22"/>
      <c r="J1099" s="24">
        <v>50000</v>
      </c>
      <c r="M1099" s="24">
        <v>50000</v>
      </c>
      <c r="O1099" s="48" t="s">
        <v>97</v>
      </c>
      <c r="P1099" s="48">
        <f>HEX2DEC(RIGHT(Table1323212714[[#This Row],[h1]],8))</f>
        <v>0</v>
      </c>
      <c r="Q1099" s="48" t="s">
        <v>97</v>
      </c>
      <c r="R1099" s="48">
        <f>HEX2DEC(RIGHT(Table1323212714[[#This Row],[h2]],8))</f>
        <v>0</v>
      </c>
    </row>
    <row r="1100" spans="1:18" x14ac:dyDescent="0.3">
      <c r="A1100" s="15" t="str">
        <f t="shared" si="22"/>
        <v>442</v>
      </c>
      <c r="B1100" s="15">
        <v>1090</v>
      </c>
      <c r="C1100" s="42"/>
      <c r="F1100" s="22"/>
      <c r="G1100" s="22"/>
      <c r="J1100" s="24">
        <v>50000</v>
      </c>
      <c r="M1100" s="24">
        <v>50000</v>
      </c>
      <c r="O1100" s="48" t="s">
        <v>97</v>
      </c>
      <c r="P1100" s="48">
        <f>HEX2DEC(RIGHT(Table1323212714[[#This Row],[h1]],8))</f>
        <v>0</v>
      </c>
      <c r="Q1100" s="48" t="s">
        <v>97</v>
      </c>
      <c r="R1100" s="48">
        <f>HEX2DEC(RIGHT(Table1323212714[[#This Row],[h2]],8))</f>
        <v>0</v>
      </c>
    </row>
    <row r="1101" spans="1:18" x14ac:dyDescent="0.3">
      <c r="A1101" s="15" t="str">
        <f t="shared" si="22"/>
        <v>443</v>
      </c>
      <c r="B1101" s="15">
        <v>1091</v>
      </c>
      <c r="C1101" s="42"/>
      <c r="F1101" s="22"/>
      <c r="G1101" s="22"/>
      <c r="J1101" s="24">
        <v>50000</v>
      </c>
      <c r="M1101" s="24">
        <v>50000</v>
      </c>
      <c r="O1101" s="48" t="s">
        <v>97</v>
      </c>
      <c r="P1101" s="48">
        <f>HEX2DEC(RIGHT(Table1323212714[[#This Row],[h1]],8))</f>
        <v>0</v>
      </c>
      <c r="Q1101" s="48" t="s">
        <v>97</v>
      </c>
      <c r="R1101" s="48">
        <f>HEX2DEC(RIGHT(Table1323212714[[#This Row],[h2]],8))</f>
        <v>0</v>
      </c>
    </row>
    <row r="1102" spans="1:18" x14ac:dyDescent="0.3">
      <c r="A1102" s="15" t="str">
        <f t="shared" si="22"/>
        <v>444</v>
      </c>
      <c r="B1102" s="15">
        <v>1092</v>
      </c>
      <c r="C1102" s="42"/>
      <c r="F1102" s="22"/>
      <c r="G1102" s="22"/>
      <c r="J1102" s="24">
        <v>50000</v>
      </c>
      <c r="M1102" s="24">
        <v>50000</v>
      </c>
      <c r="O1102" s="48" t="s">
        <v>97</v>
      </c>
      <c r="P1102" s="48">
        <f>HEX2DEC(RIGHT(Table1323212714[[#This Row],[h1]],8))</f>
        <v>0</v>
      </c>
      <c r="Q1102" s="48" t="s">
        <v>97</v>
      </c>
      <c r="R1102" s="48">
        <f>HEX2DEC(RIGHT(Table1323212714[[#This Row],[h2]],8))</f>
        <v>0</v>
      </c>
    </row>
    <row r="1103" spans="1:18" x14ac:dyDescent="0.3">
      <c r="A1103" s="15" t="str">
        <f t="shared" si="22"/>
        <v>445</v>
      </c>
      <c r="B1103" s="15">
        <v>1093</v>
      </c>
      <c r="C1103" s="42"/>
      <c r="F1103" s="22"/>
      <c r="G1103" s="22"/>
      <c r="J1103" s="24">
        <v>50000</v>
      </c>
      <c r="M1103" s="24">
        <v>50000</v>
      </c>
      <c r="O1103" s="48" t="s">
        <v>97</v>
      </c>
      <c r="P1103" s="48">
        <f>HEX2DEC(RIGHT(Table1323212714[[#This Row],[h1]],8))</f>
        <v>0</v>
      </c>
      <c r="Q1103" s="48" t="s">
        <v>97</v>
      </c>
      <c r="R1103" s="48">
        <f>HEX2DEC(RIGHT(Table1323212714[[#This Row],[h2]],8))</f>
        <v>0</v>
      </c>
    </row>
    <row r="1104" spans="1:18" x14ac:dyDescent="0.3">
      <c r="A1104" s="15" t="str">
        <f t="shared" si="22"/>
        <v>446</v>
      </c>
      <c r="B1104" s="15">
        <v>1094</v>
      </c>
      <c r="C1104" s="42"/>
      <c r="F1104" s="22"/>
      <c r="G1104" s="22"/>
      <c r="J1104" s="24">
        <v>50000</v>
      </c>
      <c r="M1104" s="24">
        <v>50000</v>
      </c>
      <c r="O1104" s="48" t="s">
        <v>97</v>
      </c>
      <c r="P1104" s="48">
        <f>HEX2DEC(RIGHT(Table1323212714[[#This Row],[h1]],8))</f>
        <v>0</v>
      </c>
      <c r="Q1104" s="48" t="s">
        <v>97</v>
      </c>
      <c r="R1104" s="48">
        <f>HEX2DEC(RIGHT(Table1323212714[[#This Row],[h2]],8))</f>
        <v>0</v>
      </c>
    </row>
    <row r="1105" spans="1:18" x14ac:dyDescent="0.3">
      <c r="A1105" s="15" t="str">
        <f t="shared" si="22"/>
        <v>447</v>
      </c>
      <c r="B1105" s="15">
        <v>1095</v>
      </c>
      <c r="C1105" s="42"/>
      <c r="F1105" s="22"/>
      <c r="G1105" s="22"/>
      <c r="J1105" s="24">
        <v>50000</v>
      </c>
      <c r="M1105" s="24">
        <v>50000</v>
      </c>
      <c r="O1105" s="48" t="s">
        <v>97</v>
      </c>
      <c r="P1105" s="48">
        <f>HEX2DEC(RIGHT(Table1323212714[[#This Row],[h1]],8))</f>
        <v>0</v>
      </c>
      <c r="Q1105" s="48" t="s">
        <v>97</v>
      </c>
      <c r="R1105" s="48">
        <f>HEX2DEC(RIGHT(Table1323212714[[#This Row],[h2]],8))</f>
        <v>0</v>
      </c>
    </row>
    <row r="1106" spans="1:18" x14ac:dyDescent="0.3">
      <c r="A1106" s="15" t="str">
        <f t="shared" si="22"/>
        <v>448</v>
      </c>
      <c r="B1106" s="15">
        <v>1096</v>
      </c>
      <c r="C1106" s="42"/>
      <c r="F1106" s="22"/>
      <c r="G1106" s="22"/>
      <c r="J1106" s="24">
        <v>50000</v>
      </c>
      <c r="M1106" s="24">
        <v>50000</v>
      </c>
      <c r="O1106" s="48" t="s">
        <v>97</v>
      </c>
      <c r="P1106" s="48">
        <f>HEX2DEC(RIGHT(Table1323212714[[#This Row],[h1]],8))</f>
        <v>0</v>
      </c>
      <c r="Q1106" s="48" t="s">
        <v>97</v>
      </c>
      <c r="R1106" s="48">
        <f>HEX2DEC(RIGHT(Table1323212714[[#This Row],[h2]],8))</f>
        <v>0</v>
      </c>
    </row>
    <row r="1107" spans="1:18" x14ac:dyDescent="0.3">
      <c r="A1107" s="15" t="str">
        <f t="shared" si="22"/>
        <v>449</v>
      </c>
      <c r="B1107" s="15">
        <v>1097</v>
      </c>
      <c r="C1107" s="42"/>
      <c r="F1107" s="22"/>
      <c r="G1107" s="22"/>
      <c r="J1107" s="24">
        <v>50000</v>
      </c>
      <c r="M1107" s="24">
        <v>50000</v>
      </c>
      <c r="O1107" s="48" t="s">
        <v>97</v>
      </c>
      <c r="P1107" s="48">
        <f>HEX2DEC(RIGHT(Table1323212714[[#This Row],[h1]],8))</f>
        <v>0</v>
      </c>
      <c r="Q1107" s="48" t="s">
        <v>97</v>
      </c>
      <c r="R1107" s="48">
        <f>HEX2DEC(RIGHT(Table1323212714[[#This Row],[h2]],8))</f>
        <v>0</v>
      </c>
    </row>
    <row r="1108" spans="1:18" x14ac:dyDescent="0.3">
      <c r="A1108" s="15" t="str">
        <f t="shared" si="22"/>
        <v>44A</v>
      </c>
      <c r="B1108" s="15">
        <v>1098</v>
      </c>
      <c r="C1108" s="42"/>
      <c r="F1108" s="22"/>
      <c r="G1108" s="22"/>
      <c r="J1108" s="24">
        <v>50000</v>
      </c>
      <c r="M1108" s="24">
        <v>50000</v>
      </c>
      <c r="O1108" s="48" t="s">
        <v>97</v>
      </c>
      <c r="P1108" s="48">
        <f>HEX2DEC(RIGHT(Table1323212714[[#This Row],[h1]],8))</f>
        <v>0</v>
      </c>
      <c r="Q1108" s="48" t="s">
        <v>97</v>
      </c>
      <c r="R1108" s="48">
        <f>HEX2DEC(RIGHT(Table1323212714[[#This Row],[h2]],8))</f>
        <v>0</v>
      </c>
    </row>
    <row r="1109" spans="1:18" x14ac:dyDescent="0.3">
      <c r="A1109" s="15" t="str">
        <f t="shared" si="22"/>
        <v>44B</v>
      </c>
      <c r="B1109" s="15">
        <v>1099</v>
      </c>
      <c r="C1109" s="42"/>
      <c r="F1109" s="22"/>
      <c r="G1109" s="22"/>
      <c r="J1109" s="24">
        <v>50000</v>
      </c>
      <c r="M1109" s="24">
        <v>50000</v>
      </c>
      <c r="O1109" s="48" t="s">
        <v>97</v>
      </c>
      <c r="P1109" s="48">
        <f>HEX2DEC(RIGHT(Table1323212714[[#This Row],[h1]],8))</f>
        <v>0</v>
      </c>
      <c r="Q1109" s="48" t="s">
        <v>97</v>
      </c>
      <c r="R1109" s="48">
        <f>HEX2DEC(RIGHT(Table1323212714[[#This Row],[h2]],8))</f>
        <v>0</v>
      </c>
    </row>
    <row r="1110" spans="1:18" x14ac:dyDescent="0.3">
      <c r="A1110" s="15" t="str">
        <f t="shared" si="22"/>
        <v>44C</v>
      </c>
      <c r="B1110" s="15">
        <v>1100</v>
      </c>
      <c r="C1110" s="42"/>
      <c r="F1110" s="22"/>
      <c r="G1110" s="22"/>
      <c r="J1110" s="24">
        <v>50000</v>
      </c>
      <c r="M1110" s="24">
        <v>50000</v>
      </c>
      <c r="O1110" s="48" t="s">
        <v>97</v>
      </c>
      <c r="P1110" s="48">
        <f>HEX2DEC(RIGHT(Table1323212714[[#This Row],[h1]],8))</f>
        <v>0</v>
      </c>
      <c r="Q1110" s="48" t="s">
        <v>97</v>
      </c>
      <c r="R1110" s="48">
        <f>HEX2DEC(RIGHT(Table1323212714[[#This Row],[h2]],8))</f>
        <v>0</v>
      </c>
    </row>
    <row r="1111" spans="1:18" x14ac:dyDescent="0.3">
      <c r="A1111" s="15" t="str">
        <f t="shared" si="22"/>
        <v>44D</v>
      </c>
      <c r="B1111" s="15">
        <v>1101</v>
      </c>
      <c r="C1111" s="42"/>
      <c r="F1111" s="22"/>
      <c r="G1111" s="22"/>
      <c r="J1111" s="24">
        <v>50000</v>
      </c>
      <c r="M1111" s="24">
        <v>50000</v>
      </c>
      <c r="O1111" s="48" t="s">
        <v>97</v>
      </c>
      <c r="P1111" s="48">
        <f>HEX2DEC(RIGHT(Table1323212714[[#This Row],[h1]],8))</f>
        <v>0</v>
      </c>
      <c r="Q1111" s="48" t="s">
        <v>97</v>
      </c>
      <c r="R1111" s="48">
        <f>HEX2DEC(RIGHT(Table1323212714[[#This Row],[h2]],8))</f>
        <v>0</v>
      </c>
    </row>
    <row r="1112" spans="1:18" x14ac:dyDescent="0.3">
      <c r="A1112" s="15" t="str">
        <f t="shared" si="22"/>
        <v>44E</v>
      </c>
      <c r="B1112" s="15">
        <v>1102</v>
      </c>
      <c r="C1112" s="42"/>
      <c r="F1112" s="22"/>
      <c r="G1112" s="22"/>
      <c r="J1112" s="24">
        <v>50000</v>
      </c>
      <c r="M1112" s="24">
        <v>50000</v>
      </c>
      <c r="O1112" s="48" t="s">
        <v>97</v>
      </c>
      <c r="P1112" s="48">
        <f>HEX2DEC(RIGHT(Table1323212714[[#This Row],[h1]],8))</f>
        <v>0</v>
      </c>
      <c r="Q1112" s="48" t="s">
        <v>97</v>
      </c>
      <c r="R1112" s="48">
        <f>HEX2DEC(RIGHT(Table1323212714[[#This Row],[h2]],8))</f>
        <v>0</v>
      </c>
    </row>
    <row r="1113" spans="1:18" x14ac:dyDescent="0.3">
      <c r="A1113" s="15" t="str">
        <f t="shared" si="22"/>
        <v>44F</v>
      </c>
      <c r="B1113" s="15">
        <v>1103</v>
      </c>
      <c r="C1113" s="42"/>
      <c r="F1113" s="22"/>
      <c r="G1113" s="22"/>
      <c r="J1113" s="24">
        <v>50000</v>
      </c>
      <c r="M1113" s="24">
        <v>50000</v>
      </c>
      <c r="O1113" s="48" t="s">
        <v>97</v>
      </c>
      <c r="P1113" s="48">
        <f>HEX2DEC(RIGHT(Table1323212714[[#This Row],[h1]],8))</f>
        <v>0</v>
      </c>
      <c r="Q1113" s="48" t="s">
        <v>97</v>
      </c>
      <c r="R1113" s="48">
        <f>HEX2DEC(RIGHT(Table1323212714[[#This Row],[h2]],8))</f>
        <v>0</v>
      </c>
    </row>
    <row r="1114" spans="1:18" x14ac:dyDescent="0.3">
      <c r="A1114" s="15" t="str">
        <f t="shared" si="22"/>
        <v>450</v>
      </c>
      <c r="B1114" s="15">
        <v>1104</v>
      </c>
      <c r="C1114" s="42"/>
      <c r="F1114" s="22"/>
      <c r="G1114" s="22"/>
      <c r="J1114" s="24">
        <v>50000</v>
      </c>
      <c r="M1114" s="24">
        <v>50000</v>
      </c>
      <c r="O1114" s="48" t="s">
        <v>97</v>
      </c>
      <c r="P1114" s="48">
        <f>HEX2DEC(RIGHT(Table1323212714[[#This Row],[h1]],8))</f>
        <v>0</v>
      </c>
      <c r="Q1114" s="48" t="s">
        <v>97</v>
      </c>
      <c r="R1114" s="48">
        <f>HEX2DEC(RIGHT(Table1323212714[[#This Row],[h2]],8))</f>
        <v>0</v>
      </c>
    </row>
    <row r="1115" spans="1:18" x14ac:dyDescent="0.3">
      <c r="A1115" s="15" t="str">
        <f t="shared" si="22"/>
        <v>451</v>
      </c>
      <c r="B1115" s="15">
        <v>1105</v>
      </c>
      <c r="C1115" s="42"/>
      <c r="F1115" s="22"/>
      <c r="G1115" s="22"/>
      <c r="J1115" s="24">
        <v>50000</v>
      </c>
      <c r="M1115" s="24">
        <v>50000</v>
      </c>
      <c r="O1115" s="48" t="s">
        <v>97</v>
      </c>
      <c r="P1115" s="48">
        <f>HEX2DEC(RIGHT(Table1323212714[[#This Row],[h1]],8))</f>
        <v>0</v>
      </c>
      <c r="Q1115" s="48" t="s">
        <v>97</v>
      </c>
      <c r="R1115" s="48">
        <f>HEX2DEC(RIGHT(Table1323212714[[#This Row],[h2]],8))</f>
        <v>0</v>
      </c>
    </row>
    <row r="1116" spans="1:18" x14ac:dyDescent="0.3">
      <c r="A1116" s="15" t="str">
        <f t="shared" si="22"/>
        <v>452</v>
      </c>
      <c r="B1116" s="15">
        <v>1106</v>
      </c>
      <c r="C1116" s="42"/>
      <c r="F1116" s="22"/>
      <c r="G1116" s="22"/>
      <c r="J1116" s="24">
        <v>50000</v>
      </c>
      <c r="M1116" s="24">
        <v>50000</v>
      </c>
      <c r="O1116" s="48" t="s">
        <v>97</v>
      </c>
      <c r="P1116" s="48">
        <f>HEX2DEC(RIGHT(Table1323212714[[#This Row],[h1]],8))</f>
        <v>0</v>
      </c>
      <c r="Q1116" s="48" t="s">
        <v>97</v>
      </c>
      <c r="R1116" s="48">
        <f>HEX2DEC(RIGHT(Table1323212714[[#This Row],[h2]],8))</f>
        <v>0</v>
      </c>
    </row>
    <row r="1117" spans="1:18" x14ac:dyDescent="0.3">
      <c r="A1117" s="15" t="str">
        <f t="shared" si="22"/>
        <v>453</v>
      </c>
      <c r="B1117" s="15">
        <v>1107</v>
      </c>
      <c r="C1117" s="42"/>
      <c r="F1117" s="22"/>
      <c r="G1117" s="22"/>
      <c r="J1117" s="24">
        <v>50000</v>
      </c>
      <c r="M1117" s="24">
        <v>50000</v>
      </c>
      <c r="O1117" s="48" t="s">
        <v>97</v>
      </c>
      <c r="P1117" s="48">
        <f>HEX2DEC(RIGHT(Table1323212714[[#This Row],[h1]],8))</f>
        <v>0</v>
      </c>
      <c r="Q1117" s="48" t="s">
        <v>97</v>
      </c>
      <c r="R1117" s="48">
        <f>HEX2DEC(RIGHT(Table1323212714[[#This Row],[h2]],8))</f>
        <v>0</v>
      </c>
    </row>
    <row r="1118" spans="1:18" x14ac:dyDescent="0.3">
      <c r="A1118" s="15" t="str">
        <f t="shared" si="22"/>
        <v>454</v>
      </c>
      <c r="B1118" s="15">
        <v>1108</v>
      </c>
      <c r="C1118" s="42"/>
      <c r="F1118" s="22"/>
      <c r="G1118" s="22"/>
      <c r="J1118" s="24">
        <v>50000</v>
      </c>
      <c r="M1118" s="24">
        <v>50000</v>
      </c>
      <c r="O1118" s="48" t="s">
        <v>97</v>
      </c>
      <c r="P1118" s="48">
        <f>HEX2DEC(RIGHT(Table1323212714[[#This Row],[h1]],8))</f>
        <v>0</v>
      </c>
      <c r="Q1118" s="48" t="s">
        <v>97</v>
      </c>
      <c r="R1118" s="48">
        <f>HEX2DEC(RIGHT(Table1323212714[[#This Row],[h2]],8))</f>
        <v>0</v>
      </c>
    </row>
    <row r="1119" spans="1:18" x14ac:dyDescent="0.3">
      <c r="A1119" s="15" t="str">
        <f t="shared" si="22"/>
        <v>455</v>
      </c>
      <c r="B1119" s="15">
        <v>1109</v>
      </c>
      <c r="C1119" s="42"/>
      <c r="F1119" s="22"/>
      <c r="G1119" s="22"/>
      <c r="J1119" s="24">
        <v>50000</v>
      </c>
      <c r="M1119" s="24">
        <v>50000</v>
      </c>
      <c r="O1119" s="48" t="s">
        <v>97</v>
      </c>
      <c r="P1119" s="48">
        <f>HEX2DEC(RIGHT(Table1323212714[[#This Row],[h1]],8))</f>
        <v>0</v>
      </c>
      <c r="Q1119" s="48" t="s">
        <v>97</v>
      </c>
      <c r="R1119" s="48">
        <f>HEX2DEC(RIGHT(Table1323212714[[#This Row],[h2]],8))</f>
        <v>0</v>
      </c>
    </row>
    <row r="1120" spans="1:18" x14ac:dyDescent="0.3">
      <c r="A1120" s="15" t="str">
        <f t="shared" si="22"/>
        <v>456</v>
      </c>
      <c r="B1120" s="15">
        <v>1110</v>
      </c>
      <c r="C1120" s="42"/>
      <c r="F1120" s="22"/>
      <c r="G1120" s="22"/>
      <c r="J1120" s="24">
        <v>50000</v>
      </c>
      <c r="M1120" s="24">
        <v>50000</v>
      </c>
      <c r="O1120" s="48" t="s">
        <v>97</v>
      </c>
      <c r="P1120" s="48">
        <f>HEX2DEC(RIGHT(Table1323212714[[#This Row],[h1]],8))</f>
        <v>0</v>
      </c>
      <c r="Q1120" s="48" t="s">
        <v>97</v>
      </c>
      <c r="R1120" s="48">
        <f>HEX2DEC(RIGHT(Table1323212714[[#This Row],[h2]],8))</f>
        <v>0</v>
      </c>
    </row>
    <row r="1121" spans="1:18" x14ac:dyDescent="0.3">
      <c r="A1121" s="15" t="str">
        <f t="shared" si="22"/>
        <v>457</v>
      </c>
      <c r="B1121" s="15">
        <v>1111</v>
      </c>
      <c r="C1121" s="42"/>
      <c r="F1121" s="22"/>
      <c r="G1121" s="22"/>
      <c r="J1121" s="24">
        <v>50000</v>
      </c>
      <c r="M1121" s="24">
        <v>50000</v>
      </c>
      <c r="O1121" s="48" t="s">
        <v>97</v>
      </c>
      <c r="P1121" s="48">
        <f>HEX2DEC(RIGHT(Table1323212714[[#This Row],[h1]],8))</f>
        <v>0</v>
      </c>
      <c r="Q1121" s="48" t="s">
        <v>97</v>
      </c>
      <c r="R1121" s="48">
        <f>HEX2DEC(RIGHT(Table1323212714[[#This Row],[h2]],8))</f>
        <v>0</v>
      </c>
    </row>
    <row r="1122" spans="1:18" x14ac:dyDescent="0.3">
      <c r="A1122" s="15" t="str">
        <f t="shared" si="22"/>
        <v>458</v>
      </c>
      <c r="B1122" s="15">
        <v>1112</v>
      </c>
      <c r="C1122" s="42"/>
      <c r="F1122" s="22"/>
      <c r="G1122" s="22"/>
      <c r="J1122" s="24">
        <v>50000</v>
      </c>
      <c r="M1122" s="24">
        <v>50000</v>
      </c>
      <c r="O1122" s="48" t="s">
        <v>97</v>
      </c>
      <c r="P1122" s="48">
        <f>HEX2DEC(RIGHT(Table1323212714[[#This Row],[h1]],8))</f>
        <v>0</v>
      </c>
      <c r="Q1122" s="48" t="s">
        <v>97</v>
      </c>
      <c r="R1122" s="48">
        <f>HEX2DEC(RIGHT(Table1323212714[[#This Row],[h2]],8))</f>
        <v>0</v>
      </c>
    </row>
    <row r="1123" spans="1:18" x14ac:dyDescent="0.3">
      <c r="A1123" s="15" t="str">
        <f t="shared" si="22"/>
        <v>459</v>
      </c>
      <c r="B1123" s="15">
        <v>1113</v>
      </c>
      <c r="C1123" s="42"/>
      <c r="F1123" s="22"/>
      <c r="G1123" s="22"/>
      <c r="J1123" s="24">
        <v>50000</v>
      </c>
      <c r="M1123" s="24">
        <v>50000</v>
      </c>
      <c r="O1123" s="48" t="s">
        <v>97</v>
      </c>
      <c r="P1123" s="48">
        <f>HEX2DEC(RIGHT(Table1323212714[[#This Row],[h1]],8))</f>
        <v>0</v>
      </c>
      <c r="Q1123" s="48" t="s">
        <v>97</v>
      </c>
      <c r="R1123" s="48">
        <f>HEX2DEC(RIGHT(Table1323212714[[#This Row],[h2]],8))</f>
        <v>0</v>
      </c>
    </row>
    <row r="1124" spans="1:18" x14ac:dyDescent="0.3">
      <c r="A1124" s="15" t="str">
        <f t="shared" si="22"/>
        <v>45A</v>
      </c>
      <c r="B1124" s="15">
        <v>1114</v>
      </c>
      <c r="C1124" s="42"/>
      <c r="F1124" s="22"/>
      <c r="G1124" s="22"/>
      <c r="J1124" s="24">
        <v>50000</v>
      </c>
      <c r="M1124" s="24">
        <v>50000</v>
      </c>
      <c r="O1124" s="48" t="s">
        <v>97</v>
      </c>
      <c r="P1124" s="48">
        <f>HEX2DEC(RIGHT(Table1323212714[[#This Row],[h1]],8))</f>
        <v>0</v>
      </c>
      <c r="Q1124" s="48" t="s">
        <v>97</v>
      </c>
      <c r="R1124" s="48">
        <f>HEX2DEC(RIGHT(Table1323212714[[#This Row],[h2]],8))</f>
        <v>0</v>
      </c>
    </row>
    <row r="1125" spans="1:18" x14ac:dyDescent="0.3">
      <c r="A1125" s="15" t="str">
        <f t="shared" si="22"/>
        <v>45B</v>
      </c>
      <c r="B1125" s="15">
        <v>1115</v>
      </c>
      <c r="C1125" s="42"/>
      <c r="F1125" s="22"/>
      <c r="G1125" s="22"/>
      <c r="J1125" s="24">
        <v>50000</v>
      </c>
      <c r="M1125" s="24">
        <v>50000</v>
      </c>
      <c r="O1125" s="48" t="s">
        <v>97</v>
      </c>
      <c r="P1125" s="48">
        <f>HEX2DEC(RIGHT(Table1323212714[[#This Row],[h1]],8))</f>
        <v>0</v>
      </c>
      <c r="Q1125" s="48" t="s">
        <v>97</v>
      </c>
      <c r="R1125" s="48">
        <f>HEX2DEC(RIGHT(Table1323212714[[#This Row],[h2]],8))</f>
        <v>0</v>
      </c>
    </row>
    <row r="1126" spans="1:18" x14ac:dyDescent="0.3">
      <c r="A1126" s="15" t="str">
        <f t="shared" si="22"/>
        <v>45C</v>
      </c>
      <c r="B1126" s="15">
        <v>1116</v>
      </c>
      <c r="C1126" s="42"/>
      <c r="F1126" s="22"/>
      <c r="G1126" s="22"/>
      <c r="J1126" s="24">
        <v>50000</v>
      </c>
      <c r="M1126" s="24">
        <v>50000</v>
      </c>
      <c r="O1126" s="48" t="s">
        <v>97</v>
      </c>
      <c r="P1126" s="48">
        <f>HEX2DEC(RIGHT(Table1323212714[[#This Row],[h1]],8))</f>
        <v>0</v>
      </c>
      <c r="Q1126" s="48" t="s">
        <v>97</v>
      </c>
      <c r="R1126" s="48">
        <f>HEX2DEC(RIGHT(Table1323212714[[#This Row],[h2]],8))</f>
        <v>0</v>
      </c>
    </row>
    <row r="1127" spans="1:18" x14ac:dyDescent="0.3">
      <c r="A1127" s="15" t="str">
        <f t="shared" si="22"/>
        <v>45D</v>
      </c>
      <c r="B1127" s="15">
        <v>1117</v>
      </c>
      <c r="C1127" s="42"/>
      <c r="F1127" s="22"/>
      <c r="G1127" s="22"/>
      <c r="J1127" s="24">
        <v>50000</v>
      </c>
      <c r="M1127" s="24">
        <v>50000</v>
      </c>
      <c r="O1127" s="48" t="s">
        <v>97</v>
      </c>
      <c r="P1127" s="48">
        <f>HEX2DEC(RIGHT(Table1323212714[[#This Row],[h1]],8))</f>
        <v>0</v>
      </c>
      <c r="Q1127" s="48" t="s">
        <v>97</v>
      </c>
      <c r="R1127" s="48">
        <f>HEX2DEC(RIGHT(Table1323212714[[#This Row],[h2]],8))</f>
        <v>0</v>
      </c>
    </row>
    <row r="1128" spans="1:18" x14ac:dyDescent="0.3">
      <c r="A1128" s="15" t="str">
        <f t="shared" si="22"/>
        <v>45E</v>
      </c>
      <c r="B1128" s="15">
        <v>1118</v>
      </c>
      <c r="C1128" s="42"/>
      <c r="F1128" s="22"/>
      <c r="G1128" s="22"/>
      <c r="J1128" s="24">
        <v>50000</v>
      </c>
      <c r="M1128" s="24">
        <v>50000</v>
      </c>
      <c r="O1128" s="48" t="s">
        <v>97</v>
      </c>
      <c r="P1128" s="48">
        <f>HEX2DEC(RIGHT(Table1323212714[[#This Row],[h1]],8))</f>
        <v>0</v>
      </c>
      <c r="Q1128" s="48" t="s">
        <v>97</v>
      </c>
      <c r="R1128" s="48">
        <f>HEX2DEC(RIGHT(Table1323212714[[#This Row],[h2]],8))</f>
        <v>0</v>
      </c>
    </row>
    <row r="1129" spans="1:18" x14ac:dyDescent="0.3">
      <c r="A1129" s="15" t="str">
        <f t="shared" si="22"/>
        <v>45F</v>
      </c>
      <c r="B1129" s="15">
        <v>1119</v>
      </c>
      <c r="C1129" s="42"/>
      <c r="F1129" s="22"/>
      <c r="G1129" s="22"/>
      <c r="J1129" s="24">
        <v>50000</v>
      </c>
      <c r="M1129" s="24">
        <v>50000</v>
      </c>
      <c r="O1129" s="48" t="s">
        <v>97</v>
      </c>
      <c r="P1129" s="48">
        <f>HEX2DEC(RIGHT(Table1323212714[[#This Row],[h1]],8))</f>
        <v>0</v>
      </c>
      <c r="Q1129" s="48" t="s">
        <v>97</v>
      </c>
      <c r="R1129" s="48">
        <f>HEX2DEC(RIGHT(Table1323212714[[#This Row],[h2]],8))</f>
        <v>0</v>
      </c>
    </row>
    <row r="1130" spans="1:18" x14ac:dyDescent="0.3">
      <c r="A1130" s="15" t="str">
        <f t="shared" si="22"/>
        <v>460</v>
      </c>
      <c r="B1130" s="15">
        <v>1120</v>
      </c>
      <c r="C1130" s="42"/>
      <c r="F1130" s="22"/>
      <c r="G1130" s="22"/>
      <c r="J1130" s="24">
        <v>50000</v>
      </c>
      <c r="M1130" s="24">
        <v>50000</v>
      </c>
      <c r="O1130" s="48" t="s">
        <v>97</v>
      </c>
      <c r="P1130" s="48">
        <f>HEX2DEC(RIGHT(Table1323212714[[#This Row],[h1]],8))</f>
        <v>0</v>
      </c>
      <c r="Q1130" s="48" t="s">
        <v>97</v>
      </c>
      <c r="R1130" s="48">
        <f>HEX2DEC(RIGHT(Table1323212714[[#This Row],[h2]],8))</f>
        <v>0</v>
      </c>
    </row>
    <row r="1131" spans="1:18" x14ac:dyDescent="0.3">
      <c r="A1131" s="15" t="str">
        <f t="shared" si="22"/>
        <v>461</v>
      </c>
      <c r="B1131" s="15">
        <v>1121</v>
      </c>
      <c r="C1131" s="42"/>
      <c r="F1131" s="22"/>
      <c r="G1131" s="22"/>
      <c r="J1131" s="24">
        <v>50000</v>
      </c>
      <c r="M1131" s="24">
        <v>50000</v>
      </c>
      <c r="O1131" s="48" t="s">
        <v>97</v>
      </c>
      <c r="P1131" s="48">
        <f>HEX2DEC(RIGHT(Table1323212714[[#This Row],[h1]],8))</f>
        <v>0</v>
      </c>
      <c r="Q1131" s="48" t="s">
        <v>97</v>
      </c>
      <c r="R1131" s="48">
        <f>HEX2DEC(RIGHT(Table1323212714[[#This Row],[h2]],8))</f>
        <v>0</v>
      </c>
    </row>
    <row r="1132" spans="1:18" x14ac:dyDescent="0.3">
      <c r="A1132" s="15" t="str">
        <f t="shared" si="22"/>
        <v>462</v>
      </c>
      <c r="B1132" s="15">
        <v>1122</v>
      </c>
      <c r="C1132" s="42"/>
      <c r="F1132" s="22"/>
      <c r="G1132" s="22"/>
      <c r="J1132" s="24">
        <v>50000</v>
      </c>
      <c r="M1132" s="24">
        <v>50000</v>
      </c>
      <c r="O1132" s="48" t="s">
        <v>97</v>
      </c>
      <c r="P1132" s="48">
        <f>HEX2DEC(RIGHT(Table1323212714[[#This Row],[h1]],8))</f>
        <v>0</v>
      </c>
      <c r="Q1132" s="48" t="s">
        <v>97</v>
      </c>
      <c r="R1132" s="48">
        <f>HEX2DEC(RIGHT(Table1323212714[[#This Row],[h2]],8))</f>
        <v>0</v>
      </c>
    </row>
    <row r="1133" spans="1:18" x14ac:dyDescent="0.3">
      <c r="A1133" s="15" t="str">
        <f t="shared" si="22"/>
        <v>463</v>
      </c>
      <c r="B1133" s="15">
        <v>1123</v>
      </c>
      <c r="C1133" s="42"/>
      <c r="F1133" s="22"/>
      <c r="G1133" s="22"/>
      <c r="J1133" s="24">
        <v>50000</v>
      </c>
      <c r="M1133" s="24">
        <v>50000</v>
      </c>
      <c r="O1133" s="48" t="s">
        <v>97</v>
      </c>
      <c r="P1133" s="48">
        <f>HEX2DEC(RIGHT(Table1323212714[[#This Row],[h1]],8))</f>
        <v>0</v>
      </c>
      <c r="Q1133" s="48" t="s">
        <v>97</v>
      </c>
      <c r="R1133" s="48">
        <f>HEX2DEC(RIGHT(Table1323212714[[#This Row],[h2]],8))</f>
        <v>0</v>
      </c>
    </row>
    <row r="1134" spans="1:18" x14ac:dyDescent="0.3">
      <c r="A1134" s="15" t="str">
        <f t="shared" si="22"/>
        <v>464</v>
      </c>
      <c r="B1134" s="15">
        <v>1124</v>
      </c>
      <c r="C1134" s="42"/>
      <c r="F1134" s="22"/>
      <c r="G1134" s="22"/>
      <c r="J1134" s="24">
        <v>50000</v>
      </c>
      <c r="M1134" s="24">
        <v>50000</v>
      </c>
      <c r="O1134" s="48" t="s">
        <v>97</v>
      </c>
      <c r="P1134" s="48">
        <f>HEX2DEC(RIGHT(Table1323212714[[#This Row],[h1]],8))</f>
        <v>0</v>
      </c>
      <c r="Q1134" s="48" t="s">
        <v>97</v>
      </c>
      <c r="R1134" s="48">
        <f>HEX2DEC(RIGHT(Table1323212714[[#This Row],[h2]],8))</f>
        <v>0</v>
      </c>
    </row>
    <row r="1135" spans="1:18" x14ac:dyDescent="0.3">
      <c r="A1135" s="15" t="str">
        <f t="shared" si="22"/>
        <v>465</v>
      </c>
      <c r="B1135" s="15">
        <v>1125</v>
      </c>
      <c r="C1135" s="42"/>
      <c r="F1135" s="22"/>
      <c r="G1135" s="22"/>
      <c r="J1135" s="24">
        <v>50000</v>
      </c>
      <c r="M1135" s="24">
        <v>50000</v>
      </c>
      <c r="O1135" s="48" t="s">
        <v>97</v>
      </c>
      <c r="P1135" s="48">
        <f>HEX2DEC(RIGHT(Table1323212714[[#This Row],[h1]],8))</f>
        <v>0</v>
      </c>
      <c r="Q1135" s="48" t="s">
        <v>97</v>
      </c>
      <c r="R1135" s="48">
        <f>HEX2DEC(RIGHT(Table1323212714[[#This Row],[h2]],8))</f>
        <v>0</v>
      </c>
    </row>
    <row r="1136" spans="1:18" x14ac:dyDescent="0.3">
      <c r="A1136" s="15" t="str">
        <f t="shared" si="22"/>
        <v>466</v>
      </c>
      <c r="B1136" s="15">
        <v>1126</v>
      </c>
      <c r="C1136" s="42"/>
      <c r="F1136" s="22"/>
      <c r="G1136" s="22"/>
      <c r="J1136" s="24">
        <v>50000</v>
      </c>
      <c r="M1136" s="24">
        <v>50000</v>
      </c>
      <c r="O1136" s="48" t="s">
        <v>97</v>
      </c>
      <c r="P1136" s="48">
        <f>HEX2DEC(RIGHT(Table1323212714[[#This Row],[h1]],8))</f>
        <v>0</v>
      </c>
      <c r="Q1136" s="48" t="s">
        <v>97</v>
      </c>
      <c r="R1136" s="48">
        <f>HEX2DEC(RIGHT(Table1323212714[[#This Row],[h2]],8))</f>
        <v>0</v>
      </c>
    </row>
    <row r="1137" spans="1:18" x14ac:dyDescent="0.3">
      <c r="A1137" s="15" t="str">
        <f t="shared" si="22"/>
        <v>467</v>
      </c>
      <c r="B1137" s="15">
        <v>1127</v>
      </c>
      <c r="C1137" s="42"/>
      <c r="F1137" s="22"/>
      <c r="G1137" s="22"/>
      <c r="J1137" s="24">
        <v>50000</v>
      </c>
      <c r="M1137" s="24">
        <v>50000</v>
      </c>
      <c r="O1137" s="48" t="s">
        <v>97</v>
      </c>
      <c r="P1137" s="48">
        <f>HEX2DEC(RIGHT(Table1323212714[[#This Row],[h1]],8))</f>
        <v>0</v>
      </c>
      <c r="Q1137" s="48" t="s">
        <v>97</v>
      </c>
      <c r="R1137" s="48">
        <f>HEX2DEC(RIGHT(Table1323212714[[#This Row],[h2]],8))</f>
        <v>0</v>
      </c>
    </row>
    <row r="1138" spans="1:18" x14ac:dyDescent="0.3">
      <c r="A1138" s="15" t="str">
        <f t="shared" si="22"/>
        <v>468</v>
      </c>
      <c r="B1138" s="15">
        <v>1128</v>
      </c>
      <c r="C1138" s="42"/>
      <c r="F1138" s="22"/>
      <c r="G1138" s="22"/>
      <c r="J1138" s="24">
        <v>50000</v>
      </c>
      <c r="M1138" s="24">
        <v>50000</v>
      </c>
      <c r="O1138" s="48" t="s">
        <v>97</v>
      </c>
      <c r="P1138" s="48">
        <f>HEX2DEC(RIGHT(Table1323212714[[#This Row],[h1]],8))</f>
        <v>0</v>
      </c>
      <c r="Q1138" s="48" t="s">
        <v>97</v>
      </c>
      <c r="R1138" s="48">
        <f>HEX2DEC(RIGHT(Table1323212714[[#This Row],[h2]],8))</f>
        <v>0</v>
      </c>
    </row>
    <row r="1139" spans="1:18" x14ac:dyDescent="0.3">
      <c r="A1139" s="15" t="str">
        <f t="shared" si="22"/>
        <v>469</v>
      </c>
      <c r="B1139" s="15">
        <v>1129</v>
      </c>
      <c r="C1139" s="42"/>
      <c r="F1139" s="22"/>
      <c r="G1139" s="22"/>
      <c r="J1139" s="24">
        <v>50000</v>
      </c>
      <c r="M1139" s="24">
        <v>50000</v>
      </c>
      <c r="O1139" s="48" t="s">
        <v>97</v>
      </c>
      <c r="P1139" s="48">
        <f>HEX2DEC(RIGHT(Table1323212714[[#This Row],[h1]],8))</f>
        <v>0</v>
      </c>
      <c r="Q1139" s="48" t="s">
        <v>97</v>
      </c>
      <c r="R1139" s="48">
        <f>HEX2DEC(RIGHT(Table1323212714[[#This Row],[h2]],8))</f>
        <v>0</v>
      </c>
    </row>
    <row r="1140" spans="1:18" x14ac:dyDescent="0.3">
      <c r="A1140" s="15" t="str">
        <f t="shared" si="22"/>
        <v>46A</v>
      </c>
      <c r="B1140" s="15">
        <v>1130</v>
      </c>
      <c r="C1140" s="42"/>
      <c r="F1140" s="22"/>
      <c r="G1140" s="22"/>
      <c r="J1140" s="24">
        <v>50000</v>
      </c>
      <c r="M1140" s="24">
        <v>50000</v>
      </c>
      <c r="O1140" s="48" t="s">
        <v>97</v>
      </c>
      <c r="P1140" s="48">
        <f>HEX2DEC(RIGHT(Table1323212714[[#This Row],[h1]],8))</f>
        <v>0</v>
      </c>
      <c r="Q1140" s="48" t="s">
        <v>97</v>
      </c>
      <c r="R1140" s="48">
        <f>HEX2DEC(RIGHT(Table1323212714[[#This Row],[h2]],8))</f>
        <v>0</v>
      </c>
    </row>
    <row r="1141" spans="1:18" x14ac:dyDescent="0.3">
      <c r="A1141" s="15" t="str">
        <f t="shared" si="22"/>
        <v>46B</v>
      </c>
      <c r="B1141" s="15">
        <v>1131</v>
      </c>
      <c r="C1141" s="42"/>
      <c r="F1141" s="22"/>
      <c r="G1141" s="22"/>
      <c r="J1141" s="24">
        <v>50000</v>
      </c>
      <c r="M1141" s="24">
        <v>50000</v>
      </c>
      <c r="O1141" s="48" t="s">
        <v>97</v>
      </c>
      <c r="P1141" s="48">
        <f>HEX2DEC(RIGHT(Table1323212714[[#This Row],[h1]],8))</f>
        <v>0</v>
      </c>
      <c r="Q1141" s="48" t="s">
        <v>97</v>
      </c>
      <c r="R1141" s="48">
        <f>HEX2DEC(RIGHT(Table1323212714[[#This Row],[h2]],8))</f>
        <v>0</v>
      </c>
    </row>
    <row r="1142" spans="1:18" x14ac:dyDescent="0.3">
      <c r="A1142" s="15" t="str">
        <f t="shared" si="22"/>
        <v>46C</v>
      </c>
      <c r="B1142" s="15">
        <v>1132</v>
      </c>
      <c r="C1142" s="42"/>
      <c r="F1142" s="22"/>
      <c r="G1142" s="22"/>
      <c r="J1142" s="24">
        <v>50000</v>
      </c>
      <c r="M1142" s="24">
        <v>50000</v>
      </c>
      <c r="O1142" s="48" t="s">
        <v>97</v>
      </c>
      <c r="P1142" s="48">
        <f>HEX2DEC(RIGHT(Table1323212714[[#This Row],[h1]],8))</f>
        <v>0</v>
      </c>
      <c r="Q1142" s="48" t="s">
        <v>97</v>
      </c>
      <c r="R1142" s="48">
        <f>HEX2DEC(RIGHT(Table1323212714[[#This Row],[h2]],8))</f>
        <v>0</v>
      </c>
    </row>
    <row r="1143" spans="1:18" x14ac:dyDescent="0.3">
      <c r="A1143" s="15" t="str">
        <f t="shared" si="22"/>
        <v>46D</v>
      </c>
      <c r="B1143" s="15">
        <v>1133</v>
      </c>
      <c r="C1143" s="42"/>
      <c r="F1143" s="22"/>
      <c r="G1143" s="22"/>
      <c r="J1143" s="24">
        <v>50000</v>
      </c>
      <c r="M1143" s="24">
        <v>50000</v>
      </c>
      <c r="O1143" s="48" t="s">
        <v>97</v>
      </c>
      <c r="P1143" s="48">
        <f>HEX2DEC(RIGHT(Table1323212714[[#This Row],[h1]],8))</f>
        <v>0</v>
      </c>
      <c r="Q1143" s="48" t="s">
        <v>97</v>
      </c>
      <c r="R1143" s="48">
        <f>HEX2DEC(RIGHT(Table1323212714[[#This Row],[h2]],8))</f>
        <v>0</v>
      </c>
    </row>
    <row r="1144" spans="1:18" x14ac:dyDescent="0.3">
      <c r="A1144" s="15" t="str">
        <f t="shared" si="22"/>
        <v>46E</v>
      </c>
      <c r="B1144" s="15">
        <v>1134</v>
      </c>
      <c r="C1144" s="42"/>
      <c r="F1144" s="22"/>
      <c r="G1144" s="22"/>
      <c r="J1144" s="24">
        <v>50000</v>
      </c>
      <c r="M1144" s="24">
        <v>50000</v>
      </c>
      <c r="O1144" s="48" t="s">
        <v>97</v>
      </c>
      <c r="P1144" s="48">
        <f>HEX2DEC(RIGHT(Table1323212714[[#This Row],[h1]],8))</f>
        <v>0</v>
      </c>
      <c r="Q1144" s="48" t="s">
        <v>97</v>
      </c>
      <c r="R1144" s="48">
        <f>HEX2DEC(RIGHT(Table1323212714[[#This Row],[h2]],8))</f>
        <v>0</v>
      </c>
    </row>
    <row r="1145" spans="1:18" x14ac:dyDescent="0.3">
      <c r="A1145" s="15" t="str">
        <f t="shared" si="22"/>
        <v>46F</v>
      </c>
      <c r="B1145" s="15">
        <v>1135</v>
      </c>
      <c r="C1145" s="42"/>
      <c r="F1145" s="22"/>
      <c r="G1145" s="22"/>
      <c r="J1145" s="24">
        <v>50000</v>
      </c>
      <c r="M1145" s="24">
        <v>50000</v>
      </c>
      <c r="O1145" s="48" t="s">
        <v>97</v>
      </c>
      <c r="P1145" s="48">
        <f>HEX2DEC(RIGHT(Table1323212714[[#This Row],[h1]],8))</f>
        <v>0</v>
      </c>
      <c r="Q1145" s="48" t="s">
        <v>97</v>
      </c>
      <c r="R1145" s="48">
        <f>HEX2DEC(RIGHT(Table1323212714[[#This Row],[h2]],8))</f>
        <v>0</v>
      </c>
    </row>
    <row r="1146" spans="1:18" x14ac:dyDescent="0.3">
      <c r="A1146" s="15" t="str">
        <f t="shared" si="22"/>
        <v>470</v>
      </c>
      <c r="B1146" s="15">
        <v>1136</v>
      </c>
      <c r="C1146" s="42"/>
      <c r="F1146" s="22"/>
      <c r="G1146" s="22"/>
      <c r="J1146" s="24">
        <v>50000</v>
      </c>
      <c r="M1146" s="24">
        <v>50000</v>
      </c>
      <c r="O1146" s="48" t="s">
        <v>97</v>
      </c>
      <c r="P1146" s="48">
        <f>HEX2DEC(RIGHT(Table1323212714[[#This Row],[h1]],8))</f>
        <v>0</v>
      </c>
      <c r="Q1146" s="48" t="s">
        <v>97</v>
      </c>
      <c r="R1146" s="48">
        <f>HEX2DEC(RIGHT(Table1323212714[[#This Row],[h2]],8))</f>
        <v>0</v>
      </c>
    </row>
    <row r="1147" spans="1:18" x14ac:dyDescent="0.3">
      <c r="A1147" s="15" t="str">
        <f t="shared" si="22"/>
        <v>471</v>
      </c>
      <c r="B1147" s="15">
        <v>1137</v>
      </c>
      <c r="C1147" s="42"/>
      <c r="F1147" s="22"/>
      <c r="G1147" s="22"/>
      <c r="J1147" s="24">
        <v>50000</v>
      </c>
      <c r="M1147" s="24">
        <v>50000</v>
      </c>
      <c r="O1147" s="48" t="s">
        <v>97</v>
      </c>
      <c r="P1147" s="48">
        <f>HEX2DEC(RIGHT(Table1323212714[[#This Row],[h1]],8))</f>
        <v>0</v>
      </c>
      <c r="Q1147" s="48" t="s">
        <v>97</v>
      </c>
      <c r="R1147" s="48">
        <f>HEX2DEC(RIGHT(Table1323212714[[#This Row],[h2]],8))</f>
        <v>0</v>
      </c>
    </row>
    <row r="1148" spans="1:18" x14ac:dyDescent="0.3">
      <c r="A1148" s="15" t="str">
        <f t="shared" si="22"/>
        <v>472</v>
      </c>
      <c r="B1148" s="15">
        <v>1138</v>
      </c>
      <c r="C1148" s="42"/>
      <c r="F1148" s="22"/>
      <c r="G1148" s="22"/>
      <c r="J1148" s="24">
        <v>50000</v>
      </c>
      <c r="M1148" s="24">
        <v>50000</v>
      </c>
      <c r="O1148" s="48" t="s">
        <v>97</v>
      </c>
      <c r="P1148" s="48">
        <f>HEX2DEC(RIGHT(Table1323212714[[#This Row],[h1]],8))</f>
        <v>0</v>
      </c>
      <c r="Q1148" s="48" t="s">
        <v>97</v>
      </c>
      <c r="R1148" s="48">
        <f>HEX2DEC(RIGHT(Table1323212714[[#This Row],[h2]],8))</f>
        <v>0</v>
      </c>
    </row>
    <row r="1149" spans="1:18" x14ac:dyDescent="0.3">
      <c r="A1149" s="15" t="str">
        <f t="shared" si="22"/>
        <v>473</v>
      </c>
      <c r="B1149" s="15">
        <v>1139</v>
      </c>
      <c r="C1149" s="42"/>
      <c r="F1149" s="22"/>
      <c r="G1149" s="22"/>
      <c r="J1149" s="24">
        <v>50000</v>
      </c>
      <c r="M1149" s="24">
        <v>50000</v>
      </c>
      <c r="O1149" s="48" t="s">
        <v>97</v>
      </c>
      <c r="P1149" s="48">
        <f>HEX2DEC(RIGHT(Table1323212714[[#This Row],[h1]],8))</f>
        <v>0</v>
      </c>
      <c r="Q1149" s="48" t="s">
        <v>97</v>
      </c>
      <c r="R1149" s="48">
        <f>HEX2DEC(RIGHT(Table1323212714[[#This Row],[h2]],8))</f>
        <v>0</v>
      </c>
    </row>
    <row r="1150" spans="1:18" x14ac:dyDescent="0.3">
      <c r="A1150" s="15" t="str">
        <f t="shared" si="22"/>
        <v>474</v>
      </c>
      <c r="B1150" s="15">
        <v>1140</v>
      </c>
      <c r="C1150" s="42"/>
      <c r="F1150" s="22"/>
      <c r="G1150" s="22"/>
      <c r="J1150" s="24">
        <v>50000</v>
      </c>
      <c r="M1150" s="24">
        <v>50000</v>
      </c>
      <c r="O1150" s="48" t="s">
        <v>97</v>
      </c>
      <c r="P1150" s="48">
        <f>HEX2DEC(RIGHT(Table1323212714[[#This Row],[h1]],8))</f>
        <v>0</v>
      </c>
      <c r="Q1150" s="48" t="s">
        <v>97</v>
      </c>
      <c r="R1150" s="48">
        <f>HEX2DEC(RIGHT(Table1323212714[[#This Row],[h2]],8))</f>
        <v>0</v>
      </c>
    </row>
    <row r="1151" spans="1:18" x14ac:dyDescent="0.3">
      <c r="A1151" s="15" t="str">
        <f t="shared" si="22"/>
        <v>475</v>
      </c>
      <c r="B1151" s="15">
        <v>1141</v>
      </c>
      <c r="C1151" s="42"/>
      <c r="F1151" s="22"/>
      <c r="G1151" s="22"/>
      <c r="J1151" s="24">
        <v>50000</v>
      </c>
      <c r="M1151" s="24">
        <v>50000</v>
      </c>
      <c r="O1151" s="48" t="s">
        <v>97</v>
      </c>
      <c r="P1151" s="48">
        <f>HEX2DEC(RIGHT(Table1323212714[[#This Row],[h1]],8))</f>
        <v>0</v>
      </c>
      <c r="Q1151" s="48" t="s">
        <v>97</v>
      </c>
      <c r="R1151" s="48">
        <f>HEX2DEC(RIGHT(Table1323212714[[#This Row],[h2]],8))</f>
        <v>0</v>
      </c>
    </row>
    <row r="1152" spans="1:18" x14ac:dyDescent="0.3">
      <c r="A1152" s="15" t="str">
        <f t="shared" si="22"/>
        <v>476</v>
      </c>
      <c r="B1152" s="15">
        <v>1142</v>
      </c>
      <c r="C1152" s="42"/>
      <c r="F1152" s="22"/>
      <c r="G1152" s="22"/>
      <c r="J1152" s="24">
        <v>50000</v>
      </c>
      <c r="M1152" s="24">
        <v>50000</v>
      </c>
      <c r="O1152" s="48" t="s">
        <v>97</v>
      </c>
      <c r="P1152" s="48">
        <f>HEX2DEC(RIGHT(Table1323212714[[#This Row],[h1]],8))</f>
        <v>0</v>
      </c>
      <c r="Q1152" s="48" t="s">
        <v>97</v>
      </c>
      <c r="R1152" s="48">
        <f>HEX2DEC(RIGHT(Table1323212714[[#This Row],[h2]],8))</f>
        <v>0</v>
      </c>
    </row>
    <row r="1153" spans="1:18" x14ac:dyDescent="0.3">
      <c r="A1153" s="15" t="str">
        <f t="shared" si="22"/>
        <v>477</v>
      </c>
      <c r="B1153" s="15">
        <v>1143</v>
      </c>
      <c r="C1153" s="42"/>
      <c r="F1153" s="22"/>
      <c r="G1153" s="22"/>
      <c r="J1153" s="24">
        <v>50000</v>
      </c>
      <c r="M1153" s="24">
        <v>50000</v>
      </c>
      <c r="O1153" s="48" t="s">
        <v>97</v>
      </c>
      <c r="P1153" s="48">
        <f>HEX2DEC(RIGHT(Table1323212714[[#This Row],[h1]],8))</f>
        <v>0</v>
      </c>
      <c r="Q1153" s="48" t="s">
        <v>97</v>
      </c>
      <c r="R1153" s="48">
        <f>HEX2DEC(RIGHT(Table1323212714[[#This Row],[h2]],8))</f>
        <v>0</v>
      </c>
    </row>
    <row r="1154" spans="1:18" x14ac:dyDescent="0.3">
      <c r="A1154" s="15" t="str">
        <f t="shared" si="22"/>
        <v>478</v>
      </c>
      <c r="B1154" s="15">
        <v>1144</v>
      </c>
      <c r="C1154" s="42"/>
      <c r="F1154" s="22"/>
      <c r="G1154" s="22"/>
      <c r="J1154" s="24">
        <v>50000</v>
      </c>
      <c r="M1154" s="24">
        <v>50000</v>
      </c>
      <c r="O1154" s="48" t="s">
        <v>97</v>
      </c>
      <c r="P1154" s="48">
        <f>HEX2DEC(RIGHT(Table1323212714[[#This Row],[h1]],8))</f>
        <v>0</v>
      </c>
      <c r="Q1154" s="48" t="s">
        <v>97</v>
      </c>
      <c r="R1154" s="48">
        <f>HEX2DEC(RIGHT(Table1323212714[[#This Row],[h2]],8))</f>
        <v>0</v>
      </c>
    </row>
    <row r="1155" spans="1:18" x14ac:dyDescent="0.3">
      <c r="A1155" s="15" t="str">
        <f t="shared" si="22"/>
        <v>479</v>
      </c>
      <c r="B1155" s="15">
        <v>1145</v>
      </c>
      <c r="C1155" s="42"/>
      <c r="F1155" s="22"/>
      <c r="G1155" s="22"/>
      <c r="J1155" s="24">
        <v>50000</v>
      </c>
      <c r="M1155" s="24">
        <v>50000</v>
      </c>
      <c r="O1155" s="48" t="s">
        <v>97</v>
      </c>
      <c r="P1155" s="48">
        <f>HEX2DEC(RIGHT(Table1323212714[[#This Row],[h1]],8))</f>
        <v>0</v>
      </c>
      <c r="Q1155" s="48" t="s">
        <v>97</v>
      </c>
      <c r="R1155" s="48">
        <f>HEX2DEC(RIGHT(Table1323212714[[#This Row],[h2]],8))</f>
        <v>0</v>
      </c>
    </row>
    <row r="1156" spans="1:18" x14ac:dyDescent="0.3">
      <c r="A1156" s="15" t="str">
        <f t="shared" si="22"/>
        <v>47A</v>
      </c>
      <c r="B1156" s="15">
        <v>1146</v>
      </c>
      <c r="C1156" s="42"/>
      <c r="F1156" s="22"/>
      <c r="G1156" s="22"/>
      <c r="J1156" s="24">
        <v>50000</v>
      </c>
      <c r="M1156" s="24">
        <v>50000</v>
      </c>
      <c r="O1156" s="48" t="s">
        <v>97</v>
      </c>
      <c r="P1156" s="48">
        <f>HEX2DEC(RIGHT(Table1323212714[[#This Row],[h1]],8))</f>
        <v>0</v>
      </c>
      <c r="Q1156" s="48" t="s">
        <v>97</v>
      </c>
      <c r="R1156" s="48">
        <f>HEX2DEC(RIGHT(Table1323212714[[#This Row],[h2]],8))</f>
        <v>0</v>
      </c>
    </row>
    <row r="1157" spans="1:18" x14ac:dyDescent="0.3">
      <c r="A1157" s="15" t="str">
        <f t="shared" si="22"/>
        <v>47B</v>
      </c>
      <c r="B1157" s="15">
        <v>1147</v>
      </c>
      <c r="C1157" s="42"/>
      <c r="F1157" s="22"/>
      <c r="G1157" s="22"/>
      <c r="J1157" s="24">
        <v>50000</v>
      </c>
      <c r="M1157" s="24">
        <v>50000</v>
      </c>
      <c r="O1157" s="48" t="s">
        <v>97</v>
      </c>
      <c r="P1157" s="48">
        <f>HEX2DEC(RIGHT(Table1323212714[[#This Row],[h1]],8))</f>
        <v>0</v>
      </c>
      <c r="Q1157" s="48" t="s">
        <v>97</v>
      </c>
      <c r="R1157" s="48">
        <f>HEX2DEC(RIGHT(Table1323212714[[#This Row],[h2]],8))</f>
        <v>0</v>
      </c>
    </row>
    <row r="1158" spans="1:18" x14ac:dyDescent="0.3">
      <c r="A1158" s="15" t="str">
        <f t="shared" si="22"/>
        <v>47C</v>
      </c>
      <c r="B1158" s="15">
        <v>1148</v>
      </c>
      <c r="C1158" s="42"/>
      <c r="F1158" s="22"/>
      <c r="G1158" s="22"/>
      <c r="J1158" s="24">
        <v>50000</v>
      </c>
      <c r="M1158" s="24">
        <v>50000</v>
      </c>
      <c r="O1158" s="48" t="s">
        <v>97</v>
      </c>
      <c r="P1158" s="48">
        <f>HEX2DEC(RIGHT(Table1323212714[[#This Row],[h1]],8))</f>
        <v>0</v>
      </c>
      <c r="Q1158" s="48" t="s">
        <v>97</v>
      </c>
      <c r="R1158" s="48">
        <f>HEX2DEC(RIGHT(Table1323212714[[#This Row],[h2]],8))</f>
        <v>0</v>
      </c>
    </row>
    <row r="1159" spans="1:18" x14ac:dyDescent="0.3">
      <c r="A1159" s="15" t="str">
        <f t="shared" si="22"/>
        <v>47D</v>
      </c>
      <c r="B1159" s="15">
        <v>1149</v>
      </c>
      <c r="C1159" s="42"/>
      <c r="F1159" s="22"/>
      <c r="G1159" s="22"/>
      <c r="J1159" s="24">
        <v>50000</v>
      </c>
      <c r="M1159" s="24">
        <v>50000</v>
      </c>
      <c r="O1159" s="48" t="s">
        <v>97</v>
      </c>
      <c r="P1159" s="48">
        <f>HEX2DEC(RIGHT(Table1323212714[[#This Row],[h1]],8))</f>
        <v>0</v>
      </c>
      <c r="Q1159" s="48" t="s">
        <v>97</v>
      </c>
      <c r="R1159" s="48">
        <f>HEX2DEC(RIGHT(Table1323212714[[#This Row],[h2]],8))</f>
        <v>0</v>
      </c>
    </row>
    <row r="1160" spans="1:18" x14ac:dyDescent="0.3">
      <c r="A1160" s="15" t="str">
        <f t="shared" si="22"/>
        <v>47E</v>
      </c>
      <c r="B1160" s="15">
        <v>1150</v>
      </c>
      <c r="C1160" s="42"/>
      <c r="F1160" s="22"/>
      <c r="G1160" s="22"/>
      <c r="J1160" s="24">
        <v>50000</v>
      </c>
      <c r="M1160" s="24">
        <v>50000</v>
      </c>
      <c r="O1160" s="48" t="s">
        <v>97</v>
      </c>
      <c r="P1160" s="48">
        <f>HEX2DEC(RIGHT(Table1323212714[[#This Row],[h1]],8))</f>
        <v>0</v>
      </c>
      <c r="Q1160" s="48" t="s">
        <v>97</v>
      </c>
      <c r="R1160" s="48">
        <f>HEX2DEC(RIGHT(Table1323212714[[#This Row],[h2]],8))</f>
        <v>0</v>
      </c>
    </row>
    <row r="1161" spans="1:18" x14ac:dyDescent="0.3">
      <c r="A1161" s="15" t="str">
        <f t="shared" si="22"/>
        <v>47F</v>
      </c>
      <c r="B1161" s="15">
        <v>1151</v>
      </c>
      <c r="C1161" s="42"/>
      <c r="F1161" s="22"/>
      <c r="G1161" s="22"/>
      <c r="J1161" s="24">
        <v>50000</v>
      </c>
      <c r="M1161" s="24">
        <v>50000</v>
      </c>
      <c r="O1161" s="48" t="s">
        <v>97</v>
      </c>
      <c r="P1161" s="48">
        <f>HEX2DEC(RIGHT(Table1323212714[[#This Row],[h1]],8))</f>
        <v>0</v>
      </c>
      <c r="Q1161" s="48" t="s">
        <v>97</v>
      </c>
      <c r="R1161" s="48">
        <f>HEX2DEC(RIGHT(Table1323212714[[#This Row],[h2]],8))</f>
        <v>0</v>
      </c>
    </row>
    <row r="1162" spans="1:18" x14ac:dyDescent="0.3">
      <c r="A1162" s="15" t="str">
        <f t="shared" si="22"/>
        <v>480</v>
      </c>
      <c r="B1162" s="15">
        <v>1152</v>
      </c>
      <c r="C1162" s="42"/>
      <c r="F1162" s="22"/>
      <c r="G1162" s="22"/>
      <c r="J1162" s="24">
        <v>50000</v>
      </c>
      <c r="M1162" s="24">
        <v>50000</v>
      </c>
      <c r="O1162" s="48" t="s">
        <v>97</v>
      </c>
      <c r="P1162" s="48">
        <f>HEX2DEC(RIGHT(Table1323212714[[#This Row],[h1]],8))</f>
        <v>0</v>
      </c>
      <c r="Q1162" s="48" t="s">
        <v>97</v>
      </c>
      <c r="R1162" s="48">
        <f>HEX2DEC(RIGHT(Table1323212714[[#This Row],[h2]],8))</f>
        <v>0</v>
      </c>
    </row>
    <row r="1163" spans="1:18" x14ac:dyDescent="0.3">
      <c r="A1163" s="15" t="str">
        <f t="shared" ref="A1163:A1226" si="23">DEC2HEX(B1163,3)</f>
        <v>481</v>
      </c>
      <c r="B1163" s="15">
        <v>1153</v>
      </c>
      <c r="C1163" s="42"/>
      <c r="F1163" s="22"/>
      <c r="G1163" s="22"/>
      <c r="J1163" s="24">
        <v>50000</v>
      </c>
      <c r="M1163" s="24">
        <v>50000</v>
      </c>
      <c r="O1163" s="48" t="s">
        <v>97</v>
      </c>
      <c r="P1163" s="48">
        <f>HEX2DEC(RIGHT(Table1323212714[[#This Row],[h1]],8))</f>
        <v>0</v>
      </c>
      <c r="Q1163" s="48" t="s">
        <v>97</v>
      </c>
      <c r="R1163" s="48">
        <f>HEX2DEC(RIGHT(Table1323212714[[#This Row],[h2]],8))</f>
        <v>0</v>
      </c>
    </row>
    <row r="1164" spans="1:18" x14ac:dyDescent="0.3">
      <c r="A1164" s="15" t="str">
        <f t="shared" si="23"/>
        <v>482</v>
      </c>
      <c r="B1164" s="15">
        <v>1154</v>
      </c>
      <c r="C1164" s="42"/>
      <c r="F1164" s="22"/>
      <c r="G1164" s="22"/>
      <c r="J1164" s="24">
        <v>50000</v>
      </c>
      <c r="M1164" s="24">
        <v>50000</v>
      </c>
      <c r="O1164" s="48" t="s">
        <v>97</v>
      </c>
      <c r="P1164" s="48">
        <f>HEX2DEC(RIGHT(Table1323212714[[#This Row],[h1]],8))</f>
        <v>0</v>
      </c>
      <c r="Q1164" s="48" t="s">
        <v>97</v>
      </c>
      <c r="R1164" s="48">
        <f>HEX2DEC(RIGHT(Table1323212714[[#This Row],[h2]],8))</f>
        <v>0</v>
      </c>
    </row>
    <row r="1165" spans="1:18" x14ac:dyDescent="0.3">
      <c r="A1165" s="15" t="str">
        <f t="shared" si="23"/>
        <v>483</v>
      </c>
      <c r="B1165" s="15">
        <v>1155</v>
      </c>
      <c r="C1165" s="42"/>
      <c r="F1165" s="22"/>
      <c r="G1165" s="22"/>
      <c r="J1165" s="24">
        <v>50000</v>
      </c>
      <c r="M1165" s="24">
        <v>50000</v>
      </c>
      <c r="O1165" s="48" t="s">
        <v>97</v>
      </c>
      <c r="P1165" s="48">
        <f>HEX2DEC(RIGHT(Table1323212714[[#This Row],[h1]],8))</f>
        <v>0</v>
      </c>
      <c r="Q1165" s="48" t="s">
        <v>97</v>
      </c>
      <c r="R1165" s="48">
        <f>HEX2DEC(RIGHT(Table1323212714[[#This Row],[h2]],8))</f>
        <v>0</v>
      </c>
    </row>
    <row r="1166" spans="1:18" x14ac:dyDescent="0.3">
      <c r="A1166" s="15" t="str">
        <f t="shared" si="23"/>
        <v>484</v>
      </c>
      <c r="B1166" s="15">
        <v>1156</v>
      </c>
      <c r="C1166" s="42"/>
      <c r="F1166" s="22"/>
      <c r="G1166" s="22"/>
      <c r="J1166" s="24">
        <v>50000</v>
      </c>
      <c r="M1166" s="24">
        <v>50000</v>
      </c>
      <c r="O1166" s="48" t="s">
        <v>97</v>
      </c>
      <c r="P1166" s="48">
        <f>HEX2DEC(RIGHT(Table1323212714[[#This Row],[h1]],8))</f>
        <v>0</v>
      </c>
      <c r="Q1166" s="48" t="s">
        <v>97</v>
      </c>
      <c r="R1166" s="48">
        <f>HEX2DEC(RIGHT(Table1323212714[[#This Row],[h2]],8))</f>
        <v>0</v>
      </c>
    </row>
    <row r="1167" spans="1:18" x14ac:dyDescent="0.3">
      <c r="A1167" s="15" t="str">
        <f t="shared" si="23"/>
        <v>485</v>
      </c>
      <c r="B1167" s="15">
        <v>1157</v>
      </c>
      <c r="C1167" s="42"/>
      <c r="F1167" s="22"/>
      <c r="G1167" s="22"/>
      <c r="J1167" s="24">
        <v>50000</v>
      </c>
      <c r="M1167" s="24">
        <v>50000</v>
      </c>
      <c r="O1167" s="48" t="s">
        <v>97</v>
      </c>
      <c r="P1167" s="48">
        <f>HEX2DEC(RIGHT(Table1323212714[[#This Row],[h1]],8))</f>
        <v>0</v>
      </c>
      <c r="Q1167" s="48" t="s">
        <v>97</v>
      </c>
      <c r="R1167" s="48">
        <f>HEX2DEC(RIGHT(Table1323212714[[#This Row],[h2]],8))</f>
        <v>0</v>
      </c>
    </row>
    <row r="1168" spans="1:18" x14ac:dyDescent="0.3">
      <c r="A1168" s="15" t="str">
        <f t="shared" si="23"/>
        <v>486</v>
      </c>
      <c r="B1168" s="15">
        <v>1158</v>
      </c>
      <c r="C1168" s="42"/>
      <c r="F1168" s="22"/>
      <c r="G1168" s="22"/>
      <c r="J1168" s="24">
        <v>50000</v>
      </c>
      <c r="M1168" s="24">
        <v>50000</v>
      </c>
      <c r="O1168" s="48" t="s">
        <v>97</v>
      </c>
      <c r="P1168" s="48">
        <f>HEX2DEC(RIGHT(Table1323212714[[#This Row],[h1]],8))</f>
        <v>0</v>
      </c>
      <c r="Q1168" s="48" t="s">
        <v>97</v>
      </c>
      <c r="R1168" s="48">
        <f>HEX2DEC(RIGHT(Table1323212714[[#This Row],[h2]],8))</f>
        <v>0</v>
      </c>
    </row>
    <row r="1169" spans="1:18" x14ac:dyDescent="0.3">
      <c r="A1169" s="15" t="str">
        <f t="shared" si="23"/>
        <v>487</v>
      </c>
      <c r="B1169" s="15">
        <v>1159</v>
      </c>
      <c r="C1169" s="42"/>
      <c r="F1169" s="22"/>
      <c r="G1169" s="22"/>
      <c r="J1169" s="24">
        <v>50000</v>
      </c>
      <c r="M1169" s="24">
        <v>50000</v>
      </c>
      <c r="O1169" s="48" t="s">
        <v>97</v>
      </c>
      <c r="P1169" s="48">
        <f>HEX2DEC(RIGHT(Table1323212714[[#This Row],[h1]],8))</f>
        <v>0</v>
      </c>
      <c r="Q1169" s="48" t="s">
        <v>97</v>
      </c>
      <c r="R1169" s="48">
        <f>HEX2DEC(RIGHT(Table1323212714[[#This Row],[h2]],8))</f>
        <v>0</v>
      </c>
    </row>
    <row r="1170" spans="1:18" x14ac:dyDescent="0.3">
      <c r="A1170" s="15" t="str">
        <f t="shared" si="23"/>
        <v>488</v>
      </c>
      <c r="B1170" s="15">
        <v>1160</v>
      </c>
      <c r="C1170" s="42"/>
      <c r="F1170" s="22"/>
      <c r="G1170" s="22"/>
      <c r="J1170" s="24">
        <v>50000</v>
      </c>
      <c r="M1170" s="24">
        <v>50000</v>
      </c>
      <c r="O1170" s="48" t="s">
        <v>97</v>
      </c>
      <c r="P1170" s="48">
        <f>HEX2DEC(RIGHT(Table1323212714[[#This Row],[h1]],8))</f>
        <v>0</v>
      </c>
      <c r="Q1170" s="48" t="s">
        <v>97</v>
      </c>
      <c r="R1170" s="48">
        <f>HEX2DEC(RIGHT(Table1323212714[[#This Row],[h2]],8))</f>
        <v>0</v>
      </c>
    </row>
    <row r="1171" spans="1:18" x14ac:dyDescent="0.3">
      <c r="A1171" s="15" t="str">
        <f t="shared" si="23"/>
        <v>489</v>
      </c>
      <c r="B1171" s="15">
        <v>1161</v>
      </c>
      <c r="C1171" s="42"/>
      <c r="F1171" s="22"/>
      <c r="G1171" s="22"/>
      <c r="J1171" s="24">
        <v>50000</v>
      </c>
      <c r="M1171" s="24">
        <v>50000</v>
      </c>
      <c r="O1171" s="48" t="s">
        <v>97</v>
      </c>
      <c r="P1171" s="48">
        <f>HEX2DEC(RIGHT(Table1323212714[[#This Row],[h1]],8))</f>
        <v>0</v>
      </c>
      <c r="Q1171" s="48" t="s">
        <v>97</v>
      </c>
      <c r="R1171" s="48">
        <f>HEX2DEC(RIGHT(Table1323212714[[#This Row],[h2]],8))</f>
        <v>0</v>
      </c>
    </row>
    <row r="1172" spans="1:18" x14ac:dyDescent="0.3">
      <c r="A1172" s="15" t="str">
        <f t="shared" si="23"/>
        <v>48A</v>
      </c>
      <c r="B1172" s="15">
        <v>1162</v>
      </c>
      <c r="C1172" s="42"/>
      <c r="F1172" s="22"/>
      <c r="G1172" s="22"/>
      <c r="J1172" s="24">
        <v>50000</v>
      </c>
      <c r="M1172" s="24">
        <v>50000</v>
      </c>
      <c r="O1172" s="48" t="s">
        <v>97</v>
      </c>
      <c r="P1172" s="48">
        <f>HEX2DEC(RIGHT(Table1323212714[[#This Row],[h1]],8))</f>
        <v>0</v>
      </c>
      <c r="Q1172" s="48" t="s">
        <v>97</v>
      </c>
      <c r="R1172" s="48">
        <f>HEX2DEC(RIGHT(Table1323212714[[#This Row],[h2]],8))</f>
        <v>0</v>
      </c>
    </row>
    <row r="1173" spans="1:18" x14ac:dyDescent="0.3">
      <c r="A1173" s="15" t="str">
        <f t="shared" si="23"/>
        <v>48B</v>
      </c>
      <c r="B1173" s="15">
        <v>1163</v>
      </c>
      <c r="C1173" s="42"/>
      <c r="F1173" s="22"/>
      <c r="G1173" s="22"/>
      <c r="J1173" s="24">
        <v>50000</v>
      </c>
      <c r="M1173" s="24">
        <v>50000</v>
      </c>
      <c r="O1173" s="48" t="s">
        <v>97</v>
      </c>
      <c r="P1173" s="48">
        <f>HEX2DEC(RIGHT(Table1323212714[[#This Row],[h1]],8))</f>
        <v>0</v>
      </c>
      <c r="Q1173" s="48" t="s">
        <v>97</v>
      </c>
      <c r="R1173" s="48">
        <f>HEX2DEC(RIGHT(Table1323212714[[#This Row],[h2]],8))</f>
        <v>0</v>
      </c>
    </row>
    <row r="1174" spans="1:18" x14ac:dyDescent="0.3">
      <c r="A1174" s="15" t="str">
        <f t="shared" si="23"/>
        <v>48C</v>
      </c>
      <c r="B1174" s="15">
        <v>1164</v>
      </c>
      <c r="C1174" s="42"/>
      <c r="F1174" s="22"/>
      <c r="G1174" s="22"/>
      <c r="J1174" s="24">
        <v>50000</v>
      </c>
      <c r="M1174" s="24">
        <v>50000</v>
      </c>
      <c r="O1174" s="48" t="s">
        <v>97</v>
      </c>
      <c r="P1174" s="48">
        <f>HEX2DEC(RIGHT(Table1323212714[[#This Row],[h1]],8))</f>
        <v>0</v>
      </c>
      <c r="Q1174" s="48" t="s">
        <v>97</v>
      </c>
      <c r="R1174" s="48">
        <f>HEX2DEC(RIGHT(Table1323212714[[#This Row],[h2]],8))</f>
        <v>0</v>
      </c>
    </row>
    <row r="1175" spans="1:18" x14ac:dyDescent="0.3">
      <c r="A1175" s="15" t="str">
        <f t="shared" si="23"/>
        <v>48D</v>
      </c>
      <c r="B1175" s="15">
        <v>1165</v>
      </c>
      <c r="C1175" s="42"/>
      <c r="F1175" s="22"/>
      <c r="G1175" s="22"/>
      <c r="J1175" s="24">
        <v>50000</v>
      </c>
      <c r="M1175" s="24">
        <v>50000</v>
      </c>
      <c r="O1175" s="48" t="s">
        <v>97</v>
      </c>
      <c r="P1175" s="48">
        <f>HEX2DEC(RIGHT(Table1323212714[[#This Row],[h1]],8))</f>
        <v>0</v>
      </c>
      <c r="Q1175" s="48" t="s">
        <v>97</v>
      </c>
      <c r="R1175" s="48">
        <f>HEX2DEC(RIGHT(Table1323212714[[#This Row],[h2]],8))</f>
        <v>0</v>
      </c>
    </row>
    <row r="1176" spans="1:18" x14ac:dyDescent="0.3">
      <c r="A1176" s="15" t="str">
        <f t="shared" si="23"/>
        <v>48E</v>
      </c>
      <c r="B1176" s="15">
        <v>1166</v>
      </c>
      <c r="C1176" s="42"/>
      <c r="F1176" s="22"/>
      <c r="G1176" s="22"/>
      <c r="J1176" s="24">
        <v>50000</v>
      </c>
      <c r="M1176" s="24">
        <v>50000</v>
      </c>
      <c r="O1176" s="48" t="s">
        <v>97</v>
      </c>
      <c r="P1176" s="48">
        <f>HEX2DEC(RIGHT(Table1323212714[[#This Row],[h1]],8))</f>
        <v>0</v>
      </c>
      <c r="Q1176" s="48" t="s">
        <v>97</v>
      </c>
      <c r="R1176" s="48">
        <f>HEX2DEC(RIGHT(Table1323212714[[#This Row],[h2]],8))</f>
        <v>0</v>
      </c>
    </row>
    <row r="1177" spans="1:18" x14ac:dyDescent="0.3">
      <c r="A1177" s="15" t="str">
        <f t="shared" si="23"/>
        <v>48F</v>
      </c>
      <c r="B1177" s="15">
        <v>1167</v>
      </c>
      <c r="C1177" s="42"/>
      <c r="F1177" s="22"/>
      <c r="G1177" s="22"/>
      <c r="J1177" s="24">
        <v>50000</v>
      </c>
      <c r="M1177" s="24">
        <v>50000</v>
      </c>
      <c r="O1177" s="48" t="s">
        <v>97</v>
      </c>
      <c r="P1177" s="48">
        <f>HEX2DEC(RIGHT(Table1323212714[[#This Row],[h1]],8))</f>
        <v>0</v>
      </c>
      <c r="Q1177" s="48" t="s">
        <v>97</v>
      </c>
      <c r="R1177" s="48">
        <f>HEX2DEC(RIGHT(Table1323212714[[#This Row],[h2]],8))</f>
        <v>0</v>
      </c>
    </row>
    <row r="1178" spans="1:18" x14ac:dyDescent="0.3">
      <c r="A1178" s="15" t="str">
        <f t="shared" si="23"/>
        <v>490</v>
      </c>
      <c r="B1178" s="15">
        <v>1168</v>
      </c>
      <c r="C1178" s="42"/>
      <c r="F1178" s="22"/>
      <c r="G1178" s="22"/>
      <c r="J1178" s="24">
        <v>50000</v>
      </c>
      <c r="M1178" s="24">
        <v>50000</v>
      </c>
      <c r="O1178" s="48" t="s">
        <v>97</v>
      </c>
      <c r="P1178" s="48">
        <f>HEX2DEC(RIGHT(Table1323212714[[#This Row],[h1]],8))</f>
        <v>0</v>
      </c>
      <c r="Q1178" s="48" t="s">
        <v>97</v>
      </c>
      <c r="R1178" s="48">
        <f>HEX2DEC(RIGHT(Table1323212714[[#This Row],[h2]],8))</f>
        <v>0</v>
      </c>
    </row>
    <row r="1179" spans="1:18" x14ac:dyDescent="0.3">
      <c r="A1179" s="15" t="str">
        <f t="shared" si="23"/>
        <v>491</v>
      </c>
      <c r="B1179" s="15">
        <v>1169</v>
      </c>
      <c r="C1179" s="42"/>
      <c r="F1179" s="22"/>
      <c r="G1179" s="22"/>
      <c r="J1179" s="24">
        <v>50000</v>
      </c>
      <c r="M1179" s="24">
        <v>50000</v>
      </c>
      <c r="O1179" s="48" t="s">
        <v>97</v>
      </c>
      <c r="P1179" s="48">
        <f>HEX2DEC(RIGHT(Table1323212714[[#This Row],[h1]],8))</f>
        <v>0</v>
      </c>
      <c r="Q1179" s="48" t="s">
        <v>97</v>
      </c>
      <c r="R1179" s="48">
        <f>HEX2DEC(RIGHT(Table1323212714[[#This Row],[h2]],8))</f>
        <v>0</v>
      </c>
    </row>
    <row r="1180" spans="1:18" x14ac:dyDescent="0.3">
      <c r="A1180" s="15" t="str">
        <f t="shared" si="23"/>
        <v>492</v>
      </c>
      <c r="B1180" s="15">
        <v>1170</v>
      </c>
      <c r="C1180" s="42"/>
      <c r="F1180" s="22"/>
      <c r="G1180" s="22"/>
      <c r="J1180" s="24">
        <v>50000</v>
      </c>
      <c r="M1180" s="24">
        <v>50000</v>
      </c>
      <c r="O1180" s="48" t="s">
        <v>97</v>
      </c>
      <c r="P1180" s="48">
        <f>HEX2DEC(RIGHT(Table1323212714[[#This Row],[h1]],8))</f>
        <v>0</v>
      </c>
      <c r="Q1180" s="48" t="s">
        <v>97</v>
      </c>
      <c r="R1180" s="48">
        <f>HEX2DEC(RIGHT(Table1323212714[[#This Row],[h2]],8))</f>
        <v>0</v>
      </c>
    </row>
    <row r="1181" spans="1:18" x14ac:dyDescent="0.3">
      <c r="A1181" s="15" t="str">
        <f t="shared" si="23"/>
        <v>493</v>
      </c>
      <c r="B1181" s="15">
        <v>1171</v>
      </c>
      <c r="C1181" s="42"/>
      <c r="F1181" s="22"/>
      <c r="G1181" s="22"/>
      <c r="J1181" s="24">
        <v>50000</v>
      </c>
      <c r="M1181" s="24">
        <v>50000</v>
      </c>
      <c r="O1181" s="48" t="s">
        <v>97</v>
      </c>
      <c r="P1181" s="48">
        <f>HEX2DEC(RIGHT(Table1323212714[[#This Row],[h1]],8))</f>
        <v>0</v>
      </c>
      <c r="Q1181" s="48" t="s">
        <v>97</v>
      </c>
      <c r="R1181" s="48">
        <f>HEX2DEC(RIGHT(Table1323212714[[#This Row],[h2]],8))</f>
        <v>0</v>
      </c>
    </row>
    <row r="1182" spans="1:18" x14ac:dyDescent="0.3">
      <c r="A1182" s="15" t="str">
        <f t="shared" si="23"/>
        <v>494</v>
      </c>
      <c r="B1182" s="15">
        <v>1172</v>
      </c>
      <c r="C1182" s="42"/>
      <c r="F1182" s="22"/>
      <c r="G1182" s="22"/>
      <c r="J1182" s="24">
        <v>50000</v>
      </c>
      <c r="M1182" s="24">
        <v>50000</v>
      </c>
      <c r="O1182" s="48" t="s">
        <v>97</v>
      </c>
      <c r="P1182" s="48">
        <f>HEX2DEC(RIGHT(Table1323212714[[#This Row],[h1]],8))</f>
        <v>0</v>
      </c>
      <c r="Q1182" s="48" t="s">
        <v>97</v>
      </c>
      <c r="R1182" s="48">
        <f>HEX2DEC(RIGHT(Table1323212714[[#This Row],[h2]],8))</f>
        <v>0</v>
      </c>
    </row>
    <row r="1183" spans="1:18" x14ac:dyDescent="0.3">
      <c r="A1183" s="15" t="str">
        <f t="shared" si="23"/>
        <v>495</v>
      </c>
      <c r="B1183" s="15">
        <v>1173</v>
      </c>
      <c r="C1183" s="42"/>
      <c r="F1183" s="22"/>
      <c r="G1183" s="22"/>
      <c r="J1183" s="24">
        <v>50000</v>
      </c>
      <c r="M1183" s="24">
        <v>50000</v>
      </c>
      <c r="O1183" s="48" t="s">
        <v>97</v>
      </c>
      <c r="P1183" s="48">
        <f>HEX2DEC(RIGHT(Table1323212714[[#This Row],[h1]],8))</f>
        <v>0</v>
      </c>
      <c r="Q1183" s="48" t="s">
        <v>97</v>
      </c>
      <c r="R1183" s="48">
        <f>HEX2DEC(RIGHT(Table1323212714[[#This Row],[h2]],8))</f>
        <v>0</v>
      </c>
    </row>
    <row r="1184" spans="1:18" x14ac:dyDescent="0.3">
      <c r="A1184" s="15" t="str">
        <f t="shared" si="23"/>
        <v>496</v>
      </c>
      <c r="B1184" s="15">
        <v>1174</v>
      </c>
      <c r="C1184" s="42"/>
      <c r="F1184" s="22"/>
      <c r="G1184" s="22"/>
      <c r="J1184" s="24">
        <v>50000</v>
      </c>
      <c r="M1184" s="24">
        <v>50000</v>
      </c>
      <c r="O1184" s="48" t="s">
        <v>97</v>
      </c>
      <c r="P1184" s="48">
        <f>HEX2DEC(RIGHT(Table1323212714[[#This Row],[h1]],8))</f>
        <v>0</v>
      </c>
      <c r="Q1184" s="48" t="s">
        <v>97</v>
      </c>
      <c r="R1184" s="48">
        <f>HEX2DEC(RIGHT(Table1323212714[[#This Row],[h2]],8))</f>
        <v>0</v>
      </c>
    </row>
    <row r="1185" spans="1:18" x14ac:dyDescent="0.3">
      <c r="A1185" s="15" t="str">
        <f t="shared" si="23"/>
        <v>497</v>
      </c>
      <c r="B1185" s="15">
        <v>1175</v>
      </c>
      <c r="C1185" s="42"/>
      <c r="F1185" s="22"/>
      <c r="G1185" s="22"/>
      <c r="J1185" s="24">
        <v>50000</v>
      </c>
      <c r="M1185" s="24">
        <v>50000</v>
      </c>
      <c r="O1185" s="48" t="s">
        <v>97</v>
      </c>
      <c r="P1185" s="48">
        <f>HEX2DEC(RIGHT(Table1323212714[[#This Row],[h1]],8))</f>
        <v>0</v>
      </c>
      <c r="Q1185" s="48" t="s">
        <v>97</v>
      </c>
      <c r="R1185" s="48">
        <f>HEX2DEC(RIGHT(Table1323212714[[#This Row],[h2]],8))</f>
        <v>0</v>
      </c>
    </row>
    <row r="1186" spans="1:18" x14ac:dyDescent="0.3">
      <c r="A1186" s="15" t="str">
        <f t="shared" si="23"/>
        <v>498</v>
      </c>
      <c r="B1186" s="15">
        <v>1176</v>
      </c>
      <c r="C1186" s="42"/>
      <c r="F1186" s="22"/>
      <c r="G1186" s="22"/>
      <c r="J1186" s="24">
        <v>50000</v>
      </c>
      <c r="M1186" s="24">
        <v>50000</v>
      </c>
      <c r="O1186" s="48" t="s">
        <v>97</v>
      </c>
      <c r="P1186" s="48">
        <f>HEX2DEC(RIGHT(Table1323212714[[#This Row],[h1]],8))</f>
        <v>0</v>
      </c>
      <c r="Q1186" s="48" t="s">
        <v>97</v>
      </c>
      <c r="R1186" s="48">
        <f>HEX2DEC(RIGHT(Table1323212714[[#This Row],[h2]],8))</f>
        <v>0</v>
      </c>
    </row>
    <row r="1187" spans="1:18" x14ac:dyDescent="0.3">
      <c r="A1187" s="15" t="str">
        <f t="shared" si="23"/>
        <v>499</v>
      </c>
      <c r="B1187" s="15">
        <v>1177</v>
      </c>
      <c r="C1187" s="42"/>
      <c r="F1187" s="22"/>
      <c r="G1187" s="22"/>
      <c r="J1187" s="24">
        <v>50000</v>
      </c>
      <c r="M1187" s="24">
        <v>50000</v>
      </c>
      <c r="O1187" s="48" t="s">
        <v>97</v>
      </c>
      <c r="P1187" s="48">
        <f>HEX2DEC(RIGHT(Table1323212714[[#This Row],[h1]],8))</f>
        <v>0</v>
      </c>
      <c r="Q1187" s="48" t="s">
        <v>97</v>
      </c>
      <c r="R1187" s="48">
        <f>HEX2DEC(RIGHT(Table1323212714[[#This Row],[h2]],8))</f>
        <v>0</v>
      </c>
    </row>
    <row r="1188" spans="1:18" x14ac:dyDescent="0.3">
      <c r="A1188" s="15" t="str">
        <f t="shared" si="23"/>
        <v>49A</v>
      </c>
      <c r="B1188" s="15">
        <v>1178</v>
      </c>
      <c r="C1188" s="42"/>
      <c r="F1188" s="22"/>
      <c r="G1188" s="22"/>
      <c r="J1188" s="24">
        <v>50000</v>
      </c>
      <c r="M1188" s="24">
        <v>50000</v>
      </c>
      <c r="O1188" s="48" t="s">
        <v>97</v>
      </c>
      <c r="P1188" s="48">
        <f>HEX2DEC(RIGHT(Table1323212714[[#This Row],[h1]],8))</f>
        <v>0</v>
      </c>
      <c r="Q1188" s="48" t="s">
        <v>97</v>
      </c>
      <c r="R1188" s="48">
        <f>HEX2DEC(RIGHT(Table1323212714[[#This Row],[h2]],8))</f>
        <v>0</v>
      </c>
    </row>
    <row r="1189" spans="1:18" x14ac:dyDescent="0.3">
      <c r="A1189" s="15" t="str">
        <f t="shared" si="23"/>
        <v>49B</v>
      </c>
      <c r="B1189" s="15">
        <v>1179</v>
      </c>
      <c r="C1189" s="42"/>
      <c r="F1189" s="22"/>
      <c r="G1189" s="22"/>
      <c r="J1189" s="24">
        <v>50000</v>
      </c>
      <c r="M1189" s="24">
        <v>50000</v>
      </c>
      <c r="O1189" s="48" t="s">
        <v>97</v>
      </c>
      <c r="P1189" s="48">
        <f>HEX2DEC(RIGHT(Table1323212714[[#This Row],[h1]],8))</f>
        <v>0</v>
      </c>
      <c r="Q1189" s="48" t="s">
        <v>97</v>
      </c>
      <c r="R1189" s="48">
        <f>HEX2DEC(RIGHT(Table1323212714[[#This Row],[h2]],8))</f>
        <v>0</v>
      </c>
    </row>
    <row r="1190" spans="1:18" x14ac:dyDescent="0.3">
      <c r="A1190" s="15" t="str">
        <f t="shared" si="23"/>
        <v>49C</v>
      </c>
      <c r="B1190" s="15">
        <v>1180</v>
      </c>
      <c r="C1190" s="42"/>
      <c r="F1190" s="22"/>
      <c r="G1190" s="22"/>
      <c r="J1190" s="24">
        <v>50000</v>
      </c>
      <c r="M1190" s="24">
        <v>50000</v>
      </c>
      <c r="O1190" s="48" t="s">
        <v>97</v>
      </c>
      <c r="P1190" s="48">
        <f>HEX2DEC(RIGHT(Table1323212714[[#This Row],[h1]],8))</f>
        <v>0</v>
      </c>
      <c r="Q1190" s="48" t="s">
        <v>97</v>
      </c>
      <c r="R1190" s="48">
        <f>HEX2DEC(RIGHT(Table1323212714[[#This Row],[h2]],8))</f>
        <v>0</v>
      </c>
    </row>
    <row r="1191" spans="1:18" x14ac:dyDescent="0.3">
      <c r="A1191" s="15" t="str">
        <f t="shared" si="23"/>
        <v>49D</v>
      </c>
      <c r="B1191" s="15">
        <v>1181</v>
      </c>
      <c r="C1191" s="42"/>
      <c r="F1191" s="22"/>
      <c r="G1191" s="22"/>
      <c r="J1191" s="24">
        <v>50000</v>
      </c>
      <c r="M1191" s="24">
        <v>50000</v>
      </c>
      <c r="O1191" s="48" t="s">
        <v>97</v>
      </c>
      <c r="P1191" s="48">
        <f>HEX2DEC(RIGHT(Table1323212714[[#This Row],[h1]],8))</f>
        <v>0</v>
      </c>
      <c r="Q1191" s="48" t="s">
        <v>97</v>
      </c>
      <c r="R1191" s="48">
        <f>HEX2DEC(RIGHT(Table1323212714[[#This Row],[h2]],8))</f>
        <v>0</v>
      </c>
    </row>
    <row r="1192" spans="1:18" x14ac:dyDescent="0.3">
      <c r="A1192" s="15" t="str">
        <f t="shared" si="23"/>
        <v>49E</v>
      </c>
      <c r="B1192" s="15">
        <v>1182</v>
      </c>
      <c r="C1192" s="42"/>
      <c r="F1192" s="22"/>
      <c r="G1192" s="22"/>
      <c r="J1192" s="24">
        <v>50000</v>
      </c>
      <c r="M1192" s="24">
        <v>50000</v>
      </c>
      <c r="O1192" s="48" t="s">
        <v>97</v>
      </c>
      <c r="P1192" s="48">
        <f>HEX2DEC(RIGHT(Table1323212714[[#This Row],[h1]],8))</f>
        <v>0</v>
      </c>
      <c r="Q1192" s="48" t="s">
        <v>97</v>
      </c>
      <c r="R1192" s="48">
        <f>HEX2DEC(RIGHT(Table1323212714[[#This Row],[h2]],8))</f>
        <v>0</v>
      </c>
    </row>
    <row r="1193" spans="1:18" x14ac:dyDescent="0.3">
      <c r="A1193" s="15" t="str">
        <f t="shared" si="23"/>
        <v>49F</v>
      </c>
      <c r="B1193" s="15">
        <v>1183</v>
      </c>
      <c r="C1193" s="42"/>
      <c r="F1193" s="22"/>
      <c r="G1193" s="22"/>
      <c r="J1193" s="24">
        <v>50000</v>
      </c>
      <c r="M1193" s="24">
        <v>50000</v>
      </c>
      <c r="O1193" s="48" t="s">
        <v>97</v>
      </c>
      <c r="P1193" s="48">
        <f>HEX2DEC(RIGHT(Table1323212714[[#This Row],[h1]],8))</f>
        <v>0</v>
      </c>
      <c r="Q1193" s="48" t="s">
        <v>97</v>
      </c>
      <c r="R1193" s="48">
        <f>HEX2DEC(RIGHT(Table1323212714[[#This Row],[h2]],8))</f>
        <v>0</v>
      </c>
    </row>
    <row r="1194" spans="1:18" x14ac:dyDescent="0.3">
      <c r="A1194" s="15" t="str">
        <f t="shared" si="23"/>
        <v>4A0</v>
      </c>
      <c r="B1194" s="15">
        <v>1184</v>
      </c>
      <c r="C1194" s="42"/>
      <c r="F1194" s="22"/>
      <c r="G1194" s="22"/>
      <c r="J1194" s="24">
        <v>50000</v>
      </c>
      <c r="M1194" s="24">
        <v>50000</v>
      </c>
      <c r="O1194" s="48" t="s">
        <v>97</v>
      </c>
      <c r="P1194" s="48">
        <f>HEX2DEC(RIGHT(Table1323212714[[#This Row],[h1]],8))</f>
        <v>0</v>
      </c>
      <c r="Q1194" s="48" t="s">
        <v>97</v>
      </c>
      <c r="R1194" s="48">
        <f>HEX2DEC(RIGHT(Table1323212714[[#This Row],[h2]],8))</f>
        <v>0</v>
      </c>
    </row>
    <row r="1195" spans="1:18" x14ac:dyDescent="0.3">
      <c r="A1195" s="15" t="str">
        <f t="shared" si="23"/>
        <v>4A1</v>
      </c>
      <c r="B1195" s="15">
        <v>1185</v>
      </c>
      <c r="C1195" s="42"/>
      <c r="F1195" s="22"/>
      <c r="G1195" s="22"/>
      <c r="J1195" s="24">
        <v>50000</v>
      </c>
      <c r="M1195" s="24">
        <v>50000</v>
      </c>
      <c r="O1195" s="48" t="s">
        <v>97</v>
      </c>
      <c r="P1195" s="48">
        <f>HEX2DEC(RIGHT(Table1323212714[[#This Row],[h1]],8))</f>
        <v>0</v>
      </c>
      <c r="Q1195" s="48" t="s">
        <v>97</v>
      </c>
      <c r="R1195" s="48">
        <f>HEX2DEC(RIGHT(Table1323212714[[#This Row],[h2]],8))</f>
        <v>0</v>
      </c>
    </row>
    <row r="1196" spans="1:18" x14ac:dyDescent="0.3">
      <c r="A1196" s="15" t="str">
        <f t="shared" si="23"/>
        <v>4A2</v>
      </c>
      <c r="B1196" s="15">
        <v>1186</v>
      </c>
      <c r="C1196" s="42"/>
      <c r="F1196" s="22"/>
      <c r="G1196" s="22"/>
      <c r="J1196" s="24">
        <v>50000</v>
      </c>
      <c r="M1196" s="24">
        <v>50000</v>
      </c>
      <c r="O1196" s="48" t="s">
        <v>97</v>
      </c>
      <c r="P1196" s="48">
        <f>HEX2DEC(RIGHT(Table1323212714[[#This Row],[h1]],8))</f>
        <v>0</v>
      </c>
      <c r="Q1196" s="48" t="s">
        <v>97</v>
      </c>
      <c r="R1196" s="48">
        <f>HEX2DEC(RIGHT(Table1323212714[[#This Row],[h2]],8))</f>
        <v>0</v>
      </c>
    </row>
    <row r="1197" spans="1:18" x14ac:dyDescent="0.3">
      <c r="A1197" s="15" t="str">
        <f t="shared" si="23"/>
        <v>4A3</v>
      </c>
      <c r="B1197" s="15">
        <v>1187</v>
      </c>
      <c r="C1197" s="42"/>
      <c r="F1197" s="22"/>
      <c r="G1197" s="22"/>
      <c r="J1197" s="24">
        <v>50000</v>
      </c>
      <c r="M1197" s="24">
        <v>50000</v>
      </c>
      <c r="O1197" s="48" t="s">
        <v>97</v>
      </c>
      <c r="P1197" s="48">
        <f>HEX2DEC(RIGHT(Table1323212714[[#This Row],[h1]],8))</f>
        <v>0</v>
      </c>
      <c r="Q1197" s="48" t="s">
        <v>97</v>
      </c>
      <c r="R1197" s="48">
        <f>HEX2DEC(RIGHT(Table1323212714[[#This Row],[h2]],8))</f>
        <v>0</v>
      </c>
    </row>
    <row r="1198" spans="1:18" x14ac:dyDescent="0.3">
      <c r="A1198" s="15" t="str">
        <f t="shared" si="23"/>
        <v>4A4</v>
      </c>
      <c r="B1198" s="15">
        <v>1188</v>
      </c>
      <c r="C1198" s="42"/>
      <c r="F1198" s="22"/>
      <c r="G1198" s="22"/>
      <c r="J1198" s="24">
        <v>50000</v>
      </c>
      <c r="M1198" s="24">
        <v>50000</v>
      </c>
      <c r="O1198" s="48" t="s">
        <v>97</v>
      </c>
      <c r="P1198" s="48">
        <f>HEX2DEC(RIGHT(Table1323212714[[#This Row],[h1]],8))</f>
        <v>0</v>
      </c>
      <c r="Q1198" s="48" t="s">
        <v>97</v>
      </c>
      <c r="R1198" s="48">
        <f>HEX2DEC(RIGHT(Table1323212714[[#This Row],[h2]],8))</f>
        <v>0</v>
      </c>
    </row>
    <row r="1199" spans="1:18" x14ac:dyDescent="0.3">
      <c r="A1199" s="15" t="str">
        <f t="shared" si="23"/>
        <v>4A5</v>
      </c>
      <c r="B1199" s="15">
        <v>1189</v>
      </c>
      <c r="C1199" s="42"/>
      <c r="F1199" s="22"/>
      <c r="G1199" s="22"/>
      <c r="J1199" s="24">
        <v>50000</v>
      </c>
      <c r="M1199" s="24">
        <v>50000</v>
      </c>
      <c r="O1199" s="48" t="s">
        <v>97</v>
      </c>
      <c r="P1199" s="48">
        <f>HEX2DEC(RIGHT(Table1323212714[[#This Row],[h1]],8))</f>
        <v>0</v>
      </c>
      <c r="Q1199" s="48" t="s">
        <v>97</v>
      </c>
      <c r="R1199" s="48">
        <f>HEX2DEC(RIGHT(Table1323212714[[#This Row],[h2]],8))</f>
        <v>0</v>
      </c>
    </row>
    <row r="1200" spans="1:18" x14ac:dyDescent="0.3">
      <c r="A1200" s="15" t="str">
        <f t="shared" si="23"/>
        <v>4A6</v>
      </c>
      <c r="B1200" s="15">
        <v>1190</v>
      </c>
      <c r="C1200" s="42"/>
      <c r="F1200" s="22"/>
      <c r="G1200" s="22"/>
      <c r="J1200" s="24">
        <v>50000</v>
      </c>
      <c r="M1200" s="24">
        <v>50000</v>
      </c>
      <c r="O1200" s="48" t="s">
        <v>97</v>
      </c>
      <c r="P1200" s="48">
        <f>HEX2DEC(RIGHT(Table1323212714[[#This Row],[h1]],8))</f>
        <v>0</v>
      </c>
      <c r="Q1200" s="48" t="s">
        <v>97</v>
      </c>
      <c r="R1200" s="48">
        <f>HEX2DEC(RIGHT(Table1323212714[[#This Row],[h2]],8))</f>
        <v>0</v>
      </c>
    </row>
    <row r="1201" spans="1:18" x14ac:dyDescent="0.3">
      <c r="A1201" s="15" t="str">
        <f t="shared" si="23"/>
        <v>4A7</v>
      </c>
      <c r="B1201" s="15">
        <v>1191</v>
      </c>
      <c r="C1201" s="42"/>
      <c r="F1201" s="22"/>
      <c r="G1201" s="22"/>
      <c r="J1201" s="24">
        <v>50000</v>
      </c>
      <c r="M1201" s="24">
        <v>50000</v>
      </c>
      <c r="O1201" s="48" t="s">
        <v>97</v>
      </c>
      <c r="P1201" s="48">
        <f>HEX2DEC(RIGHT(Table1323212714[[#This Row],[h1]],8))</f>
        <v>0</v>
      </c>
      <c r="Q1201" s="48" t="s">
        <v>97</v>
      </c>
      <c r="R1201" s="48">
        <f>HEX2DEC(RIGHT(Table1323212714[[#This Row],[h2]],8))</f>
        <v>0</v>
      </c>
    </row>
    <row r="1202" spans="1:18" x14ac:dyDescent="0.3">
      <c r="A1202" s="15" t="str">
        <f t="shared" si="23"/>
        <v>4A8</v>
      </c>
      <c r="B1202" s="15">
        <v>1192</v>
      </c>
      <c r="C1202" s="42"/>
      <c r="F1202" s="22"/>
      <c r="G1202" s="22"/>
      <c r="J1202" s="24">
        <v>50000</v>
      </c>
      <c r="M1202" s="24">
        <v>50000</v>
      </c>
      <c r="O1202" s="48" t="s">
        <v>97</v>
      </c>
      <c r="P1202" s="48">
        <f>HEX2DEC(RIGHT(Table1323212714[[#This Row],[h1]],8))</f>
        <v>0</v>
      </c>
      <c r="Q1202" s="48" t="s">
        <v>97</v>
      </c>
      <c r="R1202" s="48">
        <f>HEX2DEC(RIGHT(Table1323212714[[#This Row],[h2]],8))</f>
        <v>0</v>
      </c>
    </row>
    <row r="1203" spans="1:18" x14ac:dyDescent="0.3">
      <c r="A1203" s="15" t="str">
        <f t="shared" si="23"/>
        <v>4A9</v>
      </c>
      <c r="B1203" s="15">
        <v>1193</v>
      </c>
      <c r="C1203" s="42"/>
      <c r="F1203" s="22"/>
      <c r="G1203" s="22"/>
      <c r="J1203" s="24">
        <v>50000</v>
      </c>
      <c r="M1203" s="24">
        <v>50000</v>
      </c>
      <c r="O1203" s="48" t="s">
        <v>97</v>
      </c>
      <c r="P1203" s="48">
        <f>HEX2DEC(RIGHT(Table1323212714[[#This Row],[h1]],8))</f>
        <v>0</v>
      </c>
      <c r="Q1203" s="48" t="s">
        <v>97</v>
      </c>
      <c r="R1203" s="48">
        <f>HEX2DEC(RIGHT(Table1323212714[[#This Row],[h2]],8))</f>
        <v>0</v>
      </c>
    </row>
    <row r="1204" spans="1:18" x14ac:dyDescent="0.3">
      <c r="A1204" s="15" t="str">
        <f t="shared" si="23"/>
        <v>4AA</v>
      </c>
      <c r="B1204" s="15">
        <v>1194</v>
      </c>
      <c r="C1204" s="42"/>
      <c r="F1204" s="22"/>
      <c r="G1204" s="22"/>
      <c r="J1204" s="24">
        <v>50000</v>
      </c>
      <c r="M1204" s="24">
        <v>50000</v>
      </c>
      <c r="O1204" s="48" t="s">
        <v>97</v>
      </c>
      <c r="P1204" s="48">
        <f>HEX2DEC(RIGHT(Table1323212714[[#This Row],[h1]],8))</f>
        <v>0</v>
      </c>
      <c r="Q1204" s="48" t="s">
        <v>97</v>
      </c>
      <c r="R1204" s="48">
        <f>HEX2DEC(RIGHT(Table1323212714[[#This Row],[h2]],8))</f>
        <v>0</v>
      </c>
    </row>
    <row r="1205" spans="1:18" x14ac:dyDescent="0.3">
      <c r="A1205" s="15" t="str">
        <f t="shared" si="23"/>
        <v>4AB</v>
      </c>
      <c r="B1205" s="15">
        <v>1195</v>
      </c>
      <c r="C1205" s="42"/>
      <c r="F1205" s="22"/>
      <c r="G1205" s="22"/>
      <c r="J1205" s="24">
        <v>50000</v>
      </c>
      <c r="M1205" s="24">
        <v>50000</v>
      </c>
      <c r="O1205" s="48" t="s">
        <v>97</v>
      </c>
      <c r="P1205" s="48">
        <f>HEX2DEC(RIGHT(Table1323212714[[#This Row],[h1]],8))</f>
        <v>0</v>
      </c>
      <c r="Q1205" s="48" t="s">
        <v>97</v>
      </c>
      <c r="R1205" s="48">
        <f>HEX2DEC(RIGHT(Table1323212714[[#This Row],[h2]],8))</f>
        <v>0</v>
      </c>
    </row>
    <row r="1206" spans="1:18" x14ac:dyDescent="0.3">
      <c r="A1206" s="15" t="str">
        <f t="shared" si="23"/>
        <v>4AC</v>
      </c>
      <c r="B1206" s="15">
        <v>1196</v>
      </c>
      <c r="C1206" s="42"/>
      <c r="F1206" s="22"/>
      <c r="G1206" s="22"/>
      <c r="J1206" s="24">
        <v>50000</v>
      </c>
      <c r="M1206" s="24">
        <v>50000</v>
      </c>
      <c r="O1206" s="48" t="s">
        <v>97</v>
      </c>
      <c r="P1206" s="48">
        <f>HEX2DEC(RIGHT(Table1323212714[[#This Row],[h1]],8))</f>
        <v>0</v>
      </c>
      <c r="Q1206" s="48" t="s">
        <v>97</v>
      </c>
      <c r="R1206" s="48">
        <f>HEX2DEC(RIGHT(Table1323212714[[#This Row],[h2]],8))</f>
        <v>0</v>
      </c>
    </row>
    <row r="1207" spans="1:18" x14ac:dyDescent="0.3">
      <c r="A1207" s="15" t="str">
        <f t="shared" si="23"/>
        <v>4AD</v>
      </c>
      <c r="B1207" s="15">
        <v>1197</v>
      </c>
      <c r="C1207" s="42"/>
      <c r="F1207" s="22"/>
      <c r="G1207" s="22"/>
      <c r="J1207" s="24">
        <v>50000</v>
      </c>
      <c r="M1207" s="24">
        <v>50000</v>
      </c>
      <c r="O1207" s="48" t="s">
        <v>97</v>
      </c>
      <c r="P1207" s="48">
        <f>HEX2DEC(RIGHT(Table1323212714[[#This Row],[h1]],8))</f>
        <v>0</v>
      </c>
      <c r="Q1207" s="48" t="s">
        <v>97</v>
      </c>
      <c r="R1207" s="48">
        <f>HEX2DEC(RIGHT(Table1323212714[[#This Row],[h2]],8))</f>
        <v>0</v>
      </c>
    </row>
    <row r="1208" spans="1:18" x14ac:dyDescent="0.3">
      <c r="A1208" s="15" t="str">
        <f t="shared" si="23"/>
        <v>4AE</v>
      </c>
      <c r="B1208" s="15">
        <v>1198</v>
      </c>
      <c r="C1208" s="42"/>
      <c r="F1208" s="22"/>
      <c r="G1208" s="22"/>
      <c r="J1208" s="24">
        <v>50000</v>
      </c>
      <c r="M1208" s="24">
        <v>50000</v>
      </c>
      <c r="O1208" s="48" t="s">
        <v>97</v>
      </c>
      <c r="P1208" s="48">
        <f>HEX2DEC(RIGHT(Table1323212714[[#This Row],[h1]],8))</f>
        <v>0</v>
      </c>
      <c r="Q1208" s="48" t="s">
        <v>97</v>
      </c>
      <c r="R1208" s="48">
        <f>HEX2DEC(RIGHT(Table1323212714[[#This Row],[h2]],8))</f>
        <v>0</v>
      </c>
    </row>
    <row r="1209" spans="1:18" x14ac:dyDescent="0.3">
      <c r="A1209" s="15" t="str">
        <f t="shared" si="23"/>
        <v>4AF</v>
      </c>
      <c r="B1209" s="15">
        <v>1199</v>
      </c>
      <c r="C1209" s="42"/>
      <c r="F1209" s="22"/>
      <c r="G1209" s="22"/>
      <c r="J1209" s="24">
        <v>50000</v>
      </c>
      <c r="M1209" s="24">
        <v>50000</v>
      </c>
      <c r="O1209" s="48" t="s">
        <v>97</v>
      </c>
      <c r="P1209" s="48">
        <f>HEX2DEC(RIGHT(Table1323212714[[#This Row],[h1]],8))</f>
        <v>0</v>
      </c>
      <c r="Q1209" s="48" t="s">
        <v>97</v>
      </c>
      <c r="R1209" s="48">
        <f>HEX2DEC(RIGHT(Table1323212714[[#This Row],[h2]],8))</f>
        <v>0</v>
      </c>
    </row>
    <row r="1210" spans="1:18" x14ac:dyDescent="0.3">
      <c r="A1210" s="15" t="str">
        <f t="shared" si="23"/>
        <v>4B0</v>
      </c>
      <c r="B1210" s="15">
        <v>1200</v>
      </c>
      <c r="C1210" s="42"/>
      <c r="F1210" s="22"/>
      <c r="G1210" s="22"/>
      <c r="J1210" s="24">
        <v>50000</v>
      </c>
      <c r="M1210" s="24">
        <v>50000</v>
      </c>
      <c r="O1210" s="48" t="s">
        <v>97</v>
      </c>
      <c r="P1210" s="48">
        <f>HEX2DEC(RIGHT(Table1323212714[[#This Row],[h1]],8))</f>
        <v>0</v>
      </c>
      <c r="Q1210" s="48" t="s">
        <v>97</v>
      </c>
      <c r="R1210" s="48">
        <f>HEX2DEC(RIGHT(Table1323212714[[#This Row],[h2]],8))</f>
        <v>0</v>
      </c>
    </row>
    <row r="1211" spans="1:18" x14ac:dyDescent="0.3">
      <c r="A1211" s="15" t="str">
        <f t="shared" si="23"/>
        <v>4B1</v>
      </c>
      <c r="B1211" s="15">
        <v>1201</v>
      </c>
      <c r="C1211" s="42"/>
      <c r="F1211" s="22"/>
      <c r="G1211" s="22"/>
      <c r="J1211" s="24">
        <v>50000</v>
      </c>
      <c r="M1211" s="24">
        <v>50000</v>
      </c>
      <c r="O1211" s="48" t="s">
        <v>97</v>
      </c>
      <c r="P1211" s="48">
        <f>HEX2DEC(RIGHT(Table1323212714[[#This Row],[h1]],8))</f>
        <v>0</v>
      </c>
      <c r="Q1211" s="48" t="s">
        <v>97</v>
      </c>
      <c r="R1211" s="48">
        <f>HEX2DEC(RIGHT(Table1323212714[[#This Row],[h2]],8))</f>
        <v>0</v>
      </c>
    </row>
    <row r="1212" spans="1:18" x14ac:dyDescent="0.3">
      <c r="A1212" s="15" t="str">
        <f t="shared" si="23"/>
        <v>4B2</v>
      </c>
      <c r="B1212" s="15">
        <v>1202</v>
      </c>
      <c r="C1212" s="42"/>
      <c r="F1212" s="22"/>
      <c r="G1212" s="22"/>
      <c r="J1212" s="24">
        <v>50000</v>
      </c>
      <c r="M1212" s="24">
        <v>50000</v>
      </c>
      <c r="O1212" s="48" t="s">
        <v>97</v>
      </c>
      <c r="P1212" s="48">
        <f>HEX2DEC(RIGHT(Table1323212714[[#This Row],[h1]],8))</f>
        <v>0</v>
      </c>
      <c r="Q1212" s="48" t="s">
        <v>97</v>
      </c>
      <c r="R1212" s="48">
        <f>HEX2DEC(RIGHT(Table1323212714[[#This Row],[h2]],8))</f>
        <v>0</v>
      </c>
    </row>
    <row r="1213" spans="1:18" x14ac:dyDescent="0.3">
      <c r="A1213" s="15" t="str">
        <f t="shared" si="23"/>
        <v>4B3</v>
      </c>
      <c r="B1213" s="15">
        <v>1203</v>
      </c>
      <c r="C1213" s="42"/>
      <c r="F1213" s="22"/>
      <c r="G1213" s="22"/>
      <c r="J1213" s="24">
        <v>50000</v>
      </c>
      <c r="M1213" s="24">
        <v>50000</v>
      </c>
      <c r="O1213" s="48" t="s">
        <v>97</v>
      </c>
      <c r="P1213" s="48">
        <f>HEX2DEC(RIGHT(Table1323212714[[#This Row],[h1]],8))</f>
        <v>0</v>
      </c>
      <c r="Q1213" s="48" t="s">
        <v>97</v>
      </c>
      <c r="R1213" s="48">
        <f>HEX2DEC(RIGHT(Table1323212714[[#This Row],[h2]],8))</f>
        <v>0</v>
      </c>
    </row>
    <row r="1214" spans="1:18" x14ac:dyDescent="0.3">
      <c r="A1214" s="15" t="str">
        <f t="shared" si="23"/>
        <v>4B4</v>
      </c>
      <c r="B1214" s="15">
        <v>1204</v>
      </c>
      <c r="C1214" s="42"/>
      <c r="F1214" s="22"/>
      <c r="G1214" s="22"/>
      <c r="J1214" s="24">
        <v>50000</v>
      </c>
      <c r="M1214" s="24">
        <v>50000</v>
      </c>
      <c r="O1214" s="48" t="s">
        <v>97</v>
      </c>
      <c r="P1214" s="48">
        <f>HEX2DEC(RIGHT(Table1323212714[[#This Row],[h1]],8))</f>
        <v>0</v>
      </c>
      <c r="Q1214" s="48" t="s">
        <v>97</v>
      </c>
      <c r="R1214" s="48">
        <f>HEX2DEC(RIGHT(Table1323212714[[#This Row],[h2]],8))</f>
        <v>0</v>
      </c>
    </row>
    <row r="1215" spans="1:18" x14ac:dyDescent="0.3">
      <c r="A1215" s="15" t="str">
        <f t="shared" si="23"/>
        <v>4B5</v>
      </c>
      <c r="B1215" s="15">
        <v>1205</v>
      </c>
      <c r="C1215" s="42"/>
      <c r="F1215" s="22"/>
      <c r="G1215" s="22"/>
      <c r="J1215" s="24">
        <v>50000</v>
      </c>
      <c r="M1215" s="24">
        <v>50000</v>
      </c>
      <c r="O1215" s="48" t="s">
        <v>97</v>
      </c>
      <c r="P1215" s="48">
        <f>HEX2DEC(RIGHT(Table1323212714[[#This Row],[h1]],8))</f>
        <v>0</v>
      </c>
      <c r="Q1215" s="48" t="s">
        <v>97</v>
      </c>
      <c r="R1215" s="48">
        <f>HEX2DEC(RIGHT(Table1323212714[[#This Row],[h2]],8))</f>
        <v>0</v>
      </c>
    </row>
    <row r="1216" spans="1:18" x14ac:dyDescent="0.3">
      <c r="A1216" s="15" t="str">
        <f t="shared" si="23"/>
        <v>4B6</v>
      </c>
      <c r="B1216" s="15">
        <v>1206</v>
      </c>
      <c r="C1216" s="42"/>
      <c r="F1216" s="22"/>
      <c r="G1216" s="22"/>
      <c r="J1216" s="24">
        <v>50000</v>
      </c>
      <c r="M1216" s="24">
        <v>50000</v>
      </c>
      <c r="O1216" s="48" t="s">
        <v>97</v>
      </c>
      <c r="P1216" s="48">
        <f>HEX2DEC(RIGHT(Table1323212714[[#This Row],[h1]],8))</f>
        <v>0</v>
      </c>
      <c r="Q1216" s="48" t="s">
        <v>97</v>
      </c>
      <c r="R1216" s="48">
        <f>HEX2DEC(RIGHT(Table1323212714[[#This Row],[h2]],8))</f>
        <v>0</v>
      </c>
    </row>
    <row r="1217" spans="1:18" x14ac:dyDescent="0.3">
      <c r="A1217" s="15" t="str">
        <f t="shared" si="23"/>
        <v>4B7</v>
      </c>
      <c r="B1217" s="15">
        <v>1207</v>
      </c>
      <c r="C1217" s="42"/>
      <c r="F1217" s="22"/>
      <c r="G1217" s="22"/>
      <c r="J1217" s="24">
        <v>50000</v>
      </c>
      <c r="M1217" s="24">
        <v>50000</v>
      </c>
      <c r="O1217" s="48" t="s">
        <v>97</v>
      </c>
      <c r="P1217" s="48">
        <f>HEX2DEC(RIGHT(Table1323212714[[#This Row],[h1]],8))</f>
        <v>0</v>
      </c>
      <c r="Q1217" s="48" t="s">
        <v>97</v>
      </c>
      <c r="R1217" s="48">
        <f>HEX2DEC(RIGHT(Table1323212714[[#This Row],[h2]],8))</f>
        <v>0</v>
      </c>
    </row>
    <row r="1218" spans="1:18" x14ac:dyDescent="0.3">
      <c r="A1218" s="15" t="str">
        <f t="shared" si="23"/>
        <v>4B8</v>
      </c>
      <c r="B1218" s="15">
        <v>1208</v>
      </c>
      <c r="C1218" s="42"/>
      <c r="F1218" s="22"/>
      <c r="G1218" s="22"/>
      <c r="J1218" s="24">
        <v>50000</v>
      </c>
      <c r="M1218" s="24">
        <v>50000</v>
      </c>
      <c r="O1218" s="48" t="s">
        <v>97</v>
      </c>
      <c r="P1218" s="48">
        <f>HEX2DEC(RIGHT(Table1323212714[[#This Row],[h1]],8))</f>
        <v>0</v>
      </c>
      <c r="Q1218" s="48" t="s">
        <v>97</v>
      </c>
      <c r="R1218" s="48">
        <f>HEX2DEC(RIGHT(Table1323212714[[#This Row],[h2]],8))</f>
        <v>0</v>
      </c>
    </row>
    <row r="1219" spans="1:18" x14ac:dyDescent="0.3">
      <c r="A1219" s="15" t="str">
        <f t="shared" si="23"/>
        <v>4B9</v>
      </c>
      <c r="B1219" s="15">
        <v>1209</v>
      </c>
      <c r="C1219" s="42"/>
      <c r="F1219" s="22"/>
      <c r="G1219" s="22"/>
      <c r="J1219" s="24">
        <v>50000</v>
      </c>
      <c r="M1219" s="24">
        <v>50000</v>
      </c>
      <c r="O1219" s="48" t="s">
        <v>97</v>
      </c>
      <c r="P1219" s="48">
        <f>HEX2DEC(RIGHT(Table1323212714[[#This Row],[h1]],8))</f>
        <v>0</v>
      </c>
      <c r="Q1219" s="48" t="s">
        <v>97</v>
      </c>
      <c r="R1219" s="48">
        <f>HEX2DEC(RIGHT(Table1323212714[[#This Row],[h2]],8))</f>
        <v>0</v>
      </c>
    </row>
    <row r="1220" spans="1:18" x14ac:dyDescent="0.3">
      <c r="A1220" s="15" t="str">
        <f t="shared" si="23"/>
        <v>4BA</v>
      </c>
      <c r="B1220" s="15">
        <v>1210</v>
      </c>
      <c r="C1220" s="42"/>
      <c r="F1220" s="22"/>
      <c r="G1220" s="22"/>
      <c r="J1220" s="24">
        <v>50000</v>
      </c>
      <c r="M1220" s="24">
        <v>50000</v>
      </c>
      <c r="O1220" s="48" t="s">
        <v>97</v>
      </c>
      <c r="P1220" s="48">
        <f>HEX2DEC(RIGHT(Table1323212714[[#This Row],[h1]],8))</f>
        <v>0</v>
      </c>
      <c r="Q1220" s="48" t="s">
        <v>97</v>
      </c>
      <c r="R1220" s="48">
        <f>HEX2DEC(RIGHT(Table1323212714[[#This Row],[h2]],8))</f>
        <v>0</v>
      </c>
    </row>
    <row r="1221" spans="1:18" x14ac:dyDescent="0.3">
      <c r="A1221" s="15" t="str">
        <f t="shared" si="23"/>
        <v>4BB</v>
      </c>
      <c r="B1221" s="15">
        <v>1211</v>
      </c>
      <c r="C1221" s="42"/>
      <c r="F1221" s="22"/>
      <c r="G1221" s="22"/>
      <c r="J1221" s="24">
        <v>50000</v>
      </c>
      <c r="M1221" s="24">
        <v>50000</v>
      </c>
      <c r="O1221" s="48" t="s">
        <v>97</v>
      </c>
      <c r="P1221" s="48">
        <f>HEX2DEC(RIGHT(Table1323212714[[#This Row],[h1]],8))</f>
        <v>0</v>
      </c>
      <c r="Q1221" s="48" t="s">
        <v>97</v>
      </c>
      <c r="R1221" s="48">
        <f>HEX2DEC(RIGHT(Table1323212714[[#This Row],[h2]],8))</f>
        <v>0</v>
      </c>
    </row>
    <row r="1222" spans="1:18" x14ac:dyDescent="0.3">
      <c r="A1222" s="15" t="str">
        <f t="shared" si="23"/>
        <v>4BC</v>
      </c>
      <c r="B1222" s="15">
        <v>1212</v>
      </c>
      <c r="C1222" s="42"/>
      <c r="F1222" s="22"/>
      <c r="G1222" s="22"/>
      <c r="J1222" s="24">
        <v>50000</v>
      </c>
      <c r="M1222" s="24">
        <v>50000</v>
      </c>
      <c r="O1222" s="48" t="s">
        <v>97</v>
      </c>
      <c r="P1222" s="48">
        <f>HEX2DEC(RIGHT(Table1323212714[[#This Row],[h1]],8))</f>
        <v>0</v>
      </c>
      <c r="Q1222" s="48" t="s">
        <v>97</v>
      </c>
      <c r="R1222" s="48">
        <f>HEX2DEC(RIGHT(Table1323212714[[#This Row],[h2]],8))</f>
        <v>0</v>
      </c>
    </row>
    <row r="1223" spans="1:18" x14ac:dyDescent="0.3">
      <c r="A1223" s="15" t="str">
        <f t="shared" si="23"/>
        <v>4BD</v>
      </c>
      <c r="B1223" s="15">
        <v>1213</v>
      </c>
      <c r="C1223" s="42"/>
      <c r="F1223" s="22"/>
      <c r="G1223" s="22"/>
      <c r="J1223" s="24">
        <v>50000</v>
      </c>
      <c r="M1223" s="24">
        <v>50000</v>
      </c>
      <c r="O1223" s="48" t="s">
        <v>97</v>
      </c>
      <c r="P1223" s="48">
        <f>HEX2DEC(RIGHT(Table1323212714[[#This Row],[h1]],8))</f>
        <v>0</v>
      </c>
      <c r="Q1223" s="48" t="s">
        <v>97</v>
      </c>
      <c r="R1223" s="48">
        <f>HEX2DEC(RIGHT(Table1323212714[[#This Row],[h2]],8))</f>
        <v>0</v>
      </c>
    </row>
    <row r="1224" spans="1:18" x14ac:dyDescent="0.3">
      <c r="A1224" s="15" t="str">
        <f t="shared" si="23"/>
        <v>4BE</v>
      </c>
      <c r="B1224" s="15">
        <v>1214</v>
      </c>
      <c r="C1224" s="42"/>
      <c r="F1224" s="22"/>
      <c r="G1224" s="22"/>
      <c r="J1224" s="24">
        <v>50000</v>
      </c>
      <c r="M1224" s="24">
        <v>50000</v>
      </c>
      <c r="O1224" s="48" t="s">
        <v>97</v>
      </c>
      <c r="P1224" s="48">
        <f>HEX2DEC(RIGHT(Table1323212714[[#This Row],[h1]],8))</f>
        <v>0</v>
      </c>
      <c r="Q1224" s="48" t="s">
        <v>97</v>
      </c>
      <c r="R1224" s="48">
        <f>HEX2DEC(RIGHT(Table1323212714[[#This Row],[h2]],8))</f>
        <v>0</v>
      </c>
    </row>
    <row r="1225" spans="1:18" x14ac:dyDescent="0.3">
      <c r="A1225" s="15" t="str">
        <f t="shared" si="23"/>
        <v>4BF</v>
      </c>
      <c r="B1225" s="15">
        <v>1215</v>
      </c>
      <c r="C1225" s="42"/>
      <c r="F1225" s="22"/>
      <c r="G1225" s="22"/>
      <c r="J1225" s="24">
        <v>50000</v>
      </c>
      <c r="M1225" s="24">
        <v>50000</v>
      </c>
      <c r="O1225" s="48" t="s">
        <v>97</v>
      </c>
      <c r="P1225" s="48">
        <f>HEX2DEC(RIGHT(Table1323212714[[#This Row],[h1]],8))</f>
        <v>0</v>
      </c>
      <c r="Q1225" s="48" t="s">
        <v>97</v>
      </c>
      <c r="R1225" s="48">
        <f>HEX2DEC(RIGHT(Table1323212714[[#This Row],[h2]],8))</f>
        <v>0</v>
      </c>
    </row>
    <row r="1226" spans="1:18" x14ac:dyDescent="0.3">
      <c r="A1226" s="15" t="str">
        <f t="shared" si="23"/>
        <v>4C0</v>
      </c>
      <c r="B1226" s="15">
        <v>1216</v>
      </c>
      <c r="C1226" s="42"/>
      <c r="F1226" s="22"/>
      <c r="G1226" s="22"/>
      <c r="J1226" s="24">
        <v>50000</v>
      </c>
      <c r="M1226" s="24">
        <v>50000</v>
      </c>
      <c r="O1226" s="48" t="s">
        <v>97</v>
      </c>
      <c r="P1226" s="48">
        <f>HEX2DEC(RIGHT(Table1323212714[[#This Row],[h1]],8))</f>
        <v>0</v>
      </c>
      <c r="Q1226" s="48" t="s">
        <v>97</v>
      </c>
      <c r="R1226" s="48">
        <f>HEX2DEC(RIGHT(Table1323212714[[#This Row],[h2]],8))</f>
        <v>0</v>
      </c>
    </row>
    <row r="1227" spans="1:18" x14ac:dyDescent="0.3">
      <c r="A1227" s="15" t="str">
        <f t="shared" ref="A1227:A1290" si="24">DEC2HEX(B1227,3)</f>
        <v>4C1</v>
      </c>
      <c r="B1227" s="15">
        <v>1217</v>
      </c>
      <c r="C1227" s="42"/>
      <c r="F1227" s="22"/>
      <c r="G1227" s="22"/>
      <c r="J1227" s="24">
        <v>50000</v>
      </c>
      <c r="M1227" s="24">
        <v>50000</v>
      </c>
      <c r="O1227" s="48" t="s">
        <v>97</v>
      </c>
      <c r="P1227" s="48">
        <f>HEX2DEC(RIGHT(Table1323212714[[#This Row],[h1]],8))</f>
        <v>0</v>
      </c>
      <c r="Q1227" s="48" t="s">
        <v>97</v>
      </c>
      <c r="R1227" s="48">
        <f>HEX2DEC(RIGHT(Table1323212714[[#This Row],[h2]],8))</f>
        <v>0</v>
      </c>
    </row>
    <row r="1228" spans="1:18" x14ac:dyDescent="0.3">
      <c r="A1228" s="15" t="str">
        <f t="shared" si="24"/>
        <v>4C2</v>
      </c>
      <c r="B1228" s="15">
        <v>1218</v>
      </c>
      <c r="C1228" s="42"/>
      <c r="F1228" s="22"/>
      <c r="G1228" s="22"/>
      <c r="J1228" s="24">
        <v>50000</v>
      </c>
      <c r="M1228" s="24">
        <v>50000</v>
      </c>
      <c r="O1228" s="48" t="s">
        <v>97</v>
      </c>
      <c r="P1228" s="48">
        <f>HEX2DEC(RIGHT(Table1323212714[[#This Row],[h1]],8))</f>
        <v>0</v>
      </c>
      <c r="Q1228" s="48" t="s">
        <v>97</v>
      </c>
      <c r="R1228" s="48">
        <f>HEX2DEC(RIGHT(Table1323212714[[#This Row],[h2]],8))</f>
        <v>0</v>
      </c>
    </row>
    <row r="1229" spans="1:18" x14ac:dyDescent="0.3">
      <c r="A1229" s="15" t="str">
        <f t="shared" si="24"/>
        <v>4C3</v>
      </c>
      <c r="B1229" s="15">
        <v>1219</v>
      </c>
      <c r="C1229" s="42"/>
      <c r="F1229" s="22"/>
      <c r="G1229" s="22"/>
      <c r="J1229" s="24">
        <v>50000</v>
      </c>
      <c r="M1229" s="24">
        <v>50000</v>
      </c>
      <c r="O1229" s="48" t="s">
        <v>97</v>
      </c>
      <c r="P1229" s="48">
        <f>HEX2DEC(RIGHT(Table1323212714[[#This Row],[h1]],8))</f>
        <v>0</v>
      </c>
      <c r="Q1229" s="48" t="s">
        <v>97</v>
      </c>
      <c r="R1229" s="48">
        <f>HEX2DEC(RIGHT(Table1323212714[[#This Row],[h2]],8))</f>
        <v>0</v>
      </c>
    </row>
    <row r="1230" spans="1:18" x14ac:dyDescent="0.3">
      <c r="A1230" s="15" t="str">
        <f t="shared" si="24"/>
        <v>4C4</v>
      </c>
      <c r="B1230" s="15">
        <v>1220</v>
      </c>
      <c r="C1230" s="42"/>
      <c r="F1230" s="22"/>
      <c r="G1230" s="22"/>
      <c r="J1230" s="24">
        <v>50000</v>
      </c>
      <c r="M1230" s="24">
        <v>50000</v>
      </c>
      <c r="O1230" s="48" t="s">
        <v>97</v>
      </c>
      <c r="P1230" s="48">
        <f>HEX2DEC(RIGHT(Table1323212714[[#This Row],[h1]],8))</f>
        <v>0</v>
      </c>
      <c r="Q1230" s="48" t="s">
        <v>97</v>
      </c>
      <c r="R1230" s="48">
        <f>HEX2DEC(RIGHT(Table1323212714[[#This Row],[h2]],8))</f>
        <v>0</v>
      </c>
    </row>
    <row r="1231" spans="1:18" x14ac:dyDescent="0.3">
      <c r="A1231" s="15" t="str">
        <f t="shared" si="24"/>
        <v>4C5</v>
      </c>
      <c r="B1231" s="15">
        <v>1221</v>
      </c>
      <c r="C1231" s="42"/>
      <c r="F1231" s="22"/>
      <c r="G1231" s="22"/>
      <c r="J1231" s="24">
        <v>50000</v>
      </c>
      <c r="M1231" s="24">
        <v>50000</v>
      </c>
      <c r="O1231" s="48" t="s">
        <v>97</v>
      </c>
      <c r="P1231" s="48">
        <f>HEX2DEC(RIGHT(Table1323212714[[#This Row],[h1]],8))</f>
        <v>0</v>
      </c>
      <c r="Q1231" s="48" t="s">
        <v>97</v>
      </c>
      <c r="R1231" s="48">
        <f>HEX2DEC(RIGHT(Table1323212714[[#This Row],[h2]],8))</f>
        <v>0</v>
      </c>
    </row>
    <row r="1232" spans="1:18" x14ac:dyDescent="0.3">
      <c r="A1232" s="15" t="str">
        <f t="shared" si="24"/>
        <v>4C6</v>
      </c>
      <c r="B1232" s="15">
        <v>1222</v>
      </c>
      <c r="C1232" s="42"/>
      <c r="F1232" s="22"/>
      <c r="G1232" s="22"/>
      <c r="J1232" s="24">
        <v>50000</v>
      </c>
      <c r="M1232" s="24">
        <v>50000</v>
      </c>
      <c r="O1232" s="48" t="s">
        <v>97</v>
      </c>
      <c r="P1232" s="48">
        <f>HEX2DEC(RIGHT(Table1323212714[[#This Row],[h1]],8))</f>
        <v>0</v>
      </c>
      <c r="Q1232" s="48" t="s">
        <v>97</v>
      </c>
      <c r="R1232" s="48">
        <f>HEX2DEC(RIGHT(Table1323212714[[#This Row],[h2]],8))</f>
        <v>0</v>
      </c>
    </row>
    <row r="1233" spans="1:18" x14ac:dyDescent="0.3">
      <c r="A1233" s="15" t="str">
        <f t="shared" si="24"/>
        <v>4C7</v>
      </c>
      <c r="B1233" s="15">
        <v>1223</v>
      </c>
      <c r="C1233" s="42"/>
      <c r="F1233" s="22"/>
      <c r="G1233" s="22"/>
      <c r="J1233" s="24">
        <v>50000</v>
      </c>
      <c r="M1233" s="24">
        <v>50000</v>
      </c>
      <c r="O1233" s="48" t="s">
        <v>97</v>
      </c>
      <c r="P1233" s="48">
        <f>HEX2DEC(RIGHT(Table1323212714[[#This Row],[h1]],8))</f>
        <v>0</v>
      </c>
      <c r="Q1233" s="48" t="s">
        <v>97</v>
      </c>
      <c r="R1233" s="48">
        <f>HEX2DEC(RIGHT(Table1323212714[[#This Row],[h2]],8))</f>
        <v>0</v>
      </c>
    </row>
    <row r="1234" spans="1:18" x14ac:dyDescent="0.3">
      <c r="A1234" s="15" t="str">
        <f t="shared" si="24"/>
        <v>4C8</v>
      </c>
      <c r="B1234" s="15">
        <v>1224</v>
      </c>
      <c r="C1234" s="42"/>
      <c r="F1234" s="22"/>
      <c r="G1234" s="22"/>
      <c r="J1234" s="24">
        <v>50000</v>
      </c>
      <c r="M1234" s="24">
        <v>50000</v>
      </c>
      <c r="O1234" s="48" t="s">
        <v>97</v>
      </c>
      <c r="P1234" s="48">
        <f>HEX2DEC(RIGHT(Table1323212714[[#This Row],[h1]],8))</f>
        <v>0</v>
      </c>
      <c r="Q1234" s="48" t="s">
        <v>97</v>
      </c>
      <c r="R1234" s="48">
        <f>HEX2DEC(RIGHT(Table1323212714[[#This Row],[h2]],8))</f>
        <v>0</v>
      </c>
    </row>
    <row r="1235" spans="1:18" x14ac:dyDescent="0.3">
      <c r="A1235" s="15" t="str">
        <f t="shared" si="24"/>
        <v>4C9</v>
      </c>
      <c r="B1235" s="15">
        <v>1225</v>
      </c>
      <c r="C1235" s="42"/>
      <c r="F1235" s="22"/>
      <c r="G1235" s="22"/>
      <c r="J1235" s="24">
        <v>50000</v>
      </c>
      <c r="M1235" s="24">
        <v>50000</v>
      </c>
      <c r="O1235" s="48" t="s">
        <v>97</v>
      </c>
      <c r="P1235" s="48">
        <f>HEX2DEC(RIGHT(Table1323212714[[#This Row],[h1]],8))</f>
        <v>0</v>
      </c>
      <c r="Q1235" s="48" t="s">
        <v>97</v>
      </c>
      <c r="R1235" s="48">
        <f>HEX2DEC(RIGHT(Table1323212714[[#This Row],[h2]],8))</f>
        <v>0</v>
      </c>
    </row>
    <row r="1236" spans="1:18" x14ac:dyDescent="0.3">
      <c r="A1236" s="15" t="str">
        <f t="shared" si="24"/>
        <v>4CA</v>
      </c>
      <c r="B1236" s="15">
        <v>1226</v>
      </c>
      <c r="C1236" s="42"/>
      <c r="F1236" s="22"/>
      <c r="G1236" s="22"/>
      <c r="J1236" s="24">
        <v>50000</v>
      </c>
      <c r="M1236" s="24">
        <v>50000</v>
      </c>
      <c r="O1236" s="48" t="s">
        <v>97</v>
      </c>
      <c r="P1236" s="48">
        <f>HEX2DEC(RIGHT(Table1323212714[[#This Row],[h1]],8))</f>
        <v>0</v>
      </c>
      <c r="Q1236" s="48" t="s">
        <v>97</v>
      </c>
      <c r="R1236" s="48">
        <f>HEX2DEC(RIGHT(Table1323212714[[#This Row],[h2]],8))</f>
        <v>0</v>
      </c>
    </row>
    <row r="1237" spans="1:18" x14ac:dyDescent="0.3">
      <c r="A1237" s="15" t="str">
        <f t="shared" si="24"/>
        <v>4CB</v>
      </c>
      <c r="B1237" s="15">
        <v>1227</v>
      </c>
      <c r="C1237" s="42"/>
      <c r="F1237" s="22"/>
      <c r="G1237" s="22"/>
      <c r="J1237" s="24">
        <v>50000</v>
      </c>
      <c r="M1237" s="24">
        <v>50000</v>
      </c>
      <c r="O1237" s="48" t="s">
        <v>97</v>
      </c>
      <c r="P1237" s="48">
        <f>HEX2DEC(RIGHT(Table1323212714[[#This Row],[h1]],8))</f>
        <v>0</v>
      </c>
      <c r="Q1237" s="48" t="s">
        <v>97</v>
      </c>
      <c r="R1237" s="48">
        <f>HEX2DEC(RIGHT(Table1323212714[[#This Row],[h2]],8))</f>
        <v>0</v>
      </c>
    </row>
    <row r="1238" spans="1:18" x14ac:dyDescent="0.3">
      <c r="A1238" s="15" t="str">
        <f t="shared" si="24"/>
        <v>4CC</v>
      </c>
      <c r="B1238" s="15">
        <v>1228</v>
      </c>
      <c r="C1238" s="42"/>
      <c r="F1238" s="22"/>
      <c r="G1238" s="22"/>
      <c r="J1238" s="24">
        <v>50000</v>
      </c>
      <c r="M1238" s="24">
        <v>50000</v>
      </c>
      <c r="O1238" s="48" t="s">
        <v>97</v>
      </c>
      <c r="P1238" s="48">
        <f>HEX2DEC(RIGHT(Table1323212714[[#This Row],[h1]],8))</f>
        <v>0</v>
      </c>
      <c r="Q1238" s="48" t="s">
        <v>97</v>
      </c>
      <c r="R1238" s="48">
        <f>HEX2DEC(RIGHT(Table1323212714[[#This Row],[h2]],8))</f>
        <v>0</v>
      </c>
    </row>
    <row r="1239" spans="1:18" x14ac:dyDescent="0.3">
      <c r="A1239" s="15" t="str">
        <f t="shared" si="24"/>
        <v>4CD</v>
      </c>
      <c r="B1239" s="15">
        <v>1229</v>
      </c>
      <c r="C1239" s="42"/>
      <c r="F1239" s="22"/>
      <c r="G1239" s="22"/>
      <c r="J1239" s="24">
        <v>50000</v>
      </c>
      <c r="M1239" s="24">
        <v>50000</v>
      </c>
      <c r="O1239" s="48" t="s">
        <v>97</v>
      </c>
      <c r="P1239" s="48">
        <f>HEX2DEC(RIGHT(Table1323212714[[#This Row],[h1]],8))</f>
        <v>0</v>
      </c>
      <c r="Q1239" s="48" t="s">
        <v>97</v>
      </c>
      <c r="R1239" s="48">
        <f>HEX2DEC(RIGHT(Table1323212714[[#This Row],[h2]],8))</f>
        <v>0</v>
      </c>
    </row>
    <row r="1240" spans="1:18" x14ac:dyDescent="0.3">
      <c r="A1240" s="15" t="str">
        <f t="shared" si="24"/>
        <v>4CE</v>
      </c>
      <c r="B1240" s="15">
        <v>1230</v>
      </c>
      <c r="C1240" s="42"/>
      <c r="F1240" s="22"/>
      <c r="G1240" s="22"/>
      <c r="J1240" s="24">
        <v>50000</v>
      </c>
      <c r="M1240" s="24">
        <v>50000</v>
      </c>
      <c r="O1240" s="48" t="s">
        <v>97</v>
      </c>
      <c r="P1240" s="48">
        <f>HEX2DEC(RIGHT(Table1323212714[[#This Row],[h1]],8))</f>
        <v>0</v>
      </c>
      <c r="Q1240" s="48" t="s">
        <v>97</v>
      </c>
      <c r="R1240" s="48">
        <f>HEX2DEC(RIGHT(Table1323212714[[#This Row],[h2]],8))</f>
        <v>0</v>
      </c>
    </row>
    <row r="1241" spans="1:18" x14ac:dyDescent="0.3">
      <c r="A1241" s="15" t="str">
        <f t="shared" si="24"/>
        <v>4CF</v>
      </c>
      <c r="B1241" s="15">
        <v>1231</v>
      </c>
      <c r="C1241" s="42"/>
      <c r="F1241" s="22"/>
      <c r="G1241" s="22"/>
      <c r="J1241" s="24">
        <v>50000</v>
      </c>
      <c r="M1241" s="24">
        <v>50000</v>
      </c>
      <c r="O1241" s="48" t="s">
        <v>97</v>
      </c>
      <c r="P1241" s="48">
        <f>HEX2DEC(RIGHT(Table1323212714[[#This Row],[h1]],8))</f>
        <v>0</v>
      </c>
      <c r="Q1241" s="48" t="s">
        <v>97</v>
      </c>
      <c r="R1241" s="48">
        <f>HEX2DEC(RIGHT(Table1323212714[[#This Row],[h2]],8))</f>
        <v>0</v>
      </c>
    </row>
    <row r="1242" spans="1:18" x14ac:dyDescent="0.3">
      <c r="A1242" s="15" t="str">
        <f t="shared" si="24"/>
        <v>4D0</v>
      </c>
      <c r="B1242" s="15">
        <v>1232</v>
      </c>
      <c r="C1242" s="42"/>
      <c r="F1242" s="22"/>
      <c r="G1242" s="22"/>
      <c r="J1242" s="24">
        <v>50000</v>
      </c>
      <c r="M1242" s="24">
        <v>50000</v>
      </c>
      <c r="O1242" s="48" t="s">
        <v>97</v>
      </c>
      <c r="P1242" s="48">
        <f>HEX2DEC(RIGHT(Table1323212714[[#This Row],[h1]],8))</f>
        <v>0</v>
      </c>
      <c r="Q1242" s="48" t="s">
        <v>97</v>
      </c>
      <c r="R1242" s="48">
        <f>HEX2DEC(RIGHT(Table1323212714[[#This Row],[h2]],8))</f>
        <v>0</v>
      </c>
    </row>
    <row r="1243" spans="1:18" x14ac:dyDescent="0.3">
      <c r="A1243" s="15" t="str">
        <f t="shared" si="24"/>
        <v>4D1</v>
      </c>
      <c r="B1243" s="15">
        <v>1233</v>
      </c>
      <c r="C1243" s="42"/>
      <c r="F1243" s="22"/>
      <c r="G1243" s="22"/>
      <c r="J1243" s="24">
        <v>50000</v>
      </c>
      <c r="M1243" s="24">
        <v>50000</v>
      </c>
      <c r="O1243" s="48" t="s">
        <v>97</v>
      </c>
      <c r="P1243" s="48">
        <f>HEX2DEC(RIGHT(Table1323212714[[#This Row],[h1]],8))</f>
        <v>0</v>
      </c>
      <c r="Q1243" s="48" t="s">
        <v>97</v>
      </c>
      <c r="R1243" s="48">
        <f>HEX2DEC(RIGHT(Table1323212714[[#This Row],[h2]],8))</f>
        <v>0</v>
      </c>
    </row>
    <row r="1244" spans="1:18" x14ac:dyDescent="0.3">
      <c r="A1244" s="15" t="str">
        <f t="shared" si="24"/>
        <v>4D2</v>
      </c>
      <c r="B1244" s="15">
        <v>1234</v>
      </c>
      <c r="C1244" s="42"/>
      <c r="F1244" s="22"/>
      <c r="G1244" s="22"/>
      <c r="J1244" s="24">
        <v>50000</v>
      </c>
      <c r="M1244" s="24">
        <v>50000</v>
      </c>
      <c r="O1244" s="48" t="s">
        <v>97</v>
      </c>
      <c r="P1244" s="48">
        <f>HEX2DEC(RIGHT(Table1323212714[[#This Row],[h1]],8))</f>
        <v>0</v>
      </c>
      <c r="Q1244" s="48" t="s">
        <v>97</v>
      </c>
      <c r="R1244" s="48">
        <f>HEX2DEC(RIGHT(Table1323212714[[#This Row],[h2]],8))</f>
        <v>0</v>
      </c>
    </row>
    <row r="1245" spans="1:18" x14ac:dyDescent="0.3">
      <c r="A1245" s="15" t="str">
        <f t="shared" si="24"/>
        <v>4D3</v>
      </c>
      <c r="B1245" s="15">
        <v>1235</v>
      </c>
      <c r="C1245" s="42"/>
      <c r="F1245" s="22"/>
      <c r="G1245" s="22"/>
      <c r="J1245" s="24">
        <v>50000</v>
      </c>
      <c r="M1245" s="24">
        <v>50000</v>
      </c>
      <c r="O1245" s="48" t="s">
        <v>97</v>
      </c>
      <c r="P1245" s="48">
        <f>HEX2DEC(RIGHT(Table1323212714[[#This Row],[h1]],8))</f>
        <v>0</v>
      </c>
      <c r="Q1245" s="48" t="s">
        <v>97</v>
      </c>
      <c r="R1245" s="48">
        <f>HEX2DEC(RIGHT(Table1323212714[[#This Row],[h2]],8))</f>
        <v>0</v>
      </c>
    </row>
    <row r="1246" spans="1:18" x14ac:dyDescent="0.3">
      <c r="A1246" s="15" t="str">
        <f t="shared" si="24"/>
        <v>4D4</v>
      </c>
      <c r="B1246" s="15">
        <v>1236</v>
      </c>
      <c r="C1246" s="42"/>
      <c r="F1246" s="22"/>
      <c r="G1246" s="22"/>
      <c r="J1246" s="24">
        <v>50000</v>
      </c>
      <c r="M1246" s="24">
        <v>50000</v>
      </c>
      <c r="O1246" s="48" t="s">
        <v>97</v>
      </c>
      <c r="P1246" s="48">
        <f>HEX2DEC(RIGHT(Table1323212714[[#This Row],[h1]],8))</f>
        <v>0</v>
      </c>
      <c r="Q1246" s="48" t="s">
        <v>97</v>
      </c>
      <c r="R1246" s="48">
        <f>HEX2DEC(RIGHT(Table1323212714[[#This Row],[h2]],8))</f>
        <v>0</v>
      </c>
    </row>
    <row r="1247" spans="1:18" x14ac:dyDescent="0.3">
      <c r="A1247" s="15" t="str">
        <f t="shared" si="24"/>
        <v>4D5</v>
      </c>
      <c r="B1247" s="15">
        <v>1237</v>
      </c>
      <c r="C1247" s="42"/>
      <c r="F1247" s="22"/>
      <c r="G1247" s="22"/>
      <c r="J1247" s="24">
        <v>50000</v>
      </c>
      <c r="M1247" s="24">
        <v>50000</v>
      </c>
      <c r="O1247" s="48" t="s">
        <v>97</v>
      </c>
      <c r="P1247" s="48">
        <f>HEX2DEC(RIGHT(Table1323212714[[#This Row],[h1]],8))</f>
        <v>0</v>
      </c>
      <c r="Q1247" s="48" t="s">
        <v>97</v>
      </c>
      <c r="R1247" s="48">
        <f>HEX2DEC(RIGHT(Table1323212714[[#This Row],[h2]],8))</f>
        <v>0</v>
      </c>
    </row>
    <row r="1248" spans="1:18" x14ac:dyDescent="0.3">
      <c r="A1248" s="15" t="str">
        <f t="shared" si="24"/>
        <v>4D6</v>
      </c>
      <c r="B1248" s="15">
        <v>1238</v>
      </c>
      <c r="C1248" s="42"/>
      <c r="F1248" s="22"/>
      <c r="G1248" s="22"/>
      <c r="J1248" s="24">
        <v>50000</v>
      </c>
      <c r="M1248" s="24">
        <v>50000</v>
      </c>
      <c r="O1248" s="48" t="s">
        <v>97</v>
      </c>
      <c r="P1248" s="48">
        <f>HEX2DEC(RIGHT(Table1323212714[[#This Row],[h1]],8))</f>
        <v>0</v>
      </c>
      <c r="Q1248" s="48" t="s">
        <v>97</v>
      </c>
      <c r="R1248" s="48">
        <f>HEX2DEC(RIGHT(Table1323212714[[#This Row],[h2]],8))</f>
        <v>0</v>
      </c>
    </row>
    <row r="1249" spans="1:18" x14ac:dyDescent="0.3">
      <c r="A1249" s="15" t="str">
        <f t="shared" si="24"/>
        <v>4D7</v>
      </c>
      <c r="B1249" s="15">
        <v>1239</v>
      </c>
      <c r="C1249" s="42"/>
      <c r="F1249" s="22"/>
      <c r="G1249" s="22"/>
      <c r="J1249" s="24">
        <v>50000</v>
      </c>
      <c r="M1249" s="24">
        <v>50000</v>
      </c>
      <c r="O1249" s="48" t="s">
        <v>97</v>
      </c>
      <c r="P1249" s="48">
        <f>HEX2DEC(RIGHT(Table1323212714[[#This Row],[h1]],8))</f>
        <v>0</v>
      </c>
      <c r="Q1249" s="48" t="s">
        <v>97</v>
      </c>
      <c r="R1249" s="48">
        <f>HEX2DEC(RIGHT(Table1323212714[[#This Row],[h2]],8))</f>
        <v>0</v>
      </c>
    </row>
    <row r="1250" spans="1:18" x14ac:dyDescent="0.3">
      <c r="A1250" s="15" t="str">
        <f t="shared" si="24"/>
        <v>4D8</v>
      </c>
      <c r="B1250" s="15">
        <v>1240</v>
      </c>
      <c r="C1250" s="42"/>
      <c r="F1250" s="22"/>
      <c r="G1250" s="22"/>
      <c r="J1250" s="24">
        <v>50000</v>
      </c>
      <c r="M1250" s="24">
        <v>50000</v>
      </c>
      <c r="O1250" s="48" t="s">
        <v>97</v>
      </c>
      <c r="P1250" s="48">
        <f>HEX2DEC(RIGHT(Table1323212714[[#This Row],[h1]],8))</f>
        <v>0</v>
      </c>
      <c r="Q1250" s="48" t="s">
        <v>97</v>
      </c>
      <c r="R1250" s="48">
        <f>HEX2DEC(RIGHT(Table1323212714[[#This Row],[h2]],8))</f>
        <v>0</v>
      </c>
    </row>
    <row r="1251" spans="1:18" x14ac:dyDescent="0.3">
      <c r="A1251" s="15" t="str">
        <f t="shared" si="24"/>
        <v>4D9</v>
      </c>
      <c r="B1251" s="15">
        <v>1241</v>
      </c>
      <c r="C1251" s="42"/>
      <c r="F1251" s="22"/>
      <c r="G1251" s="22"/>
      <c r="J1251" s="24">
        <v>50000</v>
      </c>
      <c r="M1251" s="24">
        <v>50000</v>
      </c>
      <c r="O1251" s="48" t="s">
        <v>97</v>
      </c>
      <c r="P1251" s="48">
        <f>HEX2DEC(RIGHT(Table1323212714[[#This Row],[h1]],8))</f>
        <v>0</v>
      </c>
      <c r="Q1251" s="48" t="s">
        <v>97</v>
      </c>
      <c r="R1251" s="48">
        <f>HEX2DEC(RIGHT(Table1323212714[[#This Row],[h2]],8))</f>
        <v>0</v>
      </c>
    </row>
    <row r="1252" spans="1:18" x14ac:dyDescent="0.3">
      <c r="A1252" s="15" t="str">
        <f t="shared" si="24"/>
        <v>4DA</v>
      </c>
      <c r="B1252" s="15">
        <v>1242</v>
      </c>
      <c r="C1252" s="42"/>
      <c r="F1252" s="22"/>
      <c r="G1252" s="22"/>
      <c r="J1252" s="24">
        <v>50000</v>
      </c>
      <c r="M1252" s="24">
        <v>50000</v>
      </c>
      <c r="O1252" s="48" t="s">
        <v>97</v>
      </c>
      <c r="P1252" s="48">
        <f>HEX2DEC(RIGHT(Table1323212714[[#This Row],[h1]],8))</f>
        <v>0</v>
      </c>
      <c r="Q1252" s="48" t="s">
        <v>97</v>
      </c>
      <c r="R1252" s="48">
        <f>HEX2DEC(RIGHT(Table1323212714[[#This Row],[h2]],8))</f>
        <v>0</v>
      </c>
    </row>
    <row r="1253" spans="1:18" x14ac:dyDescent="0.3">
      <c r="A1253" s="15" t="str">
        <f t="shared" si="24"/>
        <v>4DB</v>
      </c>
      <c r="B1253" s="15">
        <v>1243</v>
      </c>
      <c r="C1253" s="42"/>
      <c r="F1253" s="22"/>
      <c r="G1253" s="22"/>
      <c r="J1253" s="24">
        <v>50000</v>
      </c>
      <c r="M1253" s="24">
        <v>50000</v>
      </c>
      <c r="O1253" s="48" t="s">
        <v>97</v>
      </c>
      <c r="P1253" s="48">
        <f>HEX2DEC(RIGHT(Table1323212714[[#This Row],[h1]],8))</f>
        <v>0</v>
      </c>
      <c r="Q1253" s="48" t="s">
        <v>97</v>
      </c>
      <c r="R1253" s="48">
        <f>HEX2DEC(RIGHT(Table1323212714[[#This Row],[h2]],8))</f>
        <v>0</v>
      </c>
    </row>
    <row r="1254" spans="1:18" x14ac:dyDescent="0.3">
      <c r="A1254" s="15" t="str">
        <f t="shared" si="24"/>
        <v>4DC</v>
      </c>
      <c r="B1254" s="15">
        <v>1244</v>
      </c>
      <c r="C1254" s="42"/>
      <c r="F1254" s="22"/>
      <c r="G1254" s="22"/>
      <c r="J1254" s="24">
        <v>50000</v>
      </c>
      <c r="M1254" s="24">
        <v>50000</v>
      </c>
      <c r="O1254" s="48" t="s">
        <v>97</v>
      </c>
      <c r="P1254" s="48">
        <f>HEX2DEC(RIGHT(Table1323212714[[#This Row],[h1]],8))</f>
        <v>0</v>
      </c>
      <c r="Q1254" s="48" t="s">
        <v>97</v>
      </c>
      <c r="R1254" s="48">
        <f>HEX2DEC(RIGHT(Table1323212714[[#This Row],[h2]],8))</f>
        <v>0</v>
      </c>
    </row>
    <row r="1255" spans="1:18" x14ac:dyDescent="0.3">
      <c r="A1255" s="15" t="str">
        <f t="shared" si="24"/>
        <v>4DD</v>
      </c>
      <c r="B1255" s="15">
        <v>1245</v>
      </c>
      <c r="C1255" s="42"/>
      <c r="F1255" s="22"/>
      <c r="G1255" s="22"/>
      <c r="J1255" s="24">
        <v>50000</v>
      </c>
      <c r="M1255" s="24">
        <v>50000</v>
      </c>
      <c r="O1255" s="48" t="s">
        <v>97</v>
      </c>
      <c r="P1255" s="48">
        <f>HEX2DEC(RIGHT(Table1323212714[[#This Row],[h1]],8))</f>
        <v>0</v>
      </c>
      <c r="Q1255" s="48" t="s">
        <v>97</v>
      </c>
      <c r="R1255" s="48">
        <f>HEX2DEC(RIGHT(Table1323212714[[#This Row],[h2]],8))</f>
        <v>0</v>
      </c>
    </row>
    <row r="1256" spans="1:18" x14ac:dyDescent="0.3">
      <c r="A1256" s="15" t="str">
        <f t="shared" si="24"/>
        <v>4DE</v>
      </c>
      <c r="B1256" s="15">
        <v>1246</v>
      </c>
      <c r="C1256" s="42"/>
      <c r="F1256" s="22"/>
      <c r="G1256" s="22"/>
      <c r="J1256" s="24">
        <v>50000</v>
      </c>
      <c r="M1256" s="24">
        <v>50000</v>
      </c>
      <c r="O1256" s="48" t="s">
        <v>97</v>
      </c>
      <c r="P1256" s="48">
        <f>HEX2DEC(RIGHT(Table1323212714[[#This Row],[h1]],8))</f>
        <v>0</v>
      </c>
      <c r="Q1256" s="48" t="s">
        <v>97</v>
      </c>
      <c r="R1256" s="48">
        <f>HEX2DEC(RIGHT(Table1323212714[[#This Row],[h2]],8))</f>
        <v>0</v>
      </c>
    </row>
    <row r="1257" spans="1:18" x14ac:dyDescent="0.3">
      <c r="A1257" s="15" t="str">
        <f t="shared" si="24"/>
        <v>4DF</v>
      </c>
      <c r="B1257" s="15">
        <v>1247</v>
      </c>
      <c r="C1257" s="42"/>
      <c r="F1257" s="22"/>
      <c r="G1257" s="22"/>
      <c r="J1257" s="24">
        <v>50000</v>
      </c>
      <c r="M1257" s="24">
        <v>50000</v>
      </c>
      <c r="O1257" s="48" t="s">
        <v>97</v>
      </c>
      <c r="P1257" s="48">
        <f>HEX2DEC(RIGHT(Table1323212714[[#This Row],[h1]],8))</f>
        <v>0</v>
      </c>
      <c r="Q1257" s="48" t="s">
        <v>97</v>
      </c>
      <c r="R1257" s="48">
        <f>HEX2DEC(RIGHT(Table1323212714[[#This Row],[h2]],8))</f>
        <v>0</v>
      </c>
    </row>
    <row r="1258" spans="1:18" x14ac:dyDescent="0.3">
      <c r="A1258" s="15" t="str">
        <f t="shared" si="24"/>
        <v>4E0</v>
      </c>
      <c r="B1258" s="15">
        <v>1248</v>
      </c>
      <c r="C1258" s="42"/>
      <c r="F1258" s="22"/>
      <c r="G1258" s="22"/>
      <c r="J1258" s="24">
        <v>50000</v>
      </c>
      <c r="M1258" s="24">
        <v>50000</v>
      </c>
      <c r="O1258" s="48" t="s">
        <v>97</v>
      </c>
      <c r="P1258" s="48">
        <f>HEX2DEC(RIGHT(Table1323212714[[#This Row],[h1]],8))</f>
        <v>0</v>
      </c>
      <c r="Q1258" s="48" t="s">
        <v>97</v>
      </c>
      <c r="R1258" s="48">
        <f>HEX2DEC(RIGHT(Table1323212714[[#This Row],[h2]],8))</f>
        <v>0</v>
      </c>
    </row>
    <row r="1259" spans="1:18" x14ac:dyDescent="0.3">
      <c r="A1259" s="15" t="str">
        <f t="shared" si="24"/>
        <v>4E1</v>
      </c>
      <c r="B1259" s="15">
        <v>1249</v>
      </c>
      <c r="C1259" s="42"/>
      <c r="F1259" s="22"/>
      <c r="G1259" s="22"/>
      <c r="J1259" s="24">
        <v>50000</v>
      </c>
      <c r="M1259" s="24">
        <v>50000</v>
      </c>
      <c r="O1259" s="48" t="s">
        <v>97</v>
      </c>
      <c r="P1259" s="48">
        <f>HEX2DEC(RIGHT(Table1323212714[[#This Row],[h1]],8))</f>
        <v>0</v>
      </c>
      <c r="Q1259" s="48" t="s">
        <v>97</v>
      </c>
      <c r="R1259" s="48">
        <f>HEX2DEC(RIGHT(Table1323212714[[#This Row],[h2]],8))</f>
        <v>0</v>
      </c>
    </row>
    <row r="1260" spans="1:18" x14ac:dyDescent="0.3">
      <c r="A1260" s="15" t="str">
        <f t="shared" si="24"/>
        <v>4E2</v>
      </c>
      <c r="B1260" s="15">
        <v>1250</v>
      </c>
      <c r="C1260" s="42"/>
      <c r="F1260" s="22"/>
      <c r="G1260" s="22"/>
      <c r="J1260" s="24">
        <v>50000</v>
      </c>
      <c r="M1260" s="24">
        <v>50000</v>
      </c>
      <c r="O1260" s="48" t="s">
        <v>97</v>
      </c>
      <c r="P1260" s="48">
        <f>HEX2DEC(RIGHT(Table1323212714[[#This Row],[h1]],8))</f>
        <v>0</v>
      </c>
      <c r="Q1260" s="48" t="s">
        <v>97</v>
      </c>
      <c r="R1260" s="48">
        <f>HEX2DEC(RIGHT(Table1323212714[[#This Row],[h2]],8))</f>
        <v>0</v>
      </c>
    </row>
    <row r="1261" spans="1:18" x14ac:dyDescent="0.3">
      <c r="A1261" s="15" t="str">
        <f t="shared" si="24"/>
        <v>4E3</v>
      </c>
      <c r="B1261" s="15">
        <v>1251</v>
      </c>
      <c r="C1261" s="42"/>
      <c r="F1261" s="22"/>
      <c r="G1261" s="22"/>
      <c r="J1261" s="24">
        <v>50000</v>
      </c>
      <c r="M1261" s="24">
        <v>50000</v>
      </c>
      <c r="O1261" s="48" t="s">
        <v>97</v>
      </c>
      <c r="P1261" s="48">
        <f>HEX2DEC(RIGHT(Table1323212714[[#This Row],[h1]],8))</f>
        <v>0</v>
      </c>
      <c r="Q1261" s="48" t="s">
        <v>97</v>
      </c>
      <c r="R1261" s="48">
        <f>HEX2DEC(RIGHT(Table1323212714[[#This Row],[h2]],8))</f>
        <v>0</v>
      </c>
    </row>
    <row r="1262" spans="1:18" x14ac:dyDescent="0.3">
      <c r="A1262" s="15" t="str">
        <f t="shared" si="24"/>
        <v>4E4</v>
      </c>
      <c r="B1262" s="15">
        <v>1252</v>
      </c>
      <c r="C1262" s="42"/>
      <c r="F1262" s="22"/>
      <c r="G1262" s="22"/>
      <c r="J1262" s="24">
        <v>50000</v>
      </c>
      <c r="M1262" s="24">
        <v>50000</v>
      </c>
      <c r="O1262" s="48" t="s">
        <v>97</v>
      </c>
      <c r="P1262" s="48">
        <f>HEX2DEC(RIGHT(Table1323212714[[#This Row],[h1]],8))</f>
        <v>0</v>
      </c>
      <c r="Q1262" s="48" t="s">
        <v>97</v>
      </c>
      <c r="R1262" s="48">
        <f>HEX2DEC(RIGHT(Table1323212714[[#This Row],[h2]],8))</f>
        <v>0</v>
      </c>
    </row>
    <row r="1263" spans="1:18" x14ac:dyDescent="0.3">
      <c r="A1263" s="15" t="str">
        <f t="shared" si="24"/>
        <v>4E5</v>
      </c>
      <c r="B1263" s="15">
        <v>1253</v>
      </c>
      <c r="C1263" s="42"/>
      <c r="F1263" s="22"/>
      <c r="G1263" s="22"/>
      <c r="J1263" s="24">
        <v>50000</v>
      </c>
      <c r="M1263" s="24">
        <v>50000</v>
      </c>
      <c r="O1263" s="48" t="s">
        <v>97</v>
      </c>
      <c r="P1263" s="48">
        <f>HEX2DEC(RIGHT(Table1323212714[[#This Row],[h1]],8))</f>
        <v>0</v>
      </c>
      <c r="Q1263" s="48" t="s">
        <v>97</v>
      </c>
      <c r="R1263" s="48">
        <f>HEX2DEC(RIGHT(Table1323212714[[#This Row],[h2]],8))</f>
        <v>0</v>
      </c>
    </row>
    <row r="1264" spans="1:18" x14ac:dyDescent="0.3">
      <c r="A1264" s="15" t="str">
        <f t="shared" si="24"/>
        <v>4E6</v>
      </c>
      <c r="B1264" s="15">
        <v>1254</v>
      </c>
      <c r="C1264" s="42"/>
      <c r="F1264" s="22"/>
      <c r="G1264" s="22"/>
      <c r="J1264" s="24">
        <v>50000</v>
      </c>
      <c r="M1264" s="24">
        <v>50000</v>
      </c>
      <c r="O1264" s="48" t="s">
        <v>97</v>
      </c>
      <c r="P1264" s="48">
        <f>HEX2DEC(RIGHT(Table1323212714[[#This Row],[h1]],8))</f>
        <v>0</v>
      </c>
      <c r="Q1264" s="48" t="s">
        <v>97</v>
      </c>
      <c r="R1264" s="48">
        <f>HEX2DEC(RIGHT(Table1323212714[[#This Row],[h2]],8))</f>
        <v>0</v>
      </c>
    </row>
    <row r="1265" spans="1:18" x14ac:dyDescent="0.3">
      <c r="A1265" s="15" t="str">
        <f t="shared" si="24"/>
        <v>4E7</v>
      </c>
      <c r="B1265" s="15">
        <v>1255</v>
      </c>
      <c r="C1265" s="42"/>
      <c r="F1265" s="22"/>
      <c r="G1265" s="22"/>
      <c r="J1265" s="24">
        <v>50000</v>
      </c>
      <c r="M1265" s="24">
        <v>50000</v>
      </c>
      <c r="O1265" s="48" t="s">
        <v>97</v>
      </c>
      <c r="P1265" s="48">
        <f>HEX2DEC(RIGHT(Table1323212714[[#This Row],[h1]],8))</f>
        <v>0</v>
      </c>
      <c r="Q1265" s="48" t="s">
        <v>97</v>
      </c>
      <c r="R1265" s="48">
        <f>HEX2DEC(RIGHT(Table1323212714[[#This Row],[h2]],8))</f>
        <v>0</v>
      </c>
    </row>
    <row r="1266" spans="1:18" x14ac:dyDescent="0.3">
      <c r="A1266" s="15" t="str">
        <f t="shared" si="24"/>
        <v>4E8</v>
      </c>
      <c r="B1266" s="15">
        <v>1256</v>
      </c>
      <c r="C1266" s="42"/>
      <c r="F1266" s="22"/>
      <c r="G1266" s="22"/>
      <c r="J1266" s="24">
        <v>50000</v>
      </c>
      <c r="M1266" s="24">
        <v>50000</v>
      </c>
      <c r="O1266" s="48" t="s">
        <v>97</v>
      </c>
      <c r="P1266" s="48">
        <f>HEX2DEC(RIGHT(Table1323212714[[#This Row],[h1]],8))</f>
        <v>0</v>
      </c>
      <c r="Q1266" s="48" t="s">
        <v>97</v>
      </c>
      <c r="R1266" s="48">
        <f>HEX2DEC(RIGHT(Table1323212714[[#This Row],[h2]],8))</f>
        <v>0</v>
      </c>
    </row>
    <row r="1267" spans="1:18" x14ac:dyDescent="0.3">
      <c r="A1267" s="15" t="str">
        <f t="shared" si="24"/>
        <v>4E9</v>
      </c>
      <c r="B1267" s="15">
        <v>1257</v>
      </c>
      <c r="C1267" s="42"/>
      <c r="F1267" s="22"/>
      <c r="G1267" s="22"/>
      <c r="J1267" s="24">
        <v>50000</v>
      </c>
      <c r="M1267" s="24">
        <v>50000</v>
      </c>
      <c r="O1267" s="48" t="s">
        <v>97</v>
      </c>
      <c r="P1267" s="48">
        <f>HEX2DEC(RIGHT(Table1323212714[[#This Row],[h1]],8))</f>
        <v>0</v>
      </c>
      <c r="Q1267" s="48" t="s">
        <v>97</v>
      </c>
      <c r="R1267" s="48">
        <f>HEX2DEC(RIGHT(Table1323212714[[#This Row],[h2]],8))</f>
        <v>0</v>
      </c>
    </row>
    <row r="1268" spans="1:18" x14ac:dyDescent="0.3">
      <c r="A1268" s="15" t="str">
        <f t="shared" si="24"/>
        <v>4EA</v>
      </c>
      <c r="B1268" s="15">
        <v>1258</v>
      </c>
      <c r="C1268" s="42"/>
      <c r="F1268" s="22"/>
      <c r="G1268" s="22"/>
      <c r="J1268" s="24">
        <v>50000</v>
      </c>
      <c r="M1268" s="24">
        <v>50000</v>
      </c>
      <c r="O1268" s="48" t="s">
        <v>97</v>
      </c>
      <c r="P1268" s="48">
        <f>HEX2DEC(RIGHT(Table1323212714[[#This Row],[h1]],8))</f>
        <v>0</v>
      </c>
      <c r="Q1268" s="48" t="s">
        <v>97</v>
      </c>
      <c r="R1268" s="48">
        <f>HEX2DEC(RIGHT(Table1323212714[[#This Row],[h2]],8))</f>
        <v>0</v>
      </c>
    </row>
    <row r="1269" spans="1:18" x14ac:dyDescent="0.3">
      <c r="A1269" s="15" t="str">
        <f t="shared" si="24"/>
        <v>4EB</v>
      </c>
      <c r="B1269" s="15">
        <v>1259</v>
      </c>
      <c r="C1269" s="42"/>
      <c r="F1269" s="22"/>
      <c r="G1269" s="22"/>
      <c r="J1269" s="24">
        <v>50000</v>
      </c>
      <c r="M1269" s="24">
        <v>50000</v>
      </c>
      <c r="O1269" s="48" t="s">
        <v>97</v>
      </c>
      <c r="P1269" s="48">
        <f>HEX2DEC(RIGHT(Table1323212714[[#This Row],[h1]],8))</f>
        <v>0</v>
      </c>
      <c r="Q1269" s="48" t="s">
        <v>97</v>
      </c>
      <c r="R1269" s="48">
        <f>HEX2DEC(RIGHT(Table1323212714[[#This Row],[h2]],8))</f>
        <v>0</v>
      </c>
    </row>
    <row r="1270" spans="1:18" x14ac:dyDescent="0.3">
      <c r="A1270" s="15" t="str">
        <f t="shared" si="24"/>
        <v>4EC</v>
      </c>
      <c r="B1270" s="15">
        <v>1260</v>
      </c>
      <c r="C1270" s="42"/>
      <c r="F1270" s="22"/>
      <c r="G1270" s="22"/>
      <c r="J1270" s="24">
        <v>50000</v>
      </c>
      <c r="M1270" s="24">
        <v>50000</v>
      </c>
      <c r="O1270" s="48" t="s">
        <v>97</v>
      </c>
      <c r="P1270" s="48">
        <f>HEX2DEC(RIGHT(Table1323212714[[#This Row],[h1]],8))</f>
        <v>0</v>
      </c>
      <c r="Q1270" s="48" t="s">
        <v>97</v>
      </c>
      <c r="R1270" s="48">
        <f>HEX2DEC(RIGHT(Table1323212714[[#This Row],[h2]],8))</f>
        <v>0</v>
      </c>
    </row>
    <row r="1271" spans="1:18" x14ac:dyDescent="0.3">
      <c r="A1271" s="15" t="str">
        <f t="shared" si="24"/>
        <v>4ED</v>
      </c>
      <c r="B1271" s="15">
        <v>1261</v>
      </c>
      <c r="C1271" s="42"/>
      <c r="F1271" s="22"/>
      <c r="G1271" s="22"/>
      <c r="J1271" s="24">
        <v>50000</v>
      </c>
      <c r="M1271" s="24">
        <v>50000</v>
      </c>
      <c r="O1271" s="48" t="s">
        <v>97</v>
      </c>
      <c r="P1271" s="48">
        <f>HEX2DEC(RIGHT(Table1323212714[[#This Row],[h1]],8))</f>
        <v>0</v>
      </c>
      <c r="Q1271" s="48" t="s">
        <v>97</v>
      </c>
      <c r="R1271" s="48">
        <f>HEX2DEC(RIGHT(Table1323212714[[#This Row],[h2]],8))</f>
        <v>0</v>
      </c>
    </row>
    <row r="1272" spans="1:18" x14ac:dyDescent="0.3">
      <c r="A1272" s="15" t="str">
        <f t="shared" si="24"/>
        <v>4EE</v>
      </c>
      <c r="B1272" s="15">
        <v>1262</v>
      </c>
      <c r="C1272" s="42"/>
      <c r="F1272" s="22"/>
      <c r="G1272" s="22"/>
      <c r="J1272" s="24">
        <v>50000</v>
      </c>
      <c r="M1272" s="24">
        <v>50000</v>
      </c>
      <c r="O1272" s="48" t="s">
        <v>97</v>
      </c>
      <c r="P1272" s="48">
        <f>HEX2DEC(RIGHT(Table1323212714[[#This Row],[h1]],8))</f>
        <v>0</v>
      </c>
      <c r="Q1272" s="48" t="s">
        <v>97</v>
      </c>
      <c r="R1272" s="48">
        <f>HEX2DEC(RIGHT(Table1323212714[[#This Row],[h2]],8))</f>
        <v>0</v>
      </c>
    </row>
    <row r="1273" spans="1:18" x14ac:dyDescent="0.3">
      <c r="A1273" s="15" t="str">
        <f t="shared" si="24"/>
        <v>4EF</v>
      </c>
      <c r="B1273" s="15">
        <v>1263</v>
      </c>
      <c r="C1273" s="42"/>
      <c r="F1273" s="22"/>
      <c r="G1273" s="22"/>
      <c r="J1273" s="24">
        <v>50000</v>
      </c>
      <c r="M1273" s="24">
        <v>50000</v>
      </c>
      <c r="O1273" s="48" t="s">
        <v>97</v>
      </c>
      <c r="P1273" s="48">
        <f>HEX2DEC(RIGHT(Table1323212714[[#This Row],[h1]],8))</f>
        <v>0</v>
      </c>
      <c r="Q1273" s="48" t="s">
        <v>97</v>
      </c>
      <c r="R1273" s="48">
        <f>HEX2DEC(RIGHT(Table1323212714[[#This Row],[h2]],8))</f>
        <v>0</v>
      </c>
    </row>
    <row r="1274" spans="1:18" x14ac:dyDescent="0.3">
      <c r="A1274" s="15" t="str">
        <f t="shared" si="24"/>
        <v>4F0</v>
      </c>
      <c r="B1274" s="15">
        <v>1264</v>
      </c>
      <c r="C1274" s="42"/>
      <c r="F1274" s="22"/>
      <c r="G1274" s="22"/>
      <c r="J1274" s="24">
        <v>50000</v>
      </c>
      <c r="M1274" s="24">
        <v>50000</v>
      </c>
      <c r="O1274" s="48" t="s">
        <v>97</v>
      </c>
      <c r="P1274" s="48">
        <f>HEX2DEC(RIGHT(Table1323212714[[#This Row],[h1]],8))</f>
        <v>0</v>
      </c>
      <c r="Q1274" s="48" t="s">
        <v>97</v>
      </c>
      <c r="R1274" s="48">
        <f>HEX2DEC(RIGHT(Table1323212714[[#This Row],[h2]],8))</f>
        <v>0</v>
      </c>
    </row>
    <row r="1275" spans="1:18" x14ac:dyDescent="0.3">
      <c r="A1275" s="15" t="str">
        <f t="shared" si="24"/>
        <v>4F1</v>
      </c>
      <c r="B1275" s="15">
        <v>1265</v>
      </c>
      <c r="C1275" s="42"/>
      <c r="F1275" s="22"/>
      <c r="G1275" s="22"/>
      <c r="J1275" s="24">
        <v>50000</v>
      </c>
      <c r="M1275" s="24">
        <v>50000</v>
      </c>
      <c r="O1275" s="48" t="s">
        <v>97</v>
      </c>
      <c r="P1275" s="48">
        <f>HEX2DEC(RIGHT(Table1323212714[[#This Row],[h1]],8))</f>
        <v>0</v>
      </c>
      <c r="Q1275" s="48" t="s">
        <v>97</v>
      </c>
      <c r="R1275" s="48">
        <f>HEX2DEC(RIGHT(Table1323212714[[#This Row],[h2]],8))</f>
        <v>0</v>
      </c>
    </row>
    <row r="1276" spans="1:18" x14ac:dyDescent="0.3">
      <c r="A1276" s="15" t="str">
        <f t="shared" si="24"/>
        <v>4F2</v>
      </c>
      <c r="B1276" s="15">
        <v>1266</v>
      </c>
      <c r="C1276" s="42"/>
      <c r="F1276" s="22"/>
      <c r="G1276" s="22"/>
      <c r="J1276" s="24">
        <v>50000</v>
      </c>
      <c r="M1276" s="24">
        <v>50000</v>
      </c>
      <c r="O1276" s="48" t="s">
        <v>97</v>
      </c>
      <c r="P1276" s="48">
        <f>HEX2DEC(RIGHT(Table1323212714[[#This Row],[h1]],8))</f>
        <v>0</v>
      </c>
      <c r="Q1276" s="48" t="s">
        <v>97</v>
      </c>
      <c r="R1276" s="48">
        <f>HEX2DEC(RIGHT(Table1323212714[[#This Row],[h2]],8))</f>
        <v>0</v>
      </c>
    </row>
    <row r="1277" spans="1:18" x14ac:dyDescent="0.3">
      <c r="A1277" s="15" t="str">
        <f t="shared" si="24"/>
        <v>4F3</v>
      </c>
      <c r="B1277" s="15">
        <v>1267</v>
      </c>
      <c r="C1277" s="42"/>
      <c r="F1277" s="22"/>
      <c r="G1277" s="22"/>
      <c r="J1277" s="24">
        <v>50000</v>
      </c>
      <c r="M1277" s="24">
        <v>50000</v>
      </c>
      <c r="O1277" s="48" t="s">
        <v>97</v>
      </c>
      <c r="P1277" s="48">
        <f>HEX2DEC(RIGHT(Table1323212714[[#This Row],[h1]],8))</f>
        <v>0</v>
      </c>
      <c r="Q1277" s="48" t="s">
        <v>97</v>
      </c>
      <c r="R1277" s="48">
        <f>HEX2DEC(RIGHT(Table1323212714[[#This Row],[h2]],8))</f>
        <v>0</v>
      </c>
    </row>
    <row r="1278" spans="1:18" x14ac:dyDescent="0.3">
      <c r="A1278" s="15" t="str">
        <f t="shared" si="24"/>
        <v>4F4</v>
      </c>
      <c r="B1278" s="15">
        <v>1268</v>
      </c>
      <c r="C1278" s="42"/>
      <c r="F1278" s="22"/>
      <c r="G1278" s="22"/>
      <c r="J1278" s="24">
        <v>50000</v>
      </c>
      <c r="M1278" s="24">
        <v>50000</v>
      </c>
      <c r="O1278" s="48" t="s">
        <v>97</v>
      </c>
      <c r="P1278" s="48">
        <f>HEX2DEC(RIGHT(Table1323212714[[#This Row],[h1]],8))</f>
        <v>0</v>
      </c>
      <c r="Q1278" s="48" t="s">
        <v>97</v>
      </c>
      <c r="R1278" s="48">
        <f>HEX2DEC(RIGHT(Table1323212714[[#This Row],[h2]],8))</f>
        <v>0</v>
      </c>
    </row>
    <row r="1279" spans="1:18" x14ac:dyDescent="0.3">
      <c r="A1279" s="15" t="str">
        <f t="shared" si="24"/>
        <v>4F5</v>
      </c>
      <c r="B1279" s="15">
        <v>1269</v>
      </c>
      <c r="C1279" s="42"/>
      <c r="F1279" s="22"/>
      <c r="G1279" s="22"/>
      <c r="J1279" s="24">
        <v>50000</v>
      </c>
      <c r="M1279" s="24">
        <v>50000</v>
      </c>
      <c r="O1279" s="48" t="s">
        <v>97</v>
      </c>
      <c r="P1279" s="48">
        <f>HEX2DEC(RIGHT(Table1323212714[[#This Row],[h1]],8))</f>
        <v>0</v>
      </c>
      <c r="Q1279" s="48" t="s">
        <v>97</v>
      </c>
      <c r="R1279" s="48">
        <f>HEX2DEC(RIGHT(Table1323212714[[#This Row],[h2]],8))</f>
        <v>0</v>
      </c>
    </row>
    <row r="1280" spans="1:18" x14ac:dyDescent="0.3">
      <c r="A1280" s="15" t="str">
        <f t="shared" si="24"/>
        <v>4F6</v>
      </c>
      <c r="B1280" s="15">
        <v>1270</v>
      </c>
      <c r="C1280" s="42"/>
      <c r="F1280" s="22"/>
      <c r="G1280" s="22"/>
      <c r="J1280" s="24">
        <v>50000</v>
      </c>
      <c r="M1280" s="24">
        <v>50000</v>
      </c>
      <c r="O1280" s="48" t="s">
        <v>97</v>
      </c>
      <c r="P1280" s="48">
        <f>HEX2DEC(RIGHT(Table1323212714[[#This Row],[h1]],8))</f>
        <v>0</v>
      </c>
      <c r="Q1280" s="48" t="s">
        <v>97</v>
      </c>
      <c r="R1280" s="48">
        <f>HEX2DEC(RIGHT(Table1323212714[[#This Row],[h2]],8))</f>
        <v>0</v>
      </c>
    </row>
    <row r="1281" spans="1:18" x14ac:dyDescent="0.3">
      <c r="A1281" s="15" t="str">
        <f t="shared" si="24"/>
        <v>4F7</v>
      </c>
      <c r="B1281" s="15">
        <v>1271</v>
      </c>
      <c r="C1281" s="42"/>
      <c r="F1281" s="22"/>
      <c r="G1281" s="22"/>
      <c r="J1281" s="24">
        <v>50000</v>
      </c>
      <c r="M1281" s="24">
        <v>50000</v>
      </c>
      <c r="O1281" s="48" t="s">
        <v>97</v>
      </c>
      <c r="P1281" s="48">
        <f>HEX2DEC(RIGHT(Table1323212714[[#This Row],[h1]],8))</f>
        <v>0</v>
      </c>
      <c r="Q1281" s="48" t="s">
        <v>97</v>
      </c>
      <c r="R1281" s="48">
        <f>HEX2DEC(RIGHT(Table1323212714[[#This Row],[h2]],8))</f>
        <v>0</v>
      </c>
    </row>
    <row r="1282" spans="1:18" x14ac:dyDescent="0.3">
      <c r="A1282" s="15" t="str">
        <f t="shared" si="24"/>
        <v>4F8</v>
      </c>
      <c r="B1282" s="15">
        <v>1272</v>
      </c>
      <c r="C1282" s="42"/>
      <c r="F1282" s="22"/>
      <c r="G1282" s="22"/>
      <c r="J1282" s="24">
        <v>50000</v>
      </c>
      <c r="M1282" s="24">
        <v>50000</v>
      </c>
      <c r="O1282" s="48" t="s">
        <v>97</v>
      </c>
      <c r="P1282" s="48">
        <f>HEX2DEC(RIGHT(Table1323212714[[#This Row],[h1]],8))</f>
        <v>0</v>
      </c>
      <c r="Q1282" s="48" t="s">
        <v>97</v>
      </c>
      <c r="R1282" s="48">
        <f>HEX2DEC(RIGHT(Table1323212714[[#This Row],[h2]],8))</f>
        <v>0</v>
      </c>
    </row>
    <row r="1283" spans="1:18" x14ac:dyDescent="0.3">
      <c r="A1283" s="15" t="str">
        <f t="shared" si="24"/>
        <v>4F9</v>
      </c>
      <c r="B1283" s="15">
        <v>1273</v>
      </c>
      <c r="C1283" s="42"/>
      <c r="F1283" s="22"/>
      <c r="G1283" s="22"/>
      <c r="J1283" s="24">
        <v>50000</v>
      </c>
      <c r="M1283" s="24">
        <v>50000</v>
      </c>
      <c r="O1283" s="48" t="s">
        <v>97</v>
      </c>
      <c r="P1283" s="48">
        <f>HEX2DEC(RIGHT(Table1323212714[[#This Row],[h1]],8))</f>
        <v>0</v>
      </c>
      <c r="Q1283" s="48" t="s">
        <v>97</v>
      </c>
      <c r="R1283" s="48">
        <f>HEX2DEC(RIGHT(Table1323212714[[#This Row],[h2]],8))</f>
        <v>0</v>
      </c>
    </row>
    <row r="1284" spans="1:18" x14ac:dyDescent="0.3">
      <c r="A1284" s="15" t="str">
        <f t="shared" si="24"/>
        <v>4FA</v>
      </c>
      <c r="B1284" s="15">
        <v>1274</v>
      </c>
      <c r="C1284" s="42"/>
      <c r="F1284" s="22"/>
      <c r="G1284" s="22"/>
      <c r="J1284" s="24">
        <v>50000</v>
      </c>
      <c r="M1284" s="24">
        <v>50000</v>
      </c>
      <c r="O1284" s="48" t="s">
        <v>97</v>
      </c>
      <c r="P1284" s="48">
        <f>HEX2DEC(RIGHT(Table1323212714[[#This Row],[h1]],8))</f>
        <v>0</v>
      </c>
      <c r="Q1284" s="48" t="s">
        <v>97</v>
      </c>
      <c r="R1284" s="48">
        <f>HEX2DEC(RIGHT(Table1323212714[[#This Row],[h2]],8))</f>
        <v>0</v>
      </c>
    </row>
    <row r="1285" spans="1:18" x14ac:dyDescent="0.3">
      <c r="A1285" s="15" t="str">
        <f t="shared" si="24"/>
        <v>4FB</v>
      </c>
      <c r="B1285" s="15">
        <v>1275</v>
      </c>
      <c r="C1285" s="42"/>
      <c r="F1285" s="22"/>
      <c r="G1285" s="22"/>
      <c r="J1285" s="24">
        <v>50000</v>
      </c>
      <c r="M1285" s="24">
        <v>50000</v>
      </c>
      <c r="O1285" s="48" t="s">
        <v>97</v>
      </c>
      <c r="P1285" s="48">
        <f>HEX2DEC(RIGHT(Table1323212714[[#This Row],[h1]],8))</f>
        <v>0</v>
      </c>
      <c r="Q1285" s="48" t="s">
        <v>97</v>
      </c>
      <c r="R1285" s="48">
        <f>HEX2DEC(RIGHT(Table1323212714[[#This Row],[h2]],8))</f>
        <v>0</v>
      </c>
    </row>
    <row r="1286" spans="1:18" x14ac:dyDescent="0.3">
      <c r="A1286" s="15" t="str">
        <f t="shared" si="24"/>
        <v>4FC</v>
      </c>
      <c r="B1286" s="15">
        <v>1276</v>
      </c>
      <c r="C1286" s="42"/>
      <c r="F1286" s="22"/>
      <c r="G1286" s="22"/>
      <c r="J1286" s="24">
        <v>50000</v>
      </c>
      <c r="M1286" s="24">
        <v>50000</v>
      </c>
      <c r="O1286" s="48" t="s">
        <v>97</v>
      </c>
      <c r="P1286" s="48">
        <f>HEX2DEC(RIGHT(Table1323212714[[#This Row],[h1]],8))</f>
        <v>0</v>
      </c>
      <c r="Q1286" s="48" t="s">
        <v>97</v>
      </c>
      <c r="R1286" s="48">
        <f>HEX2DEC(RIGHT(Table1323212714[[#This Row],[h2]],8))</f>
        <v>0</v>
      </c>
    </row>
    <row r="1287" spans="1:18" x14ac:dyDescent="0.3">
      <c r="A1287" s="15" t="str">
        <f t="shared" si="24"/>
        <v>4FD</v>
      </c>
      <c r="B1287" s="15">
        <v>1277</v>
      </c>
      <c r="C1287" s="42"/>
      <c r="F1287" s="22"/>
      <c r="G1287" s="22"/>
      <c r="J1287" s="24">
        <v>50000</v>
      </c>
      <c r="M1287" s="24">
        <v>50000</v>
      </c>
      <c r="O1287" s="48" t="s">
        <v>97</v>
      </c>
      <c r="P1287" s="48">
        <f>HEX2DEC(RIGHT(Table1323212714[[#This Row],[h1]],8))</f>
        <v>0</v>
      </c>
      <c r="Q1287" s="48" t="s">
        <v>97</v>
      </c>
      <c r="R1287" s="48">
        <f>HEX2DEC(RIGHT(Table1323212714[[#This Row],[h2]],8))</f>
        <v>0</v>
      </c>
    </row>
    <row r="1288" spans="1:18" x14ac:dyDescent="0.3">
      <c r="A1288" s="15" t="str">
        <f t="shared" si="24"/>
        <v>4FE</v>
      </c>
      <c r="B1288" s="15">
        <v>1278</v>
      </c>
      <c r="C1288" s="42"/>
      <c r="F1288" s="22"/>
      <c r="G1288" s="22"/>
      <c r="J1288" s="24">
        <v>50000</v>
      </c>
      <c r="M1288" s="24">
        <v>50000</v>
      </c>
      <c r="O1288" s="48" t="s">
        <v>97</v>
      </c>
      <c r="P1288" s="48">
        <f>HEX2DEC(RIGHT(Table1323212714[[#This Row],[h1]],8))</f>
        <v>0</v>
      </c>
      <c r="Q1288" s="48" t="s">
        <v>97</v>
      </c>
      <c r="R1288" s="48">
        <f>HEX2DEC(RIGHT(Table1323212714[[#This Row],[h2]],8))</f>
        <v>0</v>
      </c>
    </row>
    <row r="1289" spans="1:18" x14ac:dyDescent="0.3">
      <c r="A1289" s="15" t="str">
        <f t="shared" si="24"/>
        <v>4FF</v>
      </c>
      <c r="B1289" s="15">
        <v>1279</v>
      </c>
      <c r="C1289" s="42"/>
      <c r="F1289" s="22"/>
      <c r="G1289" s="22"/>
      <c r="J1289" s="24">
        <v>50000</v>
      </c>
      <c r="M1289" s="24">
        <v>50000</v>
      </c>
      <c r="O1289" s="48" t="s">
        <v>97</v>
      </c>
      <c r="P1289" s="48">
        <f>HEX2DEC(RIGHT(Table1323212714[[#This Row],[h1]],8))</f>
        <v>0</v>
      </c>
      <c r="Q1289" s="48" t="s">
        <v>97</v>
      </c>
      <c r="R1289" s="48">
        <f>HEX2DEC(RIGHT(Table1323212714[[#This Row],[h2]],8))</f>
        <v>0</v>
      </c>
    </row>
    <row r="1290" spans="1:18" x14ac:dyDescent="0.3">
      <c r="A1290" s="15" t="str">
        <f t="shared" si="24"/>
        <v>500</v>
      </c>
      <c r="B1290" s="15">
        <v>1280</v>
      </c>
      <c r="C1290" s="42"/>
      <c r="F1290" s="22"/>
      <c r="G1290" s="22"/>
      <c r="J1290" s="24">
        <v>50000</v>
      </c>
      <c r="M1290" s="24">
        <v>50000</v>
      </c>
      <c r="O1290" s="48" t="s">
        <v>97</v>
      </c>
      <c r="P1290" s="48">
        <f>HEX2DEC(RIGHT(Table1323212714[[#This Row],[h1]],8))</f>
        <v>0</v>
      </c>
      <c r="Q1290" s="48" t="s">
        <v>97</v>
      </c>
      <c r="R1290" s="48">
        <f>HEX2DEC(RIGHT(Table1323212714[[#This Row],[h2]],8))</f>
        <v>0</v>
      </c>
    </row>
    <row r="1291" spans="1:18" x14ac:dyDescent="0.3">
      <c r="A1291" s="15" t="str">
        <f t="shared" ref="A1291:A1354" si="25">DEC2HEX(B1291,3)</f>
        <v>501</v>
      </c>
      <c r="B1291" s="15">
        <v>1281</v>
      </c>
      <c r="C1291" s="42"/>
      <c r="F1291" s="22"/>
      <c r="G1291" s="22"/>
      <c r="J1291" s="24">
        <v>50000</v>
      </c>
      <c r="M1291" s="24">
        <v>50000</v>
      </c>
      <c r="O1291" s="48" t="s">
        <v>97</v>
      </c>
      <c r="P1291" s="48">
        <f>HEX2DEC(RIGHT(Table1323212714[[#This Row],[h1]],8))</f>
        <v>0</v>
      </c>
      <c r="Q1291" s="48" t="s">
        <v>97</v>
      </c>
      <c r="R1291" s="48">
        <f>HEX2DEC(RIGHT(Table1323212714[[#This Row],[h2]],8))</f>
        <v>0</v>
      </c>
    </row>
    <row r="1292" spans="1:18" x14ac:dyDescent="0.3">
      <c r="A1292" s="15" t="str">
        <f t="shared" si="25"/>
        <v>502</v>
      </c>
      <c r="B1292" s="15">
        <v>1282</v>
      </c>
      <c r="C1292" s="42"/>
      <c r="F1292" s="22"/>
      <c r="G1292" s="22"/>
      <c r="J1292" s="24">
        <v>50000</v>
      </c>
      <c r="M1292" s="24">
        <v>50000</v>
      </c>
      <c r="O1292" s="48" t="s">
        <v>97</v>
      </c>
      <c r="P1292" s="48">
        <f>HEX2DEC(RIGHT(Table1323212714[[#This Row],[h1]],8))</f>
        <v>0</v>
      </c>
      <c r="Q1292" s="48" t="s">
        <v>97</v>
      </c>
      <c r="R1292" s="48">
        <f>HEX2DEC(RIGHT(Table1323212714[[#This Row],[h2]],8))</f>
        <v>0</v>
      </c>
    </row>
    <row r="1293" spans="1:18" x14ac:dyDescent="0.3">
      <c r="A1293" s="15" t="str">
        <f t="shared" si="25"/>
        <v>503</v>
      </c>
      <c r="B1293" s="15">
        <v>1283</v>
      </c>
      <c r="C1293" s="42"/>
      <c r="F1293" s="22"/>
      <c r="G1293" s="22"/>
      <c r="J1293" s="24">
        <v>50000</v>
      </c>
      <c r="M1293" s="24">
        <v>50000</v>
      </c>
      <c r="O1293" s="48" t="s">
        <v>97</v>
      </c>
      <c r="P1293" s="48">
        <f>HEX2DEC(RIGHT(Table1323212714[[#This Row],[h1]],8))</f>
        <v>0</v>
      </c>
      <c r="Q1293" s="48" t="s">
        <v>97</v>
      </c>
      <c r="R1293" s="48">
        <f>HEX2DEC(RIGHT(Table1323212714[[#This Row],[h2]],8))</f>
        <v>0</v>
      </c>
    </row>
    <row r="1294" spans="1:18" x14ac:dyDescent="0.3">
      <c r="A1294" s="15" t="str">
        <f t="shared" si="25"/>
        <v>504</v>
      </c>
      <c r="B1294" s="15">
        <v>1284</v>
      </c>
      <c r="C1294" s="42"/>
      <c r="F1294" s="22"/>
      <c r="G1294" s="22"/>
      <c r="J1294" s="24">
        <v>50000</v>
      </c>
      <c r="M1294" s="24">
        <v>50000</v>
      </c>
      <c r="O1294" s="48" t="s">
        <v>97</v>
      </c>
      <c r="P1294" s="48">
        <f>HEX2DEC(RIGHT(Table1323212714[[#This Row],[h1]],8))</f>
        <v>0</v>
      </c>
      <c r="Q1294" s="48" t="s">
        <v>97</v>
      </c>
      <c r="R1294" s="48">
        <f>HEX2DEC(RIGHT(Table1323212714[[#This Row],[h2]],8))</f>
        <v>0</v>
      </c>
    </row>
    <row r="1295" spans="1:18" x14ac:dyDescent="0.3">
      <c r="A1295" s="15" t="str">
        <f t="shared" si="25"/>
        <v>505</v>
      </c>
      <c r="B1295" s="15">
        <v>1285</v>
      </c>
      <c r="C1295" s="42"/>
      <c r="F1295" s="22"/>
      <c r="G1295" s="22"/>
      <c r="J1295" s="24">
        <v>50000</v>
      </c>
      <c r="M1295" s="24">
        <v>50000</v>
      </c>
      <c r="O1295" s="48" t="s">
        <v>97</v>
      </c>
      <c r="P1295" s="48">
        <f>HEX2DEC(RIGHT(Table1323212714[[#This Row],[h1]],8))</f>
        <v>0</v>
      </c>
      <c r="Q1295" s="48" t="s">
        <v>97</v>
      </c>
      <c r="R1295" s="48">
        <f>HEX2DEC(RIGHT(Table1323212714[[#This Row],[h2]],8))</f>
        <v>0</v>
      </c>
    </row>
    <row r="1296" spans="1:18" x14ac:dyDescent="0.3">
      <c r="A1296" s="15" t="str">
        <f t="shared" si="25"/>
        <v>506</v>
      </c>
      <c r="B1296" s="15">
        <v>1286</v>
      </c>
      <c r="C1296" s="42"/>
      <c r="F1296" s="22"/>
      <c r="G1296" s="22"/>
      <c r="J1296" s="24">
        <v>50000</v>
      </c>
      <c r="M1296" s="24">
        <v>50000</v>
      </c>
      <c r="O1296" s="48" t="s">
        <v>97</v>
      </c>
      <c r="P1296" s="48">
        <f>HEX2DEC(RIGHT(Table1323212714[[#This Row],[h1]],8))</f>
        <v>0</v>
      </c>
      <c r="Q1296" s="48" t="s">
        <v>97</v>
      </c>
      <c r="R1296" s="48">
        <f>HEX2DEC(RIGHT(Table1323212714[[#This Row],[h2]],8))</f>
        <v>0</v>
      </c>
    </row>
    <row r="1297" spans="1:18" x14ac:dyDescent="0.3">
      <c r="A1297" s="15" t="str">
        <f t="shared" si="25"/>
        <v>507</v>
      </c>
      <c r="B1297" s="15">
        <v>1287</v>
      </c>
      <c r="C1297" s="42"/>
      <c r="F1297" s="22"/>
      <c r="G1297" s="22"/>
      <c r="J1297" s="24">
        <v>50000</v>
      </c>
      <c r="M1297" s="24">
        <v>50000</v>
      </c>
      <c r="O1297" s="48" t="s">
        <v>97</v>
      </c>
      <c r="P1297" s="48">
        <f>HEX2DEC(RIGHT(Table1323212714[[#This Row],[h1]],8))</f>
        <v>0</v>
      </c>
      <c r="Q1297" s="48" t="s">
        <v>97</v>
      </c>
      <c r="R1297" s="48">
        <f>HEX2DEC(RIGHT(Table1323212714[[#This Row],[h2]],8))</f>
        <v>0</v>
      </c>
    </row>
    <row r="1298" spans="1:18" x14ac:dyDescent="0.3">
      <c r="A1298" s="15" t="str">
        <f t="shared" si="25"/>
        <v>508</v>
      </c>
      <c r="B1298" s="15">
        <v>1288</v>
      </c>
      <c r="C1298" s="42"/>
      <c r="F1298" s="22"/>
      <c r="G1298" s="22"/>
      <c r="J1298" s="24">
        <v>50000</v>
      </c>
      <c r="M1298" s="24">
        <v>50000</v>
      </c>
      <c r="O1298" s="48" t="s">
        <v>97</v>
      </c>
      <c r="P1298" s="48">
        <f>HEX2DEC(RIGHT(Table1323212714[[#This Row],[h1]],8))</f>
        <v>0</v>
      </c>
      <c r="Q1298" s="48" t="s">
        <v>97</v>
      </c>
      <c r="R1298" s="48">
        <f>HEX2DEC(RIGHT(Table1323212714[[#This Row],[h2]],8))</f>
        <v>0</v>
      </c>
    </row>
    <row r="1299" spans="1:18" x14ac:dyDescent="0.3">
      <c r="A1299" s="15" t="str">
        <f t="shared" si="25"/>
        <v>509</v>
      </c>
      <c r="B1299" s="15">
        <v>1289</v>
      </c>
      <c r="C1299" s="42"/>
      <c r="F1299" s="22"/>
      <c r="G1299" s="22"/>
      <c r="J1299" s="24">
        <v>50000</v>
      </c>
      <c r="M1299" s="24">
        <v>50000</v>
      </c>
      <c r="O1299" s="48" t="s">
        <v>97</v>
      </c>
      <c r="P1299" s="48">
        <f>HEX2DEC(RIGHT(Table1323212714[[#This Row],[h1]],8))</f>
        <v>0</v>
      </c>
      <c r="Q1299" s="48" t="s">
        <v>97</v>
      </c>
      <c r="R1299" s="48">
        <f>HEX2DEC(RIGHT(Table1323212714[[#This Row],[h2]],8))</f>
        <v>0</v>
      </c>
    </row>
    <row r="1300" spans="1:18" x14ac:dyDescent="0.3">
      <c r="A1300" s="15" t="str">
        <f t="shared" si="25"/>
        <v>50A</v>
      </c>
      <c r="B1300" s="15">
        <v>1290</v>
      </c>
      <c r="C1300" s="42"/>
      <c r="F1300" s="22"/>
      <c r="G1300" s="22"/>
      <c r="J1300" s="24">
        <v>50000</v>
      </c>
      <c r="M1300" s="24">
        <v>50000</v>
      </c>
      <c r="O1300" s="48" t="s">
        <v>97</v>
      </c>
      <c r="P1300" s="48">
        <f>HEX2DEC(RIGHT(Table1323212714[[#This Row],[h1]],8))</f>
        <v>0</v>
      </c>
      <c r="Q1300" s="48" t="s">
        <v>97</v>
      </c>
      <c r="R1300" s="48">
        <f>HEX2DEC(RIGHT(Table1323212714[[#This Row],[h2]],8))</f>
        <v>0</v>
      </c>
    </row>
    <row r="1301" spans="1:18" x14ac:dyDescent="0.3">
      <c r="A1301" s="15" t="str">
        <f t="shared" si="25"/>
        <v>50B</v>
      </c>
      <c r="B1301" s="15">
        <v>1291</v>
      </c>
      <c r="C1301" s="42"/>
      <c r="F1301" s="22"/>
      <c r="G1301" s="22"/>
      <c r="J1301" s="24">
        <v>50000</v>
      </c>
      <c r="M1301" s="24">
        <v>50000</v>
      </c>
      <c r="O1301" s="48" t="s">
        <v>97</v>
      </c>
      <c r="P1301" s="48">
        <f>HEX2DEC(RIGHT(Table1323212714[[#This Row],[h1]],8))</f>
        <v>0</v>
      </c>
      <c r="Q1301" s="48" t="s">
        <v>97</v>
      </c>
      <c r="R1301" s="48">
        <f>HEX2DEC(RIGHT(Table1323212714[[#This Row],[h2]],8))</f>
        <v>0</v>
      </c>
    </row>
    <row r="1302" spans="1:18" x14ac:dyDescent="0.3">
      <c r="A1302" s="15" t="str">
        <f t="shared" si="25"/>
        <v>50C</v>
      </c>
      <c r="B1302" s="15">
        <v>1292</v>
      </c>
      <c r="C1302" s="42"/>
      <c r="F1302" s="22"/>
      <c r="G1302" s="22"/>
      <c r="J1302" s="24">
        <v>50000</v>
      </c>
      <c r="M1302" s="24">
        <v>50000</v>
      </c>
      <c r="O1302" s="48" t="s">
        <v>97</v>
      </c>
      <c r="P1302" s="48">
        <f>HEX2DEC(RIGHT(Table1323212714[[#This Row],[h1]],8))</f>
        <v>0</v>
      </c>
      <c r="Q1302" s="48" t="s">
        <v>97</v>
      </c>
      <c r="R1302" s="48">
        <f>HEX2DEC(RIGHT(Table1323212714[[#This Row],[h2]],8))</f>
        <v>0</v>
      </c>
    </row>
    <row r="1303" spans="1:18" x14ac:dyDescent="0.3">
      <c r="A1303" s="15" t="str">
        <f t="shared" si="25"/>
        <v>50D</v>
      </c>
      <c r="B1303" s="15">
        <v>1293</v>
      </c>
      <c r="C1303" s="42"/>
      <c r="F1303" s="22"/>
      <c r="G1303" s="22"/>
      <c r="J1303" s="24">
        <v>50000</v>
      </c>
      <c r="M1303" s="24">
        <v>50000</v>
      </c>
      <c r="O1303" s="48" t="s">
        <v>97</v>
      </c>
      <c r="P1303" s="48">
        <f>HEX2DEC(RIGHT(Table1323212714[[#This Row],[h1]],8))</f>
        <v>0</v>
      </c>
      <c r="Q1303" s="48" t="s">
        <v>97</v>
      </c>
      <c r="R1303" s="48">
        <f>HEX2DEC(RIGHT(Table1323212714[[#This Row],[h2]],8))</f>
        <v>0</v>
      </c>
    </row>
    <row r="1304" spans="1:18" x14ac:dyDescent="0.3">
      <c r="A1304" s="15" t="str">
        <f t="shared" si="25"/>
        <v>50E</v>
      </c>
      <c r="B1304" s="15">
        <v>1294</v>
      </c>
      <c r="C1304" s="42"/>
      <c r="F1304" s="22"/>
      <c r="G1304" s="22"/>
      <c r="J1304" s="24">
        <v>50000</v>
      </c>
      <c r="M1304" s="24">
        <v>50000</v>
      </c>
      <c r="O1304" s="48" t="s">
        <v>97</v>
      </c>
      <c r="P1304" s="48">
        <f>HEX2DEC(RIGHT(Table1323212714[[#This Row],[h1]],8))</f>
        <v>0</v>
      </c>
      <c r="Q1304" s="48" t="s">
        <v>97</v>
      </c>
      <c r="R1304" s="48">
        <f>HEX2DEC(RIGHT(Table1323212714[[#This Row],[h2]],8))</f>
        <v>0</v>
      </c>
    </row>
    <row r="1305" spans="1:18" x14ac:dyDescent="0.3">
      <c r="A1305" s="15" t="str">
        <f t="shared" si="25"/>
        <v>50F</v>
      </c>
      <c r="B1305" s="15">
        <v>1295</v>
      </c>
      <c r="C1305" s="42"/>
      <c r="F1305" s="22"/>
      <c r="G1305" s="22"/>
      <c r="J1305" s="24">
        <v>50000</v>
      </c>
      <c r="M1305" s="24">
        <v>50000</v>
      </c>
      <c r="O1305" s="48" t="s">
        <v>97</v>
      </c>
      <c r="P1305" s="48">
        <f>HEX2DEC(RIGHT(Table1323212714[[#This Row],[h1]],8))</f>
        <v>0</v>
      </c>
      <c r="Q1305" s="48" t="s">
        <v>97</v>
      </c>
      <c r="R1305" s="48">
        <f>HEX2DEC(RIGHT(Table1323212714[[#This Row],[h2]],8))</f>
        <v>0</v>
      </c>
    </row>
    <row r="1306" spans="1:18" x14ac:dyDescent="0.3">
      <c r="A1306" s="15" t="str">
        <f t="shared" si="25"/>
        <v>510</v>
      </c>
      <c r="B1306" s="15">
        <v>1296</v>
      </c>
      <c r="C1306" s="42"/>
      <c r="F1306" s="22"/>
      <c r="G1306" s="22"/>
      <c r="J1306" s="24">
        <v>50000</v>
      </c>
      <c r="M1306" s="24">
        <v>50000</v>
      </c>
      <c r="O1306" s="48" t="s">
        <v>97</v>
      </c>
      <c r="P1306" s="48">
        <f>HEX2DEC(RIGHT(Table1323212714[[#This Row],[h1]],8))</f>
        <v>0</v>
      </c>
      <c r="Q1306" s="48" t="s">
        <v>97</v>
      </c>
      <c r="R1306" s="48">
        <f>HEX2DEC(RIGHT(Table1323212714[[#This Row],[h2]],8))</f>
        <v>0</v>
      </c>
    </row>
    <row r="1307" spans="1:18" x14ac:dyDescent="0.3">
      <c r="A1307" s="15" t="str">
        <f t="shared" si="25"/>
        <v>511</v>
      </c>
      <c r="B1307" s="15">
        <v>1297</v>
      </c>
      <c r="C1307" s="42"/>
      <c r="F1307" s="22"/>
      <c r="G1307" s="22"/>
      <c r="J1307" s="24">
        <v>50000</v>
      </c>
      <c r="M1307" s="24">
        <v>50000</v>
      </c>
      <c r="O1307" s="48" t="s">
        <v>97</v>
      </c>
      <c r="P1307" s="48">
        <f>HEX2DEC(RIGHT(Table1323212714[[#This Row],[h1]],8))</f>
        <v>0</v>
      </c>
      <c r="Q1307" s="48" t="s">
        <v>97</v>
      </c>
      <c r="R1307" s="48">
        <f>HEX2DEC(RIGHT(Table1323212714[[#This Row],[h2]],8))</f>
        <v>0</v>
      </c>
    </row>
    <row r="1308" spans="1:18" x14ac:dyDescent="0.3">
      <c r="A1308" s="15" t="str">
        <f t="shared" si="25"/>
        <v>512</v>
      </c>
      <c r="B1308" s="15">
        <v>1298</v>
      </c>
      <c r="C1308" s="42"/>
      <c r="F1308" s="22"/>
      <c r="G1308" s="22"/>
      <c r="J1308" s="24">
        <v>50000</v>
      </c>
      <c r="M1308" s="24">
        <v>50000</v>
      </c>
      <c r="O1308" s="48" t="s">
        <v>97</v>
      </c>
      <c r="P1308" s="48">
        <f>HEX2DEC(RIGHT(Table1323212714[[#This Row],[h1]],8))</f>
        <v>0</v>
      </c>
      <c r="Q1308" s="48" t="s">
        <v>97</v>
      </c>
      <c r="R1308" s="48">
        <f>HEX2DEC(RIGHT(Table1323212714[[#This Row],[h2]],8))</f>
        <v>0</v>
      </c>
    </row>
    <row r="1309" spans="1:18" x14ac:dyDescent="0.3">
      <c r="A1309" s="15" t="str">
        <f t="shared" si="25"/>
        <v>513</v>
      </c>
      <c r="B1309" s="15">
        <v>1299</v>
      </c>
      <c r="C1309" s="42"/>
      <c r="F1309" s="22"/>
      <c r="G1309" s="22"/>
      <c r="J1309" s="24">
        <v>50000</v>
      </c>
      <c r="M1309" s="24">
        <v>50000</v>
      </c>
      <c r="O1309" s="48" t="s">
        <v>97</v>
      </c>
      <c r="P1309" s="48">
        <f>HEX2DEC(RIGHT(Table1323212714[[#This Row],[h1]],8))</f>
        <v>0</v>
      </c>
      <c r="Q1309" s="48" t="s">
        <v>97</v>
      </c>
      <c r="R1309" s="48">
        <f>HEX2DEC(RIGHT(Table1323212714[[#This Row],[h2]],8))</f>
        <v>0</v>
      </c>
    </row>
    <row r="1310" spans="1:18" x14ac:dyDescent="0.3">
      <c r="A1310" s="15" t="str">
        <f t="shared" si="25"/>
        <v>514</v>
      </c>
      <c r="B1310" s="15">
        <v>1300</v>
      </c>
      <c r="C1310" s="42"/>
      <c r="F1310" s="22"/>
      <c r="G1310" s="22"/>
      <c r="J1310" s="24">
        <v>50000</v>
      </c>
      <c r="M1310" s="24">
        <v>50000</v>
      </c>
      <c r="O1310" s="48" t="s">
        <v>97</v>
      </c>
      <c r="P1310" s="48">
        <f>HEX2DEC(RIGHT(Table1323212714[[#This Row],[h1]],8))</f>
        <v>0</v>
      </c>
      <c r="Q1310" s="48" t="s">
        <v>97</v>
      </c>
      <c r="R1310" s="48">
        <f>HEX2DEC(RIGHT(Table1323212714[[#This Row],[h2]],8))</f>
        <v>0</v>
      </c>
    </row>
    <row r="1311" spans="1:18" x14ac:dyDescent="0.3">
      <c r="A1311" s="15" t="str">
        <f t="shared" si="25"/>
        <v>515</v>
      </c>
      <c r="B1311" s="15">
        <v>1301</v>
      </c>
      <c r="C1311" s="42"/>
      <c r="F1311" s="22"/>
      <c r="G1311" s="22"/>
      <c r="J1311" s="24">
        <v>50000</v>
      </c>
      <c r="M1311" s="24">
        <v>50000</v>
      </c>
      <c r="O1311" s="48" t="s">
        <v>97</v>
      </c>
      <c r="P1311" s="48">
        <f>HEX2DEC(RIGHT(Table1323212714[[#This Row],[h1]],8))</f>
        <v>0</v>
      </c>
      <c r="Q1311" s="48" t="s">
        <v>97</v>
      </c>
      <c r="R1311" s="48">
        <f>HEX2DEC(RIGHT(Table1323212714[[#This Row],[h2]],8))</f>
        <v>0</v>
      </c>
    </row>
    <row r="1312" spans="1:18" x14ac:dyDescent="0.3">
      <c r="A1312" s="15" t="str">
        <f t="shared" si="25"/>
        <v>516</v>
      </c>
      <c r="B1312" s="15">
        <v>1302</v>
      </c>
      <c r="C1312" s="42"/>
      <c r="F1312" s="22"/>
      <c r="G1312" s="22"/>
      <c r="J1312" s="24">
        <v>50000</v>
      </c>
      <c r="M1312" s="24">
        <v>50000</v>
      </c>
      <c r="O1312" s="48" t="s">
        <v>97</v>
      </c>
      <c r="P1312" s="48">
        <f>HEX2DEC(RIGHT(Table1323212714[[#This Row],[h1]],8))</f>
        <v>0</v>
      </c>
      <c r="Q1312" s="48" t="s">
        <v>97</v>
      </c>
      <c r="R1312" s="48">
        <f>HEX2DEC(RIGHT(Table1323212714[[#This Row],[h2]],8))</f>
        <v>0</v>
      </c>
    </row>
    <row r="1313" spans="1:18" x14ac:dyDescent="0.3">
      <c r="A1313" s="15" t="str">
        <f t="shared" si="25"/>
        <v>517</v>
      </c>
      <c r="B1313" s="15">
        <v>1303</v>
      </c>
      <c r="C1313" s="42"/>
      <c r="F1313" s="22"/>
      <c r="G1313" s="22"/>
      <c r="J1313" s="24">
        <v>50000</v>
      </c>
      <c r="M1313" s="24">
        <v>50000</v>
      </c>
      <c r="O1313" s="48" t="s">
        <v>97</v>
      </c>
      <c r="P1313" s="48">
        <f>HEX2DEC(RIGHT(Table1323212714[[#This Row],[h1]],8))</f>
        <v>0</v>
      </c>
      <c r="Q1313" s="48" t="s">
        <v>97</v>
      </c>
      <c r="R1313" s="48">
        <f>HEX2DEC(RIGHT(Table1323212714[[#This Row],[h2]],8))</f>
        <v>0</v>
      </c>
    </row>
    <row r="1314" spans="1:18" x14ac:dyDescent="0.3">
      <c r="A1314" s="15" t="str">
        <f t="shared" si="25"/>
        <v>518</v>
      </c>
      <c r="B1314" s="15">
        <v>1304</v>
      </c>
      <c r="C1314" s="42"/>
      <c r="F1314" s="22"/>
      <c r="G1314" s="22"/>
      <c r="J1314" s="24">
        <v>50000</v>
      </c>
      <c r="M1314" s="24">
        <v>50000</v>
      </c>
      <c r="O1314" s="48" t="s">
        <v>97</v>
      </c>
      <c r="P1314" s="48">
        <f>HEX2DEC(RIGHT(Table1323212714[[#This Row],[h1]],8))</f>
        <v>0</v>
      </c>
      <c r="Q1314" s="48" t="s">
        <v>97</v>
      </c>
      <c r="R1314" s="48">
        <f>HEX2DEC(RIGHT(Table1323212714[[#This Row],[h2]],8))</f>
        <v>0</v>
      </c>
    </row>
    <row r="1315" spans="1:18" x14ac:dyDescent="0.3">
      <c r="A1315" s="15" t="str">
        <f t="shared" si="25"/>
        <v>519</v>
      </c>
      <c r="B1315" s="15">
        <v>1305</v>
      </c>
      <c r="C1315" s="42"/>
      <c r="F1315" s="22"/>
      <c r="G1315" s="22"/>
      <c r="J1315" s="24">
        <v>50000</v>
      </c>
      <c r="M1315" s="24">
        <v>50000</v>
      </c>
      <c r="O1315" s="48" t="s">
        <v>97</v>
      </c>
      <c r="P1315" s="48">
        <f>HEX2DEC(RIGHT(Table1323212714[[#This Row],[h1]],8))</f>
        <v>0</v>
      </c>
      <c r="Q1315" s="48" t="s">
        <v>97</v>
      </c>
      <c r="R1315" s="48">
        <f>HEX2DEC(RIGHT(Table1323212714[[#This Row],[h2]],8))</f>
        <v>0</v>
      </c>
    </row>
    <row r="1316" spans="1:18" x14ac:dyDescent="0.3">
      <c r="A1316" s="15" t="str">
        <f t="shared" si="25"/>
        <v>51A</v>
      </c>
      <c r="B1316" s="15">
        <v>1306</v>
      </c>
      <c r="C1316" s="42"/>
      <c r="F1316" s="22"/>
      <c r="G1316" s="22"/>
      <c r="J1316" s="24">
        <v>50000</v>
      </c>
      <c r="M1316" s="24">
        <v>50000</v>
      </c>
      <c r="O1316" s="48" t="s">
        <v>97</v>
      </c>
      <c r="P1316" s="48">
        <f>HEX2DEC(RIGHT(Table1323212714[[#This Row],[h1]],8))</f>
        <v>0</v>
      </c>
      <c r="Q1316" s="48" t="s">
        <v>97</v>
      </c>
      <c r="R1316" s="48">
        <f>HEX2DEC(RIGHT(Table1323212714[[#This Row],[h2]],8))</f>
        <v>0</v>
      </c>
    </row>
    <row r="1317" spans="1:18" x14ac:dyDescent="0.3">
      <c r="A1317" s="15" t="str">
        <f t="shared" si="25"/>
        <v>51B</v>
      </c>
      <c r="B1317" s="15">
        <v>1307</v>
      </c>
      <c r="C1317" s="42"/>
      <c r="F1317" s="22"/>
      <c r="G1317" s="22"/>
      <c r="J1317" s="24">
        <v>50000</v>
      </c>
      <c r="M1317" s="24">
        <v>50000</v>
      </c>
      <c r="O1317" s="48" t="s">
        <v>97</v>
      </c>
      <c r="P1317" s="48">
        <f>HEX2DEC(RIGHT(Table1323212714[[#This Row],[h1]],8))</f>
        <v>0</v>
      </c>
      <c r="Q1317" s="48" t="s">
        <v>97</v>
      </c>
      <c r="R1317" s="48">
        <f>HEX2DEC(RIGHT(Table1323212714[[#This Row],[h2]],8))</f>
        <v>0</v>
      </c>
    </row>
    <row r="1318" spans="1:18" x14ac:dyDescent="0.3">
      <c r="A1318" s="15" t="str">
        <f t="shared" si="25"/>
        <v>51C</v>
      </c>
      <c r="B1318" s="15">
        <v>1308</v>
      </c>
      <c r="C1318" s="42"/>
      <c r="F1318" s="22"/>
      <c r="G1318" s="22"/>
      <c r="J1318" s="24">
        <v>50000</v>
      </c>
      <c r="M1318" s="24">
        <v>50000</v>
      </c>
      <c r="O1318" s="48" t="s">
        <v>97</v>
      </c>
      <c r="P1318" s="48">
        <f>HEX2DEC(RIGHT(Table1323212714[[#This Row],[h1]],8))</f>
        <v>0</v>
      </c>
      <c r="Q1318" s="48" t="s">
        <v>97</v>
      </c>
      <c r="R1318" s="48">
        <f>HEX2DEC(RIGHT(Table1323212714[[#This Row],[h2]],8))</f>
        <v>0</v>
      </c>
    </row>
    <row r="1319" spans="1:18" x14ac:dyDescent="0.3">
      <c r="A1319" s="15" t="str">
        <f t="shared" si="25"/>
        <v>51D</v>
      </c>
      <c r="B1319" s="15">
        <v>1309</v>
      </c>
      <c r="C1319" s="42"/>
      <c r="F1319" s="22"/>
      <c r="G1319" s="22"/>
      <c r="J1319" s="24">
        <v>50000</v>
      </c>
      <c r="M1319" s="24">
        <v>50000</v>
      </c>
      <c r="O1319" s="48" t="s">
        <v>97</v>
      </c>
      <c r="P1319" s="48">
        <f>HEX2DEC(RIGHT(Table1323212714[[#This Row],[h1]],8))</f>
        <v>0</v>
      </c>
      <c r="Q1319" s="48" t="s">
        <v>97</v>
      </c>
      <c r="R1319" s="48">
        <f>HEX2DEC(RIGHT(Table1323212714[[#This Row],[h2]],8))</f>
        <v>0</v>
      </c>
    </row>
    <row r="1320" spans="1:18" x14ac:dyDescent="0.3">
      <c r="A1320" s="15" t="str">
        <f t="shared" si="25"/>
        <v>51E</v>
      </c>
      <c r="B1320" s="15">
        <v>1310</v>
      </c>
      <c r="C1320" s="42"/>
      <c r="F1320" s="22"/>
      <c r="G1320" s="22"/>
      <c r="J1320" s="24">
        <v>50000</v>
      </c>
      <c r="M1320" s="24">
        <v>50000</v>
      </c>
      <c r="O1320" s="48" t="s">
        <v>97</v>
      </c>
      <c r="P1320" s="48">
        <f>HEX2DEC(RIGHT(Table1323212714[[#This Row],[h1]],8))</f>
        <v>0</v>
      </c>
      <c r="Q1320" s="48" t="s">
        <v>97</v>
      </c>
      <c r="R1320" s="48">
        <f>HEX2DEC(RIGHT(Table1323212714[[#This Row],[h2]],8))</f>
        <v>0</v>
      </c>
    </row>
    <row r="1321" spans="1:18" x14ac:dyDescent="0.3">
      <c r="A1321" s="15" t="str">
        <f t="shared" si="25"/>
        <v>51F</v>
      </c>
      <c r="B1321" s="15">
        <v>1311</v>
      </c>
      <c r="C1321" s="42"/>
      <c r="F1321" s="22"/>
      <c r="G1321" s="22"/>
      <c r="J1321" s="24">
        <v>50000</v>
      </c>
      <c r="M1321" s="24">
        <v>50000</v>
      </c>
      <c r="O1321" s="48" t="s">
        <v>97</v>
      </c>
      <c r="P1321" s="48">
        <f>HEX2DEC(RIGHT(Table1323212714[[#This Row],[h1]],8))</f>
        <v>0</v>
      </c>
      <c r="Q1321" s="48" t="s">
        <v>97</v>
      </c>
      <c r="R1321" s="48">
        <f>HEX2DEC(RIGHT(Table1323212714[[#This Row],[h2]],8))</f>
        <v>0</v>
      </c>
    </row>
    <row r="1322" spans="1:18" x14ac:dyDescent="0.3">
      <c r="A1322" s="15" t="str">
        <f t="shared" si="25"/>
        <v>520</v>
      </c>
      <c r="B1322" s="15">
        <v>1312</v>
      </c>
      <c r="C1322" s="42"/>
      <c r="F1322" s="22"/>
      <c r="G1322" s="22"/>
      <c r="J1322" s="24">
        <v>50000</v>
      </c>
      <c r="M1322" s="24">
        <v>50000</v>
      </c>
      <c r="O1322" s="48" t="s">
        <v>97</v>
      </c>
      <c r="P1322" s="48">
        <f>HEX2DEC(RIGHT(Table1323212714[[#This Row],[h1]],8))</f>
        <v>0</v>
      </c>
      <c r="Q1322" s="48" t="s">
        <v>97</v>
      </c>
      <c r="R1322" s="48">
        <f>HEX2DEC(RIGHT(Table1323212714[[#This Row],[h2]],8))</f>
        <v>0</v>
      </c>
    </row>
    <row r="1323" spans="1:18" x14ac:dyDescent="0.3">
      <c r="A1323" s="15" t="str">
        <f t="shared" si="25"/>
        <v>521</v>
      </c>
      <c r="B1323" s="15">
        <v>1313</v>
      </c>
      <c r="C1323" s="42"/>
      <c r="F1323" s="22"/>
      <c r="G1323" s="22"/>
      <c r="J1323" s="24">
        <v>50000</v>
      </c>
      <c r="M1323" s="24">
        <v>50000</v>
      </c>
      <c r="O1323" s="48" t="s">
        <v>97</v>
      </c>
      <c r="P1323" s="48">
        <f>HEX2DEC(RIGHT(Table1323212714[[#This Row],[h1]],8))</f>
        <v>0</v>
      </c>
      <c r="Q1323" s="48" t="s">
        <v>97</v>
      </c>
      <c r="R1323" s="48">
        <f>HEX2DEC(RIGHT(Table1323212714[[#This Row],[h2]],8))</f>
        <v>0</v>
      </c>
    </row>
    <row r="1324" spans="1:18" x14ac:dyDescent="0.3">
      <c r="A1324" s="15" t="str">
        <f t="shared" si="25"/>
        <v>522</v>
      </c>
      <c r="B1324" s="15">
        <v>1314</v>
      </c>
      <c r="C1324" s="42"/>
      <c r="F1324" s="22"/>
      <c r="G1324" s="22"/>
      <c r="J1324" s="24">
        <v>50000</v>
      </c>
      <c r="M1324" s="24">
        <v>50000</v>
      </c>
      <c r="O1324" s="48" t="s">
        <v>97</v>
      </c>
      <c r="P1324" s="48">
        <f>HEX2DEC(RIGHT(Table1323212714[[#This Row],[h1]],8))</f>
        <v>0</v>
      </c>
      <c r="Q1324" s="48" t="s">
        <v>97</v>
      </c>
      <c r="R1324" s="48">
        <f>HEX2DEC(RIGHT(Table1323212714[[#This Row],[h2]],8))</f>
        <v>0</v>
      </c>
    </row>
    <row r="1325" spans="1:18" x14ac:dyDescent="0.3">
      <c r="A1325" s="15" t="str">
        <f t="shared" si="25"/>
        <v>523</v>
      </c>
      <c r="B1325" s="15">
        <v>1315</v>
      </c>
      <c r="C1325" s="42"/>
      <c r="F1325" s="22"/>
      <c r="G1325" s="22"/>
      <c r="J1325" s="24">
        <v>50000</v>
      </c>
      <c r="M1325" s="24">
        <v>50000</v>
      </c>
      <c r="O1325" s="48" t="s">
        <v>97</v>
      </c>
      <c r="P1325" s="48">
        <f>HEX2DEC(RIGHT(Table1323212714[[#This Row],[h1]],8))</f>
        <v>0</v>
      </c>
      <c r="Q1325" s="48" t="s">
        <v>97</v>
      </c>
      <c r="R1325" s="48">
        <f>HEX2DEC(RIGHT(Table1323212714[[#This Row],[h2]],8))</f>
        <v>0</v>
      </c>
    </row>
    <row r="1326" spans="1:18" x14ac:dyDescent="0.3">
      <c r="A1326" s="15" t="str">
        <f t="shared" si="25"/>
        <v>524</v>
      </c>
      <c r="B1326" s="15">
        <v>1316</v>
      </c>
      <c r="C1326" s="42"/>
      <c r="F1326" s="22"/>
      <c r="G1326" s="22"/>
      <c r="J1326" s="24">
        <v>50000</v>
      </c>
      <c r="M1326" s="24">
        <v>50000</v>
      </c>
      <c r="O1326" s="48" t="s">
        <v>97</v>
      </c>
      <c r="P1326" s="48">
        <f>HEX2DEC(RIGHT(Table1323212714[[#This Row],[h1]],8))</f>
        <v>0</v>
      </c>
      <c r="Q1326" s="48" t="s">
        <v>97</v>
      </c>
      <c r="R1326" s="48">
        <f>HEX2DEC(RIGHT(Table1323212714[[#This Row],[h2]],8))</f>
        <v>0</v>
      </c>
    </row>
    <row r="1327" spans="1:18" x14ac:dyDescent="0.3">
      <c r="A1327" s="15" t="str">
        <f t="shared" si="25"/>
        <v>525</v>
      </c>
      <c r="B1327" s="15">
        <v>1317</v>
      </c>
      <c r="C1327" s="42"/>
      <c r="F1327" s="22"/>
      <c r="G1327" s="22"/>
      <c r="J1327" s="24">
        <v>50000</v>
      </c>
      <c r="M1327" s="24">
        <v>50000</v>
      </c>
      <c r="O1327" s="48" t="s">
        <v>97</v>
      </c>
      <c r="P1327" s="48">
        <f>HEX2DEC(RIGHT(Table1323212714[[#This Row],[h1]],8))</f>
        <v>0</v>
      </c>
      <c r="Q1327" s="48" t="s">
        <v>97</v>
      </c>
      <c r="R1327" s="48">
        <f>HEX2DEC(RIGHT(Table1323212714[[#This Row],[h2]],8))</f>
        <v>0</v>
      </c>
    </row>
    <row r="1328" spans="1:18" x14ac:dyDescent="0.3">
      <c r="A1328" s="15" t="str">
        <f t="shared" si="25"/>
        <v>526</v>
      </c>
      <c r="B1328" s="15">
        <v>1318</v>
      </c>
      <c r="C1328" s="42"/>
      <c r="F1328" s="22"/>
      <c r="G1328" s="22"/>
      <c r="J1328" s="24">
        <v>50000</v>
      </c>
      <c r="M1328" s="24">
        <v>50000</v>
      </c>
      <c r="O1328" s="48" t="s">
        <v>97</v>
      </c>
      <c r="P1328" s="48">
        <f>HEX2DEC(RIGHT(Table1323212714[[#This Row],[h1]],8))</f>
        <v>0</v>
      </c>
      <c r="Q1328" s="48" t="s">
        <v>97</v>
      </c>
      <c r="R1328" s="48">
        <f>HEX2DEC(RIGHT(Table1323212714[[#This Row],[h2]],8))</f>
        <v>0</v>
      </c>
    </row>
    <row r="1329" spans="1:18" x14ac:dyDescent="0.3">
      <c r="A1329" s="15" t="str">
        <f t="shared" si="25"/>
        <v>527</v>
      </c>
      <c r="B1329" s="15">
        <v>1319</v>
      </c>
      <c r="C1329" s="42"/>
      <c r="F1329" s="22"/>
      <c r="G1329" s="22"/>
      <c r="J1329" s="24">
        <v>50000</v>
      </c>
      <c r="M1329" s="24">
        <v>50000</v>
      </c>
      <c r="O1329" s="48" t="s">
        <v>97</v>
      </c>
      <c r="P1329" s="48">
        <f>HEX2DEC(RIGHT(Table1323212714[[#This Row],[h1]],8))</f>
        <v>0</v>
      </c>
      <c r="Q1329" s="48" t="s">
        <v>97</v>
      </c>
      <c r="R1329" s="48">
        <f>HEX2DEC(RIGHT(Table1323212714[[#This Row],[h2]],8))</f>
        <v>0</v>
      </c>
    </row>
    <row r="1330" spans="1:18" x14ac:dyDescent="0.3">
      <c r="A1330" s="15" t="str">
        <f t="shared" si="25"/>
        <v>528</v>
      </c>
      <c r="B1330" s="15">
        <v>1320</v>
      </c>
      <c r="C1330" s="42"/>
      <c r="F1330" s="22"/>
      <c r="G1330" s="22"/>
      <c r="J1330" s="24">
        <v>50000</v>
      </c>
      <c r="M1330" s="24">
        <v>50000</v>
      </c>
      <c r="O1330" s="48" t="s">
        <v>97</v>
      </c>
      <c r="P1330" s="48">
        <f>HEX2DEC(RIGHT(Table1323212714[[#This Row],[h1]],8))</f>
        <v>0</v>
      </c>
      <c r="Q1330" s="48" t="s">
        <v>97</v>
      </c>
      <c r="R1330" s="48">
        <f>HEX2DEC(RIGHT(Table1323212714[[#This Row],[h2]],8))</f>
        <v>0</v>
      </c>
    </row>
    <row r="1331" spans="1:18" x14ac:dyDescent="0.3">
      <c r="A1331" s="15" t="str">
        <f t="shared" si="25"/>
        <v>529</v>
      </c>
      <c r="B1331" s="15">
        <v>1321</v>
      </c>
      <c r="C1331" s="42"/>
      <c r="F1331" s="22"/>
      <c r="G1331" s="22"/>
      <c r="J1331" s="24">
        <v>50000</v>
      </c>
      <c r="M1331" s="24">
        <v>50000</v>
      </c>
      <c r="O1331" s="48" t="s">
        <v>97</v>
      </c>
      <c r="P1331" s="48">
        <f>HEX2DEC(RIGHT(Table1323212714[[#This Row],[h1]],8))</f>
        <v>0</v>
      </c>
      <c r="Q1331" s="48" t="s">
        <v>97</v>
      </c>
      <c r="R1331" s="48">
        <f>HEX2DEC(RIGHT(Table1323212714[[#This Row],[h2]],8))</f>
        <v>0</v>
      </c>
    </row>
    <row r="1332" spans="1:18" x14ac:dyDescent="0.3">
      <c r="A1332" s="15" t="str">
        <f t="shared" si="25"/>
        <v>52A</v>
      </c>
      <c r="B1332" s="15">
        <v>1322</v>
      </c>
      <c r="C1332" s="42"/>
      <c r="F1332" s="22"/>
      <c r="G1332" s="22"/>
      <c r="J1332" s="24">
        <v>50000</v>
      </c>
      <c r="M1332" s="24">
        <v>50000</v>
      </c>
      <c r="O1332" s="48" t="s">
        <v>97</v>
      </c>
      <c r="P1332" s="48">
        <f>HEX2DEC(RIGHT(Table1323212714[[#This Row],[h1]],8))</f>
        <v>0</v>
      </c>
      <c r="Q1332" s="48" t="s">
        <v>97</v>
      </c>
      <c r="R1332" s="48">
        <f>HEX2DEC(RIGHT(Table1323212714[[#This Row],[h2]],8))</f>
        <v>0</v>
      </c>
    </row>
    <row r="1333" spans="1:18" x14ac:dyDescent="0.3">
      <c r="A1333" s="15" t="str">
        <f t="shared" si="25"/>
        <v>52B</v>
      </c>
      <c r="B1333" s="15">
        <v>1323</v>
      </c>
      <c r="C1333" s="42"/>
      <c r="F1333" s="22"/>
      <c r="G1333" s="22"/>
      <c r="J1333" s="24">
        <v>50000</v>
      </c>
      <c r="M1333" s="24">
        <v>50000</v>
      </c>
      <c r="O1333" s="48" t="s">
        <v>97</v>
      </c>
      <c r="P1333" s="48">
        <f>HEX2DEC(RIGHT(Table1323212714[[#This Row],[h1]],8))</f>
        <v>0</v>
      </c>
      <c r="Q1333" s="48" t="s">
        <v>97</v>
      </c>
      <c r="R1333" s="48">
        <f>HEX2DEC(RIGHT(Table1323212714[[#This Row],[h2]],8))</f>
        <v>0</v>
      </c>
    </row>
    <row r="1334" spans="1:18" x14ac:dyDescent="0.3">
      <c r="A1334" s="15" t="str">
        <f t="shared" si="25"/>
        <v>52C</v>
      </c>
      <c r="B1334" s="15">
        <v>1324</v>
      </c>
      <c r="C1334" s="42"/>
      <c r="F1334" s="22"/>
      <c r="G1334" s="22"/>
      <c r="J1334" s="24">
        <v>50000</v>
      </c>
      <c r="M1334" s="24">
        <v>50000</v>
      </c>
      <c r="O1334" s="48" t="s">
        <v>97</v>
      </c>
      <c r="P1334" s="48">
        <f>HEX2DEC(RIGHT(Table1323212714[[#This Row],[h1]],8))</f>
        <v>0</v>
      </c>
      <c r="Q1334" s="48" t="s">
        <v>97</v>
      </c>
      <c r="R1334" s="48">
        <f>HEX2DEC(RIGHT(Table1323212714[[#This Row],[h2]],8))</f>
        <v>0</v>
      </c>
    </row>
    <row r="1335" spans="1:18" x14ac:dyDescent="0.3">
      <c r="A1335" s="15" t="str">
        <f t="shared" si="25"/>
        <v>52D</v>
      </c>
      <c r="B1335" s="15">
        <v>1325</v>
      </c>
      <c r="C1335" s="42"/>
      <c r="F1335" s="22"/>
      <c r="G1335" s="22"/>
      <c r="J1335" s="24">
        <v>50000</v>
      </c>
      <c r="M1335" s="24">
        <v>50000</v>
      </c>
      <c r="O1335" s="48" t="s">
        <v>97</v>
      </c>
      <c r="P1335" s="48">
        <f>HEX2DEC(RIGHT(Table1323212714[[#This Row],[h1]],8))</f>
        <v>0</v>
      </c>
      <c r="Q1335" s="48" t="s">
        <v>97</v>
      </c>
      <c r="R1335" s="48">
        <f>HEX2DEC(RIGHT(Table1323212714[[#This Row],[h2]],8))</f>
        <v>0</v>
      </c>
    </row>
    <row r="1336" spans="1:18" x14ac:dyDescent="0.3">
      <c r="A1336" s="15" t="str">
        <f t="shared" si="25"/>
        <v>52E</v>
      </c>
      <c r="B1336" s="15">
        <v>1326</v>
      </c>
      <c r="C1336" s="42"/>
      <c r="F1336" s="22"/>
      <c r="G1336" s="22"/>
      <c r="J1336" s="24">
        <v>50000</v>
      </c>
      <c r="M1336" s="24">
        <v>50000</v>
      </c>
      <c r="O1336" s="48" t="s">
        <v>97</v>
      </c>
      <c r="P1336" s="48">
        <f>HEX2DEC(RIGHT(Table1323212714[[#This Row],[h1]],8))</f>
        <v>0</v>
      </c>
      <c r="Q1336" s="48" t="s">
        <v>97</v>
      </c>
      <c r="R1336" s="48">
        <f>HEX2DEC(RIGHT(Table1323212714[[#This Row],[h2]],8))</f>
        <v>0</v>
      </c>
    </row>
    <row r="1337" spans="1:18" x14ac:dyDescent="0.3">
      <c r="A1337" s="15" t="str">
        <f t="shared" si="25"/>
        <v>52F</v>
      </c>
      <c r="B1337" s="15">
        <v>1327</v>
      </c>
      <c r="C1337" s="42"/>
      <c r="F1337" s="22"/>
      <c r="G1337" s="22"/>
      <c r="J1337" s="24">
        <v>50000</v>
      </c>
      <c r="M1337" s="24">
        <v>50000</v>
      </c>
      <c r="O1337" s="48" t="s">
        <v>97</v>
      </c>
      <c r="P1337" s="48">
        <f>HEX2DEC(RIGHT(Table1323212714[[#This Row],[h1]],8))</f>
        <v>0</v>
      </c>
      <c r="Q1337" s="48" t="s">
        <v>97</v>
      </c>
      <c r="R1337" s="48">
        <f>HEX2DEC(RIGHT(Table1323212714[[#This Row],[h2]],8))</f>
        <v>0</v>
      </c>
    </row>
    <row r="1338" spans="1:18" x14ac:dyDescent="0.3">
      <c r="A1338" s="15" t="str">
        <f t="shared" si="25"/>
        <v>530</v>
      </c>
      <c r="B1338" s="15">
        <v>1328</v>
      </c>
      <c r="C1338" s="42"/>
      <c r="F1338" s="22"/>
      <c r="G1338" s="22"/>
      <c r="J1338" s="24">
        <v>50000</v>
      </c>
      <c r="M1338" s="24">
        <v>50000</v>
      </c>
      <c r="O1338" s="48" t="s">
        <v>97</v>
      </c>
      <c r="P1338" s="48">
        <f>HEX2DEC(RIGHT(Table1323212714[[#This Row],[h1]],8))</f>
        <v>0</v>
      </c>
      <c r="Q1338" s="48" t="s">
        <v>97</v>
      </c>
      <c r="R1338" s="48">
        <f>HEX2DEC(RIGHT(Table1323212714[[#This Row],[h2]],8))</f>
        <v>0</v>
      </c>
    </row>
    <row r="1339" spans="1:18" x14ac:dyDescent="0.3">
      <c r="A1339" s="15" t="str">
        <f t="shared" si="25"/>
        <v>531</v>
      </c>
      <c r="B1339" s="15">
        <v>1329</v>
      </c>
      <c r="C1339" s="42"/>
      <c r="F1339" s="22"/>
      <c r="G1339" s="22"/>
      <c r="J1339" s="24">
        <v>50000</v>
      </c>
      <c r="M1339" s="24">
        <v>50000</v>
      </c>
      <c r="O1339" s="48" t="s">
        <v>97</v>
      </c>
      <c r="P1339" s="48">
        <f>HEX2DEC(RIGHT(Table1323212714[[#This Row],[h1]],8))</f>
        <v>0</v>
      </c>
      <c r="Q1339" s="48" t="s">
        <v>97</v>
      </c>
      <c r="R1339" s="48">
        <f>HEX2DEC(RIGHT(Table1323212714[[#This Row],[h2]],8))</f>
        <v>0</v>
      </c>
    </row>
    <row r="1340" spans="1:18" x14ac:dyDescent="0.3">
      <c r="A1340" s="15" t="str">
        <f t="shared" si="25"/>
        <v>532</v>
      </c>
      <c r="B1340" s="15">
        <v>1330</v>
      </c>
      <c r="C1340" s="42"/>
      <c r="F1340" s="22"/>
      <c r="G1340" s="22"/>
      <c r="J1340" s="24">
        <v>50000</v>
      </c>
      <c r="M1340" s="24">
        <v>50000</v>
      </c>
      <c r="O1340" s="48" t="s">
        <v>97</v>
      </c>
      <c r="P1340" s="48">
        <f>HEX2DEC(RIGHT(Table1323212714[[#This Row],[h1]],8))</f>
        <v>0</v>
      </c>
      <c r="Q1340" s="48" t="s">
        <v>97</v>
      </c>
      <c r="R1340" s="48">
        <f>HEX2DEC(RIGHT(Table1323212714[[#This Row],[h2]],8))</f>
        <v>0</v>
      </c>
    </row>
    <row r="1341" spans="1:18" x14ac:dyDescent="0.3">
      <c r="A1341" s="15" t="str">
        <f t="shared" si="25"/>
        <v>533</v>
      </c>
      <c r="B1341" s="15">
        <v>1331</v>
      </c>
      <c r="C1341" s="42"/>
      <c r="F1341" s="22"/>
      <c r="G1341" s="22"/>
      <c r="J1341" s="24">
        <v>50000</v>
      </c>
      <c r="M1341" s="24">
        <v>50000</v>
      </c>
      <c r="O1341" s="48" t="s">
        <v>97</v>
      </c>
      <c r="P1341" s="48">
        <f>HEX2DEC(RIGHT(Table1323212714[[#This Row],[h1]],8))</f>
        <v>0</v>
      </c>
      <c r="Q1341" s="48" t="s">
        <v>97</v>
      </c>
      <c r="R1341" s="48">
        <f>HEX2DEC(RIGHT(Table1323212714[[#This Row],[h2]],8))</f>
        <v>0</v>
      </c>
    </row>
    <row r="1342" spans="1:18" x14ac:dyDescent="0.3">
      <c r="A1342" s="15" t="str">
        <f t="shared" si="25"/>
        <v>534</v>
      </c>
      <c r="B1342" s="15">
        <v>1332</v>
      </c>
      <c r="C1342" s="42"/>
      <c r="F1342" s="22"/>
      <c r="G1342" s="22"/>
      <c r="J1342" s="24">
        <v>50000</v>
      </c>
      <c r="M1342" s="24">
        <v>50000</v>
      </c>
      <c r="O1342" s="48" t="s">
        <v>97</v>
      </c>
      <c r="P1342" s="48">
        <f>HEX2DEC(RIGHT(Table1323212714[[#This Row],[h1]],8))</f>
        <v>0</v>
      </c>
      <c r="Q1342" s="48" t="s">
        <v>97</v>
      </c>
      <c r="R1342" s="48">
        <f>HEX2DEC(RIGHT(Table1323212714[[#This Row],[h2]],8))</f>
        <v>0</v>
      </c>
    </row>
    <row r="1343" spans="1:18" x14ac:dyDescent="0.3">
      <c r="A1343" s="15" t="str">
        <f t="shared" si="25"/>
        <v>535</v>
      </c>
      <c r="B1343" s="15">
        <v>1333</v>
      </c>
      <c r="C1343" s="42"/>
      <c r="F1343" s="22"/>
      <c r="G1343" s="22"/>
      <c r="J1343" s="24">
        <v>50000</v>
      </c>
      <c r="M1343" s="24">
        <v>50000</v>
      </c>
      <c r="O1343" s="48" t="s">
        <v>97</v>
      </c>
      <c r="P1343" s="48">
        <f>HEX2DEC(RIGHT(Table1323212714[[#This Row],[h1]],8))</f>
        <v>0</v>
      </c>
      <c r="Q1343" s="48" t="s">
        <v>97</v>
      </c>
      <c r="R1343" s="48">
        <f>HEX2DEC(RIGHT(Table1323212714[[#This Row],[h2]],8))</f>
        <v>0</v>
      </c>
    </row>
    <row r="1344" spans="1:18" x14ac:dyDescent="0.3">
      <c r="A1344" s="15" t="str">
        <f t="shared" si="25"/>
        <v>536</v>
      </c>
      <c r="B1344" s="15">
        <v>1334</v>
      </c>
      <c r="C1344" s="42"/>
      <c r="F1344" s="22"/>
      <c r="G1344" s="22"/>
      <c r="J1344" s="24">
        <v>50000</v>
      </c>
      <c r="M1344" s="24">
        <v>50000</v>
      </c>
      <c r="O1344" s="48" t="s">
        <v>97</v>
      </c>
      <c r="P1344" s="48">
        <f>HEX2DEC(RIGHT(Table1323212714[[#This Row],[h1]],8))</f>
        <v>0</v>
      </c>
      <c r="Q1344" s="48" t="s">
        <v>97</v>
      </c>
      <c r="R1344" s="48">
        <f>HEX2DEC(RIGHT(Table1323212714[[#This Row],[h2]],8))</f>
        <v>0</v>
      </c>
    </row>
    <row r="1345" spans="1:18" x14ac:dyDescent="0.3">
      <c r="A1345" s="15" t="str">
        <f t="shared" si="25"/>
        <v>537</v>
      </c>
      <c r="B1345" s="15">
        <v>1335</v>
      </c>
      <c r="C1345" s="42"/>
      <c r="F1345" s="22"/>
      <c r="G1345" s="22"/>
      <c r="J1345" s="24">
        <v>50000</v>
      </c>
      <c r="M1345" s="24">
        <v>50000</v>
      </c>
      <c r="O1345" s="48" t="s">
        <v>97</v>
      </c>
      <c r="P1345" s="48">
        <f>HEX2DEC(RIGHT(Table1323212714[[#This Row],[h1]],8))</f>
        <v>0</v>
      </c>
      <c r="Q1345" s="48" t="s">
        <v>97</v>
      </c>
      <c r="R1345" s="48">
        <f>HEX2DEC(RIGHT(Table1323212714[[#This Row],[h2]],8))</f>
        <v>0</v>
      </c>
    </row>
    <row r="1346" spans="1:18" x14ac:dyDescent="0.3">
      <c r="A1346" s="15" t="str">
        <f t="shared" si="25"/>
        <v>538</v>
      </c>
      <c r="B1346" s="15">
        <v>1336</v>
      </c>
      <c r="C1346" s="42"/>
      <c r="F1346" s="22"/>
      <c r="G1346" s="22"/>
      <c r="J1346" s="24">
        <v>50000</v>
      </c>
      <c r="M1346" s="24">
        <v>50000</v>
      </c>
      <c r="O1346" s="48" t="s">
        <v>97</v>
      </c>
      <c r="P1346" s="48">
        <f>HEX2DEC(RIGHT(Table1323212714[[#This Row],[h1]],8))</f>
        <v>0</v>
      </c>
      <c r="Q1346" s="48" t="s">
        <v>97</v>
      </c>
      <c r="R1346" s="48">
        <f>HEX2DEC(RIGHT(Table1323212714[[#This Row],[h2]],8))</f>
        <v>0</v>
      </c>
    </row>
    <row r="1347" spans="1:18" x14ac:dyDescent="0.3">
      <c r="A1347" s="15" t="str">
        <f t="shared" si="25"/>
        <v>539</v>
      </c>
      <c r="B1347" s="15">
        <v>1337</v>
      </c>
      <c r="C1347" s="42"/>
      <c r="F1347" s="22"/>
      <c r="G1347" s="22"/>
      <c r="J1347" s="24">
        <v>50000</v>
      </c>
      <c r="M1347" s="24">
        <v>50000</v>
      </c>
      <c r="O1347" s="48" t="s">
        <v>97</v>
      </c>
      <c r="P1347" s="48">
        <f>HEX2DEC(RIGHT(Table1323212714[[#This Row],[h1]],8))</f>
        <v>0</v>
      </c>
      <c r="Q1347" s="48" t="s">
        <v>97</v>
      </c>
      <c r="R1347" s="48">
        <f>HEX2DEC(RIGHT(Table1323212714[[#This Row],[h2]],8))</f>
        <v>0</v>
      </c>
    </row>
    <row r="1348" spans="1:18" x14ac:dyDescent="0.3">
      <c r="A1348" s="15" t="str">
        <f t="shared" si="25"/>
        <v>53A</v>
      </c>
      <c r="B1348" s="15">
        <v>1338</v>
      </c>
      <c r="C1348" s="42"/>
      <c r="F1348" s="22"/>
      <c r="G1348" s="22"/>
      <c r="J1348" s="24">
        <v>50000</v>
      </c>
      <c r="M1348" s="24">
        <v>50000</v>
      </c>
      <c r="O1348" s="48" t="s">
        <v>97</v>
      </c>
      <c r="P1348" s="48">
        <f>HEX2DEC(RIGHT(Table1323212714[[#This Row],[h1]],8))</f>
        <v>0</v>
      </c>
      <c r="Q1348" s="48" t="s">
        <v>97</v>
      </c>
      <c r="R1348" s="48">
        <f>HEX2DEC(RIGHT(Table1323212714[[#This Row],[h2]],8))</f>
        <v>0</v>
      </c>
    </row>
    <row r="1349" spans="1:18" x14ac:dyDescent="0.3">
      <c r="A1349" s="15" t="str">
        <f t="shared" si="25"/>
        <v>53B</v>
      </c>
      <c r="B1349" s="15">
        <v>1339</v>
      </c>
      <c r="C1349" s="42"/>
      <c r="F1349" s="22"/>
      <c r="G1349" s="22"/>
      <c r="J1349" s="24">
        <v>50000</v>
      </c>
      <c r="M1349" s="24">
        <v>50000</v>
      </c>
      <c r="O1349" s="48" t="s">
        <v>97</v>
      </c>
      <c r="P1349" s="48">
        <f>HEX2DEC(RIGHT(Table1323212714[[#This Row],[h1]],8))</f>
        <v>0</v>
      </c>
      <c r="Q1349" s="48" t="s">
        <v>97</v>
      </c>
      <c r="R1349" s="48">
        <f>HEX2DEC(RIGHT(Table1323212714[[#This Row],[h2]],8))</f>
        <v>0</v>
      </c>
    </row>
    <row r="1350" spans="1:18" x14ac:dyDescent="0.3">
      <c r="A1350" s="15" t="str">
        <f t="shared" si="25"/>
        <v>53C</v>
      </c>
      <c r="B1350" s="15">
        <v>1340</v>
      </c>
      <c r="C1350" s="42"/>
      <c r="F1350" s="22"/>
      <c r="G1350" s="22"/>
      <c r="J1350" s="24">
        <v>50000</v>
      </c>
      <c r="M1350" s="24">
        <v>50000</v>
      </c>
      <c r="O1350" s="48" t="s">
        <v>97</v>
      </c>
      <c r="P1350" s="48">
        <f>HEX2DEC(RIGHT(Table1323212714[[#This Row],[h1]],8))</f>
        <v>0</v>
      </c>
      <c r="Q1350" s="48" t="s">
        <v>97</v>
      </c>
      <c r="R1350" s="48">
        <f>HEX2DEC(RIGHT(Table1323212714[[#This Row],[h2]],8))</f>
        <v>0</v>
      </c>
    </row>
    <row r="1351" spans="1:18" x14ac:dyDescent="0.3">
      <c r="A1351" s="15" t="str">
        <f t="shared" si="25"/>
        <v>53D</v>
      </c>
      <c r="B1351" s="15">
        <v>1341</v>
      </c>
      <c r="C1351" s="42"/>
      <c r="F1351" s="22"/>
      <c r="G1351" s="22"/>
      <c r="J1351" s="24">
        <v>50000</v>
      </c>
      <c r="M1351" s="24">
        <v>50000</v>
      </c>
      <c r="O1351" s="48" t="s">
        <v>97</v>
      </c>
      <c r="P1351" s="48">
        <f>HEX2DEC(RIGHT(Table1323212714[[#This Row],[h1]],8))</f>
        <v>0</v>
      </c>
      <c r="Q1351" s="48" t="s">
        <v>97</v>
      </c>
      <c r="R1351" s="48">
        <f>HEX2DEC(RIGHT(Table1323212714[[#This Row],[h2]],8))</f>
        <v>0</v>
      </c>
    </row>
    <row r="1352" spans="1:18" x14ac:dyDescent="0.3">
      <c r="A1352" s="15" t="str">
        <f t="shared" si="25"/>
        <v>53E</v>
      </c>
      <c r="B1352" s="15">
        <v>1342</v>
      </c>
      <c r="C1352" s="42"/>
      <c r="F1352" s="22"/>
      <c r="G1352" s="22"/>
      <c r="J1352" s="24">
        <v>50000</v>
      </c>
      <c r="M1352" s="24">
        <v>50000</v>
      </c>
      <c r="O1352" s="48" t="s">
        <v>97</v>
      </c>
      <c r="P1352" s="48">
        <f>HEX2DEC(RIGHT(Table1323212714[[#This Row],[h1]],8))</f>
        <v>0</v>
      </c>
      <c r="Q1352" s="48" t="s">
        <v>97</v>
      </c>
      <c r="R1352" s="48">
        <f>HEX2DEC(RIGHT(Table1323212714[[#This Row],[h2]],8))</f>
        <v>0</v>
      </c>
    </row>
    <row r="1353" spans="1:18" x14ac:dyDescent="0.3">
      <c r="A1353" s="15" t="str">
        <f t="shared" si="25"/>
        <v>53F</v>
      </c>
      <c r="B1353" s="15">
        <v>1343</v>
      </c>
      <c r="C1353" s="42"/>
      <c r="F1353" s="22"/>
      <c r="G1353" s="22"/>
      <c r="J1353" s="24">
        <v>50000</v>
      </c>
      <c r="M1353" s="24">
        <v>50000</v>
      </c>
      <c r="O1353" s="48" t="s">
        <v>97</v>
      </c>
      <c r="P1353" s="48">
        <f>HEX2DEC(RIGHT(Table1323212714[[#This Row],[h1]],8))</f>
        <v>0</v>
      </c>
      <c r="Q1353" s="48" t="s">
        <v>97</v>
      </c>
      <c r="R1353" s="48">
        <f>HEX2DEC(RIGHT(Table1323212714[[#This Row],[h2]],8))</f>
        <v>0</v>
      </c>
    </row>
    <row r="1354" spans="1:18" x14ac:dyDescent="0.3">
      <c r="A1354" s="15" t="str">
        <f t="shared" si="25"/>
        <v>540</v>
      </c>
      <c r="B1354" s="15">
        <v>1344</v>
      </c>
      <c r="C1354" s="42"/>
      <c r="F1354" s="22"/>
      <c r="G1354" s="22"/>
      <c r="J1354" s="24">
        <v>50000</v>
      </c>
      <c r="M1354" s="24">
        <v>50000</v>
      </c>
      <c r="O1354" s="48" t="s">
        <v>97</v>
      </c>
      <c r="P1354" s="48">
        <f>HEX2DEC(RIGHT(Table1323212714[[#This Row],[h1]],8))</f>
        <v>0</v>
      </c>
      <c r="Q1354" s="48" t="s">
        <v>97</v>
      </c>
      <c r="R1354" s="48">
        <f>HEX2DEC(RIGHT(Table1323212714[[#This Row],[h2]],8))</f>
        <v>0</v>
      </c>
    </row>
    <row r="1355" spans="1:18" x14ac:dyDescent="0.3">
      <c r="A1355" s="15" t="str">
        <f t="shared" ref="A1355:A1418" si="26">DEC2HEX(B1355,3)</f>
        <v>541</v>
      </c>
      <c r="B1355" s="15">
        <v>1345</v>
      </c>
      <c r="C1355" s="42"/>
      <c r="F1355" s="22"/>
      <c r="G1355" s="22"/>
      <c r="J1355" s="24">
        <v>50000</v>
      </c>
      <c r="M1355" s="24">
        <v>50000</v>
      </c>
      <c r="O1355" s="48" t="s">
        <v>97</v>
      </c>
      <c r="P1355" s="48">
        <f>HEX2DEC(RIGHT(Table1323212714[[#This Row],[h1]],8))</f>
        <v>0</v>
      </c>
      <c r="Q1355" s="48" t="s">
        <v>97</v>
      </c>
      <c r="R1355" s="48">
        <f>HEX2DEC(RIGHT(Table1323212714[[#This Row],[h2]],8))</f>
        <v>0</v>
      </c>
    </row>
    <row r="1356" spans="1:18" x14ac:dyDescent="0.3">
      <c r="A1356" s="15" t="str">
        <f t="shared" si="26"/>
        <v>542</v>
      </c>
      <c r="B1356" s="15">
        <v>1346</v>
      </c>
      <c r="C1356" s="42"/>
      <c r="F1356" s="22"/>
      <c r="G1356" s="22"/>
      <c r="J1356" s="24">
        <v>50000</v>
      </c>
      <c r="M1356" s="24">
        <v>50000</v>
      </c>
      <c r="O1356" s="48" t="s">
        <v>97</v>
      </c>
      <c r="P1356" s="48">
        <f>HEX2DEC(RIGHT(Table1323212714[[#This Row],[h1]],8))</f>
        <v>0</v>
      </c>
      <c r="Q1356" s="48" t="s">
        <v>97</v>
      </c>
      <c r="R1356" s="48">
        <f>HEX2DEC(RIGHT(Table1323212714[[#This Row],[h2]],8))</f>
        <v>0</v>
      </c>
    </row>
    <row r="1357" spans="1:18" x14ac:dyDescent="0.3">
      <c r="A1357" s="15" t="str">
        <f t="shared" si="26"/>
        <v>543</v>
      </c>
      <c r="B1357" s="15">
        <v>1347</v>
      </c>
      <c r="C1357" s="42"/>
      <c r="F1357" s="22"/>
      <c r="G1357" s="22"/>
      <c r="J1357" s="24">
        <v>50000</v>
      </c>
      <c r="M1357" s="24">
        <v>50000</v>
      </c>
      <c r="O1357" s="48" t="s">
        <v>97</v>
      </c>
      <c r="P1357" s="48">
        <f>HEX2DEC(RIGHT(Table1323212714[[#This Row],[h1]],8))</f>
        <v>0</v>
      </c>
      <c r="Q1357" s="48" t="s">
        <v>97</v>
      </c>
      <c r="R1357" s="48">
        <f>HEX2DEC(RIGHT(Table1323212714[[#This Row],[h2]],8))</f>
        <v>0</v>
      </c>
    </row>
    <row r="1358" spans="1:18" x14ac:dyDescent="0.3">
      <c r="A1358" s="15" t="str">
        <f t="shared" si="26"/>
        <v>544</v>
      </c>
      <c r="B1358" s="15">
        <v>1348</v>
      </c>
      <c r="C1358" s="42"/>
      <c r="F1358" s="22"/>
      <c r="G1358" s="22"/>
      <c r="J1358" s="24">
        <v>50000</v>
      </c>
      <c r="M1358" s="24">
        <v>50000</v>
      </c>
      <c r="O1358" s="48" t="s">
        <v>97</v>
      </c>
      <c r="P1358" s="48">
        <f>HEX2DEC(RIGHT(Table1323212714[[#This Row],[h1]],8))</f>
        <v>0</v>
      </c>
      <c r="Q1358" s="48" t="s">
        <v>97</v>
      </c>
      <c r="R1358" s="48">
        <f>HEX2DEC(RIGHT(Table1323212714[[#This Row],[h2]],8))</f>
        <v>0</v>
      </c>
    </row>
    <row r="1359" spans="1:18" x14ac:dyDescent="0.3">
      <c r="A1359" s="15" t="str">
        <f t="shared" si="26"/>
        <v>545</v>
      </c>
      <c r="B1359" s="15">
        <v>1349</v>
      </c>
      <c r="C1359" s="42"/>
      <c r="F1359" s="22"/>
      <c r="G1359" s="22"/>
      <c r="J1359" s="24">
        <v>50000</v>
      </c>
      <c r="M1359" s="24">
        <v>50000</v>
      </c>
      <c r="O1359" s="48" t="s">
        <v>97</v>
      </c>
      <c r="P1359" s="48">
        <f>HEX2DEC(RIGHT(Table1323212714[[#This Row],[h1]],8))</f>
        <v>0</v>
      </c>
      <c r="Q1359" s="48" t="s">
        <v>97</v>
      </c>
      <c r="R1359" s="48">
        <f>HEX2DEC(RIGHT(Table1323212714[[#This Row],[h2]],8))</f>
        <v>0</v>
      </c>
    </row>
    <row r="1360" spans="1:18" x14ac:dyDescent="0.3">
      <c r="A1360" s="15" t="str">
        <f t="shared" si="26"/>
        <v>546</v>
      </c>
      <c r="B1360" s="15">
        <v>1350</v>
      </c>
      <c r="C1360" s="42"/>
      <c r="F1360" s="22"/>
      <c r="G1360" s="22"/>
      <c r="J1360" s="24">
        <v>50000</v>
      </c>
      <c r="M1360" s="24">
        <v>50000</v>
      </c>
      <c r="O1360" s="48" t="s">
        <v>97</v>
      </c>
      <c r="P1360" s="48">
        <f>HEX2DEC(RIGHT(Table1323212714[[#This Row],[h1]],8))</f>
        <v>0</v>
      </c>
      <c r="Q1360" s="48" t="s">
        <v>97</v>
      </c>
      <c r="R1360" s="48">
        <f>HEX2DEC(RIGHT(Table1323212714[[#This Row],[h2]],8))</f>
        <v>0</v>
      </c>
    </row>
    <row r="1361" spans="1:18" x14ac:dyDescent="0.3">
      <c r="A1361" s="15" t="str">
        <f t="shared" si="26"/>
        <v>547</v>
      </c>
      <c r="B1361" s="15">
        <v>1351</v>
      </c>
      <c r="C1361" s="42"/>
      <c r="F1361" s="22"/>
      <c r="G1361" s="22"/>
      <c r="J1361" s="24">
        <v>50000</v>
      </c>
      <c r="M1361" s="24">
        <v>50000</v>
      </c>
      <c r="O1361" s="48" t="s">
        <v>97</v>
      </c>
      <c r="P1361" s="48">
        <f>HEX2DEC(RIGHT(Table1323212714[[#This Row],[h1]],8))</f>
        <v>0</v>
      </c>
      <c r="Q1361" s="48" t="s">
        <v>97</v>
      </c>
      <c r="R1361" s="48">
        <f>HEX2DEC(RIGHT(Table1323212714[[#This Row],[h2]],8))</f>
        <v>0</v>
      </c>
    </row>
    <row r="1362" spans="1:18" x14ac:dyDescent="0.3">
      <c r="A1362" s="15" t="str">
        <f t="shared" si="26"/>
        <v>548</v>
      </c>
      <c r="B1362" s="15">
        <v>1352</v>
      </c>
      <c r="C1362" s="42"/>
      <c r="F1362" s="22"/>
      <c r="G1362" s="22"/>
      <c r="J1362" s="24">
        <v>50000</v>
      </c>
      <c r="M1362" s="24">
        <v>50000</v>
      </c>
      <c r="O1362" s="48" t="s">
        <v>97</v>
      </c>
      <c r="P1362" s="48">
        <f>HEX2DEC(RIGHT(Table1323212714[[#This Row],[h1]],8))</f>
        <v>0</v>
      </c>
      <c r="Q1362" s="48" t="s">
        <v>97</v>
      </c>
      <c r="R1362" s="48">
        <f>HEX2DEC(RIGHT(Table1323212714[[#This Row],[h2]],8))</f>
        <v>0</v>
      </c>
    </row>
    <row r="1363" spans="1:18" x14ac:dyDescent="0.3">
      <c r="A1363" s="15" t="str">
        <f t="shared" si="26"/>
        <v>549</v>
      </c>
      <c r="B1363" s="15">
        <v>1353</v>
      </c>
      <c r="C1363" s="42"/>
      <c r="F1363" s="22"/>
      <c r="G1363" s="22"/>
      <c r="J1363" s="24">
        <v>50000</v>
      </c>
      <c r="M1363" s="24">
        <v>50000</v>
      </c>
      <c r="O1363" s="48" t="s">
        <v>97</v>
      </c>
      <c r="P1363" s="48">
        <f>HEX2DEC(RIGHT(Table1323212714[[#This Row],[h1]],8))</f>
        <v>0</v>
      </c>
      <c r="Q1363" s="48" t="s">
        <v>97</v>
      </c>
      <c r="R1363" s="48">
        <f>HEX2DEC(RIGHT(Table1323212714[[#This Row],[h2]],8))</f>
        <v>0</v>
      </c>
    </row>
    <row r="1364" spans="1:18" x14ac:dyDescent="0.3">
      <c r="A1364" s="15" t="str">
        <f t="shared" si="26"/>
        <v>54A</v>
      </c>
      <c r="B1364" s="15">
        <v>1354</v>
      </c>
      <c r="C1364" s="42"/>
      <c r="F1364" s="22"/>
      <c r="G1364" s="22"/>
      <c r="J1364" s="24">
        <v>50000</v>
      </c>
      <c r="M1364" s="24">
        <v>50000</v>
      </c>
      <c r="O1364" s="48" t="s">
        <v>97</v>
      </c>
      <c r="P1364" s="48">
        <f>HEX2DEC(RIGHT(Table1323212714[[#This Row],[h1]],8))</f>
        <v>0</v>
      </c>
      <c r="Q1364" s="48" t="s">
        <v>97</v>
      </c>
      <c r="R1364" s="48">
        <f>HEX2DEC(RIGHT(Table1323212714[[#This Row],[h2]],8))</f>
        <v>0</v>
      </c>
    </row>
    <row r="1365" spans="1:18" x14ac:dyDescent="0.3">
      <c r="A1365" s="15" t="str">
        <f t="shared" si="26"/>
        <v>54B</v>
      </c>
      <c r="B1365" s="15">
        <v>1355</v>
      </c>
      <c r="C1365" s="42"/>
      <c r="F1365" s="22"/>
      <c r="G1365" s="22"/>
      <c r="J1365" s="24">
        <v>50000</v>
      </c>
      <c r="M1365" s="24">
        <v>50000</v>
      </c>
      <c r="O1365" s="48" t="s">
        <v>97</v>
      </c>
      <c r="P1365" s="48">
        <f>HEX2DEC(RIGHT(Table1323212714[[#This Row],[h1]],8))</f>
        <v>0</v>
      </c>
      <c r="Q1365" s="48" t="s">
        <v>97</v>
      </c>
      <c r="R1365" s="48">
        <f>HEX2DEC(RIGHT(Table1323212714[[#This Row],[h2]],8))</f>
        <v>0</v>
      </c>
    </row>
    <row r="1366" spans="1:18" x14ac:dyDescent="0.3">
      <c r="A1366" s="15" t="str">
        <f t="shared" si="26"/>
        <v>54C</v>
      </c>
      <c r="B1366" s="15">
        <v>1356</v>
      </c>
      <c r="C1366" s="42"/>
      <c r="F1366" s="22"/>
      <c r="G1366" s="22"/>
      <c r="J1366" s="24">
        <v>50000</v>
      </c>
      <c r="M1366" s="24">
        <v>50000</v>
      </c>
      <c r="O1366" s="48" t="s">
        <v>97</v>
      </c>
      <c r="P1366" s="48">
        <f>HEX2DEC(RIGHT(Table1323212714[[#This Row],[h1]],8))</f>
        <v>0</v>
      </c>
      <c r="Q1366" s="48" t="s">
        <v>97</v>
      </c>
      <c r="R1366" s="48">
        <f>HEX2DEC(RIGHT(Table1323212714[[#This Row],[h2]],8))</f>
        <v>0</v>
      </c>
    </row>
    <row r="1367" spans="1:18" x14ac:dyDescent="0.3">
      <c r="A1367" s="15" t="str">
        <f t="shared" si="26"/>
        <v>54D</v>
      </c>
      <c r="B1367" s="15">
        <v>1357</v>
      </c>
      <c r="C1367" s="42"/>
      <c r="F1367" s="22"/>
      <c r="G1367" s="22"/>
      <c r="J1367" s="24">
        <v>50000</v>
      </c>
      <c r="M1367" s="24">
        <v>50000</v>
      </c>
      <c r="O1367" s="48" t="s">
        <v>97</v>
      </c>
      <c r="P1367" s="48">
        <f>HEX2DEC(RIGHT(Table1323212714[[#This Row],[h1]],8))</f>
        <v>0</v>
      </c>
      <c r="Q1367" s="48" t="s">
        <v>97</v>
      </c>
      <c r="R1367" s="48">
        <f>HEX2DEC(RIGHT(Table1323212714[[#This Row],[h2]],8))</f>
        <v>0</v>
      </c>
    </row>
    <row r="1368" spans="1:18" x14ac:dyDescent="0.3">
      <c r="A1368" s="15" t="str">
        <f t="shared" si="26"/>
        <v>54E</v>
      </c>
      <c r="B1368" s="15">
        <v>1358</v>
      </c>
      <c r="C1368" s="42"/>
      <c r="F1368" s="22"/>
      <c r="G1368" s="22"/>
      <c r="J1368" s="24">
        <v>50000</v>
      </c>
      <c r="M1368" s="24">
        <v>50000</v>
      </c>
      <c r="O1368" s="48" t="s">
        <v>97</v>
      </c>
      <c r="P1368" s="48">
        <f>HEX2DEC(RIGHT(Table1323212714[[#This Row],[h1]],8))</f>
        <v>0</v>
      </c>
      <c r="Q1368" s="48" t="s">
        <v>97</v>
      </c>
      <c r="R1368" s="48">
        <f>HEX2DEC(RIGHT(Table1323212714[[#This Row],[h2]],8))</f>
        <v>0</v>
      </c>
    </row>
    <row r="1369" spans="1:18" x14ac:dyDescent="0.3">
      <c r="A1369" s="15" t="str">
        <f t="shared" si="26"/>
        <v>54F</v>
      </c>
      <c r="B1369" s="15">
        <v>1359</v>
      </c>
      <c r="C1369" s="42"/>
      <c r="F1369" s="22"/>
      <c r="G1369" s="22"/>
      <c r="J1369" s="24">
        <v>50000</v>
      </c>
      <c r="M1369" s="24">
        <v>50000</v>
      </c>
      <c r="O1369" s="48" t="s">
        <v>97</v>
      </c>
      <c r="P1369" s="48">
        <f>HEX2DEC(RIGHT(Table1323212714[[#This Row],[h1]],8))</f>
        <v>0</v>
      </c>
      <c r="Q1369" s="48" t="s">
        <v>97</v>
      </c>
      <c r="R1369" s="48">
        <f>HEX2DEC(RIGHT(Table1323212714[[#This Row],[h2]],8))</f>
        <v>0</v>
      </c>
    </row>
    <row r="1370" spans="1:18" x14ac:dyDescent="0.3">
      <c r="A1370" s="15" t="str">
        <f t="shared" si="26"/>
        <v>550</v>
      </c>
      <c r="B1370" s="15">
        <v>1360</v>
      </c>
      <c r="C1370" s="42"/>
      <c r="F1370" s="22"/>
      <c r="G1370" s="22"/>
      <c r="J1370" s="24">
        <v>50000</v>
      </c>
      <c r="M1370" s="24">
        <v>50000</v>
      </c>
      <c r="O1370" s="48" t="s">
        <v>97</v>
      </c>
      <c r="P1370" s="48">
        <f>HEX2DEC(RIGHT(Table1323212714[[#This Row],[h1]],8))</f>
        <v>0</v>
      </c>
      <c r="Q1370" s="48" t="s">
        <v>97</v>
      </c>
      <c r="R1370" s="48">
        <f>HEX2DEC(RIGHT(Table1323212714[[#This Row],[h2]],8))</f>
        <v>0</v>
      </c>
    </row>
    <row r="1371" spans="1:18" x14ac:dyDescent="0.3">
      <c r="A1371" s="15" t="str">
        <f t="shared" si="26"/>
        <v>551</v>
      </c>
      <c r="B1371" s="15">
        <v>1361</v>
      </c>
      <c r="C1371" s="42"/>
      <c r="F1371" s="22"/>
      <c r="G1371" s="22"/>
      <c r="J1371" s="24">
        <v>50000</v>
      </c>
      <c r="M1371" s="24">
        <v>50000</v>
      </c>
      <c r="O1371" s="48" t="s">
        <v>97</v>
      </c>
      <c r="P1371" s="48">
        <f>HEX2DEC(RIGHT(Table1323212714[[#This Row],[h1]],8))</f>
        <v>0</v>
      </c>
      <c r="Q1371" s="48" t="s">
        <v>97</v>
      </c>
      <c r="R1371" s="48">
        <f>HEX2DEC(RIGHT(Table1323212714[[#This Row],[h2]],8))</f>
        <v>0</v>
      </c>
    </row>
    <row r="1372" spans="1:18" x14ac:dyDescent="0.3">
      <c r="A1372" s="15" t="str">
        <f t="shared" si="26"/>
        <v>552</v>
      </c>
      <c r="B1372" s="15">
        <v>1362</v>
      </c>
      <c r="C1372" s="42"/>
      <c r="F1372" s="22"/>
      <c r="G1372" s="22"/>
      <c r="J1372" s="24">
        <v>50000</v>
      </c>
      <c r="M1372" s="24">
        <v>50000</v>
      </c>
      <c r="O1372" s="48" t="s">
        <v>97</v>
      </c>
      <c r="P1372" s="48">
        <f>HEX2DEC(RIGHT(Table1323212714[[#This Row],[h1]],8))</f>
        <v>0</v>
      </c>
      <c r="Q1372" s="48" t="s">
        <v>97</v>
      </c>
      <c r="R1372" s="48">
        <f>HEX2DEC(RIGHT(Table1323212714[[#This Row],[h2]],8))</f>
        <v>0</v>
      </c>
    </row>
    <row r="1373" spans="1:18" x14ac:dyDescent="0.3">
      <c r="A1373" s="15" t="str">
        <f t="shared" si="26"/>
        <v>553</v>
      </c>
      <c r="B1373" s="15">
        <v>1363</v>
      </c>
      <c r="C1373" s="42"/>
      <c r="F1373" s="22"/>
      <c r="G1373" s="22"/>
      <c r="J1373" s="24">
        <v>50000</v>
      </c>
      <c r="M1373" s="24">
        <v>50000</v>
      </c>
      <c r="O1373" s="48" t="s">
        <v>97</v>
      </c>
      <c r="P1373" s="48">
        <f>HEX2DEC(RIGHT(Table1323212714[[#This Row],[h1]],8))</f>
        <v>0</v>
      </c>
      <c r="Q1373" s="48" t="s">
        <v>97</v>
      </c>
      <c r="R1373" s="48">
        <f>HEX2DEC(RIGHT(Table1323212714[[#This Row],[h2]],8))</f>
        <v>0</v>
      </c>
    </row>
    <row r="1374" spans="1:18" x14ac:dyDescent="0.3">
      <c r="A1374" s="15" t="str">
        <f t="shared" si="26"/>
        <v>554</v>
      </c>
      <c r="B1374" s="15">
        <v>1364</v>
      </c>
      <c r="C1374" s="42"/>
      <c r="F1374" s="22"/>
      <c r="G1374" s="22"/>
      <c r="J1374" s="24">
        <v>50000</v>
      </c>
      <c r="M1374" s="24">
        <v>50000</v>
      </c>
      <c r="O1374" s="48" t="s">
        <v>97</v>
      </c>
      <c r="P1374" s="48">
        <f>HEX2DEC(RIGHT(Table1323212714[[#This Row],[h1]],8))</f>
        <v>0</v>
      </c>
      <c r="Q1374" s="48" t="s">
        <v>97</v>
      </c>
      <c r="R1374" s="48">
        <f>HEX2DEC(RIGHT(Table1323212714[[#This Row],[h2]],8))</f>
        <v>0</v>
      </c>
    </row>
    <row r="1375" spans="1:18" x14ac:dyDescent="0.3">
      <c r="A1375" s="15" t="str">
        <f t="shared" si="26"/>
        <v>555</v>
      </c>
      <c r="B1375" s="15">
        <v>1365</v>
      </c>
      <c r="C1375" s="42"/>
      <c r="F1375" s="22"/>
      <c r="G1375" s="22"/>
      <c r="J1375" s="24">
        <v>50000</v>
      </c>
      <c r="M1375" s="24">
        <v>50000</v>
      </c>
      <c r="O1375" s="48" t="s">
        <v>97</v>
      </c>
      <c r="P1375" s="48">
        <f>HEX2DEC(RIGHT(Table1323212714[[#This Row],[h1]],8))</f>
        <v>0</v>
      </c>
      <c r="Q1375" s="48" t="s">
        <v>97</v>
      </c>
      <c r="R1375" s="48">
        <f>HEX2DEC(RIGHT(Table1323212714[[#This Row],[h2]],8))</f>
        <v>0</v>
      </c>
    </row>
    <row r="1376" spans="1:18" x14ac:dyDescent="0.3">
      <c r="A1376" s="15" t="str">
        <f t="shared" si="26"/>
        <v>556</v>
      </c>
      <c r="B1376" s="15">
        <v>1366</v>
      </c>
      <c r="C1376" s="42"/>
      <c r="F1376" s="22"/>
      <c r="G1376" s="22"/>
      <c r="J1376" s="24">
        <v>50000</v>
      </c>
      <c r="M1376" s="24">
        <v>50000</v>
      </c>
      <c r="O1376" s="48" t="s">
        <v>97</v>
      </c>
      <c r="P1376" s="48">
        <f>HEX2DEC(RIGHT(Table1323212714[[#This Row],[h1]],8))</f>
        <v>0</v>
      </c>
      <c r="Q1376" s="48" t="s">
        <v>97</v>
      </c>
      <c r="R1376" s="48">
        <f>HEX2DEC(RIGHT(Table1323212714[[#This Row],[h2]],8))</f>
        <v>0</v>
      </c>
    </row>
    <row r="1377" spans="1:18" x14ac:dyDescent="0.3">
      <c r="A1377" s="15" t="str">
        <f t="shared" si="26"/>
        <v>557</v>
      </c>
      <c r="B1377" s="15">
        <v>1367</v>
      </c>
      <c r="C1377" s="42"/>
      <c r="F1377" s="22"/>
      <c r="G1377" s="22"/>
      <c r="J1377" s="24">
        <v>50000</v>
      </c>
      <c r="M1377" s="24">
        <v>50000</v>
      </c>
      <c r="O1377" s="48" t="s">
        <v>97</v>
      </c>
      <c r="P1377" s="48">
        <f>HEX2DEC(RIGHT(Table1323212714[[#This Row],[h1]],8))</f>
        <v>0</v>
      </c>
      <c r="Q1377" s="48" t="s">
        <v>97</v>
      </c>
      <c r="R1377" s="48">
        <f>HEX2DEC(RIGHT(Table1323212714[[#This Row],[h2]],8))</f>
        <v>0</v>
      </c>
    </row>
    <row r="1378" spans="1:18" x14ac:dyDescent="0.3">
      <c r="A1378" s="15" t="str">
        <f t="shared" si="26"/>
        <v>558</v>
      </c>
      <c r="B1378" s="15">
        <v>1368</v>
      </c>
      <c r="C1378" s="42"/>
      <c r="F1378" s="22"/>
      <c r="G1378" s="22"/>
      <c r="J1378" s="24">
        <v>50000</v>
      </c>
      <c r="M1378" s="24">
        <v>50000</v>
      </c>
      <c r="O1378" s="48" t="s">
        <v>97</v>
      </c>
      <c r="P1378" s="48">
        <f>HEX2DEC(RIGHT(Table1323212714[[#This Row],[h1]],8))</f>
        <v>0</v>
      </c>
      <c r="Q1378" s="48" t="s">
        <v>97</v>
      </c>
      <c r="R1378" s="48">
        <f>HEX2DEC(RIGHT(Table1323212714[[#This Row],[h2]],8))</f>
        <v>0</v>
      </c>
    </row>
    <row r="1379" spans="1:18" x14ac:dyDescent="0.3">
      <c r="A1379" s="15" t="str">
        <f t="shared" si="26"/>
        <v>559</v>
      </c>
      <c r="B1379" s="15">
        <v>1369</v>
      </c>
      <c r="C1379" s="42"/>
      <c r="F1379" s="22"/>
      <c r="G1379" s="22"/>
      <c r="J1379" s="24">
        <v>50000</v>
      </c>
      <c r="M1379" s="24">
        <v>50000</v>
      </c>
      <c r="O1379" s="48" t="s">
        <v>97</v>
      </c>
      <c r="P1379" s="48">
        <f>HEX2DEC(RIGHT(Table1323212714[[#This Row],[h1]],8))</f>
        <v>0</v>
      </c>
      <c r="Q1379" s="48" t="s">
        <v>97</v>
      </c>
      <c r="R1379" s="48">
        <f>HEX2DEC(RIGHT(Table1323212714[[#This Row],[h2]],8))</f>
        <v>0</v>
      </c>
    </row>
    <row r="1380" spans="1:18" x14ac:dyDescent="0.3">
      <c r="A1380" s="15" t="str">
        <f t="shared" si="26"/>
        <v>55A</v>
      </c>
      <c r="B1380" s="15">
        <v>1370</v>
      </c>
      <c r="C1380" s="42"/>
      <c r="F1380" s="22"/>
      <c r="G1380" s="22"/>
      <c r="J1380" s="24">
        <v>50000</v>
      </c>
      <c r="M1380" s="24">
        <v>50000</v>
      </c>
      <c r="O1380" s="48" t="s">
        <v>97</v>
      </c>
      <c r="P1380" s="48">
        <f>HEX2DEC(RIGHT(Table1323212714[[#This Row],[h1]],8))</f>
        <v>0</v>
      </c>
      <c r="Q1380" s="48" t="s">
        <v>97</v>
      </c>
      <c r="R1380" s="48">
        <f>HEX2DEC(RIGHT(Table1323212714[[#This Row],[h2]],8))</f>
        <v>0</v>
      </c>
    </row>
    <row r="1381" spans="1:18" x14ac:dyDescent="0.3">
      <c r="A1381" s="15" t="str">
        <f t="shared" si="26"/>
        <v>55B</v>
      </c>
      <c r="B1381" s="15">
        <v>1371</v>
      </c>
      <c r="C1381" s="42"/>
      <c r="F1381" s="22"/>
      <c r="G1381" s="22"/>
      <c r="J1381" s="24">
        <v>50000</v>
      </c>
      <c r="M1381" s="24">
        <v>50000</v>
      </c>
      <c r="O1381" s="48" t="s">
        <v>97</v>
      </c>
      <c r="P1381" s="48">
        <f>HEX2DEC(RIGHT(Table1323212714[[#This Row],[h1]],8))</f>
        <v>0</v>
      </c>
      <c r="Q1381" s="48" t="s">
        <v>97</v>
      </c>
      <c r="R1381" s="48">
        <f>HEX2DEC(RIGHT(Table1323212714[[#This Row],[h2]],8))</f>
        <v>0</v>
      </c>
    </row>
    <row r="1382" spans="1:18" x14ac:dyDescent="0.3">
      <c r="A1382" s="15" t="str">
        <f t="shared" si="26"/>
        <v>55C</v>
      </c>
      <c r="B1382" s="15">
        <v>1372</v>
      </c>
      <c r="C1382" s="42"/>
      <c r="F1382" s="22"/>
      <c r="G1382" s="22"/>
      <c r="J1382" s="24">
        <v>50000</v>
      </c>
      <c r="M1382" s="24">
        <v>50000</v>
      </c>
      <c r="O1382" s="48" t="s">
        <v>97</v>
      </c>
      <c r="P1382" s="48">
        <f>HEX2DEC(RIGHT(Table1323212714[[#This Row],[h1]],8))</f>
        <v>0</v>
      </c>
      <c r="Q1382" s="48" t="s">
        <v>97</v>
      </c>
      <c r="R1382" s="48">
        <f>HEX2DEC(RIGHT(Table1323212714[[#This Row],[h2]],8))</f>
        <v>0</v>
      </c>
    </row>
    <row r="1383" spans="1:18" x14ac:dyDescent="0.3">
      <c r="A1383" s="15" t="str">
        <f t="shared" si="26"/>
        <v>55D</v>
      </c>
      <c r="B1383" s="15">
        <v>1373</v>
      </c>
      <c r="C1383" s="42"/>
      <c r="F1383" s="22"/>
      <c r="G1383" s="22"/>
      <c r="J1383" s="24">
        <v>50000</v>
      </c>
      <c r="M1383" s="24">
        <v>50000</v>
      </c>
      <c r="O1383" s="48" t="s">
        <v>97</v>
      </c>
      <c r="P1383" s="48">
        <f>HEX2DEC(RIGHT(Table1323212714[[#This Row],[h1]],8))</f>
        <v>0</v>
      </c>
      <c r="Q1383" s="48" t="s">
        <v>97</v>
      </c>
      <c r="R1383" s="48">
        <f>HEX2DEC(RIGHT(Table1323212714[[#This Row],[h2]],8))</f>
        <v>0</v>
      </c>
    </row>
    <row r="1384" spans="1:18" x14ac:dyDescent="0.3">
      <c r="A1384" s="15" t="str">
        <f t="shared" si="26"/>
        <v>55E</v>
      </c>
      <c r="B1384" s="15">
        <v>1374</v>
      </c>
      <c r="C1384" s="42"/>
      <c r="F1384" s="22"/>
      <c r="G1384" s="22"/>
      <c r="J1384" s="24">
        <v>50000</v>
      </c>
      <c r="M1384" s="24">
        <v>50000</v>
      </c>
      <c r="O1384" s="48" t="s">
        <v>97</v>
      </c>
      <c r="P1384" s="48">
        <f>HEX2DEC(RIGHT(Table1323212714[[#This Row],[h1]],8))</f>
        <v>0</v>
      </c>
      <c r="Q1384" s="48" t="s">
        <v>97</v>
      </c>
      <c r="R1384" s="48">
        <f>HEX2DEC(RIGHT(Table1323212714[[#This Row],[h2]],8))</f>
        <v>0</v>
      </c>
    </row>
    <row r="1385" spans="1:18" x14ac:dyDescent="0.3">
      <c r="A1385" s="15" t="str">
        <f t="shared" si="26"/>
        <v>55F</v>
      </c>
      <c r="B1385" s="15">
        <v>1375</v>
      </c>
      <c r="C1385" s="42"/>
      <c r="F1385" s="22"/>
      <c r="G1385" s="22"/>
      <c r="J1385" s="24">
        <v>50000</v>
      </c>
      <c r="M1385" s="24">
        <v>50000</v>
      </c>
      <c r="O1385" s="48" t="s">
        <v>97</v>
      </c>
      <c r="P1385" s="48">
        <f>HEX2DEC(RIGHT(Table1323212714[[#This Row],[h1]],8))</f>
        <v>0</v>
      </c>
      <c r="Q1385" s="48" t="s">
        <v>97</v>
      </c>
      <c r="R1385" s="48">
        <f>HEX2DEC(RIGHT(Table1323212714[[#This Row],[h2]],8))</f>
        <v>0</v>
      </c>
    </row>
    <row r="1386" spans="1:18" x14ac:dyDescent="0.3">
      <c r="A1386" s="15" t="str">
        <f t="shared" si="26"/>
        <v>560</v>
      </c>
      <c r="B1386" s="15">
        <v>1376</v>
      </c>
      <c r="C1386" s="42"/>
      <c r="F1386" s="22"/>
      <c r="G1386" s="22"/>
      <c r="J1386" s="24">
        <v>50000</v>
      </c>
      <c r="M1386" s="24">
        <v>50000</v>
      </c>
      <c r="O1386" s="48" t="s">
        <v>97</v>
      </c>
      <c r="P1386" s="48">
        <f>HEX2DEC(RIGHT(Table1323212714[[#This Row],[h1]],8))</f>
        <v>0</v>
      </c>
      <c r="Q1386" s="48" t="s">
        <v>97</v>
      </c>
      <c r="R1386" s="48">
        <f>HEX2DEC(RIGHT(Table1323212714[[#This Row],[h2]],8))</f>
        <v>0</v>
      </c>
    </row>
    <row r="1387" spans="1:18" x14ac:dyDescent="0.3">
      <c r="A1387" s="15" t="str">
        <f t="shared" si="26"/>
        <v>561</v>
      </c>
      <c r="B1387" s="15">
        <v>1377</v>
      </c>
      <c r="C1387" s="42"/>
      <c r="F1387" s="22"/>
      <c r="G1387" s="22"/>
      <c r="J1387" s="24">
        <v>50000</v>
      </c>
      <c r="M1387" s="24">
        <v>50000</v>
      </c>
      <c r="O1387" s="48" t="s">
        <v>97</v>
      </c>
      <c r="P1387" s="48">
        <f>HEX2DEC(RIGHT(Table1323212714[[#This Row],[h1]],8))</f>
        <v>0</v>
      </c>
      <c r="Q1387" s="48" t="s">
        <v>97</v>
      </c>
      <c r="R1387" s="48">
        <f>HEX2DEC(RIGHT(Table1323212714[[#This Row],[h2]],8))</f>
        <v>0</v>
      </c>
    </row>
    <row r="1388" spans="1:18" x14ac:dyDescent="0.3">
      <c r="A1388" s="15" t="str">
        <f t="shared" si="26"/>
        <v>562</v>
      </c>
      <c r="B1388" s="15">
        <v>1378</v>
      </c>
      <c r="C1388" s="42"/>
      <c r="F1388" s="22"/>
      <c r="G1388" s="22"/>
      <c r="J1388" s="24">
        <v>50000</v>
      </c>
      <c r="M1388" s="24">
        <v>50000</v>
      </c>
      <c r="O1388" s="48" t="s">
        <v>97</v>
      </c>
      <c r="P1388" s="48">
        <f>HEX2DEC(RIGHT(Table1323212714[[#This Row],[h1]],8))</f>
        <v>0</v>
      </c>
      <c r="Q1388" s="48" t="s">
        <v>97</v>
      </c>
      <c r="R1388" s="48">
        <f>HEX2DEC(RIGHT(Table1323212714[[#This Row],[h2]],8))</f>
        <v>0</v>
      </c>
    </row>
    <row r="1389" spans="1:18" x14ac:dyDescent="0.3">
      <c r="A1389" s="15" t="str">
        <f t="shared" si="26"/>
        <v>563</v>
      </c>
      <c r="B1389" s="15">
        <v>1379</v>
      </c>
      <c r="C1389" s="42"/>
      <c r="F1389" s="22"/>
      <c r="G1389" s="22"/>
      <c r="J1389" s="24">
        <v>50000</v>
      </c>
      <c r="M1389" s="24">
        <v>50000</v>
      </c>
      <c r="O1389" s="48" t="s">
        <v>97</v>
      </c>
      <c r="P1389" s="48">
        <f>HEX2DEC(RIGHT(Table1323212714[[#This Row],[h1]],8))</f>
        <v>0</v>
      </c>
      <c r="Q1389" s="48" t="s">
        <v>97</v>
      </c>
      <c r="R1389" s="48">
        <f>HEX2DEC(RIGHT(Table1323212714[[#This Row],[h2]],8))</f>
        <v>0</v>
      </c>
    </row>
    <row r="1390" spans="1:18" x14ac:dyDescent="0.3">
      <c r="A1390" s="15" t="str">
        <f t="shared" si="26"/>
        <v>564</v>
      </c>
      <c r="B1390" s="15">
        <v>1380</v>
      </c>
      <c r="C1390" s="42"/>
      <c r="F1390" s="22"/>
      <c r="G1390" s="22"/>
      <c r="J1390" s="24">
        <v>50000</v>
      </c>
      <c r="M1390" s="24">
        <v>50000</v>
      </c>
      <c r="O1390" s="48" t="s">
        <v>97</v>
      </c>
      <c r="P1390" s="48">
        <f>HEX2DEC(RIGHT(Table1323212714[[#This Row],[h1]],8))</f>
        <v>0</v>
      </c>
      <c r="Q1390" s="48" t="s">
        <v>97</v>
      </c>
      <c r="R1390" s="48">
        <f>HEX2DEC(RIGHT(Table1323212714[[#This Row],[h2]],8))</f>
        <v>0</v>
      </c>
    </row>
    <row r="1391" spans="1:18" x14ac:dyDescent="0.3">
      <c r="A1391" s="15" t="str">
        <f t="shared" si="26"/>
        <v>565</v>
      </c>
      <c r="B1391" s="15">
        <v>1381</v>
      </c>
      <c r="C1391" s="42"/>
      <c r="F1391" s="22"/>
      <c r="G1391" s="22"/>
      <c r="J1391" s="24">
        <v>50000</v>
      </c>
      <c r="M1391" s="24">
        <v>50000</v>
      </c>
      <c r="O1391" s="48" t="s">
        <v>97</v>
      </c>
      <c r="P1391" s="48">
        <f>HEX2DEC(RIGHT(Table1323212714[[#This Row],[h1]],8))</f>
        <v>0</v>
      </c>
      <c r="Q1391" s="48" t="s">
        <v>97</v>
      </c>
      <c r="R1391" s="48">
        <f>HEX2DEC(RIGHT(Table1323212714[[#This Row],[h2]],8))</f>
        <v>0</v>
      </c>
    </row>
    <row r="1392" spans="1:18" x14ac:dyDescent="0.3">
      <c r="A1392" s="15" t="str">
        <f t="shared" si="26"/>
        <v>566</v>
      </c>
      <c r="B1392" s="15">
        <v>1382</v>
      </c>
      <c r="C1392" s="42"/>
      <c r="F1392" s="22"/>
      <c r="G1392" s="22"/>
      <c r="J1392" s="24">
        <v>50000</v>
      </c>
      <c r="M1392" s="24">
        <v>50000</v>
      </c>
      <c r="O1392" s="48" t="s">
        <v>97</v>
      </c>
      <c r="P1392" s="48">
        <f>HEX2DEC(RIGHT(Table1323212714[[#This Row],[h1]],8))</f>
        <v>0</v>
      </c>
      <c r="Q1392" s="48" t="s">
        <v>97</v>
      </c>
      <c r="R1392" s="48">
        <f>HEX2DEC(RIGHT(Table1323212714[[#This Row],[h2]],8))</f>
        <v>0</v>
      </c>
    </row>
    <row r="1393" spans="1:18" x14ac:dyDescent="0.3">
      <c r="A1393" s="15" t="str">
        <f t="shared" si="26"/>
        <v>567</v>
      </c>
      <c r="B1393" s="15">
        <v>1383</v>
      </c>
      <c r="C1393" s="42"/>
      <c r="F1393" s="22"/>
      <c r="G1393" s="22"/>
      <c r="J1393" s="24">
        <v>50000</v>
      </c>
      <c r="M1393" s="24">
        <v>50000</v>
      </c>
      <c r="O1393" s="48" t="s">
        <v>97</v>
      </c>
      <c r="P1393" s="48">
        <f>HEX2DEC(RIGHT(Table1323212714[[#This Row],[h1]],8))</f>
        <v>0</v>
      </c>
      <c r="Q1393" s="48" t="s">
        <v>97</v>
      </c>
      <c r="R1393" s="48">
        <f>HEX2DEC(RIGHT(Table1323212714[[#This Row],[h2]],8))</f>
        <v>0</v>
      </c>
    </row>
    <row r="1394" spans="1:18" x14ac:dyDescent="0.3">
      <c r="A1394" s="15" t="str">
        <f t="shared" si="26"/>
        <v>568</v>
      </c>
      <c r="B1394" s="15">
        <v>1384</v>
      </c>
      <c r="C1394" s="42"/>
      <c r="F1394" s="22"/>
      <c r="G1394" s="22"/>
      <c r="J1394" s="24">
        <v>50000</v>
      </c>
      <c r="M1394" s="24">
        <v>50000</v>
      </c>
      <c r="O1394" s="48" t="s">
        <v>97</v>
      </c>
      <c r="P1394" s="48">
        <f>HEX2DEC(RIGHT(Table1323212714[[#This Row],[h1]],8))</f>
        <v>0</v>
      </c>
      <c r="Q1394" s="48" t="s">
        <v>97</v>
      </c>
      <c r="R1394" s="48">
        <f>HEX2DEC(RIGHT(Table1323212714[[#This Row],[h2]],8))</f>
        <v>0</v>
      </c>
    </row>
    <row r="1395" spans="1:18" x14ac:dyDescent="0.3">
      <c r="A1395" s="15" t="str">
        <f t="shared" si="26"/>
        <v>569</v>
      </c>
      <c r="B1395" s="15">
        <v>1385</v>
      </c>
      <c r="C1395" s="42"/>
      <c r="F1395" s="22"/>
      <c r="G1395" s="22"/>
      <c r="J1395" s="24">
        <v>50000</v>
      </c>
      <c r="M1395" s="24">
        <v>50000</v>
      </c>
      <c r="O1395" s="48" t="s">
        <v>97</v>
      </c>
      <c r="P1395" s="48">
        <f>HEX2DEC(RIGHT(Table1323212714[[#This Row],[h1]],8))</f>
        <v>0</v>
      </c>
      <c r="Q1395" s="48" t="s">
        <v>97</v>
      </c>
      <c r="R1395" s="48">
        <f>HEX2DEC(RIGHT(Table1323212714[[#This Row],[h2]],8))</f>
        <v>0</v>
      </c>
    </row>
    <row r="1396" spans="1:18" x14ac:dyDescent="0.3">
      <c r="A1396" s="15" t="str">
        <f t="shared" si="26"/>
        <v>56A</v>
      </c>
      <c r="B1396" s="15">
        <v>1386</v>
      </c>
      <c r="C1396" s="42"/>
      <c r="F1396" s="22"/>
      <c r="G1396" s="22"/>
      <c r="J1396" s="24">
        <v>50000</v>
      </c>
      <c r="M1396" s="24">
        <v>50000</v>
      </c>
      <c r="O1396" s="48" t="s">
        <v>97</v>
      </c>
      <c r="P1396" s="48">
        <f>HEX2DEC(RIGHT(Table1323212714[[#This Row],[h1]],8))</f>
        <v>0</v>
      </c>
      <c r="Q1396" s="48" t="s">
        <v>97</v>
      </c>
      <c r="R1396" s="48">
        <f>HEX2DEC(RIGHT(Table1323212714[[#This Row],[h2]],8))</f>
        <v>0</v>
      </c>
    </row>
    <row r="1397" spans="1:18" x14ac:dyDescent="0.3">
      <c r="A1397" s="15" t="str">
        <f t="shared" si="26"/>
        <v>56B</v>
      </c>
      <c r="B1397" s="15">
        <v>1387</v>
      </c>
      <c r="C1397" s="42"/>
      <c r="F1397" s="22"/>
      <c r="G1397" s="22"/>
      <c r="J1397" s="24">
        <v>50000</v>
      </c>
      <c r="M1397" s="24">
        <v>50000</v>
      </c>
      <c r="O1397" s="48" t="s">
        <v>97</v>
      </c>
      <c r="P1397" s="48">
        <f>HEX2DEC(RIGHT(Table1323212714[[#This Row],[h1]],8))</f>
        <v>0</v>
      </c>
      <c r="Q1397" s="48" t="s">
        <v>97</v>
      </c>
      <c r="R1397" s="48">
        <f>HEX2DEC(RIGHT(Table1323212714[[#This Row],[h2]],8))</f>
        <v>0</v>
      </c>
    </row>
    <row r="1398" spans="1:18" x14ac:dyDescent="0.3">
      <c r="A1398" s="15" t="str">
        <f t="shared" si="26"/>
        <v>56C</v>
      </c>
      <c r="B1398" s="15">
        <v>1388</v>
      </c>
      <c r="C1398" s="42"/>
      <c r="F1398" s="22"/>
      <c r="G1398" s="22"/>
      <c r="J1398" s="24">
        <v>50000</v>
      </c>
      <c r="M1398" s="24">
        <v>50000</v>
      </c>
      <c r="O1398" s="48" t="s">
        <v>97</v>
      </c>
      <c r="P1398" s="48">
        <f>HEX2DEC(RIGHT(Table1323212714[[#This Row],[h1]],8))</f>
        <v>0</v>
      </c>
      <c r="Q1398" s="48" t="s">
        <v>97</v>
      </c>
      <c r="R1398" s="48">
        <f>HEX2DEC(RIGHT(Table1323212714[[#This Row],[h2]],8))</f>
        <v>0</v>
      </c>
    </row>
    <row r="1399" spans="1:18" x14ac:dyDescent="0.3">
      <c r="A1399" s="15" t="str">
        <f t="shared" si="26"/>
        <v>56D</v>
      </c>
      <c r="B1399" s="15">
        <v>1389</v>
      </c>
      <c r="C1399" s="42"/>
      <c r="F1399" s="22"/>
      <c r="G1399" s="22"/>
      <c r="J1399" s="24">
        <v>50000</v>
      </c>
      <c r="M1399" s="24">
        <v>50000</v>
      </c>
      <c r="O1399" s="48" t="s">
        <v>97</v>
      </c>
      <c r="P1399" s="48">
        <f>HEX2DEC(RIGHT(Table1323212714[[#This Row],[h1]],8))</f>
        <v>0</v>
      </c>
      <c r="Q1399" s="48" t="s">
        <v>97</v>
      </c>
      <c r="R1399" s="48">
        <f>HEX2DEC(RIGHT(Table1323212714[[#This Row],[h2]],8))</f>
        <v>0</v>
      </c>
    </row>
    <row r="1400" spans="1:18" x14ac:dyDescent="0.3">
      <c r="A1400" s="15" t="str">
        <f t="shared" si="26"/>
        <v>56E</v>
      </c>
      <c r="B1400" s="15">
        <v>1390</v>
      </c>
      <c r="C1400" s="42"/>
      <c r="F1400" s="22"/>
      <c r="G1400" s="22"/>
      <c r="J1400" s="24">
        <v>50000</v>
      </c>
      <c r="M1400" s="24">
        <v>50000</v>
      </c>
      <c r="O1400" s="48" t="s">
        <v>97</v>
      </c>
      <c r="P1400" s="48">
        <f>HEX2DEC(RIGHT(Table1323212714[[#This Row],[h1]],8))</f>
        <v>0</v>
      </c>
      <c r="Q1400" s="48" t="s">
        <v>97</v>
      </c>
      <c r="R1400" s="48">
        <f>HEX2DEC(RIGHT(Table1323212714[[#This Row],[h2]],8))</f>
        <v>0</v>
      </c>
    </row>
    <row r="1401" spans="1:18" x14ac:dyDescent="0.3">
      <c r="A1401" s="15" t="str">
        <f t="shared" si="26"/>
        <v>56F</v>
      </c>
      <c r="B1401" s="15">
        <v>1391</v>
      </c>
      <c r="C1401" s="42"/>
      <c r="F1401" s="22"/>
      <c r="G1401" s="22"/>
      <c r="J1401" s="24">
        <v>50000</v>
      </c>
      <c r="M1401" s="24">
        <v>50000</v>
      </c>
      <c r="O1401" s="48" t="s">
        <v>97</v>
      </c>
      <c r="P1401" s="48">
        <f>HEX2DEC(RIGHT(Table1323212714[[#This Row],[h1]],8))</f>
        <v>0</v>
      </c>
      <c r="Q1401" s="48" t="s">
        <v>97</v>
      </c>
      <c r="R1401" s="48">
        <f>HEX2DEC(RIGHT(Table1323212714[[#This Row],[h2]],8))</f>
        <v>0</v>
      </c>
    </row>
    <row r="1402" spans="1:18" x14ac:dyDescent="0.3">
      <c r="A1402" s="15" t="str">
        <f t="shared" si="26"/>
        <v>570</v>
      </c>
      <c r="B1402" s="15">
        <v>1392</v>
      </c>
      <c r="C1402" s="42"/>
      <c r="F1402" s="22"/>
      <c r="G1402" s="22"/>
      <c r="J1402" s="24">
        <v>50000</v>
      </c>
      <c r="M1402" s="24">
        <v>50000</v>
      </c>
      <c r="O1402" s="48" t="s">
        <v>97</v>
      </c>
      <c r="P1402" s="48">
        <f>HEX2DEC(RIGHT(Table1323212714[[#This Row],[h1]],8))</f>
        <v>0</v>
      </c>
      <c r="Q1402" s="48" t="s">
        <v>97</v>
      </c>
      <c r="R1402" s="48">
        <f>HEX2DEC(RIGHT(Table1323212714[[#This Row],[h2]],8))</f>
        <v>0</v>
      </c>
    </row>
    <row r="1403" spans="1:18" x14ac:dyDescent="0.3">
      <c r="A1403" s="15" t="str">
        <f t="shared" si="26"/>
        <v>571</v>
      </c>
      <c r="B1403" s="15">
        <v>1393</v>
      </c>
      <c r="C1403" s="42"/>
      <c r="F1403" s="22"/>
      <c r="G1403" s="22"/>
      <c r="J1403" s="24">
        <v>50000</v>
      </c>
      <c r="M1403" s="24">
        <v>50000</v>
      </c>
      <c r="O1403" s="48" t="s">
        <v>97</v>
      </c>
      <c r="P1403" s="48">
        <f>HEX2DEC(RIGHT(Table1323212714[[#This Row],[h1]],8))</f>
        <v>0</v>
      </c>
      <c r="Q1403" s="48" t="s">
        <v>97</v>
      </c>
      <c r="R1403" s="48">
        <f>HEX2DEC(RIGHT(Table1323212714[[#This Row],[h2]],8))</f>
        <v>0</v>
      </c>
    </row>
    <row r="1404" spans="1:18" x14ac:dyDescent="0.3">
      <c r="A1404" s="15" t="str">
        <f t="shared" si="26"/>
        <v>572</v>
      </c>
      <c r="B1404" s="15">
        <v>1394</v>
      </c>
      <c r="C1404" s="42"/>
      <c r="F1404" s="22"/>
      <c r="G1404" s="22"/>
      <c r="J1404" s="24">
        <v>50000</v>
      </c>
      <c r="M1404" s="24">
        <v>50000</v>
      </c>
      <c r="O1404" s="48" t="s">
        <v>97</v>
      </c>
      <c r="P1404" s="48">
        <f>HEX2DEC(RIGHT(Table1323212714[[#This Row],[h1]],8))</f>
        <v>0</v>
      </c>
      <c r="Q1404" s="48" t="s">
        <v>97</v>
      </c>
      <c r="R1404" s="48">
        <f>HEX2DEC(RIGHT(Table1323212714[[#This Row],[h2]],8))</f>
        <v>0</v>
      </c>
    </row>
    <row r="1405" spans="1:18" x14ac:dyDescent="0.3">
      <c r="A1405" s="15" t="str">
        <f t="shared" si="26"/>
        <v>573</v>
      </c>
      <c r="B1405" s="15">
        <v>1395</v>
      </c>
      <c r="C1405" s="42"/>
      <c r="F1405" s="22"/>
      <c r="G1405" s="22"/>
      <c r="J1405" s="24">
        <v>50000</v>
      </c>
      <c r="M1405" s="24">
        <v>50000</v>
      </c>
      <c r="O1405" s="48" t="s">
        <v>97</v>
      </c>
      <c r="P1405" s="48">
        <f>HEX2DEC(RIGHT(Table1323212714[[#This Row],[h1]],8))</f>
        <v>0</v>
      </c>
      <c r="Q1405" s="48" t="s">
        <v>97</v>
      </c>
      <c r="R1405" s="48">
        <f>HEX2DEC(RIGHT(Table1323212714[[#This Row],[h2]],8))</f>
        <v>0</v>
      </c>
    </row>
    <row r="1406" spans="1:18" x14ac:dyDescent="0.3">
      <c r="A1406" s="15" t="str">
        <f t="shared" si="26"/>
        <v>574</v>
      </c>
      <c r="B1406" s="15">
        <v>1396</v>
      </c>
      <c r="C1406" s="42"/>
      <c r="F1406" s="22"/>
      <c r="G1406" s="22"/>
      <c r="J1406" s="24">
        <v>50000</v>
      </c>
      <c r="M1406" s="24">
        <v>50000</v>
      </c>
      <c r="O1406" s="48" t="s">
        <v>97</v>
      </c>
      <c r="P1406" s="48">
        <f>HEX2DEC(RIGHT(Table1323212714[[#This Row],[h1]],8))</f>
        <v>0</v>
      </c>
      <c r="Q1406" s="48" t="s">
        <v>97</v>
      </c>
      <c r="R1406" s="48">
        <f>HEX2DEC(RIGHT(Table1323212714[[#This Row],[h2]],8))</f>
        <v>0</v>
      </c>
    </row>
    <row r="1407" spans="1:18" x14ac:dyDescent="0.3">
      <c r="A1407" s="15" t="str">
        <f t="shared" si="26"/>
        <v>575</v>
      </c>
      <c r="B1407" s="15">
        <v>1397</v>
      </c>
      <c r="C1407" s="42"/>
      <c r="F1407" s="22"/>
      <c r="G1407" s="22"/>
      <c r="J1407" s="24">
        <v>50000</v>
      </c>
      <c r="M1407" s="24">
        <v>50000</v>
      </c>
      <c r="O1407" s="48" t="s">
        <v>97</v>
      </c>
      <c r="P1407" s="48">
        <f>HEX2DEC(RIGHT(Table1323212714[[#This Row],[h1]],8))</f>
        <v>0</v>
      </c>
      <c r="Q1407" s="48" t="s">
        <v>97</v>
      </c>
      <c r="R1407" s="48">
        <f>HEX2DEC(RIGHT(Table1323212714[[#This Row],[h2]],8))</f>
        <v>0</v>
      </c>
    </row>
    <row r="1408" spans="1:18" x14ac:dyDescent="0.3">
      <c r="A1408" s="15" t="str">
        <f t="shared" si="26"/>
        <v>576</v>
      </c>
      <c r="B1408" s="15">
        <v>1398</v>
      </c>
      <c r="C1408" s="42"/>
      <c r="F1408" s="22"/>
      <c r="G1408" s="22"/>
      <c r="J1408" s="24">
        <v>50000</v>
      </c>
      <c r="M1408" s="24">
        <v>50000</v>
      </c>
      <c r="O1408" s="48" t="s">
        <v>97</v>
      </c>
      <c r="P1408" s="48">
        <f>HEX2DEC(RIGHT(Table1323212714[[#This Row],[h1]],8))</f>
        <v>0</v>
      </c>
      <c r="Q1408" s="48" t="s">
        <v>97</v>
      </c>
      <c r="R1408" s="48">
        <f>HEX2DEC(RIGHT(Table1323212714[[#This Row],[h2]],8))</f>
        <v>0</v>
      </c>
    </row>
    <row r="1409" spans="1:18" x14ac:dyDescent="0.3">
      <c r="A1409" s="15" t="str">
        <f t="shared" si="26"/>
        <v>577</v>
      </c>
      <c r="B1409" s="15">
        <v>1399</v>
      </c>
      <c r="C1409" s="42"/>
      <c r="F1409" s="22"/>
      <c r="G1409" s="22"/>
      <c r="J1409" s="24">
        <v>50000</v>
      </c>
      <c r="M1409" s="24">
        <v>50000</v>
      </c>
      <c r="O1409" s="48" t="s">
        <v>97</v>
      </c>
      <c r="P1409" s="48">
        <f>HEX2DEC(RIGHT(Table1323212714[[#This Row],[h1]],8))</f>
        <v>0</v>
      </c>
      <c r="Q1409" s="48" t="s">
        <v>97</v>
      </c>
      <c r="R1409" s="48">
        <f>HEX2DEC(RIGHT(Table1323212714[[#This Row],[h2]],8))</f>
        <v>0</v>
      </c>
    </row>
    <row r="1410" spans="1:18" x14ac:dyDescent="0.3">
      <c r="A1410" s="15" t="str">
        <f t="shared" si="26"/>
        <v>578</v>
      </c>
      <c r="B1410" s="15">
        <v>1400</v>
      </c>
      <c r="C1410" s="42"/>
      <c r="F1410" s="22"/>
      <c r="G1410" s="22"/>
      <c r="J1410" s="24">
        <v>50000</v>
      </c>
      <c r="M1410" s="24">
        <v>50000</v>
      </c>
      <c r="O1410" s="48" t="s">
        <v>97</v>
      </c>
      <c r="P1410" s="48">
        <f>HEX2DEC(RIGHT(Table1323212714[[#This Row],[h1]],8))</f>
        <v>0</v>
      </c>
      <c r="Q1410" s="48" t="s">
        <v>97</v>
      </c>
      <c r="R1410" s="48">
        <f>HEX2DEC(RIGHT(Table1323212714[[#This Row],[h2]],8))</f>
        <v>0</v>
      </c>
    </row>
    <row r="1411" spans="1:18" x14ac:dyDescent="0.3">
      <c r="A1411" s="15" t="str">
        <f t="shared" si="26"/>
        <v>579</v>
      </c>
      <c r="B1411" s="15">
        <v>1401</v>
      </c>
      <c r="C1411" s="42"/>
      <c r="D1411" s="15" t="s">
        <v>27</v>
      </c>
      <c r="F1411" s="22"/>
      <c r="G1411" s="22"/>
      <c r="J1411" s="24">
        <v>50000</v>
      </c>
      <c r="M1411" s="24">
        <v>50000</v>
      </c>
      <c r="O1411" s="48" t="s">
        <v>97</v>
      </c>
      <c r="P1411" s="48">
        <f>HEX2DEC(RIGHT(Table1323212714[[#This Row],[h1]],8))</f>
        <v>0</v>
      </c>
      <c r="Q1411" s="48" t="s">
        <v>97</v>
      </c>
      <c r="R1411" s="48">
        <f>HEX2DEC(RIGHT(Table1323212714[[#This Row],[h2]],8))</f>
        <v>0</v>
      </c>
    </row>
    <row r="1412" spans="1:18" x14ac:dyDescent="0.3">
      <c r="A1412" s="15" t="str">
        <f t="shared" si="26"/>
        <v>57A</v>
      </c>
      <c r="B1412" s="15">
        <v>1402</v>
      </c>
      <c r="C1412" s="42"/>
      <c r="F1412" s="22"/>
      <c r="G1412" s="22"/>
      <c r="J1412" s="24">
        <v>50000</v>
      </c>
      <c r="M1412" s="24">
        <v>50000</v>
      </c>
      <c r="O1412" s="48" t="s">
        <v>97</v>
      </c>
      <c r="P1412" s="48">
        <f>HEX2DEC(RIGHT(Table1323212714[[#This Row],[h1]],8))</f>
        <v>0</v>
      </c>
      <c r="Q1412" s="48" t="s">
        <v>97</v>
      </c>
      <c r="R1412" s="48">
        <f>HEX2DEC(RIGHT(Table1323212714[[#This Row],[h2]],8))</f>
        <v>0</v>
      </c>
    </row>
    <row r="1413" spans="1:18" x14ac:dyDescent="0.3">
      <c r="A1413" s="15" t="str">
        <f t="shared" si="26"/>
        <v>57B</v>
      </c>
      <c r="B1413" s="15">
        <v>1403</v>
      </c>
      <c r="C1413" s="42"/>
      <c r="F1413" s="22"/>
      <c r="G1413" s="22"/>
      <c r="J1413" s="24">
        <v>50000</v>
      </c>
      <c r="M1413" s="24">
        <v>50000</v>
      </c>
      <c r="O1413" s="48" t="s">
        <v>97</v>
      </c>
      <c r="P1413" s="48">
        <f>HEX2DEC(RIGHT(Table1323212714[[#This Row],[h1]],8))</f>
        <v>0</v>
      </c>
      <c r="Q1413" s="48" t="s">
        <v>97</v>
      </c>
      <c r="R1413" s="48">
        <f>HEX2DEC(RIGHT(Table1323212714[[#This Row],[h2]],8))</f>
        <v>0</v>
      </c>
    </row>
    <row r="1414" spans="1:18" x14ac:dyDescent="0.3">
      <c r="A1414" s="15" t="str">
        <f t="shared" si="26"/>
        <v>57C</v>
      </c>
      <c r="B1414" s="15">
        <v>1404</v>
      </c>
      <c r="C1414" s="42"/>
      <c r="F1414" s="22"/>
      <c r="G1414" s="22"/>
      <c r="J1414" s="24">
        <v>50000</v>
      </c>
      <c r="M1414" s="24">
        <v>50000</v>
      </c>
      <c r="O1414" s="48" t="s">
        <v>97</v>
      </c>
      <c r="P1414" s="48">
        <f>HEX2DEC(RIGHT(Table1323212714[[#This Row],[h1]],8))</f>
        <v>0</v>
      </c>
      <c r="Q1414" s="48" t="s">
        <v>97</v>
      </c>
      <c r="R1414" s="48">
        <f>HEX2DEC(RIGHT(Table1323212714[[#This Row],[h2]],8))</f>
        <v>0</v>
      </c>
    </row>
    <row r="1415" spans="1:18" x14ac:dyDescent="0.3">
      <c r="A1415" s="15" t="str">
        <f t="shared" si="26"/>
        <v>57D</v>
      </c>
      <c r="B1415" s="15">
        <v>1405</v>
      </c>
      <c r="C1415" s="42"/>
      <c r="F1415" s="22"/>
      <c r="G1415" s="22"/>
      <c r="J1415" s="24">
        <v>50000</v>
      </c>
      <c r="M1415" s="24">
        <v>50000</v>
      </c>
      <c r="O1415" s="48" t="s">
        <v>97</v>
      </c>
      <c r="P1415" s="48">
        <f>HEX2DEC(RIGHT(Table1323212714[[#This Row],[h1]],8))</f>
        <v>0</v>
      </c>
      <c r="Q1415" s="48" t="s">
        <v>97</v>
      </c>
      <c r="R1415" s="48">
        <f>HEX2DEC(RIGHT(Table1323212714[[#This Row],[h2]],8))</f>
        <v>0</v>
      </c>
    </row>
    <row r="1416" spans="1:18" x14ac:dyDescent="0.3">
      <c r="A1416" s="15" t="str">
        <f t="shared" si="26"/>
        <v>57E</v>
      </c>
      <c r="B1416" s="15">
        <v>1406</v>
      </c>
      <c r="C1416" s="42"/>
      <c r="F1416" s="22"/>
      <c r="G1416" s="22"/>
      <c r="J1416" s="24">
        <v>50000</v>
      </c>
      <c r="M1416" s="24">
        <v>50000</v>
      </c>
      <c r="O1416" s="48" t="s">
        <v>97</v>
      </c>
      <c r="P1416" s="48">
        <f>HEX2DEC(RIGHT(Table1323212714[[#This Row],[h1]],8))</f>
        <v>0</v>
      </c>
      <c r="Q1416" s="48" t="s">
        <v>97</v>
      </c>
      <c r="R1416" s="48">
        <f>HEX2DEC(RIGHT(Table1323212714[[#This Row],[h2]],8))</f>
        <v>0</v>
      </c>
    </row>
    <row r="1417" spans="1:18" x14ac:dyDescent="0.3">
      <c r="A1417" s="15" t="str">
        <f t="shared" si="26"/>
        <v>57F</v>
      </c>
      <c r="B1417" s="15">
        <v>1407</v>
      </c>
      <c r="C1417" s="42"/>
      <c r="F1417" s="22"/>
      <c r="G1417" s="22"/>
      <c r="J1417" s="24">
        <v>50000</v>
      </c>
      <c r="M1417" s="24">
        <v>50000</v>
      </c>
      <c r="O1417" s="48" t="s">
        <v>97</v>
      </c>
      <c r="P1417" s="48">
        <f>HEX2DEC(RIGHT(Table1323212714[[#This Row],[h1]],8))</f>
        <v>0</v>
      </c>
      <c r="Q1417" s="48" t="s">
        <v>97</v>
      </c>
      <c r="R1417" s="48">
        <f>HEX2DEC(RIGHT(Table1323212714[[#This Row],[h2]],8))</f>
        <v>0</v>
      </c>
    </row>
    <row r="1418" spans="1:18" x14ac:dyDescent="0.3">
      <c r="A1418" s="15" t="str">
        <f t="shared" si="26"/>
        <v>580</v>
      </c>
      <c r="B1418" s="15">
        <v>1408</v>
      </c>
      <c r="C1418" s="42"/>
      <c r="F1418" s="22"/>
      <c r="G1418" s="22"/>
      <c r="J1418" s="24">
        <v>50000</v>
      </c>
      <c r="M1418" s="24">
        <v>50000</v>
      </c>
      <c r="O1418" s="48" t="s">
        <v>97</v>
      </c>
      <c r="P1418" s="48">
        <f>HEX2DEC(RIGHT(Table1323212714[[#This Row],[h1]],8))</f>
        <v>0</v>
      </c>
      <c r="Q1418" s="48" t="s">
        <v>97</v>
      </c>
      <c r="R1418" s="48">
        <f>HEX2DEC(RIGHT(Table1323212714[[#This Row],[h2]],8))</f>
        <v>0</v>
      </c>
    </row>
    <row r="1419" spans="1:18" x14ac:dyDescent="0.3">
      <c r="A1419" s="15" t="str">
        <f t="shared" ref="A1419:A1482" si="27">DEC2HEX(B1419,3)</f>
        <v>581</v>
      </c>
      <c r="B1419" s="15">
        <v>1409</v>
      </c>
      <c r="C1419" s="42"/>
      <c r="F1419" s="22"/>
      <c r="G1419" s="22"/>
      <c r="J1419" s="24">
        <v>50000</v>
      </c>
      <c r="M1419" s="24">
        <v>50000</v>
      </c>
      <c r="O1419" s="48" t="s">
        <v>97</v>
      </c>
      <c r="P1419" s="48">
        <f>HEX2DEC(RIGHT(Table1323212714[[#This Row],[h1]],8))</f>
        <v>0</v>
      </c>
      <c r="Q1419" s="48" t="s">
        <v>97</v>
      </c>
      <c r="R1419" s="48">
        <f>HEX2DEC(RIGHT(Table1323212714[[#This Row],[h2]],8))</f>
        <v>0</v>
      </c>
    </row>
    <row r="1420" spans="1:18" x14ac:dyDescent="0.3">
      <c r="A1420" s="15" t="str">
        <f t="shared" si="27"/>
        <v>582</v>
      </c>
      <c r="B1420" s="15">
        <v>1410</v>
      </c>
      <c r="C1420" s="42"/>
      <c r="F1420" s="22"/>
      <c r="G1420" s="22"/>
      <c r="J1420" s="24">
        <v>50000</v>
      </c>
      <c r="M1420" s="24">
        <v>50000</v>
      </c>
      <c r="O1420" s="48" t="s">
        <v>97</v>
      </c>
      <c r="P1420" s="48">
        <f>HEX2DEC(RIGHT(Table1323212714[[#This Row],[h1]],8))</f>
        <v>0</v>
      </c>
      <c r="Q1420" s="48" t="s">
        <v>97</v>
      </c>
      <c r="R1420" s="48">
        <f>HEX2DEC(RIGHT(Table1323212714[[#This Row],[h2]],8))</f>
        <v>0</v>
      </c>
    </row>
    <row r="1421" spans="1:18" x14ac:dyDescent="0.3">
      <c r="A1421" s="15" t="str">
        <f t="shared" si="27"/>
        <v>583</v>
      </c>
      <c r="B1421" s="15">
        <v>1411</v>
      </c>
      <c r="C1421" s="42"/>
      <c r="F1421" s="22"/>
      <c r="G1421" s="22"/>
      <c r="J1421" s="24">
        <v>50000</v>
      </c>
      <c r="M1421" s="24">
        <v>50000</v>
      </c>
      <c r="O1421" s="48" t="s">
        <v>97</v>
      </c>
      <c r="P1421" s="48">
        <f>HEX2DEC(RIGHT(Table1323212714[[#This Row],[h1]],8))</f>
        <v>0</v>
      </c>
      <c r="Q1421" s="48" t="s">
        <v>97</v>
      </c>
      <c r="R1421" s="48">
        <f>HEX2DEC(RIGHT(Table1323212714[[#This Row],[h2]],8))</f>
        <v>0</v>
      </c>
    </row>
    <row r="1422" spans="1:18" x14ac:dyDescent="0.3">
      <c r="A1422" s="15" t="str">
        <f t="shared" si="27"/>
        <v>584</v>
      </c>
      <c r="B1422" s="15">
        <v>1412</v>
      </c>
      <c r="C1422" s="42"/>
      <c r="F1422" s="22"/>
      <c r="G1422" s="22"/>
      <c r="J1422" s="24">
        <v>50000</v>
      </c>
      <c r="M1422" s="24">
        <v>50000</v>
      </c>
      <c r="O1422" s="48" t="s">
        <v>97</v>
      </c>
      <c r="P1422" s="48">
        <f>HEX2DEC(RIGHT(Table1323212714[[#This Row],[h1]],8))</f>
        <v>0</v>
      </c>
      <c r="Q1422" s="48" t="s">
        <v>97</v>
      </c>
      <c r="R1422" s="48">
        <f>HEX2DEC(RIGHT(Table1323212714[[#This Row],[h2]],8))</f>
        <v>0</v>
      </c>
    </row>
    <row r="1423" spans="1:18" x14ac:dyDescent="0.3">
      <c r="A1423" s="15" t="str">
        <f t="shared" si="27"/>
        <v>585</v>
      </c>
      <c r="B1423" s="15">
        <v>1413</v>
      </c>
      <c r="C1423" s="42"/>
      <c r="F1423" s="22"/>
      <c r="G1423" s="22"/>
      <c r="J1423" s="24">
        <v>50000</v>
      </c>
      <c r="M1423" s="24">
        <v>50000</v>
      </c>
      <c r="O1423" s="48" t="s">
        <v>97</v>
      </c>
      <c r="P1423" s="48">
        <f>HEX2DEC(RIGHT(Table1323212714[[#This Row],[h1]],8))</f>
        <v>0</v>
      </c>
      <c r="Q1423" s="48" t="s">
        <v>97</v>
      </c>
      <c r="R1423" s="48">
        <f>HEX2DEC(RIGHT(Table1323212714[[#This Row],[h2]],8))</f>
        <v>0</v>
      </c>
    </row>
    <row r="1424" spans="1:18" x14ac:dyDescent="0.3">
      <c r="A1424" s="15" t="str">
        <f t="shared" si="27"/>
        <v>586</v>
      </c>
      <c r="B1424" s="15">
        <v>1414</v>
      </c>
      <c r="C1424" s="42"/>
      <c r="F1424" s="22"/>
      <c r="G1424" s="22"/>
      <c r="J1424" s="24">
        <v>50000</v>
      </c>
      <c r="M1424" s="24">
        <v>50000</v>
      </c>
      <c r="O1424" s="48" t="s">
        <v>97</v>
      </c>
      <c r="P1424" s="48">
        <f>HEX2DEC(RIGHT(Table1323212714[[#This Row],[h1]],8))</f>
        <v>0</v>
      </c>
      <c r="Q1424" s="48" t="s">
        <v>97</v>
      </c>
      <c r="R1424" s="48">
        <f>HEX2DEC(RIGHT(Table1323212714[[#This Row],[h2]],8))</f>
        <v>0</v>
      </c>
    </row>
    <row r="1425" spans="1:18" x14ac:dyDescent="0.3">
      <c r="A1425" s="15" t="str">
        <f t="shared" si="27"/>
        <v>587</v>
      </c>
      <c r="B1425" s="15">
        <v>1415</v>
      </c>
      <c r="C1425" s="42"/>
      <c r="F1425" s="22"/>
      <c r="G1425" s="22"/>
      <c r="J1425" s="24">
        <v>50000</v>
      </c>
      <c r="M1425" s="24">
        <v>50000</v>
      </c>
      <c r="O1425" s="48" t="s">
        <v>97</v>
      </c>
      <c r="P1425" s="48">
        <f>HEX2DEC(RIGHT(Table1323212714[[#This Row],[h1]],8))</f>
        <v>0</v>
      </c>
      <c r="Q1425" s="48" t="s">
        <v>97</v>
      </c>
      <c r="R1425" s="48">
        <f>HEX2DEC(RIGHT(Table1323212714[[#This Row],[h2]],8))</f>
        <v>0</v>
      </c>
    </row>
    <row r="1426" spans="1:18" x14ac:dyDescent="0.3">
      <c r="A1426" s="15" t="str">
        <f t="shared" si="27"/>
        <v>588</v>
      </c>
      <c r="B1426" s="15">
        <v>1416</v>
      </c>
      <c r="C1426" s="42"/>
      <c r="F1426" s="22"/>
      <c r="G1426" s="22"/>
      <c r="J1426" s="24">
        <v>50000</v>
      </c>
      <c r="M1426" s="24">
        <v>50000</v>
      </c>
      <c r="O1426" s="48" t="s">
        <v>97</v>
      </c>
      <c r="P1426" s="48">
        <f>HEX2DEC(RIGHT(Table1323212714[[#This Row],[h1]],8))</f>
        <v>0</v>
      </c>
      <c r="Q1426" s="48" t="s">
        <v>97</v>
      </c>
      <c r="R1426" s="48">
        <f>HEX2DEC(RIGHT(Table1323212714[[#This Row],[h2]],8))</f>
        <v>0</v>
      </c>
    </row>
    <row r="1427" spans="1:18" x14ac:dyDescent="0.3">
      <c r="A1427" s="15" t="str">
        <f t="shared" si="27"/>
        <v>589</v>
      </c>
      <c r="B1427" s="15">
        <v>1417</v>
      </c>
      <c r="C1427" s="42"/>
      <c r="F1427" s="22"/>
      <c r="G1427" s="22"/>
      <c r="J1427" s="24">
        <v>50000</v>
      </c>
      <c r="M1427" s="24">
        <v>50000</v>
      </c>
      <c r="O1427" s="48" t="s">
        <v>97</v>
      </c>
      <c r="P1427" s="48">
        <f>HEX2DEC(RIGHT(Table1323212714[[#This Row],[h1]],8))</f>
        <v>0</v>
      </c>
      <c r="Q1427" s="48" t="s">
        <v>97</v>
      </c>
      <c r="R1427" s="48">
        <f>HEX2DEC(RIGHT(Table1323212714[[#This Row],[h2]],8))</f>
        <v>0</v>
      </c>
    </row>
    <row r="1428" spans="1:18" x14ac:dyDescent="0.3">
      <c r="A1428" s="15" t="str">
        <f t="shared" si="27"/>
        <v>58A</v>
      </c>
      <c r="B1428" s="15">
        <v>1418</v>
      </c>
      <c r="C1428" s="42"/>
      <c r="F1428" s="22"/>
      <c r="G1428" s="22"/>
      <c r="J1428" s="24">
        <v>50000</v>
      </c>
      <c r="M1428" s="24">
        <v>50000</v>
      </c>
      <c r="O1428" s="48" t="s">
        <v>97</v>
      </c>
      <c r="P1428" s="48">
        <f>HEX2DEC(RIGHT(Table1323212714[[#This Row],[h1]],8))</f>
        <v>0</v>
      </c>
      <c r="Q1428" s="48" t="s">
        <v>97</v>
      </c>
      <c r="R1428" s="48">
        <f>HEX2DEC(RIGHT(Table1323212714[[#This Row],[h2]],8))</f>
        <v>0</v>
      </c>
    </row>
    <row r="1429" spans="1:18" x14ac:dyDescent="0.3">
      <c r="A1429" s="15" t="str">
        <f t="shared" si="27"/>
        <v>58B</v>
      </c>
      <c r="B1429" s="15">
        <v>1419</v>
      </c>
      <c r="C1429" s="42"/>
      <c r="F1429" s="22"/>
      <c r="G1429" s="22"/>
      <c r="J1429" s="24">
        <v>50000</v>
      </c>
      <c r="M1429" s="24">
        <v>50000</v>
      </c>
      <c r="O1429" s="48" t="s">
        <v>97</v>
      </c>
      <c r="P1429" s="48">
        <f>HEX2DEC(RIGHT(Table1323212714[[#This Row],[h1]],8))</f>
        <v>0</v>
      </c>
      <c r="Q1429" s="48" t="s">
        <v>97</v>
      </c>
      <c r="R1429" s="48">
        <f>HEX2DEC(RIGHT(Table1323212714[[#This Row],[h2]],8))</f>
        <v>0</v>
      </c>
    </row>
    <row r="1430" spans="1:18" x14ac:dyDescent="0.3">
      <c r="A1430" s="15" t="str">
        <f t="shared" si="27"/>
        <v>58C</v>
      </c>
      <c r="B1430" s="15">
        <v>1420</v>
      </c>
      <c r="C1430" s="42"/>
      <c r="F1430" s="22"/>
      <c r="G1430" s="22"/>
      <c r="J1430" s="24">
        <v>50000</v>
      </c>
      <c r="M1430" s="24">
        <v>50000</v>
      </c>
      <c r="O1430" s="48" t="s">
        <v>97</v>
      </c>
      <c r="P1430" s="48">
        <f>HEX2DEC(RIGHT(Table1323212714[[#This Row],[h1]],8))</f>
        <v>0</v>
      </c>
      <c r="Q1430" s="48" t="s">
        <v>97</v>
      </c>
      <c r="R1430" s="48">
        <f>HEX2DEC(RIGHT(Table1323212714[[#This Row],[h2]],8))</f>
        <v>0</v>
      </c>
    </row>
    <row r="1431" spans="1:18" x14ac:dyDescent="0.3">
      <c r="A1431" s="15" t="str">
        <f t="shared" si="27"/>
        <v>58D</v>
      </c>
      <c r="B1431" s="15">
        <v>1421</v>
      </c>
      <c r="C1431" s="42"/>
      <c r="F1431" s="22"/>
      <c r="G1431" s="22"/>
      <c r="J1431" s="24">
        <v>50000</v>
      </c>
      <c r="M1431" s="24">
        <v>50000</v>
      </c>
      <c r="O1431" s="48" t="s">
        <v>97</v>
      </c>
      <c r="P1431" s="48">
        <f>HEX2DEC(RIGHT(Table1323212714[[#This Row],[h1]],8))</f>
        <v>0</v>
      </c>
      <c r="Q1431" s="48" t="s">
        <v>97</v>
      </c>
      <c r="R1431" s="48">
        <f>HEX2DEC(RIGHT(Table1323212714[[#This Row],[h2]],8))</f>
        <v>0</v>
      </c>
    </row>
    <row r="1432" spans="1:18" x14ac:dyDescent="0.3">
      <c r="A1432" s="15" t="str">
        <f t="shared" si="27"/>
        <v>58E</v>
      </c>
      <c r="B1432" s="15">
        <v>1422</v>
      </c>
      <c r="C1432" s="42"/>
      <c r="F1432" s="22"/>
      <c r="G1432" s="22"/>
      <c r="J1432" s="24">
        <v>50000</v>
      </c>
      <c r="M1432" s="24">
        <v>50000</v>
      </c>
      <c r="O1432" s="48" t="s">
        <v>97</v>
      </c>
      <c r="P1432" s="48">
        <f>HEX2DEC(RIGHT(Table1323212714[[#This Row],[h1]],8))</f>
        <v>0</v>
      </c>
      <c r="Q1432" s="48" t="s">
        <v>97</v>
      </c>
      <c r="R1432" s="48">
        <f>HEX2DEC(RIGHT(Table1323212714[[#This Row],[h2]],8))</f>
        <v>0</v>
      </c>
    </row>
    <row r="1433" spans="1:18" x14ac:dyDescent="0.3">
      <c r="A1433" s="15" t="str">
        <f t="shared" si="27"/>
        <v>58F</v>
      </c>
      <c r="B1433" s="15">
        <v>1423</v>
      </c>
      <c r="C1433" s="42"/>
      <c r="F1433" s="22"/>
      <c r="G1433" s="22"/>
      <c r="J1433" s="24">
        <v>50000</v>
      </c>
      <c r="M1433" s="24">
        <v>50000</v>
      </c>
      <c r="O1433" s="48" t="s">
        <v>97</v>
      </c>
      <c r="P1433" s="48">
        <f>HEX2DEC(RIGHT(Table1323212714[[#This Row],[h1]],8))</f>
        <v>0</v>
      </c>
      <c r="Q1433" s="48" t="s">
        <v>97</v>
      </c>
      <c r="R1433" s="48">
        <f>HEX2DEC(RIGHT(Table1323212714[[#This Row],[h2]],8))</f>
        <v>0</v>
      </c>
    </row>
    <row r="1434" spans="1:18" x14ac:dyDescent="0.3">
      <c r="A1434" s="15" t="str">
        <f t="shared" si="27"/>
        <v>590</v>
      </c>
      <c r="B1434" s="15">
        <v>1424</v>
      </c>
      <c r="C1434" s="42"/>
      <c r="F1434" s="22"/>
      <c r="G1434" s="22"/>
      <c r="J1434" s="24">
        <v>50000</v>
      </c>
      <c r="M1434" s="24">
        <v>50000</v>
      </c>
      <c r="O1434" s="48" t="s">
        <v>97</v>
      </c>
      <c r="P1434" s="48">
        <f>HEX2DEC(RIGHT(Table1323212714[[#This Row],[h1]],8))</f>
        <v>0</v>
      </c>
      <c r="Q1434" s="48" t="s">
        <v>97</v>
      </c>
      <c r="R1434" s="48">
        <f>HEX2DEC(RIGHT(Table1323212714[[#This Row],[h2]],8))</f>
        <v>0</v>
      </c>
    </row>
    <row r="1435" spans="1:18" x14ac:dyDescent="0.3">
      <c r="A1435" s="15" t="str">
        <f t="shared" si="27"/>
        <v>591</v>
      </c>
      <c r="B1435" s="15">
        <v>1425</v>
      </c>
      <c r="C1435" s="42"/>
      <c r="F1435" s="22"/>
      <c r="G1435" s="22"/>
      <c r="J1435" s="24">
        <v>50000</v>
      </c>
      <c r="M1435" s="24">
        <v>50000</v>
      </c>
      <c r="O1435" s="48" t="s">
        <v>97</v>
      </c>
      <c r="P1435" s="48">
        <f>HEX2DEC(RIGHT(Table1323212714[[#This Row],[h1]],8))</f>
        <v>0</v>
      </c>
      <c r="Q1435" s="48" t="s">
        <v>97</v>
      </c>
      <c r="R1435" s="48">
        <f>HEX2DEC(RIGHT(Table1323212714[[#This Row],[h2]],8))</f>
        <v>0</v>
      </c>
    </row>
    <row r="1436" spans="1:18" x14ac:dyDescent="0.3">
      <c r="A1436" s="15" t="str">
        <f t="shared" si="27"/>
        <v>592</v>
      </c>
      <c r="B1436" s="15">
        <v>1426</v>
      </c>
      <c r="C1436" s="42"/>
      <c r="F1436" s="22"/>
      <c r="G1436" s="22"/>
      <c r="J1436" s="24">
        <v>50000</v>
      </c>
      <c r="M1436" s="24">
        <v>50000</v>
      </c>
      <c r="O1436" s="48" t="s">
        <v>97</v>
      </c>
      <c r="P1436" s="48">
        <f>HEX2DEC(RIGHT(Table1323212714[[#This Row],[h1]],8))</f>
        <v>0</v>
      </c>
      <c r="Q1436" s="48" t="s">
        <v>97</v>
      </c>
      <c r="R1436" s="48">
        <f>HEX2DEC(RIGHT(Table1323212714[[#This Row],[h2]],8))</f>
        <v>0</v>
      </c>
    </row>
    <row r="1437" spans="1:18" x14ac:dyDescent="0.3">
      <c r="A1437" s="15" t="str">
        <f t="shared" si="27"/>
        <v>593</v>
      </c>
      <c r="B1437" s="15">
        <v>1427</v>
      </c>
      <c r="C1437" s="42"/>
      <c r="F1437" s="22"/>
      <c r="G1437" s="22"/>
      <c r="J1437" s="24">
        <v>50000</v>
      </c>
      <c r="M1437" s="24">
        <v>50000</v>
      </c>
      <c r="O1437" s="48" t="s">
        <v>97</v>
      </c>
      <c r="P1437" s="48">
        <f>HEX2DEC(RIGHT(Table1323212714[[#This Row],[h1]],8))</f>
        <v>0</v>
      </c>
      <c r="Q1437" s="48" t="s">
        <v>97</v>
      </c>
      <c r="R1437" s="48">
        <f>HEX2DEC(RIGHT(Table1323212714[[#This Row],[h2]],8))</f>
        <v>0</v>
      </c>
    </row>
    <row r="1438" spans="1:18" x14ac:dyDescent="0.3">
      <c r="A1438" s="15" t="str">
        <f t="shared" si="27"/>
        <v>594</v>
      </c>
      <c r="B1438" s="15">
        <v>1428</v>
      </c>
      <c r="C1438" s="42"/>
      <c r="F1438" s="22"/>
      <c r="G1438" s="22"/>
      <c r="J1438" s="24">
        <v>50000</v>
      </c>
      <c r="M1438" s="24">
        <v>50000</v>
      </c>
      <c r="O1438" s="48" t="s">
        <v>97</v>
      </c>
      <c r="P1438" s="48">
        <f>HEX2DEC(RIGHT(Table1323212714[[#This Row],[h1]],8))</f>
        <v>0</v>
      </c>
      <c r="Q1438" s="48" t="s">
        <v>97</v>
      </c>
      <c r="R1438" s="48">
        <f>HEX2DEC(RIGHT(Table1323212714[[#This Row],[h2]],8))</f>
        <v>0</v>
      </c>
    </row>
    <row r="1439" spans="1:18" x14ac:dyDescent="0.3">
      <c r="A1439" s="15" t="str">
        <f t="shared" si="27"/>
        <v>595</v>
      </c>
      <c r="B1439" s="15">
        <v>1429</v>
      </c>
      <c r="C1439" s="42"/>
      <c r="F1439" s="22"/>
      <c r="G1439" s="22"/>
      <c r="J1439" s="24">
        <v>50000</v>
      </c>
      <c r="M1439" s="24">
        <v>50000</v>
      </c>
      <c r="O1439" s="48" t="s">
        <v>97</v>
      </c>
      <c r="P1439" s="48">
        <f>HEX2DEC(RIGHT(Table1323212714[[#This Row],[h1]],8))</f>
        <v>0</v>
      </c>
      <c r="Q1439" s="48" t="s">
        <v>97</v>
      </c>
      <c r="R1439" s="48">
        <f>HEX2DEC(RIGHT(Table1323212714[[#This Row],[h2]],8))</f>
        <v>0</v>
      </c>
    </row>
    <row r="1440" spans="1:18" x14ac:dyDescent="0.3">
      <c r="A1440" s="15" t="str">
        <f t="shared" si="27"/>
        <v>596</v>
      </c>
      <c r="B1440" s="15">
        <v>1430</v>
      </c>
      <c r="C1440" s="42"/>
      <c r="F1440" s="22"/>
      <c r="G1440" s="22"/>
      <c r="J1440" s="24">
        <v>50000</v>
      </c>
      <c r="M1440" s="24">
        <v>50000</v>
      </c>
      <c r="O1440" s="48" t="s">
        <v>97</v>
      </c>
      <c r="P1440" s="48">
        <f>HEX2DEC(RIGHT(Table1323212714[[#This Row],[h1]],8))</f>
        <v>0</v>
      </c>
      <c r="Q1440" s="48" t="s">
        <v>97</v>
      </c>
      <c r="R1440" s="48">
        <f>HEX2DEC(RIGHT(Table1323212714[[#This Row],[h2]],8))</f>
        <v>0</v>
      </c>
    </row>
    <row r="1441" spans="1:18" x14ac:dyDescent="0.3">
      <c r="A1441" s="15" t="str">
        <f t="shared" si="27"/>
        <v>597</v>
      </c>
      <c r="B1441" s="15">
        <v>1431</v>
      </c>
      <c r="C1441" s="42"/>
      <c r="F1441" s="22"/>
      <c r="G1441" s="22"/>
      <c r="J1441" s="24">
        <v>50000</v>
      </c>
      <c r="M1441" s="24">
        <v>50000</v>
      </c>
      <c r="O1441" s="48" t="s">
        <v>97</v>
      </c>
      <c r="P1441" s="48">
        <f>HEX2DEC(RIGHT(Table1323212714[[#This Row],[h1]],8))</f>
        <v>0</v>
      </c>
      <c r="Q1441" s="48" t="s">
        <v>97</v>
      </c>
      <c r="R1441" s="48">
        <f>HEX2DEC(RIGHT(Table1323212714[[#This Row],[h2]],8))</f>
        <v>0</v>
      </c>
    </row>
    <row r="1442" spans="1:18" x14ac:dyDescent="0.3">
      <c r="A1442" s="15" t="str">
        <f t="shared" si="27"/>
        <v>598</v>
      </c>
      <c r="B1442" s="15">
        <v>1432</v>
      </c>
      <c r="C1442" s="42"/>
      <c r="F1442" s="22"/>
      <c r="G1442" s="22"/>
      <c r="J1442" s="24">
        <v>50000</v>
      </c>
      <c r="M1442" s="24">
        <v>50000</v>
      </c>
      <c r="O1442" s="48" t="s">
        <v>97</v>
      </c>
      <c r="P1442" s="48">
        <f>HEX2DEC(RIGHT(Table1323212714[[#This Row],[h1]],8))</f>
        <v>0</v>
      </c>
      <c r="Q1442" s="48" t="s">
        <v>97</v>
      </c>
      <c r="R1442" s="48">
        <f>HEX2DEC(RIGHT(Table1323212714[[#This Row],[h2]],8))</f>
        <v>0</v>
      </c>
    </row>
    <row r="1443" spans="1:18" x14ac:dyDescent="0.3">
      <c r="A1443" s="15" t="str">
        <f t="shared" si="27"/>
        <v>599</v>
      </c>
      <c r="B1443" s="15">
        <v>1433</v>
      </c>
      <c r="C1443" s="42"/>
      <c r="F1443" s="22"/>
      <c r="G1443" s="22"/>
      <c r="J1443" s="24">
        <v>50000</v>
      </c>
      <c r="M1443" s="24">
        <v>50000</v>
      </c>
      <c r="O1443" s="48" t="s">
        <v>97</v>
      </c>
      <c r="P1443" s="48">
        <f>HEX2DEC(RIGHT(Table1323212714[[#This Row],[h1]],8))</f>
        <v>0</v>
      </c>
      <c r="Q1443" s="48" t="s">
        <v>97</v>
      </c>
      <c r="R1443" s="48">
        <f>HEX2DEC(RIGHT(Table1323212714[[#This Row],[h2]],8))</f>
        <v>0</v>
      </c>
    </row>
    <row r="1444" spans="1:18" x14ac:dyDescent="0.3">
      <c r="A1444" s="15" t="str">
        <f t="shared" si="27"/>
        <v>59A</v>
      </c>
      <c r="B1444" s="15">
        <v>1434</v>
      </c>
      <c r="C1444" s="42"/>
      <c r="F1444" s="22"/>
      <c r="G1444" s="22"/>
      <c r="J1444" s="24">
        <v>50000</v>
      </c>
      <c r="M1444" s="24">
        <v>50000</v>
      </c>
      <c r="O1444" s="48" t="s">
        <v>97</v>
      </c>
      <c r="P1444" s="48">
        <f>HEX2DEC(RIGHT(Table1323212714[[#This Row],[h1]],8))</f>
        <v>0</v>
      </c>
      <c r="Q1444" s="48" t="s">
        <v>97</v>
      </c>
      <c r="R1444" s="48">
        <f>HEX2DEC(RIGHT(Table1323212714[[#This Row],[h2]],8))</f>
        <v>0</v>
      </c>
    </row>
    <row r="1445" spans="1:18" x14ac:dyDescent="0.3">
      <c r="A1445" s="15" t="str">
        <f t="shared" si="27"/>
        <v>59B</v>
      </c>
      <c r="B1445" s="15">
        <v>1435</v>
      </c>
      <c r="C1445" s="42"/>
      <c r="F1445" s="22"/>
      <c r="G1445" s="22"/>
      <c r="J1445" s="24">
        <v>50000</v>
      </c>
      <c r="M1445" s="24">
        <v>50000</v>
      </c>
      <c r="O1445" s="48" t="s">
        <v>97</v>
      </c>
      <c r="P1445" s="48">
        <f>HEX2DEC(RIGHT(Table1323212714[[#This Row],[h1]],8))</f>
        <v>0</v>
      </c>
      <c r="Q1445" s="48" t="s">
        <v>97</v>
      </c>
      <c r="R1445" s="48">
        <f>HEX2DEC(RIGHT(Table1323212714[[#This Row],[h2]],8))</f>
        <v>0</v>
      </c>
    </row>
    <row r="1446" spans="1:18" x14ac:dyDescent="0.3">
      <c r="A1446" s="15" t="str">
        <f t="shared" si="27"/>
        <v>59C</v>
      </c>
      <c r="B1446" s="15">
        <v>1436</v>
      </c>
      <c r="C1446" s="42"/>
      <c r="F1446" s="22"/>
      <c r="G1446" s="22"/>
      <c r="J1446" s="24">
        <v>50000</v>
      </c>
      <c r="M1446" s="24">
        <v>50000</v>
      </c>
      <c r="O1446" s="48" t="s">
        <v>97</v>
      </c>
      <c r="P1446" s="48">
        <f>HEX2DEC(RIGHT(Table1323212714[[#This Row],[h1]],8))</f>
        <v>0</v>
      </c>
      <c r="Q1446" s="48" t="s">
        <v>97</v>
      </c>
      <c r="R1446" s="48">
        <f>HEX2DEC(RIGHT(Table1323212714[[#This Row],[h2]],8))</f>
        <v>0</v>
      </c>
    </row>
    <row r="1447" spans="1:18" x14ac:dyDescent="0.3">
      <c r="A1447" s="15" t="str">
        <f t="shared" si="27"/>
        <v>59D</v>
      </c>
      <c r="B1447" s="15">
        <v>1437</v>
      </c>
      <c r="C1447" s="42"/>
      <c r="F1447" s="22"/>
      <c r="G1447" s="22"/>
      <c r="J1447" s="24">
        <v>50000</v>
      </c>
      <c r="M1447" s="24">
        <v>50000</v>
      </c>
      <c r="O1447" s="48" t="s">
        <v>97</v>
      </c>
      <c r="P1447" s="48">
        <f>HEX2DEC(RIGHT(Table1323212714[[#This Row],[h1]],8))</f>
        <v>0</v>
      </c>
      <c r="Q1447" s="48" t="s">
        <v>97</v>
      </c>
      <c r="R1447" s="48">
        <f>HEX2DEC(RIGHT(Table1323212714[[#This Row],[h2]],8))</f>
        <v>0</v>
      </c>
    </row>
    <row r="1448" spans="1:18" x14ac:dyDescent="0.3">
      <c r="A1448" s="15" t="str">
        <f t="shared" si="27"/>
        <v>59E</v>
      </c>
      <c r="B1448" s="15">
        <v>1438</v>
      </c>
      <c r="C1448" s="42"/>
      <c r="F1448" s="22"/>
      <c r="G1448" s="22"/>
      <c r="J1448" s="24">
        <v>50000</v>
      </c>
      <c r="M1448" s="24">
        <v>50000</v>
      </c>
      <c r="O1448" s="48" t="s">
        <v>97</v>
      </c>
      <c r="P1448" s="48">
        <f>HEX2DEC(RIGHT(Table1323212714[[#This Row],[h1]],8))</f>
        <v>0</v>
      </c>
      <c r="Q1448" s="48" t="s">
        <v>97</v>
      </c>
      <c r="R1448" s="48">
        <f>HEX2DEC(RIGHT(Table1323212714[[#This Row],[h2]],8))</f>
        <v>0</v>
      </c>
    </row>
    <row r="1449" spans="1:18" x14ac:dyDescent="0.3">
      <c r="A1449" s="15" t="str">
        <f t="shared" si="27"/>
        <v>59F</v>
      </c>
      <c r="B1449" s="15">
        <v>1439</v>
      </c>
      <c r="C1449" s="42"/>
      <c r="F1449" s="22"/>
      <c r="G1449" s="22"/>
      <c r="J1449" s="24">
        <v>50000</v>
      </c>
      <c r="M1449" s="24">
        <v>50000</v>
      </c>
      <c r="O1449" s="48" t="s">
        <v>97</v>
      </c>
      <c r="P1449" s="48">
        <f>HEX2DEC(RIGHT(Table1323212714[[#This Row],[h1]],8))</f>
        <v>0</v>
      </c>
      <c r="Q1449" s="48" t="s">
        <v>97</v>
      </c>
      <c r="R1449" s="48">
        <f>HEX2DEC(RIGHT(Table1323212714[[#This Row],[h2]],8))</f>
        <v>0</v>
      </c>
    </row>
    <row r="1450" spans="1:18" x14ac:dyDescent="0.3">
      <c r="A1450" s="15" t="str">
        <f t="shared" si="27"/>
        <v>5A0</v>
      </c>
      <c r="B1450" s="15">
        <v>1440</v>
      </c>
      <c r="C1450" s="42"/>
      <c r="F1450" s="22"/>
      <c r="G1450" s="22"/>
      <c r="J1450" s="24">
        <v>50000</v>
      </c>
      <c r="M1450" s="24">
        <v>50000</v>
      </c>
      <c r="O1450" s="48" t="s">
        <v>97</v>
      </c>
      <c r="P1450" s="48">
        <f>HEX2DEC(RIGHT(Table1323212714[[#This Row],[h1]],8))</f>
        <v>0</v>
      </c>
      <c r="Q1450" s="48" t="s">
        <v>97</v>
      </c>
      <c r="R1450" s="48">
        <f>HEX2DEC(RIGHT(Table1323212714[[#This Row],[h2]],8))</f>
        <v>0</v>
      </c>
    </row>
    <row r="1451" spans="1:18" x14ac:dyDescent="0.3">
      <c r="A1451" s="15" t="str">
        <f t="shared" si="27"/>
        <v>5A1</v>
      </c>
      <c r="B1451" s="15">
        <v>1441</v>
      </c>
      <c r="C1451" s="42"/>
      <c r="F1451" s="22"/>
      <c r="G1451" s="22"/>
      <c r="J1451" s="24">
        <v>50000</v>
      </c>
      <c r="M1451" s="24">
        <v>50000</v>
      </c>
      <c r="O1451" s="48" t="s">
        <v>97</v>
      </c>
      <c r="P1451" s="48">
        <f>HEX2DEC(RIGHT(Table1323212714[[#This Row],[h1]],8))</f>
        <v>0</v>
      </c>
      <c r="Q1451" s="48" t="s">
        <v>97</v>
      </c>
      <c r="R1451" s="48">
        <f>HEX2DEC(RIGHT(Table1323212714[[#This Row],[h2]],8))</f>
        <v>0</v>
      </c>
    </row>
    <row r="1452" spans="1:18" x14ac:dyDescent="0.3">
      <c r="A1452" s="15" t="str">
        <f t="shared" si="27"/>
        <v>5A2</v>
      </c>
      <c r="B1452" s="15">
        <v>1442</v>
      </c>
      <c r="C1452" s="42"/>
      <c r="F1452" s="22"/>
      <c r="G1452" s="22"/>
      <c r="J1452" s="24">
        <v>50000</v>
      </c>
      <c r="M1452" s="24">
        <v>50000</v>
      </c>
      <c r="O1452" s="48" t="s">
        <v>97</v>
      </c>
      <c r="P1452" s="48">
        <f>HEX2DEC(RIGHT(Table1323212714[[#This Row],[h1]],8))</f>
        <v>0</v>
      </c>
      <c r="Q1452" s="48" t="s">
        <v>97</v>
      </c>
      <c r="R1452" s="48">
        <f>HEX2DEC(RIGHT(Table1323212714[[#This Row],[h2]],8))</f>
        <v>0</v>
      </c>
    </row>
    <row r="1453" spans="1:18" x14ac:dyDescent="0.3">
      <c r="A1453" s="15" t="str">
        <f t="shared" si="27"/>
        <v>5A3</v>
      </c>
      <c r="B1453" s="15">
        <v>1443</v>
      </c>
      <c r="C1453" s="42"/>
      <c r="F1453" s="22"/>
      <c r="G1453" s="22"/>
      <c r="J1453" s="24">
        <v>50000</v>
      </c>
      <c r="M1453" s="24">
        <v>50000</v>
      </c>
      <c r="O1453" s="48" t="s">
        <v>97</v>
      </c>
      <c r="P1453" s="48">
        <f>HEX2DEC(RIGHT(Table1323212714[[#This Row],[h1]],8))</f>
        <v>0</v>
      </c>
      <c r="Q1453" s="48" t="s">
        <v>97</v>
      </c>
      <c r="R1453" s="48">
        <f>HEX2DEC(RIGHT(Table1323212714[[#This Row],[h2]],8))</f>
        <v>0</v>
      </c>
    </row>
    <row r="1454" spans="1:18" x14ac:dyDescent="0.3">
      <c r="A1454" s="15" t="str">
        <f t="shared" si="27"/>
        <v>5A4</v>
      </c>
      <c r="B1454" s="15">
        <v>1444</v>
      </c>
      <c r="C1454" s="42"/>
      <c r="F1454" s="22"/>
      <c r="G1454" s="22"/>
      <c r="J1454" s="24">
        <v>50000</v>
      </c>
      <c r="M1454" s="24">
        <v>50000</v>
      </c>
      <c r="O1454" s="48" t="s">
        <v>97</v>
      </c>
      <c r="P1454" s="48">
        <f>HEX2DEC(RIGHT(Table1323212714[[#This Row],[h1]],8))</f>
        <v>0</v>
      </c>
      <c r="Q1454" s="48" t="s">
        <v>97</v>
      </c>
      <c r="R1454" s="48">
        <f>HEX2DEC(RIGHT(Table1323212714[[#This Row],[h2]],8))</f>
        <v>0</v>
      </c>
    </row>
    <row r="1455" spans="1:18" x14ac:dyDescent="0.3">
      <c r="A1455" s="15" t="str">
        <f t="shared" si="27"/>
        <v>5A5</v>
      </c>
      <c r="B1455" s="15">
        <v>1445</v>
      </c>
      <c r="C1455" s="42"/>
      <c r="F1455" s="22"/>
      <c r="G1455" s="22"/>
      <c r="J1455" s="24">
        <v>50000</v>
      </c>
      <c r="M1455" s="24">
        <v>50000</v>
      </c>
      <c r="O1455" s="48" t="s">
        <v>97</v>
      </c>
      <c r="P1455" s="48">
        <f>HEX2DEC(RIGHT(Table1323212714[[#This Row],[h1]],8))</f>
        <v>0</v>
      </c>
      <c r="Q1455" s="48" t="s">
        <v>97</v>
      </c>
      <c r="R1455" s="48">
        <f>HEX2DEC(RIGHT(Table1323212714[[#This Row],[h2]],8))</f>
        <v>0</v>
      </c>
    </row>
    <row r="1456" spans="1:18" x14ac:dyDescent="0.3">
      <c r="A1456" s="15" t="str">
        <f t="shared" si="27"/>
        <v>5A6</v>
      </c>
      <c r="B1456" s="15">
        <v>1446</v>
      </c>
      <c r="C1456" s="42"/>
      <c r="F1456" s="22"/>
      <c r="G1456" s="22"/>
      <c r="J1456" s="24">
        <v>50000</v>
      </c>
      <c r="M1456" s="24">
        <v>50000</v>
      </c>
      <c r="O1456" s="48" t="s">
        <v>97</v>
      </c>
      <c r="P1456" s="48">
        <f>HEX2DEC(RIGHT(Table1323212714[[#This Row],[h1]],8))</f>
        <v>0</v>
      </c>
      <c r="Q1456" s="48" t="s">
        <v>97</v>
      </c>
      <c r="R1456" s="48">
        <f>HEX2DEC(RIGHT(Table1323212714[[#This Row],[h2]],8))</f>
        <v>0</v>
      </c>
    </row>
    <row r="1457" spans="1:18" x14ac:dyDescent="0.3">
      <c r="A1457" s="15" t="str">
        <f t="shared" si="27"/>
        <v>5A7</v>
      </c>
      <c r="B1457" s="15">
        <v>1447</v>
      </c>
      <c r="C1457" s="42"/>
      <c r="F1457" s="22"/>
      <c r="G1457" s="22"/>
      <c r="J1457" s="24">
        <v>50000</v>
      </c>
      <c r="M1457" s="24">
        <v>50000</v>
      </c>
      <c r="O1457" s="48" t="s">
        <v>97</v>
      </c>
      <c r="P1457" s="48">
        <f>HEX2DEC(RIGHT(Table1323212714[[#This Row],[h1]],8))</f>
        <v>0</v>
      </c>
      <c r="Q1457" s="48" t="s">
        <v>97</v>
      </c>
      <c r="R1457" s="48">
        <f>HEX2DEC(RIGHT(Table1323212714[[#This Row],[h2]],8))</f>
        <v>0</v>
      </c>
    </row>
    <row r="1458" spans="1:18" x14ac:dyDescent="0.3">
      <c r="A1458" s="15" t="str">
        <f t="shared" si="27"/>
        <v>5A8</v>
      </c>
      <c r="B1458" s="15">
        <v>1448</v>
      </c>
      <c r="C1458" s="42"/>
      <c r="F1458" s="22"/>
      <c r="G1458" s="22"/>
      <c r="J1458" s="24">
        <v>50000</v>
      </c>
      <c r="M1458" s="24">
        <v>50000</v>
      </c>
      <c r="O1458" s="48" t="s">
        <v>97</v>
      </c>
      <c r="P1458" s="48">
        <f>HEX2DEC(RIGHT(Table1323212714[[#This Row],[h1]],8))</f>
        <v>0</v>
      </c>
      <c r="Q1458" s="48" t="s">
        <v>97</v>
      </c>
      <c r="R1458" s="48">
        <f>HEX2DEC(RIGHT(Table1323212714[[#This Row],[h2]],8))</f>
        <v>0</v>
      </c>
    </row>
    <row r="1459" spans="1:18" x14ac:dyDescent="0.3">
      <c r="A1459" s="15" t="str">
        <f t="shared" si="27"/>
        <v>5A9</v>
      </c>
      <c r="B1459" s="15">
        <v>1449</v>
      </c>
      <c r="C1459" s="42"/>
      <c r="F1459" s="22"/>
      <c r="G1459" s="22"/>
      <c r="J1459" s="24">
        <v>50000</v>
      </c>
      <c r="M1459" s="24">
        <v>50000</v>
      </c>
      <c r="O1459" s="48" t="s">
        <v>97</v>
      </c>
      <c r="P1459" s="48">
        <f>HEX2DEC(RIGHT(Table1323212714[[#This Row],[h1]],8))</f>
        <v>0</v>
      </c>
      <c r="Q1459" s="48" t="s">
        <v>97</v>
      </c>
      <c r="R1459" s="48">
        <f>HEX2DEC(RIGHT(Table1323212714[[#This Row],[h2]],8))</f>
        <v>0</v>
      </c>
    </row>
    <row r="1460" spans="1:18" x14ac:dyDescent="0.3">
      <c r="A1460" s="15" t="str">
        <f t="shared" si="27"/>
        <v>5AA</v>
      </c>
      <c r="B1460" s="15">
        <v>1450</v>
      </c>
      <c r="C1460" s="42"/>
      <c r="F1460" s="22"/>
      <c r="G1460" s="22"/>
      <c r="J1460" s="24">
        <v>50000</v>
      </c>
      <c r="M1460" s="24">
        <v>50000</v>
      </c>
      <c r="O1460" s="48" t="s">
        <v>97</v>
      </c>
      <c r="P1460" s="48">
        <f>HEX2DEC(RIGHT(Table1323212714[[#This Row],[h1]],8))</f>
        <v>0</v>
      </c>
      <c r="Q1460" s="48" t="s">
        <v>97</v>
      </c>
      <c r="R1460" s="48">
        <f>HEX2DEC(RIGHT(Table1323212714[[#This Row],[h2]],8))</f>
        <v>0</v>
      </c>
    </row>
    <row r="1461" spans="1:18" x14ac:dyDescent="0.3">
      <c r="A1461" s="15" t="str">
        <f t="shared" si="27"/>
        <v>5AB</v>
      </c>
      <c r="B1461" s="15">
        <v>1451</v>
      </c>
      <c r="C1461" s="42"/>
      <c r="F1461" s="22"/>
      <c r="G1461" s="22"/>
      <c r="J1461" s="24">
        <v>50000</v>
      </c>
      <c r="M1461" s="24">
        <v>50000</v>
      </c>
      <c r="O1461" s="48" t="s">
        <v>97</v>
      </c>
      <c r="P1461" s="48">
        <f>HEX2DEC(RIGHT(Table1323212714[[#This Row],[h1]],8))</f>
        <v>0</v>
      </c>
      <c r="Q1461" s="48" t="s">
        <v>97</v>
      </c>
      <c r="R1461" s="48">
        <f>HEX2DEC(RIGHT(Table1323212714[[#This Row],[h2]],8))</f>
        <v>0</v>
      </c>
    </row>
    <row r="1462" spans="1:18" x14ac:dyDescent="0.3">
      <c r="A1462" s="15" t="str">
        <f t="shared" si="27"/>
        <v>5AC</v>
      </c>
      <c r="B1462" s="15">
        <v>1452</v>
      </c>
      <c r="C1462" s="42"/>
      <c r="F1462" s="22"/>
      <c r="G1462" s="22"/>
      <c r="J1462" s="24">
        <v>50000</v>
      </c>
      <c r="M1462" s="24">
        <v>50000</v>
      </c>
      <c r="O1462" s="48" t="s">
        <v>97</v>
      </c>
      <c r="P1462" s="48">
        <f>HEX2DEC(RIGHT(Table1323212714[[#This Row],[h1]],8))</f>
        <v>0</v>
      </c>
      <c r="Q1462" s="48" t="s">
        <v>97</v>
      </c>
      <c r="R1462" s="48">
        <f>HEX2DEC(RIGHT(Table1323212714[[#This Row],[h2]],8))</f>
        <v>0</v>
      </c>
    </row>
    <row r="1463" spans="1:18" x14ac:dyDescent="0.3">
      <c r="A1463" s="15" t="str">
        <f t="shared" si="27"/>
        <v>5AD</v>
      </c>
      <c r="B1463" s="15">
        <v>1453</v>
      </c>
      <c r="C1463" s="42"/>
      <c r="F1463" s="22"/>
      <c r="G1463" s="22"/>
      <c r="J1463" s="24">
        <v>50000</v>
      </c>
      <c r="M1463" s="24">
        <v>50000</v>
      </c>
      <c r="O1463" s="48" t="s">
        <v>97</v>
      </c>
      <c r="P1463" s="48">
        <f>HEX2DEC(RIGHT(Table1323212714[[#This Row],[h1]],8))</f>
        <v>0</v>
      </c>
      <c r="Q1463" s="48" t="s">
        <v>97</v>
      </c>
      <c r="R1463" s="48">
        <f>HEX2DEC(RIGHT(Table1323212714[[#This Row],[h2]],8))</f>
        <v>0</v>
      </c>
    </row>
    <row r="1464" spans="1:18" x14ac:dyDescent="0.3">
      <c r="A1464" s="15" t="str">
        <f t="shared" si="27"/>
        <v>5AE</v>
      </c>
      <c r="B1464" s="15">
        <v>1454</v>
      </c>
      <c r="C1464" s="42"/>
      <c r="F1464" s="22"/>
      <c r="G1464" s="22"/>
      <c r="J1464" s="24">
        <v>50000</v>
      </c>
      <c r="M1464" s="24">
        <v>50000</v>
      </c>
      <c r="O1464" s="48" t="s">
        <v>97</v>
      </c>
      <c r="P1464" s="48">
        <f>HEX2DEC(RIGHT(Table1323212714[[#This Row],[h1]],8))</f>
        <v>0</v>
      </c>
      <c r="Q1464" s="48" t="s">
        <v>97</v>
      </c>
      <c r="R1464" s="48">
        <f>HEX2DEC(RIGHT(Table1323212714[[#This Row],[h2]],8))</f>
        <v>0</v>
      </c>
    </row>
    <row r="1465" spans="1:18" x14ac:dyDescent="0.3">
      <c r="A1465" s="15" t="str">
        <f t="shared" si="27"/>
        <v>5AF</v>
      </c>
      <c r="B1465" s="15">
        <v>1455</v>
      </c>
      <c r="C1465" s="42"/>
      <c r="F1465" s="22"/>
      <c r="G1465" s="22"/>
      <c r="J1465" s="24">
        <v>50000</v>
      </c>
      <c r="M1465" s="24">
        <v>50000</v>
      </c>
      <c r="O1465" s="48" t="s">
        <v>97</v>
      </c>
      <c r="P1465" s="48">
        <f>HEX2DEC(RIGHT(Table1323212714[[#This Row],[h1]],8))</f>
        <v>0</v>
      </c>
      <c r="Q1465" s="48" t="s">
        <v>97</v>
      </c>
      <c r="R1465" s="48">
        <f>HEX2DEC(RIGHT(Table1323212714[[#This Row],[h2]],8))</f>
        <v>0</v>
      </c>
    </row>
    <row r="1466" spans="1:18" x14ac:dyDescent="0.3">
      <c r="A1466" s="15" t="str">
        <f t="shared" si="27"/>
        <v>5B0</v>
      </c>
      <c r="B1466" s="15">
        <v>1456</v>
      </c>
      <c r="C1466" s="42"/>
      <c r="F1466" s="22"/>
      <c r="G1466" s="22"/>
      <c r="J1466" s="24">
        <v>50000</v>
      </c>
      <c r="M1466" s="24">
        <v>50000</v>
      </c>
      <c r="O1466" s="48" t="s">
        <v>97</v>
      </c>
      <c r="P1466" s="48">
        <f>HEX2DEC(RIGHT(Table1323212714[[#This Row],[h1]],8))</f>
        <v>0</v>
      </c>
      <c r="Q1466" s="48" t="s">
        <v>97</v>
      </c>
      <c r="R1466" s="48">
        <f>HEX2DEC(RIGHT(Table1323212714[[#This Row],[h2]],8))</f>
        <v>0</v>
      </c>
    </row>
    <row r="1467" spans="1:18" x14ac:dyDescent="0.3">
      <c r="A1467" s="15" t="str">
        <f t="shared" si="27"/>
        <v>5B1</v>
      </c>
      <c r="B1467" s="15">
        <v>1457</v>
      </c>
      <c r="C1467" s="42"/>
      <c r="F1467" s="22"/>
      <c r="G1467" s="22"/>
      <c r="J1467" s="24">
        <v>50000</v>
      </c>
      <c r="M1467" s="24">
        <v>50000</v>
      </c>
      <c r="O1467" s="48" t="s">
        <v>97</v>
      </c>
      <c r="P1467" s="48">
        <f>HEX2DEC(RIGHT(Table1323212714[[#This Row],[h1]],8))</f>
        <v>0</v>
      </c>
      <c r="Q1467" s="48" t="s">
        <v>97</v>
      </c>
      <c r="R1467" s="48">
        <f>HEX2DEC(RIGHT(Table1323212714[[#This Row],[h2]],8))</f>
        <v>0</v>
      </c>
    </row>
    <row r="1468" spans="1:18" x14ac:dyDescent="0.3">
      <c r="A1468" s="15" t="str">
        <f t="shared" si="27"/>
        <v>5B2</v>
      </c>
      <c r="B1468" s="15">
        <v>1458</v>
      </c>
      <c r="C1468" s="42"/>
      <c r="F1468" s="22"/>
      <c r="G1468" s="22"/>
      <c r="J1468" s="24">
        <v>50000</v>
      </c>
      <c r="M1468" s="24">
        <v>50000</v>
      </c>
      <c r="O1468" s="48" t="s">
        <v>97</v>
      </c>
      <c r="P1468" s="48">
        <f>HEX2DEC(RIGHT(Table1323212714[[#This Row],[h1]],8))</f>
        <v>0</v>
      </c>
      <c r="Q1468" s="48" t="s">
        <v>97</v>
      </c>
      <c r="R1468" s="48">
        <f>HEX2DEC(RIGHT(Table1323212714[[#This Row],[h2]],8))</f>
        <v>0</v>
      </c>
    </row>
    <row r="1469" spans="1:18" x14ac:dyDescent="0.3">
      <c r="A1469" s="15" t="str">
        <f t="shared" si="27"/>
        <v>5B3</v>
      </c>
      <c r="B1469" s="15">
        <v>1459</v>
      </c>
      <c r="C1469" s="42"/>
      <c r="F1469" s="22"/>
      <c r="G1469" s="22"/>
      <c r="J1469" s="24">
        <v>50000</v>
      </c>
      <c r="M1469" s="24">
        <v>50000</v>
      </c>
      <c r="O1469" s="48" t="s">
        <v>97</v>
      </c>
      <c r="P1469" s="48">
        <f>HEX2DEC(RIGHT(Table1323212714[[#This Row],[h1]],8))</f>
        <v>0</v>
      </c>
      <c r="Q1469" s="48" t="s">
        <v>97</v>
      </c>
      <c r="R1469" s="48">
        <f>HEX2DEC(RIGHT(Table1323212714[[#This Row],[h2]],8))</f>
        <v>0</v>
      </c>
    </row>
    <row r="1470" spans="1:18" x14ac:dyDescent="0.3">
      <c r="A1470" s="15" t="str">
        <f t="shared" si="27"/>
        <v>5B4</v>
      </c>
      <c r="B1470" s="15">
        <v>1460</v>
      </c>
      <c r="C1470" s="42"/>
      <c r="F1470" s="22"/>
      <c r="G1470" s="22"/>
      <c r="J1470" s="24">
        <v>50000</v>
      </c>
      <c r="M1470" s="24">
        <v>50000</v>
      </c>
      <c r="O1470" s="48" t="s">
        <v>97</v>
      </c>
      <c r="P1470" s="48">
        <f>HEX2DEC(RIGHT(Table1323212714[[#This Row],[h1]],8))</f>
        <v>0</v>
      </c>
      <c r="Q1470" s="48" t="s">
        <v>97</v>
      </c>
      <c r="R1470" s="48">
        <f>HEX2DEC(RIGHT(Table1323212714[[#This Row],[h2]],8))</f>
        <v>0</v>
      </c>
    </row>
    <row r="1471" spans="1:18" x14ac:dyDescent="0.3">
      <c r="A1471" s="15" t="str">
        <f t="shared" si="27"/>
        <v>5B5</v>
      </c>
      <c r="B1471" s="15">
        <v>1461</v>
      </c>
      <c r="C1471" s="42"/>
      <c r="F1471" s="22"/>
      <c r="G1471" s="22"/>
      <c r="J1471" s="24">
        <v>50000</v>
      </c>
      <c r="M1471" s="24">
        <v>50000</v>
      </c>
      <c r="O1471" s="48" t="s">
        <v>97</v>
      </c>
      <c r="P1471" s="48">
        <f>HEX2DEC(RIGHT(Table1323212714[[#This Row],[h1]],8))</f>
        <v>0</v>
      </c>
      <c r="Q1471" s="48" t="s">
        <v>97</v>
      </c>
      <c r="R1471" s="48">
        <f>HEX2DEC(RIGHT(Table1323212714[[#This Row],[h2]],8))</f>
        <v>0</v>
      </c>
    </row>
    <row r="1472" spans="1:18" x14ac:dyDescent="0.3">
      <c r="A1472" s="15" t="str">
        <f t="shared" si="27"/>
        <v>5B6</v>
      </c>
      <c r="B1472" s="15">
        <v>1462</v>
      </c>
      <c r="C1472" s="42"/>
      <c r="F1472" s="22"/>
      <c r="G1472" s="22"/>
      <c r="J1472" s="24">
        <v>50000</v>
      </c>
      <c r="M1472" s="24">
        <v>50000</v>
      </c>
      <c r="O1472" s="48" t="s">
        <v>97</v>
      </c>
      <c r="P1472" s="48">
        <f>HEX2DEC(RIGHT(Table1323212714[[#This Row],[h1]],8))</f>
        <v>0</v>
      </c>
      <c r="Q1472" s="48" t="s">
        <v>97</v>
      </c>
      <c r="R1472" s="48">
        <f>HEX2DEC(RIGHT(Table1323212714[[#This Row],[h2]],8))</f>
        <v>0</v>
      </c>
    </row>
    <row r="1473" spans="1:18" x14ac:dyDescent="0.3">
      <c r="A1473" s="15" t="str">
        <f t="shared" si="27"/>
        <v>5B7</v>
      </c>
      <c r="B1473" s="15">
        <v>1463</v>
      </c>
      <c r="C1473" s="42"/>
      <c r="F1473" s="22"/>
      <c r="G1473" s="22"/>
      <c r="J1473" s="24">
        <v>50000</v>
      </c>
      <c r="M1473" s="24">
        <v>50000</v>
      </c>
      <c r="O1473" s="48" t="s">
        <v>97</v>
      </c>
      <c r="P1473" s="48">
        <f>HEX2DEC(RIGHT(Table1323212714[[#This Row],[h1]],8))</f>
        <v>0</v>
      </c>
      <c r="Q1473" s="48" t="s">
        <v>97</v>
      </c>
      <c r="R1473" s="48">
        <f>HEX2DEC(RIGHT(Table1323212714[[#This Row],[h2]],8))</f>
        <v>0</v>
      </c>
    </row>
    <row r="1474" spans="1:18" x14ac:dyDescent="0.3">
      <c r="A1474" s="15" t="str">
        <f t="shared" si="27"/>
        <v>5B8</v>
      </c>
      <c r="B1474" s="15">
        <v>1464</v>
      </c>
      <c r="C1474" s="42"/>
      <c r="F1474" s="22"/>
      <c r="G1474" s="22"/>
      <c r="J1474" s="24">
        <v>50000</v>
      </c>
      <c r="M1474" s="24">
        <v>50000</v>
      </c>
      <c r="O1474" s="48" t="s">
        <v>97</v>
      </c>
      <c r="P1474" s="48">
        <f>HEX2DEC(RIGHT(Table1323212714[[#This Row],[h1]],8))</f>
        <v>0</v>
      </c>
      <c r="Q1474" s="48" t="s">
        <v>97</v>
      </c>
      <c r="R1474" s="48">
        <f>HEX2DEC(RIGHT(Table1323212714[[#This Row],[h2]],8))</f>
        <v>0</v>
      </c>
    </row>
    <row r="1475" spans="1:18" x14ac:dyDescent="0.3">
      <c r="A1475" s="15" t="str">
        <f t="shared" si="27"/>
        <v>5B9</v>
      </c>
      <c r="B1475" s="15">
        <v>1465</v>
      </c>
      <c r="C1475" s="42"/>
      <c r="F1475" s="22"/>
      <c r="G1475" s="22"/>
      <c r="J1475" s="24">
        <v>50000</v>
      </c>
      <c r="M1475" s="24">
        <v>50000</v>
      </c>
      <c r="O1475" s="48" t="s">
        <v>97</v>
      </c>
      <c r="P1475" s="48">
        <f>HEX2DEC(RIGHT(Table1323212714[[#This Row],[h1]],8))</f>
        <v>0</v>
      </c>
      <c r="Q1475" s="48" t="s">
        <v>97</v>
      </c>
      <c r="R1475" s="48">
        <f>HEX2DEC(RIGHT(Table1323212714[[#This Row],[h2]],8))</f>
        <v>0</v>
      </c>
    </row>
    <row r="1476" spans="1:18" x14ac:dyDescent="0.3">
      <c r="A1476" s="15" t="str">
        <f t="shared" si="27"/>
        <v>5BA</v>
      </c>
      <c r="B1476" s="15">
        <v>1466</v>
      </c>
      <c r="C1476" s="42"/>
      <c r="F1476" s="22"/>
      <c r="G1476" s="22"/>
      <c r="J1476" s="24">
        <v>50000</v>
      </c>
      <c r="M1476" s="24">
        <v>50000</v>
      </c>
      <c r="O1476" s="48" t="s">
        <v>97</v>
      </c>
      <c r="P1476" s="48">
        <f>HEX2DEC(RIGHT(Table1323212714[[#This Row],[h1]],8))</f>
        <v>0</v>
      </c>
      <c r="Q1476" s="48" t="s">
        <v>97</v>
      </c>
      <c r="R1476" s="48">
        <f>HEX2DEC(RIGHT(Table1323212714[[#This Row],[h2]],8))</f>
        <v>0</v>
      </c>
    </row>
    <row r="1477" spans="1:18" x14ac:dyDescent="0.3">
      <c r="A1477" s="15" t="str">
        <f t="shared" si="27"/>
        <v>5BB</v>
      </c>
      <c r="B1477" s="15">
        <v>1467</v>
      </c>
      <c r="C1477" s="42"/>
      <c r="F1477" s="22"/>
      <c r="G1477" s="22"/>
      <c r="J1477" s="24">
        <v>50000</v>
      </c>
      <c r="M1477" s="24">
        <v>50000</v>
      </c>
      <c r="O1477" s="48" t="s">
        <v>97</v>
      </c>
      <c r="P1477" s="48">
        <f>HEX2DEC(RIGHT(Table1323212714[[#This Row],[h1]],8))</f>
        <v>0</v>
      </c>
      <c r="Q1477" s="48" t="s">
        <v>97</v>
      </c>
      <c r="R1477" s="48">
        <f>HEX2DEC(RIGHT(Table1323212714[[#This Row],[h2]],8))</f>
        <v>0</v>
      </c>
    </row>
    <row r="1478" spans="1:18" x14ac:dyDescent="0.3">
      <c r="A1478" s="15" t="str">
        <f t="shared" si="27"/>
        <v>5BC</v>
      </c>
      <c r="B1478" s="15">
        <v>1468</v>
      </c>
      <c r="C1478" s="42"/>
      <c r="F1478" s="22"/>
      <c r="G1478" s="22"/>
      <c r="J1478" s="24">
        <v>50000</v>
      </c>
      <c r="M1478" s="24">
        <v>50000</v>
      </c>
      <c r="O1478" s="48" t="s">
        <v>97</v>
      </c>
      <c r="P1478" s="48">
        <f>HEX2DEC(RIGHT(Table1323212714[[#This Row],[h1]],8))</f>
        <v>0</v>
      </c>
      <c r="Q1478" s="48" t="s">
        <v>97</v>
      </c>
      <c r="R1478" s="48">
        <f>HEX2DEC(RIGHT(Table1323212714[[#This Row],[h2]],8))</f>
        <v>0</v>
      </c>
    </row>
    <row r="1479" spans="1:18" x14ac:dyDescent="0.3">
      <c r="A1479" s="15" t="str">
        <f t="shared" si="27"/>
        <v>5BD</v>
      </c>
      <c r="B1479" s="15">
        <v>1469</v>
      </c>
      <c r="C1479" s="42"/>
      <c r="F1479" s="22"/>
      <c r="G1479" s="22"/>
      <c r="J1479" s="24">
        <v>50000</v>
      </c>
      <c r="M1479" s="24">
        <v>50000</v>
      </c>
      <c r="O1479" s="48" t="s">
        <v>97</v>
      </c>
      <c r="P1479" s="48">
        <f>HEX2DEC(RIGHT(Table1323212714[[#This Row],[h1]],8))</f>
        <v>0</v>
      </c>
      <c r="Q1479" s="48" t="s">
        <v>97</v>
      </c>
      <c r="R1479" s="48">
        <f>HEX2DEC(RIGHT(Table1323212714[[#This Row],[h2]],8))</f>
        <v>0</v>
      </c>
    </row>
    <row r="1480" spans="1:18" x14ac:dyDescent="0.3">
      <c r="A1480" s="15" t="str">
        <f t="shared" si="27"/>
        <v>5BE</v>
      </c>
      <c r="B1480" s="15">
        <v>1470</v>
      </c>
      <c r="C1480" s="42"/>
      <c r="F1480" s="22"/>
      <c r="G1480" s="22"/>
      <c r="J1480" s="24">
        <v>50000</v>
      </c>
      <c r="M1480" s="24">
        <v>50000</v>
      </c>
      <c r="O1480" s="48" t="s">
        <v>97</v>
      </c>
      <c r="P1480" s="48">
        <f>HEX2DEC(RIGHT(Table1323212714[[#This Row],[h1]],8))</f>
        <v>0</v>
      </c>
      <c r="Q1480" s="48" t="s">
        <v>97</v>
      </c>
      <c r="R1480" s="48">
        <f>HEX2DEC(RIGHT(Table1323212714[[#This Row],[h2]],8))</f>
        <v>0</v>
      </c>
    </row>
    <row r="1481" spans="1:18" x14ac:dyDescent="0.3">
      <c r="A1481" s="15" t="str">
        <f t="shared" si="27"/>
        <v>5BF</v>
      </c>
      <c r="B1481" s="15">
        <v>1471</v>
      </c>
      <c r="C1481" s="42"/>
      <c r="F1481" s="22"/>
      <c r="G1481" s="22"/>
      <c r="J1481" s="24">
        <v>50000</v>
      </c>
      <c r="M1481" s="24">
        <v>50000</v>
      </c>
      <c r="O1481" s="48" t="s">
        <v>97</v>
      </c>
      <c r="P1481" s="48">
        <f>HEX2DEC(RIGHT(Table1323212714[[#This Row],[h1]],8))</f>
        <v>0</v>
      </c>
      <c r="Q1481" s="48" t="s">
        <v>97</v>
      </c>
      <c r="R1481" s="48">
        <f>HEX2DEC(RIGHT(Table1323212714[[#This Row],[h2]],8))</f>
        <v>0</v>
      </c>
    </row>
    <row r="1482" spans="1:18" x14ac:dyDescent="0.3">
      <c r="A1482" s="15" t="str">
        <f t="shared" si="27"/>
        <v>5C0</v>
      </c>
      <c r="B1482" s="15">
        <v>1472</v>
      </c>
      <c r="C1482" s="42"/>
      <c r="F1482" s="22"/>
      <c r="G1482" s="22"/>
      <c r="J1482" s="24">
        <v>50000</v>
      </c>
      <c r="M1482" s="24">
        <v>50000</v>
      </c>
      <c r="O1482" s="48" t="s">
        <v>97</v>
      </c>
      <c r="P1482" s="48">
        <f>HEX2DEC(RIGHT(Table1323212714[[#This Row],[h1]],8))</f>
        <v>0</v>
      </c>
      <c r="Q1482" s="48" t="s">
        <v>97</v>
      </c>
      <c r="R1482" s="48">
        <f>HEX2DEC(RIGHT(Table1323212714[[#This Row],[h2]],8))</f>
        <v>0</v>
      </c>
    </row>
    <row r="1483" spans="1:18" x14ac:dyDescent="0.3">
      <c r="A1483" s="15" t="str">
        <f t="shared" ref="A1483:A1546" si="28">DEC2HEX(B1483,3)</f>
        <v>5C1</v>
      </c>
      <c r="B1483" s="15">
        <v>1473</v>
      </c>
      <c r="C1483" s="42"/>
      <c r="F1483" s="22"/>
      <c r="G1483" s="22"/>
      <c r="J1483" s="24">
        <v>50000</v>
      </c>
      <c r="M1483" s="24">
        <v>50000</v>
      </c>
      <c r="O1483" s="48" t="s">
        <v>97</v>
      </c>
      <c r="P1483" s="48">
        <f>HEX2DEC(RIGHT(Table1323212714[[#This Row],[h1]],8))</f>
        <v>0</v>
      </c>
      <c r="Q1483" s="48" t="s">
        <v>97</v>
      </c>
      <c r="R1483" s="48">
        <f>HEX2DEC(RIGHT(Table1323212714[[#This Row],[h2]],8))</f>
        <v>0</v>
      </c>
    </row>
    <row r="1484" spans="1:18" x14ac:dyDescent="0.3">
      <c r="A1484" s="15" t="str">
        <f t="shared" si="28"/>
        <v>5C2</v>
      </c>
      <c r="B1484" s="15">
        <v>1474</v>
      </c>
      <c r="C1484" s="42"/>
      <c r="F1484" s="22"/>
      <c r="G1484" s="22"/>
      <c r="J1484" s="24">
        <v>50000</v>
      </c>
      <c r="M1484" s="24">
        <v>50000</v>
      </c>
      <c r="O1484" s="48" t="s">
        <v>97</v>
      </c>
      <c r="P1484" s="48">
        <f>HEX2DEC(RIGHT(Table1323212714[[#This Row],[h1]],8))</f>
        <v>0</v>
      </c>
      <c r="Q1484" s="48" t="s">
        <v>97</v>
      </c>
      <c r="R1484" s="48">
        <f>HEX2DEC(RIGHT(Table1323212714[[#This Row],[h2]],8))</f>
        <v>0</v>
      </c>
    </row>
    <row r="1485" spans="1:18" x14ac:dyDescent="0.3">
      <c r="A1485" s="15" t="str">
        <f t="shared" si="28"/>
        <v>5C3</v>
      </c>
      <c r="B1485" s="15">
        <v>1475</v>
      </c>
      <c r="C1485" s="42"/>
      <c r="F1485" s="22"/>
      <c r="G1485" s="22"/>
      <c r="J1485" s="24">
        <v>50000</v>
      </c>
      <c r="M1485" s="24">
        <v>50000</v>
      </c>
      <c r="O1485" s="48" t="s">
        <v>97</v>
      </c>
      <c r="P1485" s="48">
        <f>HEX2DEC(RIGHT(Table1323212714[[#This Row],[h1]],8))</f>
        <v>0</v>
      </c>
      <c r="Q1485" s="48" t="s">
        <v>97</v>
      </c>
      <c r="R1485" s="48">
        <f>HEX2DEC(RIGHT(Table1323212714[[#This Row],[h2]],8))</f>
        <v>0</v>
      </c>
    </row>
    <row r="1486" spans="1:18" x14ac:dyDescent="0.3">
      <c r="A1486" s="15" t="str">
        <f t="shared" si="28"/>
        <v>5C4</v>
      </c>
      <c r="B1486" s="15">
        <v>1476</v>
      </c>
      <c r="C1486" s="42"/>
      <c r="F1486" s="22"/>
      <c r="G1486" s="22"/>
      <c r="J1486" s="24">
        <v>50000</v>
      </c>
      <c r="M1486" s="24">
        <v>50000</v>
      </c>
      <c r="O1486" s="48" t="s">
        <v>97</v>
      </c>
      <c r="P1486" s="48">
        <f>HEX2DEC(RIGHT(Table1323212714[[#This Row],[h1]],8))</f>
        <v>0</v>
      </c>
      <c r="Q1486" s="48" t="s">
        <v>97</v>
      </c>
      <c r="R1486" s="48">
        <f>HEX2DEC(RIGHT(Table1323212714[[#This Row],[h2]],8))</f>
        <v>0</v>
      </c>
    </row>
    <row r="1487" spans="1:18" x14ac:dyDescent="0.3">
      <c r="A1487" s="15" t="str">
        <f t="shared" si="28"/>
        <v>5C5</v>
      </c>
      <c r="B1487" s="15">
        <v>1477</v>
      </c>
      <c r="C1487" s="42"/>
      <c r="F1487" s="22"/>
      <c r="G1487" s="22"/>
      <c r="J1487" s="24">
        <v>50000</v>
      </c>
      <c r="M1487" s="24">
        <v>50000</v>
      </c>
      <c r="O1487" s="48" t="s">
        <v>97</v>
      </c>
      <c r="P1487" s="48">
        <f>HEX2DEC(RIGHT(Table1323212714[[#This Row],[h1]],8))</f>
        <v>0</v>
      </c>
      <c r="Q1487" s="48" t="s">
        <v>97</v>
      </c>
      <c r="R1487" s="48">
        <f>HEX2DEC(RIGHT(Table1323212714[[#This Row],[h2]],8))</f>
        <v>0</v>
      </c>
    </row>
    <row r="1488" spans="1:18" x14ac:dyDescent="0.3">
      <c r="A1488" s="15" t="str">
        <f t="shared" si="28"/>
        <v>5C6</v>
      </c>
      <c r="B1488" s="15">
        <v>1478</v>
      </c>
      <c r="C1488" s="42"/>
      <c r="F1488" s="22"/>
      <c r="G1488" s="22"/>
      <c r="J1488" s="24">
        <v>50000</v>
      </c>
      <c r="M1488" s="24">
        <v>50000</v>
      </c>
      <c r="O1488" s="48" t="s">
        <v>97</v>
      </c>
      <c r="P1488" s="48">
        <f>HEX2DEC(RIGHT(Table1323212714[[#This Row],[h1]],8))</f>
        <v>0</v>
      </c>
      <c r="Q1488" s="48" t="s">
        <v>97</v>
      </c>
      <c r="R1488" s="48">
        <f>HEX2DEC(RIGHT(Table1323212714[[#This Row],[h2]],8))</f>
        <v>0</v>
      </c>
    </row>
    <row r="1489" spans="1:18" x14ac:dyDescent="0.3">
      <c r="A1489" s="15" t="str">
        <f t="shared" si="28"/>
        <v>5C7</v>
      </c>
      <c r="B1489" s="15">
        <v>1479</v>
      </c>
      <c r="C1489" s="42"/>
      <c r="F1489" s="22"/>
      <c r="G1489" s="22"/>
      <c r="J1489" s="24">
        <v>50000</v>
      </c>
      <c r="M1489" s="24">
        <v>50000</v>
      </c>
      <c r="O1489" s="48" t="s">
        <v>97</v>
      </c>
      <c r="P1489" s="48">
        <f>HEX2DEC(RIGHT(Table1323212714[[#This Row],[h1]],8))</f>
        <v>0</v>
      </c>
      <c r="Q1489" s="48" t="s">
        <v>97</v>
      </c>
      <c r="R1489" s="48">
        <f>HEX2DEC(RIGHT(Table1323212714[[#This Row],[h2]],8))</f>
        <v>0</v>
      </c>
    </row>
    <row r="1490" spans="1:18" x14ac:dyDescent="0.3">
      <c r="A1490" s="15" t="str">
        <f t="shared" si="28"/>
        <v>5C8</v>
      </c>
      <c r="B1490" s="15">
        <v>1480</v>
      </c>
      <c r="C1490" s="42"/>
      <c r="F1490" s="22"/>
      <c r="G1490" s="22"/>
      <c r="J1490" s="24">
        <v>50000</v>
      </c>
      <c r="M1490" s="24">
        <v>50000</v>
      </c>
      <c r="O1490" s="48" t="s">
        <v>97</v>
      </c>
      <c r="P1490" s="48">
        <f>HEX2DEC(RIGHT(Table1323212714[[#This Row],[h1]],8))</f>
        <v>0</v>
      </c>
      <c r="Q1490" s="48" t="s">
        <v>97</v>
      </c>
      <c r="R1490" s="48">
        <f>HEX2DEC(RIGHT(Table1323212714[[#This Row],[h2]],8))</f>
        <v>0</v>
      </c>
    </row>
    <row r="1491" spans="1:18" x14ac:dyDescent="0.3">
      <c r="A1491" s="15" t="str">
        <f t="shared" si="28"/>
        <v>5C9</v>
      </c>
      <c r="B1491" s="15">
        <v>1481</v>
      </c>
      <c r="C1491" s="42"/>
      <c r="F1491" s="22"/>
      <c r="G1491" s="22"/>
      <c r="J1491" s="24">
        <v>50000</v>
      </c>
      <c r="M1491" s="24">
        <v>50000</v>
      </c>
      <c r="O1491" s="48" t="s">
        <v>97</v>
      </c>
      <c r="P1491" s="48">
        <f>HEX2DEC(RIGHT(Table1323212714[[#This Row],[h1]],8))</f>
        <v>0</v>
      </c>
      <c r="Q1491" s="48" t="s">
        <v>97</v>
      </c>
      <c r="R1491" s="48">
        <f>HEX2DEC(RIGHT(Table1323212714[[#This Row],[h2]],8))</f>
        <v>0</v>
      </c>
    </row>
    <row r="1492" spans="1:18" x14ac:dyDescent="0.3">
      <c r="A1492" s="15" t="str">
        <f t="shared" si="28"/>
        <v>5CA</v>
      </c>
      <c r="B1492" s="15">
        <v>1482</v>
      </c>
      <c r="C1492" s="42"/>
      <c r="F1492" s="22"/>
      <c r="G1492" s="22"/>
      <c r="J1492" s="24">
        <v>50000</v>
      </c>
      <c r="M1492" s="24">
        <v>50000</v>
      </c>
      <c r="O1492" s="48" t="s">
        <v>97</v>
      </c>
      <c r="P1492" s="48">
        <f>HEX2DEC(RIGHT(Table1323212714[[#This Row],[h1]],8))</f>
        <v>0</v>
      </c>
      <c r="Q1492" s="48" t="s">
        <v>97</v>
      </c>
      <c r="R1492" s="48">
        <f>HEX2DEC(RIGHT(Table1323212714[[#This Row],[h2]],8))</f>
        <v>0</v>
      </c>
    </row>
    <row r="1493" spans="1:18" x14ac:dyDescent="0.3">
      <c r="A1493" s="15" t="str">
        <f t="shared" si="28"/>
        <v>5CB</v>
      </c>
      <c r="B1493" s="15">
        <v>1483</v>
      </c>
      <c r="C1493" s="42"/>
      <c r="F1493" s="22"/>
      <c r="G1493" s="22"/>
      <c r="J1493" s="24">
        <v>50000</v>
      </c>
      <c r="M1493" s="24">
        <v>50000</v>
      </c>
      <c r="O1493" s="48" t="s">
        <v>97</v>
      </c>
      <c r="P1493" s="48">
        <f>HEX2DEC(RIGHT(Table1323212714[[#This Row],[h1]],8))</f>
        <v>0</v>
      </c>
      <c r="Q1493" s="48" t="s">
        <v>97</v>
      </c>
      <c r="R1493" s="48">
        <f>HEX2DEC(RIGHT(Table1323212714[[#This Row],[h2]],8))</f>
        <v>0</v>
      </c>
    </row>
    <row r="1494" spans="1:18" x14ac:dyDescent="0.3">
      <c r="A1494" s="15" t="str">
        <f t="shared" si="28"/>
        <v>5CC</v>
      </c>
      <c r="B1494" s="15">
        <v>1484</v>
      </c>
      <c r="C1494" s="42"/>
      <c r="F1494" s="22"/>
      <c r="G1494" s="22"/>
      <c r="J1494" s="24">
        <v>50000</v>
      </c>
      <c r="M1494" s="24">
        <v>50000</v>
      </c>
      <c r="O1494" s="48" t="s">
        <v>97</v>
      </c>
      <c r="P1494" s="48">
        <f>HEX2DEC(RIGHT(Table1323212714[[#This Row],[h1]],8))</f>
        <v>0</v>
      </c>
      <c r="Q1494" s="48" t="s">
        <v>97</v>
      </c>
      <c r="R1494" s="48">
        <f>HEX2DEC(RIGHT(Table1323212714[[#This Row],[h2]],8))</f>
        <v>0</v>
      </c>
    </row>
    <row r="1495" spans="1:18" x14ac:dyDescent="0.3">
      <c r="A1495" s="15" t="str">
        <f t="shared" si="28"/>
        <v>5CD</v>
      </c>
      <c r="B1495" s="15">
        <v>1485</v>
      </c>
      <c r="C1495" s="42"/>
      <c r="F1495" s="22"/>
      <c r="G1495" s="22"/>
      <c r="J1495" s="24">
        <v>50000</v>
      </c>
      <c r="M1495" s="24">
        <v>50000</v>
      </c>
      <c r="O1495" s="48" t="s">
        <v>97</v>
      </c>
      <c r="P1495" s="48">
        <f>HEX2DEC(RIGHT(Table1323212714[[#This Row],[h1]],8))</f>
        <v>0</v>
      </c>
      <c r="Q1495" s="48" t="s">
        <v>97</v>
      </c>
      <c r="R1495" s="48">
        <f>HEX2DEC(RIGHT(Table1323212714[[#This Row],[h2]],8))</f>
        <v>0</v>
      </c>
    </row>
    <row r="1496" spans="1:18" x14ac:dyDescent="0.3">
      <c r="A1496" s="15" t="str">
        <f t="shared" si="28"/>
        <v>5CE</v>
      </c>
      <c r="B1496" s="15">
        <v>1486</v>
      </c>
      <c r="C1496" s="42"/>
      <c r="F1496" s="22"/>
      <c r="G1496" s="22"/>
      <c r="J1496" s="24">
        <v>50000</v>
      </c>
      <c r="M1496" s="24">
        <v>50000</v>
      </c>
      <c r="O1496" s="48" t="s">
        <v>97</v>
      </c>
      <c r="P1496" s="48">
        <f>HEX2DEC(RIGHT(Table1323212714[[#This Row],[h1]],8))</f>
        <v>0</v>
      </c>
      <c r="Q1496" s="48" t="s">
        <v>97</v>
      </c>
      <c r="R1496" s="48">
        <f>HEX2DEC(RIGHT(Table1323212714[[#This Row],[h2]],8))</f>
        <v>0</v>
      </c>
    </row>
    <row r="1497" spans="1:18" x14ac:dyDescent="0.3">
      <c r="A1497" s="15" t="str">
        <f t="shared" si="28"/>
        <v>5CF</v>
      </c>
      <c r="B1497" s="15">
        <v>1487</v>
      </c>
      <c r="C1497" s="42"/>
      <c r="F1497" s="22"/>
      <c r="G1497" s="22"/>
      <c r="J1497" s="24">
        <v>50000</v>
      </c>
      <c r="M1497" s="24">
        <v>50000</v>
      </c>
      <c r="O1497" s="48" t="s">
        <v>97</v>
      </c>
      <c r="P1497" s="48">
        <f>HEX2DEC(RIGHT(Table1323212714[[#This Row],[h1]],8))</f>
        <v>0</v>
      </c>
      <c r="Q1497" s="48" t="s">
        <v>97</v>
      </c>
      <c r="R1497" s="48">
        <f>HEX2DEC(RIGHT(Table1323212714[[#This Row],[h2]],8))</f>
        <v>0</v>
      </c>
    </row>
    <row r="1498" spans="1:18" x14ac:dyDescent="0.3">
      <c r="A1498" s="15" t="str">
        <f t="shared" si="28"/>
        <v>5D0</v>
      </c>
      <c r="B1498" s="15">
        <v>1488</v>
      </c>
      <c r="C1498" s="42"/>
      <c r="F1498" s="22"/>
      <c r="G1498" s="22"/>
      <c r="J1498" s="24">
        <v>50000</v>
      </c>
      <c r="M1498" s="24">
        <v>50000</v>
      </c>
      <c r="O1498" s="48" t="s">
        <v>97</v>
      </c>
      <c r="P1498" s="48">
        <f>HEX2DEC(RIGHT(Table1323212714[[#This Row],[h1]],8))</f>
        <v>0</v>
      </c>
      <c r="Q1498" s="48" t="s">
        <v>97</v>
      </c>
      <c r="R1498" s="48">
        <f>HEX2DEC(RIGHT(Table1323212714[[#This Row],[h2]],8))</f>
        <v>0</v>
      </c>
    </row>
    <row r="1499" spans="1:18" x14ac:dyDescent="0.3">
      <c r="A1499" s="15" t="str">
        <f t="shared" si="28"/>
        <v>5D1</v>
      </c>
      <c r="B1499" s="15">
        <v>1489</v>
      </c>
      <c r="C1499" s="42"/>
      <c r="F1499" s="22"/>
      <c r="G1499" s="22"/>
      <c r="J1499" s="24">
        <v>50000</v>
      </c>
      <c r="M1499" s="24">
        <v>50000</v>
      </c>
      <c r="O1499" s="48" t="s">
        <v>97</v>
      </c>
      <c r="P1499" s="48">
        <f>HEX2DEC(RIGHT(Table1323212714[[#This Row],[h1]],8))</f>
        <v>0</v>
      </c>
      <c r="Q1499" s="48" t="s">
        <v>97</v>
      </c>
      <c r="R1499" s="48">
        <f>HEX2DEC(RIGHT(Table1323212714[[#This Row],[h2]],8))</f>
        <v>0</v>
      </c>
    </row>
    <row r="1500" spans="1:18" x14ac:dyDescent="0.3">
      <c r="A1500" s="15" t="str">
        <f t="shared" si="28"/>
        <v>5D2</v>
      </c>
      <c r="B1500" s="15">
        <v>1490</v>
      </c>
      <c r="C1500" s="42"/>
      <c r="F1500" s="22"/>
      <c r="G1500" s="22"/>
      <c r="J1500" s="24">
        <v>50000</v>
      </c>
      <c r="M1500" s="24">
        <v>50000</v>
      </c>
      <c r="O1500" s="48" t="s">
        <v>97</v>
      </c>
      <c r="P1500" s="48">
        <f>HEX2DEC(RIGHT(Table1323212714[[#This Row],[h1]],8))</f>
        <v>0</v>
      </c>
      <c r="Q1500" s="48" t="s">
        <v>97</v>
      </c>
      <c r="R1500" s="48">
        <f>HEX2DEC(RIGHT(Table1323212714[[#This Row],[h2]],8))</f>
        <v>0</v>
      </c>
    </row>
    <row r="1501" spans="1:18" x14ac:dyDescent="0.3">
      <c r="A1501" s="15" t="str">
        <f t="shared" si="28"/>
        <v>5D3</v>
      </c>
      <c r="B1501" s="15">
        <v>1491</v>
      </c>
      <c r="C1501" s="42"/>
      <c r="F1501" s="22"/>
      <c r="G1501" s="22"/>
      <c r="J1501" s="24">
        <v>50000</v>
      </c>
      <c r="M1501" s="24">
        <v>50000</v>
      </c>
      <c r="O1501" s="48" t="s">
        <v>97</v>
      </c>
      <c r="P1501" s="48">
        <f>HEX2DEC(RIGHT(Table1323212714[[#This Row],[h1]],8))</f>
        <v>0</v>
      </c>
      <c r="Q1501" s="48" t="s">
        <v>97</v>
      </c>
      <c r="R1501" s="48">
        <f>HEX2DEC(RIGHT(Table1323212714[[#This Row],[h2]],8))</f>
        <v>0</v>
      </c>
    </row>
    <row r="1502" spans="1:18" x14ac:dyDescent="0.3">
      <c r="A1502" s="15" t="str">
        <f t="shared" si="28"/>
        <v>5D4</v>
      </c>
      <c r="B1502" s="15">
        <v>1492</v>
      </c>
      <c r="C1502" s="42"/>
      <c r="F1502" s="22"/>
      <c r="G1502" s="22"/>
      <c r="J1502" s="24">
        <v>50000</v>
      </c>
      <c r="M1502" s="24">
        <v>50000</v>
      </c>
      <c r="O1502" s="48" t="s">
        <v>97</v>
      </c>
      <c r="P1502" s="48">
        <f>HEX2DEC(RIGHT(Table1323212714[[#This Row],[h1]],8))</f>
        <v>0</v>
      </c>
      <c r="Q1502" s="48" t="s">
        <v>97</v>
      </c>
      <c r="R1502" s="48">
        <f>HEX2DEC(RIGHT(Table1323212714[[#This Row],[h2]],8))</f>
        <v>0</v>
      </c>
    </row>
    <row r="1503" spans="1:18" x14ac:dyDescent="0.3">
      <c r="A1503" s="15" t="str">
        <f t="shared" si="28"/>
        <v>5D5</v>
      </c>
      <c r="B1503" s="15">
        <v>1493</v>
      </c>
      <c r="C1503" s="42"/>
      <c r="F1503" s="22"/>
      <c r="G1503" s="22"/>
      <c r="J1503" s="24">
        <v>50000</v>
      </c>
      <c r="M1503" s="24">
        <v>50000</v>
      </c>
      <c r="O1503" s="48" t="s">
        <v>97</v>
      </c>
      <c r="P1503" s="48">
        <f>HEX2DEC(RIGHT(Table1323212714[[#This Row],[h1]],8))</f>
        <v>0</v>
      </c>
      <c r="Q1503" s="48" t="s">
        <v>97</v>
      </c>
      <c r="R1503" s="48">
        <f>HEX2DEC(RIGHT(Table1323212714[[#This Row],[h2]],8))</f>
        <v>0</v>
      </c>
    </row>
    <row r="1504" spans="1:18" x14ac:dyDescent="0.3">
      <c r="A1504" s="15" t="str">
        <f t="shared" si="28"/>
        <v>5D6</v>
      </c>
      <c r="B1504" s="15">
        <v>1494</v>
      </c>
      <c r="C1504" s="42"/>
      <c r="F1504" s="22"/>
      <c r="G1504" s="22"/>
      <c r="J1504" s="24">
        <v>50000</v>
      </c>
      <c r="M1504" s="24">
        <v>50000</v>
      </c>
      <c r="O1504" s="48" t="s">
        <v>97</v>
      </c>
      <c r="P1504" s="48">
        <f>HEX2DEC(RIGHT(Table1323212714[[#This Row],[h1]],8))</f>
        <v>0</v>
      </c>
      <c r="Q1504" s="48" t="s">
        <v>97</v>
      </c>
      <c r="R1504" s="48">
        <f>HEX2DEC(RIGHT(Table1323212714[[#This Row],[h2]],8))</f>
        <v>0</v>
      </c>
    </row>
    <row r="1505" spans="1:18" x14ac:dyDescent="0.3">
      <c r="A1505" s="15" t="str">
        <f t="shared" si="28"/>
        <v>5D7</v>
      </c>
      <c r="B1505" s="15">
        <v>1495</v>
      </c>
      <c r="C1505" s="42"/>
      <c r="F1505" s="22"/>
      <c r="G1505" s="22"/>
      <c r="J1505" s="24">
        <v>50000</v>
      </c>
      <c r="M1505" s="24">
        <v>50000</v>
      </c>
      <c r="O1505" s="48" t="s">
        <v>97</v>
      </c>
      <c r="P1505" s="48">
        <f>HEX2DEC(RIGHT(Table1323212714[[#This Row],[h1]],8))</f>
        <v>0</v>
      </c>
      <c r="Q1505" s="48" t="s">
        <v>97</v>
      </c>
      <c r="R1505" s="48">
        <f>HEX2DEC(RIGHT(Table1323212714[[#This Row],[h2]],8))</f>
        <v>0</v>
      </c>
    </row>
    <row r="1506" spans="1:18" x14ac:dyDescent="0.3">
      <c r="A1506" s="15" t="str">
        <f t="shared" si="28"/>
        <v>5D8</v>
      </c>
      <c r="B1506" s="15">
        <v>1496</v>
      </c>
      <c r="C1506" s="42"/>
      <c r="F1506" s="22"/>
      <c r="G1506" s="22"/>
      <c r="J1506" s="24">
        <v>50000</v>
      </c>
      <c r="M1506" s="24">
        <v>50000</v>
      </c>
      <c r="O1506" s="48" t="s">
        <v>97</v>
      </c>
      <c r="P1506" s="48">
        <f>HEX2DEC(RIGHT(Table1323212714[[#This Row],[h1]],8))</f>
        <v>0</v>
      </c>
      <c r="Q1506" s="48" t="s">
        <v>97</v>
      </c>
      <c r="R1506" s="48">
        <f>HEX2DEC(RIGHT(Table1323212714[[#This Row],[h2]],8))</f>
        <v>0</v>
      </c>
    </row>
    <row r="1507" spans="1:18" x14ac:dyDescent="0.3">
      <c r="A1507" s="15" t="str">
        <f t="shared" si="28"/>
        <v>5D9</v>
      </c>
      <c r="B1507" s="15">
        <v>1497</v>
      </c>
      <c r="C1507" s="42"/>
      <c r="F1507" s="22"/>
      <c r="G1507" s="22"/>
      <c r="J1507" s="24">
        <v>50000</v>
      </c>
      <c r="M1507" s="24">
        <v>50000</v>
      </c>
      <c r="O1507" s="48" t="s">
        <v>97</v>
      </c>
      <c r="P1507" s="48">
        <f>HEX2DEC(RIGHT(Table1323212714[[#This Row],[h1]],8))</f>
        <v>0</v>
      </c>
      <c r="Q1507" s="48" t="s">
        <v>97</v>
      </c>
      <c r="R1507" s="48">
        <f>HEX2DEC(RIGHT(Table1323212714[[#This Row],[h2]],8))</f>
        <v>0</v>
      </c>
    </row>
    <row r="1508" spans="1:18" x14ac:dyDescent="0.3">
      <c r="A1508" s="15" t="str">
        <f t="shared" si="28"/>
        <v>5DA</v>
      </c>
      <c r="B1508" s="15">
        <v>1498</v>
      </c>
      <c r="C1508" s="42"/>
      <c r="F1508" s="22"/>
      <c r="G1508" s="22"/>
      <c r="J1508" s="24">
        <v>50000</v>
      </c>
      <c r="M1508" s="24">
        <v>50000</v>
      </c>
      <c r="O1508" s="48" t="s">
        <v>97</v>
      </c>
      <c r="P1508" s="48">
        <f>HEX2DEC(RIGHT(Table1323212714[[#This Row],[h1]],8))</f>
        <v>0</v>
      </c>
      <c r="Q1508" s="48" t="s">
        <v>97</v>
      </c>
      <c r="R1508" s="48">
        <f>HEX2DEC(RIGHT(Table1323212714[[#This Row],[h2]],8))</f>
        <v>0</v>
      </c>
    </row>
    <row r="1509" spans="1:18" x14ac:dyDescent="0.3">
      <c r="A1509" s="15" t="str">
        <f t="shared" si="28"/>
        <v>5DB</v>
      </c>
      <c r="B1509" s="15">
        <v>1499</v>
      </c>
      <c r="C1509" s="42"/>
      <c r="F1509" s="22"/>
      <c r="G1509" s="22"/>
      <c r="J1509" s="24">
        <v>50000</v>
      </c>
      <c r="M1509" s="24">
        <v>50000</v>
      </c>
      <c r="O1509" s="48" t="s">
        <v>97</v>
      </c>
      <c r="P1509" s="48">
        <f>HEX2DEC(RIGHT(Table1323212714[[#This Row],[h1]],8))</f>
        <v>0</v>
      </c>
      <c r="Q1509" s="48" t="s">
        <v>97</v>
      </c>
      <c r="R1509" s="48">
        <f>HEX2DEC(RIGHT(Table1323212714[[#This Row],[h2]],8))</f>
        <v>0</v>
      </c>
    </row>
    <row r="1510" spans="1:18" x14ac:dyDescent="0.3">
      <c r="A1510" s="15" t="str">
        <f t="shared" si="28"/>
        <v>5DC</v>
      </c>
      <c r="B1510" s="15">
        <v>1500</v>
      </c>
      <c r="C1510" s="42"/>
      <c r="F1510" s="22"/>
      <c r="G1510" s="22"/>
      <c r="J1510" s="24">
        <v>50000</v>
      </c>
      <c r="M1510" s="24">
        <v>50000</v>
      </c>
      <c r="O1510" s="48" t="s">
        <v>97</v>
      </c>
      <c r="P1510" s="48">
        <f>HEX2DEC(RIGHT(Table1323212714[[#This Row],[h1]],8))</f>
        <v>0</v>
      </c>
      <c r="Q1510" s="48" t="s">
        <v>97</v>
      </c>
      <c r="R1510" s="48">
        <f>HEX2DEC(RIGHT(Table1323212714[[#This Row],[h2]],8))</f>
        <v>0</v>
      </c>
    </row>
    <row r="1511" spans="1:18" x14ac:dyDescent="0.3">
      <c r="A1511" s="15" t="str">
        <f t="shared" si="28"/>
        <v>5DD</v>
      </c>
      <c r="B1511" s="15">
        <v>1501</v>
      </c>
      <c r="C1511" s="42"/>
      <c r="F1511" s="22"/>
      <c r="G1511" s="22"/>
      <c r="J1511" s="24">
        <v>50000</v>
      </c>
      <c r="M1511" s="24">
        <v>50000</v>
      </c>
      <c r="O1511" s="48" t="s">
        <v>97</v>
      </c>
      <c r="P1511" s="48">
        <f>HEX2DEC(RIGHT(Table1323212714[[#This Row],[h1]],8))</f>
        <v>0</v>
      </c>
      <c r="Q1511" s="48" t="s">
        <v>97</v>
      </c>
      <c r="R1511" s="48">
        <f>HEX2DEC(RIGHT(Table1323212714[[#This Row],[h2]],8))</f>
        <v>0</v>
      </c>
    </row>
    <row r="1512" spans="1:18" x14ac:dyDescent="0.3">
      <c r="A1512" s="15" t="str">
        <f t="shared" si="28"/>
        <v>5DE</v>
      </c>
      <c r="B1512" s="15">
        <v>1502</v>
      </c>
      <c r="C1512" s="42"/>
      <c r="F1512" s="22"/>
      <c r="G1512" s="22"/>
      <c r="J1512" s="24">
        <v>50000</v>
      </c>
      <c r="M1512" s="24">
        <v>50000</v>
      </c>
      <c r="O1512" s="48" t="s">
        <v>97</v>
      </c>
      <c r="P1512" s="48">
        <f>HEX2DEC(RIGHT(Table1323212714[[#This Row],[h1]],8))</f>
        <v>0</v>
      </c>
      <c r="Q1512" s="48" t="s">
        <v>97</v>
      </c>
      <c r="R1512" s="48">
        <f>HEX2DEC(RIGHT(Table1323212714[[#This Row],[h2]],8))</f>
        <v>0</v>
      </c>
    </row>
    <row r="1513" spans="1:18" x14ac:dyDescent="0.3">
      <c r="A1513" s="15" t="str">
        <f t="shared" si="28"/>
        <v>5DF</v>
      </c>
      <c r="B1513" s="15">
        <v>1503</v>
      </c>
      <c r="C1513" s="42"/>
      <c r="F1513" s="22"/>
      <c r="G1513" s="22"/>
      <c r="J1513" s="24">
        <v>50000</v>
      </c>
      <c r="M1513" s="24">
        <v>50000</v>
      </c>
      <c r="O1513" s="48" t="s">
        <v>97</v>
      </c>
      <c r="P1513" s="48">
        <f>HEX2DEC(RIGHT(Table1323212714[[#This Row],[h1]],8))</f>
        <v>0</v>
      </c>
      <c r="Q1513" s="48" t="s">
        <v>97</v>
      </c>
      <c r="R1513" s="48">
        <f>HEX2DEC(RIGHT(Table1323212714[[#This Row],[h2]],8))</f>
        <v>0</v>
      </c>
    </row>
    <row r="1514" spans="1:18" x14ac:dyDescent="0.3">
      <c r="A1514" s="15" t="str">
        <f t="shared" si="28"/>
        <v>5E0</v>
      </c>
      <c r="B1514" s="15">
        <v>1504</v>
      </c>
      <c r="C1514" s="42"/>
      <c r="F1514" s="22"/>
      <c r="G1514" s="22"/>
      <c r="J1514" s="24">
        <v>50000</v>
      </c>
      <c r="M1514" s="24">
        <v>50000</v>
      </c>
      <c r="O1514" s="48" t="s">
        <v>97</v>
      </c>
      <c r="P1514" s="48">
        <f>HEX2DEC(RIGHT(Table1323212714[[#This Row],[h1]],8))</f>
        <v>0</v>
      </c>
      <c r="Q1514" s="48" t="s">
        <v>97</v>
      </c>
      <c r="R1514" s="48">
        <f>HEX2DEC(RIGHT(Table1323212714[[#This Row],[h2]],8))</f>
        <v>0</v>
      </c>
    </row>
    <row r="1515" spans="1:18" x14ac:dyDescent="0.3">
      <c r="A1515" s="15" t="str">
        <f t="shared" si="28"/>
        <v>5E1</v>
      </c>
      <c r="B1515" s="15">
        <v>1505</v>
      </c>
      <c r="C1515" s="42"/>
      <c r="F1515" s="22"/>
      <c r="G1515" s="22"/>
      <c r="J1515" s="24">
        <v>50000</v>
      </c>
      <c r="M1515" s="24">
        <v>50000</v>
      </c>
      <c r="O1515" s="48" t="s">
        <v>97</v>
      </c>
      <c r="P1515" s="48">
        <f>HEX2DEC(RIGHT(Table1323212714[[#This Row],[h1]],8))</f>
        <v>0</v>
      </c>
      <c r="Q1515" s="48" t="s">
        <v>97</v>
      </c>
      <c r="R1515" s="48">
        <f>HEX2DEC(RIGHT(Table1323212714[[#This Row],[h2]],8))</f>
        <v>0</v>
      </c>
    </row>
    <row r="1516" spans="1:18" x14ac:dyDescent="0.3">
      <c r="A1516" s="15" t="str">
        <f t="shared" si="28"/>
        <v>5E2</v>
      </c>
      <c r="B1516" s="15">
        <v>1506</v>
      </c>
      <c r="C1516" s="42"/>
      <c r="F1516" s="22"/>
      <c r="G1516" s="22"/>
      <c r="J1516" s="24">
        <v>50000</v>
      </c>
      <c r="M1516" s="24">
        <v>50000</v>
      </c>
      <c r="O1516" s="48" t="s">
        <v>97</v>
      </c>
      <c r="P1516" s="48">
        <f>HEX2DEC(RIGHT(Table1323212714[[#This Row],[h1]],8))</f>
        <v>0</v>
      </c>
      <c r="Q1516" s="48" t="s">
        <v>97</v>
      </c>
      <c r="R1516" s="48">
        <f>HEX2DEC(RIGHT(Table1323212714[[#This Row],[h2]],8))</f>
        <v>0</v>
      </c>
    </row>
    <row r="1517" spans="1:18" x14ac:dyDescent="0.3">
      <c r="A1517" s="15" t="str">
        <f t="shared" si="28"/>
        <v>5E3</v>
      </c>
      <c r="B1517" s="15">
        <v>1507</v>
      </c>
      <c r="C1517" s="42"/>
      <c r="F1517" s="22"/>
      <c r="G1517" s="22"/>
      <c r="J1517" s="24">
        <v>50000</v>
      </c>
      <c r="M1517" s="24">
        <v>50000</v>
      </c>
      <c r="O1517" s="48" t="s">
        <v>97</v>
      </c>
      <c r="P1517" s="48">
        <f>HEX2DEC(RIGHT(Table1323212714[[#This Row],[h1]],8))</f>
        <v>0</v>
      </c>
      <c r="Q1517" s="48" t="s">
        <v>97</v>
      </c>
      <c r="R1517" s="48">
        <f>HEX2DEC(RIGHT(Table1323212714[[#This Row],[h2]],8))</f>
        <v>0</v>
      </c>
    </row>
    <row r="1518" spans="1:18" x14ac:dyDescent="0.3">
      <c r="A1518" s="15" t="str">
        <f t="shared" si="28"/>
        <v>5E4</v>
      </c>
      <c r="B1518" s="15">
        <v>1508</v>
      </c>
      <c r="C1518" s="42"/>
      <c r="F1518" s="22"/>
      <c r="G1518" s="22"/>
      <c r="J1518" s="24">
        <v>50000</v>
      </c>
      <c r="M1518" s="24">
        <v>50000</v>
      </c>
      <c r="O1518" s="48" t="s">
        <v>97</v>
      </c>
      <c r="P1518" s="48">
        <f>HEX2DEC(RIGHT(Table1323212714[[#This Row],[h1]],8))</f>
        <v>0</v>
      </c>
      <c r="Q1518" s="48" t="s">
        <v>97</v>
      </c>
      <c r="R1518" s="48">
        <f>HEX2DEC(RIGHT(Table1323212714[[#This Row],[h2]],8))</f>
        <v>0</v>
      </c>
    </row>
    <row r="1519" spans="1:18" x14ac:dyDescent="0.3">
      <c r="A1519" s="15" t="str">
        <f t="shared" si="28"/>
        <v>5E5</v>
      </c>
      <c r="B1519" s="15">
        <v>1509</v>
      </c>
      <c r="C1519" s="42"/>
      <c r="F1519" s="22"/>
      <c r="G1519" s="22"/>
      <c r="J1519" s="24">
        <v>50000</v>
      </c>
      <c r="M1519" s="24">
        <v>50000</v>
      </c>
      <c r="O1519" s="48" t="s">
        <v>97</v>
      </c>
      <c r="P1519" s="48">
        <f>HEX2DEC(RIGHT(Table1323212714[[#This Row],[h1]],8))</f>
        <v>0</v>
      </c>
      <c r="Q1519" s="48" t="s">
        <v>97</v>
      </c>
      <c r="R1519" s="48">
        <f>HEX2DEC(RIGHT(Table1323212714[[#This Row],[h2]],8))</f>
        <v>0</v>
      </c>
    </row>
    <row r="1520" spans="1:18" x14ac:dyDescent="0.3">
      <c r="A1520" s="15" t="str">
        <f t="shared" si="28"/>
        <v>5E6</v>
      </c>
      <c r="B1520" s="15">
        <v>1510</v>
      </c>
      <c r="C1520" s="42"/>
      <c r="F1520" s="22"/>
      <c r="G1520" s="22"/>
      <c r="J1520" s="24">
        <v>50000</v>
      </c>
      <c r="M1520" s="24">
        <v>50000</v>
      </c>
      <c r="O1520" s="48" t="s">
        <v>97</v>
      </c>
      <c r="P1520" s="48">
        <f>HEX2DEC(RIGHT(Table1323212714[[#This Row],[h1]],8))</f>
        <v>0</v>
      </c>
      <c r="Q1520" s="48" t="s">
        <v>97</v>
      </c>
      <c r="R1520" s="48">
        <f>HEX2DEC(RIGHT(Table1323212714[[#This Row],[h2]],8))</f>
        <v>0</v>
      </c>
    </row>
    <row r="1521" spans="1:18" x14ac:dyDescent="0.3">
      <c r="A1521" s="15" t="str">
        <f t="shared" si="28"/>
        <v>5E7</v>
      </c>
      <c r="B1521" s="15">
        <v>1511</v>
      </c>
      <c r="C1521" s="42"/>
      <c r="F1521" s="22"/>
      <c r="G1521" s="22"/>
      <c r="J1521" s="24">
        <v>50000</v>
      </c>
      <c r="M1521" s="24">
        <v>50000</v>
      </c>
      <c r="O1521" s="48" t="s">
        <v>97</v>
      </c>
      <c r="P1521" s="48">
        <f>HEX2DEC(RIGHT(Table1323212714[[#This Row],[h1]],8))</f>
        <v>0</v>
      </c>
      <c r="Q1521" s="48" t="s">
        <v>97</v>
      </c>
      <c r="R1521" s="48">
        <f>HEX2DEC(RIGHT(Table1323212714[[#This Row],[h2]],8))</f>
        <v>0</v>
      </c>
    </row>
    <row r="1522" spans="1:18" x14ac:dyDescent="0.3">
      <c r="A1522" s="15" t="str">
        <f t="shared" si="28"/>
        <v>5E8</v>
      </c>
      <c r="B1522" s="15">
        <v>1512</v>
      </c>
      <c r="C1522" s="42"/>
      <c r="F1522" s="22"/>
      <c r="G1522" s="22"/>
      <c r="J1522" s="24">
        <v>50000</v>
      </c>
      <c r="M1522" s="24">
        <v>50000</v>
      </c>
      <c r="O1522" s="48" t="s">
        <v>97</v>
      </c>
      <c r="P1522" s="48">
        <f>HEX2DEC(RIGHT(Table1323212714[[#This Row],[h1]],8))</f>
        <v>0</v>
      </c>
      <c r="Q1522" s="48" t="s">
        <v>97</v>
      </c>
      <c r="R1522" s="48">
        <f>HEX2DEC(RIGHT(Table1323212714[[#This Row],[h2]],8))</f>
        <v>0</v>
      </c>
    </row>
    <row r="1523" spans="1:18" x14ac:dyDescent="0.3">
      <c r="A1523" s="15" t="str">
        <f t="shared" si="28"/>
        <v>5E9</v>
      </c>
      <c r="B1523" s="15">
        <v>1513</v>
      </c>
      <c r="C1523" s="42"/>
      <c r="F1523" s="22"/>
      <c r="G1523" s="22"/>
      <c r="J1523" s="24">
        <v>50000</v>
      </c>
      <c r="M1523" s="24">
        <v>50000</v>
      </c>
      <c r="O1523" s="48" t="s">
        <v>97</v>
      </c>
      <c r="P1523" s="48">
        <f>HEX2DEC(RIGHT(Table1323212714[[#This Row],[h1]],8))</f>
        <v>0</v>
      </c>
      <c r="Q1523" s="48" t="s">
        <v>97</v>
      </c>
      <c r="R1523" s="48">
        <f>HEX2DEC(RIGHT(Table1323212714[[#This Row],[h2]],8))</f>
        <v>0</v>
      </c>
    </row>
    <row r="1524" spans="1:18" x14ac:dyDescent="0.3">
      <c r="A1524" s="15" t="str">
        <f t="shared" si="28"/>
        <v>5EA</v>
      </c>
      <c r="B1524" s="15">
        <v>1514</v>
      </c>
      <c r="C1524" s="42"/>
      <c r="F1524" s="22"/>
      <c r="G1524" s="22"/>
      <c r="J1524" s="24">
        <v>50000</v>
      </c>
      <c r="M1524" s="24">
        <v>50000</v>
      </c>
      <c r="O1524" s="48" t="s">
        <v>97</v>
      </c>
      <c r="P1524" s="48">
        <f>HEX2DEC(RIGHT(Table1323212714[[#This Row],[h1]],8))</f>
        <v>0</v>
      </c>
      <c r="Q1524" s="48" t="s">
        <v>97</v>
      </c>
      <c r="R1524" s="48">
        <f>HEX2DEC(RIGHT(Table1323212714[[#This Row],[h2]],8))</f>
        <v>0</v>
      </c>
    </row>
    <row r="1525" spans="1:18" x14ac:dyDescent="0.3">
      <c r="A1525" s="15" t="str">
        <f t="shared" si="28"/>
        <v>5EB</v>
      </c>
      <c r="B1525" s="15">
        <v>1515</v>
      </c>
      <c r="C1525" s="42"/>
      <c r="F1525" s="22"/>
      <c r="G1525" s="22"/>
      <c r="J1525" s="24">
        <v>50000</v>
      </c>
      <c r="M1525" s="24">
        <v>50000</v>
      </c>
      <c r="O1525" s="48" t="s">
        <v>97</v>
      </c>
      <c r="P1525" s="48">
        <f>HEX2DEC(RIGHT(Table1323212714[[#This Row],[h1]],8))</f>
        <v>0</v>
      </c>
      <c r="Q1525" s="48" t="s">
        <v>97</v>
      </c>
      <c r="R1525" s="48">
        <f>HEX2DEC(RIGHT(Table1323212714[[#This Row],[h2]],8))</f>
        <v>0</v>
      </c>
    </row>
    <row r="1526" spans="1:18" x14ac:dyDescent="0.3">
      <c r="A1526" s="15" t="str">
        <f t="shared" si="28"/>
        <v>5EC</v>
      </c>
      <c r="B1526" s="15">
        <v>1516</v>
      </c>
      <c r="C1526" s="42"/>
      <c r="F1526" s="22"/>
      <c r="G1526" s="22"/>
      <c r="J1526" s="24">
        <v>50000</v>
      </c>
      <c r="M1526" s="24">
        <v>50000</v>
      </c>
      <c r="O1526" s="48" t="s">
        <v>97</v>
      </c>
      <c r="P1526" s="48">
        <f>HEX2DEC(RIGHT(Table1323212714[[#This Row],[h1]],8))</f>
        <v>0</v>
      </c>
      <c r="Q1526" s="48" t="s">
        <v>97</v>
      </c>
      <c r="R1526" s="48">
        <f>HEX2DEC(RIGHT(Table1323212714[[#This Row],[h2]],8))</f>
        <v>0</v>
      </c>
    </row>
    <row r="1527" spans="1:18" x14ac:dyDescent="0.3">
      <c r="A1527" s="15" t="str">
        <f t="shared" si="28"/>
        <v>5ED</v>
      </c>
      <c r="B1527" s="15">
        <v>1517</v>
      </c>
      <c r="C1527" s="42"/>
      <c r="F1527" s="22"/>
      <c r="G1527" s="22"/>
      <c r="J1527" s="24">
        <v>50000</v>
      </c>
      <c r="M1527" s="24">
        <v>50000</v>
      </c>
      <c r="O1527" s="48" t="s">
        <v>97</v>
      </c>
      <c r="P1527" s="48">
        <f>HEX2DEC(RIGHT(Table1323212714[[#This Row],[h1]],8))</f>
        <v>0</v>
      </c>
      <c r="Q1527" s="48" t="s">
        <v>97</v>
      </c>
      <c r="R1527" s="48">
        <f>HEX2DEC(RIGHT(Table1323212714[[#This Row],[h2]],8))</f>
        <v>0</v>
      </c>
    </row>
    <row r="1528" spans="1:18" x14ac:dyDescent="0.3">
      <c r="A1528" s="15" t="str">
        <f t="shared" si="28"/>
        <v>5EE</v>
      </c>
      <c r="B1528" s="15">
        <v>1518</v>
      </c>
      <c r="C1528" s="42"/>
      <c r="F1528" s="22"/>
      <c r="G1528" s="22"/>
      <c r="J1528" s="24">
        <v>50000</v>
      </c>
      <c r="M1528" s="24">
        <v>50000</v>
      </c>
      <c r="O1528" s="48" t="s">
        <v>97</v>
      </c>
      <c r="P1528" s="48">
        <f>HEX2DEC(RIGHT(Table1323212714[[#This Row],[h1]],8))</f>
        <v>0</v>
      </c>
      <c r="Q1528" s="48" t="s">
        <v>97</v>
      </c>
      <c r="R1528" s="48">
        <f>HEX2DEC(RIGHT(Table1323212714[[#This Row],[h2]],8))</f>
        <v>0</v>
      </c>
    </row>
    <row r="1529" spans="1:18" x14ac:dyDescent="0.3">
      <c r="A1529" s="15" t="str">
        <f t="shared" si="28"/>
        <v>5EF</v>
      </c>
      <c r="B1529" s="15">
        <v>1519</v>
      </c>
      <c r="C1529" s="42"/>
      <c r="F1529" s="22"/>
      <c r="G1529" s="22"/>
      <c r="J1529" s="24">
        <v>50000</v>
      </c>
      <c r="M1529" s="24">
        <v>50000</v>
      </c>
      <c r="O1529" s="48" t="s">
        <v>97</v>
      </c>
      <c r="P1529" s="48">
        <f>HEX2DEC(RIGHT(Table1323212714[[#This Row],[h1]],8))</f>
        <v>0</v>
      </c>
      <c r="Q1529" s="48" t="s">
        <v>97</v>
      </c>
      <c r="R1529" s="48">
        <f>HEX2DEC(RIGHT(Table1323212714[[#This Row],[h2]],8))</f>
        <v>0</v>
      </c>
    </row>
    <row r="1530" spans="1:18" x14ac:dyDescent="0.3">
      <c r="A1530" s="15" t="str">
        <f t="shared" si="28"/>
        <v>5F0</v>
      </c>
      <c r="B1530" s="15">
        <v>1520</v>
      </c>
      <c r="C1530" s="42"/>
      <c r="F1530" s="22"/>
      <c r="G1530" s="22"/>
      <c r="J1530" s="24">
        <v>50000</v>
      </c>
      <c r="M1530" s="24">
        <v>50000</v>
      </c>
      <c r="O1530" s="48" t="s">
        <v>97</v>
      </c>
      <c r="P1530" s="48">
        <f>HEX2DEC(RIGHT(Table1323212714[[#This Row],[h1]],8))</f>
        <v>0</v>
      </c>
      <c r="Q1530" s="48" t="s">
        <v>97</v>
      </c>
      <c r="R1530" s="48">
        <f>HEX2DEC(RIGHT(Table1323212714[[#This Row],[h2]],8))</f>
        <v>0</v>
      </c>
    </row>
    <row r="1531" spans="1:18" x14ac:dyDescent="0.3">
      <c r="A1531" s="15" t="str">
        <f t="shared" si="28"/>
        <v>5F1</v>
      </c>
      <c r="B1531" s="15">
        <v>1521</v>
      </c>
      <c r="C1531" s="42"/>
      <c r="F1531" s="22"/>
      <c r="G1531" s="22"/>
      <c r="J1531" s="24">
        <v>50000</v>
      </c>
      <c r="M1531" s="24">
        <v>50000</v>
      </c>
      <c r="O1531" s="48" t="s">
        <v>97</v>
      </c>
      <c r="P1531" s="48">
        <f>HEX2DEC(RIGHT(Table1323212714[[#This Row],[h1]],8))</f>
        <v>0</v>
      </c>
      <c r="Q1531" s="48" t="s">
        <v>97</v>
      </c>
      <c r="R1531" s="48">
        <f>HEX2DEC(RIGHT(Table1323212714[[#This Row],[h2]],8))</f>
        <v>0</v>
      </c>
    </row>
    <row r="1532" spans="1:18" x14ac:dyDescent="0.3">
      <c r="A1532" s="15" t="str">
        <f t="shared" si="28"/>
        <v>5F2</v>
      </c>
      <c r="B1532" s="15">
        <v>1522</v>
      </c>
      <c r="C1532" s="42"/>
      <c r="F1532" s="22"/>
      <c r="G1532" s="22"/>
      <c r="J1532" s="24">
        <v>50000</v>
      </c>
      <c r="M1532" s="24">
        <v>50000</v>
      </c>
      <c r="O1532" s="48" t="s">
        <v>97</v>
      </c>
      <c r="P1532" s="48">
        <f>HEX2DEC(RIGHT(Table1323212714[[#This Row],[h1]],8))</f>
        <v>0</v>
      </c>
      <c r="Q1532" s="48" t="s">
        <v>97</v>
      </c>
      <c r="R1532" s="48">
        <f>HEX2DEC(RIGHT(Table1323212714[[#This Row],[h2]],8))</f>
        <v>0</v>
      </c>
    </row>
    <row r="1533" spans="1:18" x14ac:dyDescent="0.3">
      <c r="A1533" s="15" t="str">
        <f t="shared" si="28"/>
        <v>5F3</v>
      </c>
      <c r="B1533" s="15">
        <v>1523</v>
      </c>
      <c r="C1533" s="42"/>
      <c r="F1533" s="22"/>
      <c r="G1533" s="22"/>
      <c r="J1533" s="24">
        <v>50000</v>
      </c>
      <c r="M1533" s="24">
        <v>50000</v>
      </c>
      <c r="O1533" s="48" t="s">
        <v>97</v>
      </c>
      <c r="P1533" s="48">
        <f>HEX2DEC(RIGHT(Table1323212714[[#This Row],[h1]],8))</f>
        <v>0</v>
      </c>
      <c r="Q1533" s="48" t="s">
        <v>97</v>
      </c>
      <c r="R1533" s="48">
        <f>HEX2DEC(RIGHT(Table1323212714[[#This Row],[h2]],8))</f>
        <v>0</v>
      </c>
    </row>
    <row r="1534" spans="1:18" x14ac:dyDescent="0.3">
      <c r="A1534" s="15" t="str">
        <f t="shared" si="28"/>
        <v>5F4</v>
      </c>
      <c r="B1534" s="15">
        <v>1524</v>
      </c>
      <c r="C1534" s="42"/>
      <c r="F1534" s="22"/>
      <c r="G1534" s="22"/>
      <c r="J1534" s="24">
        <v>50000</v>
      </c>
      <c r="M1534" s="24">
        <v>50000</v>
      </c>
      <c r="O1534" s="48" t="s">
        <v>97</v>
      </c>
      <c r="P1534" s="48">
        <f>HEX2DEC(RIGHT(Table1323212714[[#This Row],[h1]],8))</f>
        <v>0</v>
      </c>
      <c r="Q1534" s="48" t="s">
        <v>97</v>
      </c>
      <c r="R1534" s="48">
        <f>HEX2DEC(RIGHT(Table1323212714[[#This Row],[h2]],8))</f>
        <v>0</v>
      </c>
    </row>
    <row r="1535" spans="1:18" x14ac:dyDescent="0.3">
      <c r="A1535" s="15" t="str">
        <f t="shared" si="28"/>
        <v>5F5</v>
      </c>
      <c r="B1535" s="15">
        <v>1525</v>
      </c>
      <c r="C1535" s="42"/>
      <c r="F1535" s="22"/>
      <c r="G1535" s="22"/>
      <c r="J1535" s="24">
        <v>50000</v>
      </c>
      <c r="M1535" s="24">
        <v>50000</v>
      </c>
      <c r="O1535" s="48" t="s">
        <v>97</v>
      </c>
      <c r="P1535" s="48">
        <f>HEX2DEC(RIGHT(Table1323212714[[#This Row],[h1]],8))</f>
        <v>0</v>
      </c>
      <c r="Q1535" s="48" t="s">
        <v>97</v>
      </c>
      <c r="R1535" s="48">
        <f>HEX2DEC(RIGHT(Table1323212714[[#This Row],[h2]],8))</f>
        <v>0</v>
      </c>
    </row>
    <row r="1536" spans="1:18" x14ac:dyDescent="0.3">
      <c r="A1536" s="15" t="str">
        <f t="shared" si="28"/>
        <v>5F6</v>
      </c>
      <c r="B1536" s="15">
        <v>1526</v>
      </c>
      <c r="C1536" s="42"/>
      <c r="F1536" s="22"/>
      <c r="G1536" s="22"/>
      <c r="J1536" s="24">
        <v>50000</v>
      </c>
      <c r="M1536" s="24">
        <v>50000</v>
      </c>
      <c r="O1536" s="48" t="s">
        <v>97</v>
      </c>
      <c r="P1536" s="48">
        <f>HEX2DEC(RIGHT(Table1323212714[[#This Row],[h1]],8))</f>
        <v>0</v>
      </c>
      <c r="Q1536" s="48" t="s">
        <v>97</v>
      </c>
      <c r="R1536" s="48">
        <f>HEX2DEC(RIGHT(Table1323212714[[#This Row],[h2]],8))</f>
        <v>0</v>
      </c>
    </row>
    <row r="1537" spans="1:18" x14ac:dyDescent="0.3">
      <c r="A1537" s="15" t="str">
        <f t="shared" si="28"/>
        <v>5F7</v>
      </c>
      <c r="B1537" s="15">
        <v>1527</v>
      </c>
      <c r="C1537" s="42"/>
      <c r="F1537" s="22"/>
      <c r="G1537" s="22"/>
      <c r="J1537" s="24">
        <v>50000</v>
      </c>
      <c r="M1537" s="24">
        <v>50000</v>
      </c>
      <c r="O1537" s="48" t="s">
        <v>97</v>
      </c>
      <c r="P1537" s="48">
        <f>HEX2DEC(RIGHT(Table1323212714[[#This Row],[h1]],8))</f>
        <v>0</v>
      </c>
      <c r="Q1537" s="48" t="s">
        <v>97</v>
      </c>
      <c r="R1537" s="48">
        <f>HEX2DEC(RIGHT(Table1323212714[[#This Row],[h2]],8))</f>
        <v>0</v>
      </c>
    </row>
    <row r="1538" spans="1:18" x14ac:dyDescent="0.3">
      <c r="A1538" s="15" t="str">
        <f t="shared" si="28"/>
        <v>5F8</v>
      </c>
      <c r="B1538" s="15">
        <v>1528</v>
      </c>
      <c r="C1538" s="42"/>
      <c r="F1538" s="22"/>
      <c r="G1538" s="22"/>
      <c r="J1538" s="24">
        <v>50000</v>
      </c>
      <c r="M1538" s="24">
        <v>50000</v>
      </c>
      <c r="O1538" s="48" t="s">
        <v>97</v>
      </c>
      <c r="P1538" s="48">
        <f>HEX2DEC(RIGHT(Table1323212714[[#This Row],[h1]],8))</f>
        <v>0</v>
      </c>
      <c r="Q1538" s="48" t="s">
        <v>97</v>
      </c>
      <c r="R1538" s="48">
        <f>HEX2DEC(RIGHT(Table1323212714[[#This Row],[h2]],8))</f>
        <v>0</v>
      </c>
    </row>
    <row r="1539" spans="1:18" x14ac:dyDescent="0.3">
      <c r="A1539" s="15" t="str">
        <f t="shared" si="28"/>
        <v>5F9</v>
      </c>
      <c r="B1539" s="15">
        <v>1529</v>
      </c>
      <c r="C1539" s="42"/>
      <c r="F1539" s="22"/>
      <c r="G1539" s="22"/>
      <c r="J1539" s="24">
        <v>50000</v>
      </c>
      <c r="M1539" s="24">
        <v>50000</v>
      </c>
      <c r="O1539" s="48" t="s">
        <v>97</v>
      </c>
      <c r="P1539" s="48">
        <f>HEX2DEC(RIGHT(Table1323212714[[#This Row],[h1]],8))</f>
        <v>0</v>
      </c>
      <c r="Q1539" s="48" t="s">
        <v>97</v>
      </c>
      <c r="R1539" s="48">
        <f>HEX2DEC(RIGHT(Table1323212714[[#This Row],[h2]],8))</f>
        <v>0</v>
      </c>
    </row>
    <row r="1540" spans="1:18" x14ac:dyDescent="0.3">
      <c r="A1540" s="15" t="str">
        <f t="shared" si="28"/>
        <v>5FA</v>
      </c>
      <c r="B1540" s="15">
        <v>1530</v>
      </c>
      <c r="C1540" s="42"/>
      <c r="F1540" s="22"/>
      <c r="G1540" s="22"/>
      <c r="J1540" s="24">
        <v>50000</v>
      </c>
      <c r="M1540" s="24">
        <v>50000</v>
      </c>
      <c r="O1540" s="48" t="s">
        <v>97</v>
      </c>
      <c r="P1540" s="48">
        <f>HEX2DEC(RIGHT(Table1323212714[[#This Row],[h1]],8))</f>
        <v>0</v>
      </c>
      <c r="Q1540" s="48" t="s">
        <v>97</v>
      </c>
      <c r="R1540" s="48">
        <f>HEX2DEC(RIGHT(Table1323212714[[#This Row],[h2]],8))</f>
        <v>0</v>
      </c>
    </row>
    <row r="1541" spans="1:18" x14ac:dyDescent="0.3">
      <c r="A1541" s="15" t="str">
        <f t="shared" si="28"/>
        <v>5FB</v>
      </c>
      <c r="B1541" s="15">
        <v>1531</v>
      </c>
      <c r="C1541" s="42"/>
      <c r="F1541" s="22"/>
      <c r="G1541" s="22"/>
      <c r="J1541" s="24">
        <v>50000</v>
      </c>
      <c r="M1541" s="24">
        <v>50000</v>
      </c>
      <c r="O1541" s="48" t="s">
        <v>97</v>
      </c>
      <c r="P1541" s="48">
        <f>HEX2DEC(RIGHT(Table1323212714[[#This Row],[h1]],8))</f>
        <v>0</v>
      </c>
      <c r="Q1541" s="48" t="s">
        <v>97</v>
      </c>
      <c r="R1541" s="48">
        <f>HEX2DEC(RIGHT(Table1323212714[[#This Row],[h2]],8))</f>
        <v>0</v>
      </c>
    </row>
    <row r="1542" spans="1:18" x14ac:dyDescent="0.3">
      <c r="A1542" s="15" t="str">
        <f t="shared" si="28"/>
        <v>5FC</v>
      </c>
      <c r="B1542" s="15">
        <v>1532</v>
      </c>
      <c r="C1542" s="42"/>
      <c r="F1542" s="22"/>
      <c r="G1542" s="22"/>
      <c r="J1542" s="24">
        <v>50000</v>
      </c>
      <c r="M1542" s="24">
        <v>50000</v>
      </c>
      <c r="O1542" s="48" t="s">
        <v>97</v>
      </c>
      <c r="P1542" s="48">
        <f>HEX2DEC(RIGHT(Table1323212714[[#This Row],[h1]],8))</f>
        <v>0</v>
      </c>
      <c r="Q1542" s="48" t="s">
        <v>97</v>
      </c>
      <c r="R1542" s="48">
        <f>HEX2DEC(RIGHT(Table1323212714[[#This Row],[h2]],8))</f>
        <v>0</v>
      </c>
    </row>
    <row r="1543" spans="1:18" x14ac:dyDescent="0.3">
      <c r="A1543" s="15" t="str">
        <f t="shared" si="28"/>
        <v>5FD</v>
      </c>
      <c r="B1543" s="15">
        <v>1533</v>
      </c>
      <c r="C1543" s="42"/>
      <c r="F1543" s="22"/>
      <c r="G1543" s="22"/>
      <c r="J1543" s="24">
        <v>50000</v>
      </c>
      <c r="M1543" s="24">
        <v>50000</v>
      </c>
      <c r="O1543" s="48" t="s">
        <v>97</v>
      </c>
      <c r="P1543" s="48">
        <f>HEX2DEC(RIGHT(Table1323212714[[#This Row],[h1]],8))</f>
        <v>0</v>
      </c>
      <c r="Q1543" s="48" t="s">
        <v>97</v>
      </c>
      <c r="R1543" s="48">
        <f>HEX2DEC(RIGHT(Table1323212714[[#This Row],[h2]],8))</f>
        <v>0</v>
      </c>
    </row>
    <row r="1544" spans="1:18" x14ac:dyDescent="0.3">
      <c r="A1544" s="15" t="str">
        <f t="shared" si="28"/>
        <v>5FE</v>
      </c>
      <c r="B1544" s="15">
        <v>1534</v>
      </c>
      <c r="C1544" s="42"/>
      <c r="F1544" s="22"/>
      <c r="G1544" s="22"/>
      <c r="J1544" s="24">
        <v>50000</v>
      </c>
      <c r="M1544" s="24">
        <v>50000</v>
      </c>
      <c r="O1544" s="48" t="s">
        <v>97</v>
      </c>
      <c r="P1544" s="48">
        <f>HEX2DEC(RIGHT(Table1323212714[[#This Row],[h1]],8))</f>
        <v>0</v>
      </c>
      <c r="Q1544" s="48" t="s">
        <v>97</v>
      </c>
      <c r="R1544" s="48">
        <f>HEX2DEC(RIGHT(Table1323212714[[#This Row],[h2]],8))</f>
        <v>0</v>
      </c>
    </row>
    <row r="1545" spans="1:18" x14ac:dyDescent="0.3">
      <c r="A1545" s="15" t="str">
        <f t="shared" si="28"/>
        <v>5FF</v>
      </c>
      <c r="B1545" s="15">
        <v>1535</v>
      </c>
      <c r="C1545" s="42"/>
      <c r="F1545" s="22"/>
      <c r="G1545" s="22"/>
      <c r="J1545" s="24">
        <v>50000</v>
      </c>
      <c r="M1545" s="24">
        <v>50000</v>
      </c>
      <c r="O1545" s="48" t="s">
        <v>97</v>
      </c>
      <c r="P1545" s="48">
        <f>HEX2DEC(RIGHT(Table1323212714[[#This Row],[h1]],8))</f>
        <v>0</v>
      </c>
      <c r="Q1545" s="48" t="s">
        <v>97</v>
      </c>
      <c r="R1545" s="48">
        <f>HEX2DEC(RIGHT(Table1323212714[[#This Row],[h2]],8))</f>
        <v>0</v>
      </c>
    </row>
    <row r="1546" spans="1:18" x14ac:dyDescent="0.3">
      <c r="A1546" s="15" t="str">
        <f t="shared" si="28"/>
        <v>600</v>
      </c>
      <c r="B1546" s="15">
        <v>1536</v>
      </c>
      <c r="C1546" s="42"/>
      <c r="F1546" s="22"/>
      <c r="G1546" s="22"/>
      <c r="J1546" s="24">
        <v>50000</v>
      </c>
      <c r="M1546" s="24">
        <v>50000</v>
      </c>
      <c r="O1546" s="48" t="s">
        <v>97</v>
      </c>
      <c r="P1546" s="48">
        <f>HEX2DEC(RIGHT(Table1323212714[[#This Row],[h1]],8))</f>
        <v>0</v>
      </c>
      <c r="Q1546" s="48" t="s">
        <v>97</v>
      </c>
      <c r="R1546" s="48">
        <f>HEX2DEC(RIGHT(Table1323212714[[#This Row],[h2]],8))</f>
        <v>0</v>
      </c>
    </row>
    <row r="1547" spans="1:18" x14ac:dyDescent="0.3">
      <c r="A1547" s="15" t="str">
        <f t="shared" ref="A1547:A1610" si="29">DEC2HEX(B1547,3)</f>
        <v>601</v>
      </c>
      <c r="B1547" s="15">
        <v>1537</v>
      </c>
      <c r="C1547" s="42"/>
      <c r="F1547" s="22"/>
      <c r="G1547" s="22"/>
      <c r="J1547" s="24">
        <v>50000</v>
      </c>
      <c r="M1547" s="24">
        <v>50000</v>
      </c>
      <c r="O1547" s="48" t="s">
        <v>97</v>
      </c>
      <c r="P1547" s="48">
        <f>HEX2DEC(RIGHT(Table1323212714[[#This Row],[h1]],8))</f>
        <v>0</v>
      </c>
      <c r="Q1547" s="48" t="s">
        <v>97</v>
      </c>
      <c r="R1547" s="48">
        <f>HEX2DEC(RIGHT(Table1323212714[[#This Row],[h2]],8))</f>
        <v>0</v>
      </c>
    </row>
    <row r="1548" spans="1:18" x14ac:dyDescent="0.3">
      <c r="A1548" s="15" t="str">
        <f t="shared" si="29"/>
        <v>602</v>
      </c>
      <c r="B1548" s="15">
        <v>1538</v>
      </c>
      <c r="C1548" s="42"/>
      <c r="F1548" s="22"/>
      <c r="G1548" s="22"/>
      <c r="J1548" s="24">
        <v>50000</v>
      </c>
      <c r="M1548" s="24">
        <v>50000</v>
      </c>
      <c r="O1548" s="48" t="s">
        <v>97</v>
      </c>
      <c r="P1548" s="48">
        <f>HEX2DEC(RIGHT(Table1323212714[[#This Row],[h1]],8))</f>
        <v>0</v>
      </c>
      <c r="Q1548" s="48" t="s">
        <v>97</v>
      </c>
      <c r="R1548" s="48">
        <f>HEX2DEC(RIGHT(Table1323212714[[#This Row],[h2]],8))</f>
        <v>0</v>
      </c>
    </row>
    <row r="1549" spans="1:18" x14ac:dyDescent="0.3">
      <c r="A1549" s="15" t="str">
        <f t="shared" si="29"/>
        <v>603</v>
      </c>
      <c r="B1549" s="15">
        <v>1539</v>
      </c>
      <c r="C1549" s="42"/>
      <c r="F1549" s="22"/>
      <c r="G1549" s="22"/>
      <c r="J1549" s="24">
        <v>50000</v>
      </c>
      <c r="M1549" s="24">
        <v>50000</v>
      </c>
      <c r="O1549" s="48" t="s">
        <v>97</v>
      </c>
      <c r="P1549" s="48">
        <f>HEX2DEC(RIGHT(Table1323212714[[#This Row],[h1]],8))</f>
        <v>0</v>
      </c>
      <c r="Q1549" s="48" t="s">
        <v>97</v>
      </c>
      <c r="R1549" s="48">
        <f>HEX2DEC(RIGHT(Table1323212714[[#This Row],[h2]],8))</f>
        <v>0</v>
      </c>
    </row>
    <row r="1550" spans="1:18" x14ac:dyDescent="0.3">
      <c r="A1550" s="15" t="str">
        <f t="shared" si="29"/>
        <v>604</v>
      </c>
      <c r="B1550" s="15">
        <v>1540</v>
      </c>
      <c r="C1550" s="42"/>
      <c r="F1550" s="22"/>
      <c r="G1550" s="22"/>
      <c r="J1550" s="24">
        <v>50000</v>
      </c>
      <c r="M1550" s="24">
        <v>50000</v>
      </c>
      <c r="O1550" s="48" t="s">
        <v>97</v>
      </c>
      <c r="P1550" s="48">
        <f>HEX2DEC(RIGHT(Table1323212714[[#This Row],[h1]],8))</f>
        <v>0</v>
      </c>
      <c r="Q1550" s="48" t="s">
        <v>97</v>
      </c>
      <c r="R1550" s="48">
        <f>HEX2DEC(RIGHT(Table1323212714[[#This Row],[h2]],8))</f>
        <v>0</v>
      </c>
    </row>
    <row r="1551" spans="1:18" x14ac:dyDescent="0.3">
      <c r="A1551" s="15" t="str">
        <f t="shared" si="29"/>
        <v>605</v>
      </c>
      <c r="B1551" s="15">
        <v>1541</v>
      </c>
      <c r="C1551" s="42"/>
      <c r="F1551" s="22"/>
      <c r="G1551" s="22"/>
      <c r="J1551" s="24">
        <v>50000</v>
      </c>
      <c r="M1551" s="24">
        <v>50000</v>
      </c>
      <c r="O1551" s="48" t="s">
        <v>97</v>
      </c>
      <c r="P1551" s="48">
        <f>HEX2DEC(RIGHT(Table1323212714[[#This Row],[h1]],8))</f>
        <v>0</v>
      </c>
      <c r="Q1551" s="48" t="s">
        <v>97</v>
      </c>
      <c r="R1551" s="48">
        <f>HEX2DEC(RIGHT(Table1323212714[[#This Row],[h2]],8))</f>
        <v>0</v>
      </c>
    </row>
    <row r="1552" spans="1:18" x14ac:dyDescent="0.3">
      <c r="A1552" s="15" t="str">
        <f t="shared" si="29"/>
        <v>606</v>
      </c>
      <c r="B1552" s="15">
        <v>1542</v>
      </c>
      <c r="C1552" s="42"/>
      <c r="F1552" s="22"/>
      <c r="G1552" s="22"/>
      <c r="J1552" s="24">
        <v>50000</v>
      </c>
      <c r="M1552" s="24">
        <v>50000</v>
      </c>
      <c r="O1552" s="48" t="s">
        <v>97</v>
      </c>
      <c r="P1552" s="48">
        <f>HEX2DEC(RIGHT(Table1323212714[[#This Row],[h1]],8))</f>
        <v>0</v>
      </c>
      <c r="Q1552" s="48" t="s">
        <v>97</v>
      </c>
      <c r="R1552" s="48">
        <f>HEX2DEC(RIGHT(Table1323212714[[#This Row],[h2]],8))</f>
        <v>0</v>
      </c>
    </row>
    <row r="1553" spans="1:18" x14ac:dyDescent="0.3">
      <c r="A1553" s="15" t="str">
        <f t="shared" si="29"/>
        <v>607</v>
      </c>
      <c r="B1553" s="15">
        <v>1543</v>
      </c>
      <c r="C1553" s="42"/>
      <c r="F1553" s="22"/>
      <c r="G1553" s="22"/>
      <c r="J1553" s="24">
        <v>50000</v>
      </c>
      <c r="M1553" s="24">
        <v>50000</v>
      </c>
      <c r="O1553" s="48" t="s">
        <v>97</v>
      </c>
      <c r="P1553" s="48">
        <f>HEX2DEC(RIGHT(Table1323212714[[#This Row],[h1]],8))</f>
        <v>0</v>
      </c>
      <c r="Q1553" s="48" t="s">
        <v>97</v>
      </c>
      <c r="R1553" s="48">
        <f>HEX2DEC(RIGHT(Table1323212714[[#This Row],[h2]],8))</f>
        <v>0</v>
      </c>
    </row>
    <row r="1554" spans="1:18" x14ac:dyDescent="0.3">
      <c r="A1554" s="15" t="str">
        <f t="shared" si="29"/>
        <v>608</v>
      </c>
      <c r="B1554" s="15">
        <v>1544</v>
      </c>
      <c r="C1554" s="42"/>
      <c r="F1554" s="22"/>
      <c r="G1554" s="22"/>
      <c r="J1554" s="24">
        <v>50000</v>
      </c>
      <c r="M1554" s="24">
        <v>50000</v>
      </c>
      <c r="O1554" s="48" t="s">
        <v>97</v>
      </c>
      <c r="P1554" s="48">
        <f>HEX2DEC(RIGHT(Table1323212714[[#This Row],[h1]],8))</f>
        <v>0</v>
      </c>
      <c r="Q1554" s="48" t="s">
        <v>97</v>
      </c>
      <c r="R1554" s="48">
        <f>HEX2DEC(RIGHT(Table1323212714[[#This Row],[h2]],8))</f>
        <v>0</v>
      </c>
    </row>
    <row r="1555" spans="1:18" x14ac:dyDescent="0.3">
      <c r="A1555" s="15" t="str">
        <f t="shared" si="29"/>
        <v>609</v>
      </c>
      <c r="B1555" s="15">
        <v>1545</v>
      </c>
      <c r="C1555" s="42"/>
      <c r="F1555" s="22"/>
      <c r="G1555" s="22"/>
      <c r="J1555" s="24">
        <v>50000</v>
      </c>
      <c r="M1555" s="24">
        <v>50000</v>
      </c>
      <c r="O1555" s="48" t="s">
        <v>97</v>
      </c>
      <c r="P1555" s="48">
        <f>HEX2DEC(RIGHT(Table1323212714[[#This Row],[h1]],8))</f>
        <v>0</v>
      </c>
      <c r="Q1555" s="48" t="s">
        <v>97</v>
      </c>
      <c r="R1555" s="48">
        <f>HEX2DEC(RIGHT(Table1323212714[[#This Row],[h2]],8))</f>
        <v>0</v>
      </c>
    </row>
    <row r="1556" spans="1:18" x14ac:dyDescent="0.3">
      <c r="A1556" s="15" t="str">
        <f t="shared" si="29"/>
        <v>60A</v>
      </c>
      <c r="B1556" s="15">
        <v>1546</v>
      </c>
      <c r="C1556" s="42"/>
      <c r="F1556" s="22"/>
      <c r="G1556" s="22"/>
      <c r="J1556" s="24">
        <v>50000</v>
      </c>
      <c r="M1556" s="24">
        <v>50000</v>
      </c>
      <c r="O1556" s="48" t="s">
        <v>97</v>
      </c>
      <c r="P1556" s="48">
        <f>HEX2DEC(RIGHT(Table1323212714[[#This Row],[h1]],8))</f>
        <v>0</v>
      </c>
      <c r="Q1556" s="48" t="s">
        <v>97</v>
      </c>
      <c r="R1556" s="48">
        <f>HEX2DEC(RIGHT(Table1323212714[[#This Row],[h2]],8))</f>
        <v>0</v>
      </c>
    </row>
    <row r="1557" spans="1:18" x14ac:dyDescent="0.3">
      <c r="A1557" s="15" t="str">
        <f t="shared" si="29"/>
        <v>60B</v>
      </c>
      <c r="B1557" s="15">
        <v>1547</v>
      </c>
      <c r="C1557" s="42"/>
      <c r="F1557" s="22"/>
      <c r="G1557" s="22"/>
      <c r="J1557" s="24">
        <v>50000</v>
      </c>
      <c r="M1557" s="24">
        <v>50000</v>
      </c>
      <c r="O1557" s="48" t="s">
        <v>97</v>
      </c>
      <c r="P1557" s="48">
        <f>HEX2DEC(RIGHT(Table1323212714[[#This Row],[h1]],8))</f>
        <v>0</v>
      </c>
      <c r="Q1557" s="48" t="s">
        <v>97</v>
      </c>
      <c r="R1557" s="48">
        <f>HEX2DEC(RIGHT(Table1323212714[[#This Row],[h2]],8))</f>
        <v>0</v>
      </c>
    </row>
    <row r="1558" spans="1:18" x14ac:dyDescent="0.3">
      <c r="A1558" s="15" t="str">
        <f t="shared" si="29"/>
        <v>60C</v>
      </c>
      <c r="B1558" s="15">
        <v>1548</v>
      </c>
      <c r="C1558" s="42"/>
      <c r="F1558" s="22"/>
      <c r="G1558" s="22"/>
      <c r="J1558" s="24">
        <v>50000</v>
      </c>
      <c r="M1558" s="24">
        <v>50000</v>
      </c>
      <c r="O1558" s="48" t="s">
        <v>97</v>
      </c>
      <c r="P1558" s="48">
        <f>HEX2DEC(RIGHT(Table1323212714[[#This Row],[h1]],8))</f>
        <v>0</v>
      </c>
      <c r="Q1558" s="48" t="s">
        <v>97</v>
      </c>
      <c r="R1558" s="48">
        <f>HEX2DEC(RIGHT(Table1323212714[[#This Row],[h2]],8))</f>
        <v>0</v>
      </c>
    </row>
    <row r="1559" spans="1:18" x14ac:dyDescent="0.3">
      <c r="A1559" s="15" t="str">
        <f t="shared" si="29"/>
        <v>60D</v>
      </c>
      <c r="B1559" s="15">
        <v>1549</v>
      </c>
      <c r="C1559" s="42"/>
      <c r="F1559" s="22"/>
      <c r="G1559" s="22"/>
      <c r="J1559" s="24">
        <v>50000</v>
      </c>
      <c r="M1559" s="24">
        <v>50000</v>
      </c>
      <c r="O1559" s="48" t="s">
        <v>97</v>
      </c>
      <c r="P1559" s="48">
        <f>HEX2DEC(RIGHT(Table1323212714[[#This Row],[h1]],8))</f>
        <v>0</v>
      </c>
      <c r="Q1559" s="48" t="s">
        <v>97</v>
      </c>
      <c r="R1559" s="48">
        <f>HEX2DEC(RIGHT(Table1323212714[[#This Row],[h2]],8))</f>
        <v>0</v>
      </c>
    </row>
    <row r="1560" spans="1:18" x14ac:dyDescent="0.3">
      <c r="A1560" s="15" t="str">
        <f t="shared" si="29"/>
        <v>60E</v>
      </c>
      <c r="B1560" s="15">
        <v>1550</v>
      </c>
      <c r="C1560" s="42"/>
      <c r="F1560" s="22"/>
      <c r="G1560" s="22"/>
      <c r="J1560" s="24">
        <v>50000</v>
      </c>
      <c r="M1560" s="24">
        <v>50000</v>
      </c>
      <c r="O1560" s="48" t="s">
        <v>97</v>
      </c>
      <c r="P1560" s="48">
        <f>HEX2DEC(RIGHT(Table1323212714[[#This Row],[h1]],8))</f>
        <v>0</v>
      </c>
      <c r="Q1560" s="48" t="s">
        <v>97</v>
      </c>
      <c r="R1560" s="48">
        <f>HEX2DEC(RIGHT(Table1323212714[[#This Row],[h2]],8))</f>
        <v>0</v>
      </c>
    </row>
    <row r="1561" spans="1:18" x14ac:dyDescent="0.3">
      <c r="A1561" s="15" t="str">
        <f t="shared" si="29"/>
        <v>60F</v>
      </c>
      <c r="B1561" s="15">
        <v>1551</v>
      </c>
      <c r="C1561" s="42"/>
      <c r="F1561" s="22"/>
      <c r="G1561" s="22"/>
      <c r="J1561" s="24">
        <v>50000</v>
      </c>
      <c r="M1561" s="24">
        <v>50000</v>
      </c>
      <c r="O1561" s="48" t="s">
        <v>97</v>
      </c>
      <c r="P1561" s="48">
        <f>HEX2DEC(RIGHT(Table1323212714[[#This Row],[h1]],8))</f>
        <v>0</v>
      </c>
      <c r="Q1561" s="48" t="s">
        <v>97</v>
      </c>
      <c r="R1561" s="48">
        <f>HEX2DEC(RIGHT(Table1323212714[[#This Row],[h2]],8))</f>
        <v>0</v>
      </c>
    </row>
    <row r="1562" spans="1:18" x14ac:dyDescent="0.3">
      <c r="A1562" s="15" t="str">
        <f t="shared" si="29"/>
        <v>610</v>
      </c>
      <c r="B1562" s="15">
        <v>1552</v>
      </c>
      <c r="C1562" s="42"/>
      <c r="F1562" s="22"/>
      <c r="G1562" s="22"/>
      <c r="J1562" s="24">
        <v>50000</v>
      </c>
      <c r="M1562" s="24">
        <v>50000</v>
      </c>
      <c r="O1562" s="48" t="s">
        <v>97</v>
      </c>
      <c r="P1562" s="48">
        <f>HEX2DEC(RIGHT(Table1323212714[[#This Row],[h1]],8))</f>
        <v>0</v>
      </c>
      <c r="Q1562" s="48" t="s">
        <v>97</v>
      </c>
      <c r="R1562" s="48">
        <f>HEX2DEC(RIGHT(Table1323212714[[#This Row],[h2]],8))</f>
        <v>0</v>
      </c>
    </row>
    <row r="1563" spans="1:18" x14ac:dyDescent="0.3">
      <c r="A1563" s="15" t="str">
        <f t="shared" si="29"/>
        <v>611</v>
      </c>
      <c r="B1563" s="15">
        <v>1553</v>
      </c>
      <c r="C1563" s="42"/>
      <c r="F1563" s="22"/>
      <c r="G1563" s="22"/>
      <c r="J1563" s="24">
        <v>50000</v>
      </c>
      <c r="M1563" s="24">
        <v>50000</v>
      </c>
      <c r="O1563" s="48" t="s">
        <v>97</v>
      </c>
      <c r="P1563" s="48">
        <f>HEX2DEC(RIGHT(Table1323212714[[#This Row],[h1]],8))</f>
        <v>0</v>
      </c>
      <c r="Q1563" s="48" t="s">
        <v>97</v>
      </c>
      <c r="R1563" s="48">
        <f>HEX2DEC(RIGHT(Table1323212714[[#This Row],[h2]],8))</f>
        <v>0</v>
      </c>
    </row>
    <row r="1564" spans="1:18" x14ac:dyDescent="0.3">
      <c r="A1564" s="15" t="str">
        <f t="shared" si="29"/>
        <v>612</v>
      </c>
      <c r="B1564" s="15">
        <v>1554</v>
      </c>
      <c r="C1564" s="42"/>
      <c r="F1564" s="22"/>
      <c r="G1564" s="22"/>
      <c r="J1564" s="24">
        <v>50000</v>
      </c>
      <c r="M1564" s="24">
        <v>50000</v>
      </c>
      <c r="O1564" s="48" t="s">
        <v>97</v>
      </c>
      <c r="P1564" s="48">
        <f>HEX2DEC(RIGHT(Table1323212714[[#This Row],[h1]],8))</f>
        <v>0</v>
      </c>
      <c r="Q1564" s="48" t="s">
        <v>97</v>
      </c>
      <c r="R1564" s="48">
        <f>HEX2DEC(RIGHT(Table1323212714[[#This Row],[h2]],8))</f>
        <v>0</v>
      </c>
    </row>
    <row r="1565" spans="1:18" x14ac:dyDescent="0.3">
      <c r="A1565" s="15" t="str">
        <f t="shared" si="29"/>
        <v>613</v>
      </c>
      <c r="B1565" s="15">
        <v>1555</v>
      </c>
      <c r="C1565" s="42"/>
      <c r="F1565" s="22"/>
      <c r="G1565" s="22"/>
      <c r="J1565" s="24">
        <v>50000</v>
      </c>
      <c r="M1565" s="24">
        <v>50000</v>
      </c>
      <c r="O1565" s="48" t="s">
        <v>97</v>
      </c>
      <c r="P1565" s="48">
        <f>HEX2DEC(RIGHT(Table1323212714[[#This Row],[h1]],8))</f>
        <v>0</v>
      </c>
      <c r="Q1565" s="48" t="s">
        <v>97</v>
      </c>
      <c r="R1565" s="48">
        <f>HEX2DEC(RIGHT(Table1323212714[[#This Row],[h2]],8))</f>
        <v>0</v>
      </c>
    </row>
    <row r="1566" spans="1:18" x14ac:dyDescent="0.3">
      <c r="A1566" s="15" t="str">
        <f t="shared" si="29"/>
        <v>614</v>
      </c>
      <c r="B1566" s="15">
        <v>1556</v>
      </c>
      <c r="C1566" s="42"/>
      <c r="F1566" s="22"/>
      <c r="G1566" s="22"/>
      <c r="J1566" s="24">
        <v>50000</v>
      </c>
      <c r="M1566" s="24">
        <v>50000</v>
      </c>
      <c r="O1566" s="48" t="s">
        <v>97</v>
      </c>
      <c r="P1566" s="48">
        <f>HEX2DEC(RIGHT(Table1323212714[[#This Row],[h1]],8))</f>
        <v>0</v>
      </c>
      <c r="Q1566" s="48" t="s">
        <v>97</v>
      </c>
      <c r="R1566" s="48">
        <f>HEX2DEC(RIGHT(Table1323212714[[#This Row],[h2]],8))</f>
        <v>0</v>
      </c>
    </row>
    <row r="1567" spans="1:18" x14ac:dyDescent="0.3">
      <c r="A1567" s="15" t="str">
        <f t="shared" si="29"/>
        <v>615</v>
      </c>
      <c r="B1567" s="15">
        <v>1557</v>
      </c>
      <c r="C1567" s="42"/>
      <c r="F1567" s="22"/>
      <c r="G1567" s="22"/>
      <c r="J1567" s="24">
        <v>50000</v>
      </c>
      <c r="M1567" s="24">
        <v>50000</v>
      </c>
      <c r="O1567" s="48" t="s">
        <v>97</v>
      </c>
      <c r="P1567" s="48">
        <f>HEX2DEC(RIGHT(Table1323212714[[#This Row],[h1]],8))</f>
        <v>0</v>
      </c>
      <c r="Q1567" s="48" t="s">
        <v>97</v>
      </c>
      <c r="R1567" s="48">
        <f>HEX2DEC(RIGHT(Table1323212714[[#This Row],[h2]],8))</f>
        <v>0</v>
      </c>
    </row>
    <row r="1568" spans="1:18" x14ac:dyDescent="0.3">
      <c r="A1568" s="15" t="str">
        <f t="shared" si="29"/>
        <v>616</v>
      </c>
      <c r="B1568" s="15">
        <v>1558</v>
      </c>
      <c r="C1568" s="42"/>
      <c r="F1568" s="22"/>
      <c r="G1568" s="22"/>
      <c r="J1568" s="24">
        <v>50000</v>
      </c>
      <c r="M1568" s="24">
        <v>50000</v>
      </c>
      <c r="O1568" s="48" t="s">
        <v>97</v>
      </c>
      <c r="P1568" s="48">
        <f>HEX2DEC(RIGHT(Table1323212714[[#This Row],[h1]],8))</f>
        <v>0</v>
      </c>
      <c r="Q1568" s="48" t="s">
        <v>97</v>
      </c>
      <c r="R1568" s="48">
        <f>HEX2DEC(RIGHT(Table1323212714[[#This Row],[h2]],8))</f>
        <v>0</v>
      </c>
    </row>
    <row r="1569" spans="1:18" x14ac:dyDescent="0.3">
      <c r="A1569" s="15" t="str">
        <f t="shared" si="29"/>
        <v>617</v>
      </c>
      <c r="B1569" s="15">
        <v>1559</v>
      </c>
      <c r="C1569" s="42"/>
      <c r="F1569" s="22"/>
      <c r="G1569" s="22"/>
      <c r="J1569" s="24">
        <v>50000</v>
      </c>
      <c r="M1569" s="24">
        <v>50000</v>
      </c>
      <c r="O1569" s="48" t="s">
        <v>97</v>
      </c>
      <c r="P1569" s="48">
        <f>HEX2DEC(RIGHT(Table1323212714[[#This Row],[h1]],8))</f>
        <v>0</v>
      </c>
      <c r="Q1569" s="48" t="s">
        <v>97</v>
      </c>
      <c r="R1569" s="48">
        <f>HEX2DEC(RIGHT(Table1323212714[[#This Row],[h2]],8))</f>
        <v>0</v>
      </c>
    </row>
    <row r="1570" spans="1:18" x14ac:dyDescent="0.3">
      <c r="A1570" s="15" t="str">
        <f t="shared" si="29"/>
        <v>618</v>
      </c>
      <c r="B1570" s="15">
        <v>1560</v>
      </c>
      <c r="C1570" s="42"/>
      <c r="F1570" s="22"/>
      <c r="G1570" s="22"/>
      <c r="J1570" s="24">
        <v>50000</v>
      </c>
      <c r="M1570" s="24">
        <v>50000</v>
      </c>
      <c r="O1570" s="48" t="s">
        <v>97</v>
      </c>
      <c r="P1570" s="48">
        <f>HEX2DEC(RIGHT(Table1323212714[[#This Row],[h1]],8))</f>
        <v>0</v>
      </c>
      <c r="Q1570" s="48" t="s">
        <v>97</v>
      </c>
      <c r="R1570" s="48">
        <f>HEX2DEC(RIGHT(Table1323212714[[#This Row],[h2]],8))</f>
        <v>0</v>
      </c>
    </row>
    <row r="1571" spans="1:18" x14ac:dyDescent="0.3">
      <c r="A1571" s="15" t="str">
        <f t="shared" si="29"/>
        <v>619</v>
      </c>
      <c r="B1571" s="15">
        <v>1561</v>
      </c>
      <c r="C1571" s="42"/>
      <c r="F1571" s="22"/>
      <c r="G1571" s="22"/>
      <c r="J1571" s="24">
        <v>50000</v>
      </c>
      <c r="M1571" s="24">
        <v>50000</v>
      </c>
      <c r="O1571" s="48" t="s">
        <v>97</v>
      </c>
      <c r="P1571" s="48">
        <f>HEX2DEC(RIGHT(Table1323212714[[#This Row],[h1]],8))</f>
        <v>0</v>
      </c>
      <c r="Q1571" s="48" t="s">
        <v>97</v>
      </c>
      <c r="R1571" s="48">
        <f>HEX2DEC(RIGHT(Table1323212714[[#This Row],[h2]],8))</f>
        <v>0</v>
      </c>
    </row>
    <row r="1572" spans="1:18" x14ac:dyDescent="0.3">
      <c r="A1572" s="15" t="str">
        <f t="shared" si="29"/>
        <v>61A</v>
      </c>
      <c r="B1572" s="15">
        <v>1562</v>
      </c>
      <c r="C1572" s="42"/>
      <c r="F1572" s="22"/>
      <c r="G1572" s="22"/>
      <c r="J1572" s="24">
        <v>50000</v>
      </c>
      <c r="M1572" s="24">
        <v>50000</v>
      </c>
      <c r="O1572" s="48" t="s">
        <v>97</v>
      </c>
      <c r="P1572" s="48">
        <f>HEX2DEC(RIGHT(Table1323212714[[#This Row],[h1]],8))</f>
        <v>0</v>
      </c>
      <c r="Q1572" s="48" t="s">
        <v>97</v>
      </c>
      <c r="R1572" s="48">
        <f>HEX2DEC(RIGHT(Table1323212714[[#This Row],[h2]],8))</f>
        <v>0</v>
      </c>
    </row>
    <row r="1573" spans="1:18" x14ac:dyDescent="0.3">
      <c r="A1573" s="15" t="str">
        <f t="shared" si="29"/>
        <v>61B</v>
      </c>
      <c r="B1573" s="15">
        <v>1563</v>
      </c>
      <c r="C1573" s="42"/>
      <c r="F1573" s="22"/>
      <c r="G1573" s="22"/>
      <c r="J1573" s="24">
        <v>50000</v>
      </c>
      <c r="M1573" s="24">
        <v>50000</v>
      </c>
      <c r="O1573" s="48" t="s">
        <v>97</v>
      </c>
      <c r="P1573" s="48">
        <f>HEX2DEC(RIGHT(Table1323212714[[#This Row],[h1]],8))</f>
        <v>0</v>
      </c>
      <c r="Q1573" s="48" t="s">
        <v>97</v>
      </c>
      <c r="R1573" s="48">
        <f>HEX2DEC(RIGHT(Table1323212714[[#This Row],[h2]],8))</f>
        <v>0</v>
      </c>
    </row>
    <row r="1574" spans="1:18" x14ac:dyDescent="0.3">
      <c r="A1574" s="15" t="str">
        <f t="shared" si="29"/>
        <v>61C</v>
      </c>
      <c r="B1574" s="15">
        <v>1564</v>
      </c>
      <c r="C1574" s="42"/>
      <c r="F1574" s="22"/>
      <c r="G1574" s="22"/>
      <c r="J1574" s="24">
        <v>50000</v>
      </c>
      <c r="M1574" s="24">
        <v>50000</v>
      </c>
      <c r="O1574" s="48" t="s">
        <v>97</v>
      </c>
      <c r="P1574" s="48">
        <f>HEX2DEC(RIGHT(Table1323212714[[#This Row],[h1]],8))</f>
        <v>0</v>
      </c>
      <c r="Q1574" s="48" t="s">
        <v>97</v>
      </c>
      <c r="R1574" s="48">
        <f>HEX2DEC(RIGHT(Table1323212714[[#This Row],[h2]],8))</f>
        <v>0</v>
      </c>
    </row>
    <row r="1575" spans="1:18" x14ac:dyDescent="0.3">
      <c r="A1575" s="15" t="str">
        <f t="shared" si="29"/>
        <v>61D</v>
      </c>
      <c r="B1575" s="15">
        <v>1565</v>
      </c>
      <c r="C1575" s="42"/>
      <c r="F1575" s="22"/>
      <c r="G1575" s="22"/>
      <c r="J1575" s="24">
        <v>50000</v>
      </c>
      <c r="M1575" s="24">
        <v>50000</v>
      </c>
      <c r="O1575" s="48" t="s">
        <v>97</v>
      </c>
      <c r="P1575" s="48">
        <f>HEX2DEC(RIGHT(Table1323212714[[#This Row],[h1]],8))</f>
        <v>0</v>
      </c>
      <c r="Q1575" s="48" t="s">
        <v>97</v>
      </c>
      <c r="R1575" s="48">
        <f>HEX2DEC(RIGHT(Table1323212714[[#This Row],[h2]],8))</f>
        <v>0</v>
      </c>
    </row>
    <row r="1576" spans="1:18" x14ac:dyDescent="0.3">
      <c r="A1576" s="15" t="str">
        <f t="shared" si="29"/>
        <v>61E</v>
      </c>
      <c r="B1576" s="15">
        <v>1566</v>
      </c>
      <c r="C1576" s="42"/>
      <c r="F1576" s="22"/>
      <c r="G1576" s="22"/>
      <c r="J1576" s="24">
        <v>50000</v>
      </c>
      <c r="M1576" s="24">
        <v>50000</v>
      </c>
      <c r="O1576" s="48" t="s">
        <v>97</v>
      </c>
      <c r="P1576" s="48">
        <f>HEX2DEC(RIGHT(Table1323212714[[#This Row],[h1]],8))</f>
        <v>0</v>
      </c>
      <c r="Q1576" s="48" t="s">
        <v>97</v>
      </c>
      <c r="R1576" s="48">
        <f>HEX2DEC(RIGHT(Table1323212714[[#This Row],[h2]],8))</f>
        <v>0</v>
      </c>
    </row>
    <row r="1577" spans="1:18" x14ac:dyDescent="0.3">
      <c r="A1577" s="15" t="str">
        <f t="shared" si="29"/>
        <v>61F</v>
      </c>
      <c r="B1577" s="15">
        <v>1567</v>
      </c>
      <c r="C1577" s="42"/>
      <c r="F1577" s="22"/>
      <c r="G1577" s="22"/>
      <c r="J1577" s="24">
        <v>50000</v>
      </c>
      <c r="M1577" s="24">
        <v>50000</v>
      </c>
      <c r="O1577" s="48" t="s">
        <v>97</v>
      </c>
      <c r="P1577" s="48">
        <f>HEX2DEC(RIGHT(Table1323212714[[#This Row],[h1]],8))</f>
        <v>0</v>
      </c>
      <c r="Q1577" s="48" t="s">
        <v>97</v>
      </c>
      <c r="R1577" s="48">
        <f>HEX2DEC(RIGHT(Table1323212714[[#This Row],[h2]],8))</f>
        <v>0</v>
      </c>
    </row>
    <row r="1578" spans="1:18" x14ac:dyDescent="0.3">
      <c r="A1578" s="15" t="str">
        <f t="shared" si="29"/>
        <v>620</v>
      </c>
      <c r="B1578" s="15">
        <v>1568</v>
      </c>
      <c r="C1578" s="42"/>
      <c r="F1578" s="22"/>
      <c r="G1578" s="22"/>
      <c r="J1578" s="24">
        <v>50000</v>
      </c>
      <c r="M1578" s="24">
        <v>50000</v>
      </c>
      <c r="O1578" s="48" t="s">
        <v>97</v>
      </c>
      <c r="P1578" s="48">
        <f>HEX2DEC(RIGHT(Table1323212714[[#This Row],[h1]],8))</f>
        <v>0</v>
      </c>
      <c r="Q1578" s="48" t="s">
        <v>97</v>
      </c>
      <c r="R1578" s="48">
        <f>HEX2DEC(RIGHT(Table1323212714[[#This Row],[h2]],8))</f>
        <v>0</v>
      </c>
    </row>
    <row r="1579" spans="1:18" x14ac:dyDescent="0.3">
      <c r="A1579" s="15" t="str">
        <f t="shared" si="29"/>
        <v>621</v>
      </c>
      <c r="B1579" s="15">
        <v>1569</v>
      </c>
      <c r="C1579" s="42"/>
      <c r="F1579" s="22"/>
      <c r="G1579" s="22"/>
      <c r="J1579" s="24">
        <v>50000</v>
      </c>
      <c r="M1579" s="24">
        <v>50000</v>
      </c>
      <c r="O1579" s="48" t="s">
        <v>97</v>
      </c>
      <c r="P1579" s="48">
        <f>HEX2DEC(RIGHT(Table1323212714[[#This Row],[h1]],8))</f>
        <v>0</v>
      </c>
      <c r="Q1579" s="48" t="s">
        <v>97</v>
      </c>
      <c r="R1579" s="48">
        <f>HEX2DEC(RIGHT(Table1323212714[[#This Row],[h2]],8))</f>
        <v>0</v>
      </c>
    </row>
    <row r="1580" spans="1:18" x14ac:dyDescent="0.3">
      <c r="A1580" s="15" t="str">
        <f t="shared" si="29"/>
        <v>622</v>
      </c>
      <c r="B1580" s="15">
        <v>1570</v>
      </c>
      <c r="C1580" s="42"/>
      <c r="F1580" s="22"/>
      <c r="G1580" s="22"/>
      <c r="J1580" s="24">
        <v>50000</v>
      </c>
      <c r="M1580" s="24">
        <v>50000</v>
      </c>
      <c r="O1580" s="48" t="s">
        <v>97</v>
      </c>
      <c r="P1580" s="48">
        <f>HEX2DEC(RIGHT(Table1323212714[[#This Row],[h1]],8))</f>
        <v>0</v>
      </c>
      <c r="Q1580" s="48" t="s">
        <v>97</v>
      </c>
      <c r="R1580" s="48">
        <f>HEX2DEC(RIGHT(Table1323212714[[#This Row],[h2]],8))</f>
        <v>0</v>
      </c>
    </row>
    <row r="1581" spans="1:18" x14ac:dyDescent="0.3">
      <c r="A1581" s="15" t="str">
        <f t="shared" si="29"/>
        <v>623</v>
      </c>
      <c r="B1581" s="15">
        <v>1571</v>
      </c>
      <c r="C1581" s="42"/>
      <c r="F1581" s="22"/>
      <c r="G1581" s="22"/>
      <c r="J1581" s="24">
        <v>50000</v>
      </c>
      <c r="M1581" s="24">
        <v>50000</v>
      </c>
      <c r="O1581" s="48" t="s">
        <v>97</v>
      </c>
      <c r="P1581" s="48">
        <f>HEX2DEC(RIGHT(Table1323212714[[#This Row],[h1]],8))</f>
        <v>0</v>
      </c>
      <c r="Q1581" s="48" t="s">
        <v>97</v>
      </c>
      <c r="R1581" s="48">
        <f>HEX2DEC(RIGHT(Table1323212714[[#This Row],[h2]],8))</f>
        <v>0</v>
      </c>
    </row>
    <row r="1582" spans="1:18" x14ac:dyDescent="0.3">
      <c r="A1582" s="15" t="str">
        <f t="shared" si="29"/>
        <v>624</v>
      </c>
      <c r="B1582" s="15">
        <v>1572</v>
      </c>
      <c r="C1582" s="42"/>
      <c r="F1582" s="22"/>
      <c r="G1582" s="22"/>
      <c r="J1582" s="24">
        <v>50000</v>
      </c>
      <c r="M1582" s="24">
        <v>50000</v>
      </c>
      <c r="O1582" s="48" t="s">
        <v>97</v>
      </c>
      <c r="P1582" s="48">
        <f>HEX2DEC(RIGHT(Table1323212714[[#This Row],[h1]],8))</f>
        <v>0</v>
      </c>
      <c r="Q1582" s="48" t="s">
        <v>97</v>
      </c>
      <c r="R1582" s="48">
        <f>HEX2DEC(RIGHT(Table1323212714[[#This Row],[h2]],8))</f>
        <v>0</v>
      </c>
    </row>
    <row r="1583" spans="1:18" x14ac:dyDescent="0.3">
      <c r="A1583" s="15" t="str">
        <f t="shared" si="29"/>
        <v>625</v>
      </c>
      <c r="B1583" s="15">
        <v>1573</v>
      </c>
      <c r="C1583" s="42"/>
      <c r="F1583" s="22"/>
      <c r="G1583" s="22"/>
      <c r="J1583" s="24">
        <v>50000</v>
      </c>
      <c r="M1583" s="24">
        <v>50000</v>
      </c>
      <c r="O1583" s="48" t="s">
        <v>97</v>
      </c>
      <c r="P1583" s="48">
        <f>HEX2DEC(RIGHT(Table1323212714[[#This Row],[h1]],8))</f>
        <v>0</v>
      </c>
      <c r="Q1583" s="48" t="s">
        <v>97</v>
      </c>
      <c r="R1583" s="48">
        <f>HEX2DEC(RIGHT(Table1323212714[[#This Row],[h2]],8))</f>
        <v>0</v>
      </c>
    </row>
    <row r="1584" spans="1:18" x14ac:dyDescent="0.3">
      <c r="A1584" s="15" t="str">
        <f t="shared" si="29"/>
        <v>626</v>
      </c>
      <c r="B1584" s="15">
        <v>1574</v>
      </c>
      <c r="C1584" s="42"/>
      <c r="F1584" s="22"/>
      <c r="G1584" s="22"/>
      <c r="J1584" s="24">
        <v>50000</v>
      </c>
      <c r="M1584" s="24">
        <v>50000</v>
      </c>
      <c r="O1584" s="48" t="s">
        <v>97</v>
      </c>
      <c r="P1584" s="48">
        <f>HEX2DEC(RIGHT(Table1323212714[[#This Row],[h1]],8))</f>
        <v>0</v>
      </c>
      <c r="Q1584" s="48" t="s">
        <v>97</v>
      </c>
      <c r="R1584" s="48">
        <f>HEX2DEC(RIGHT(Table1323212714[[#This Row],[h2]],8))</f>
        <v>0</v>
      </c>
    </row>
    <row r="1585" spans="1:18" x14ac:dyDescent="0.3">
      <c r="A1585" s="15" t="str">
        <f t="shared" si="29"/>
        <v>627</v>
      </c>
      <c r="B1585" s="15">
        <v>1575</v>
      </c>
      <c r="C1585" s="42"/>
      <c r="F1585" s="22"/>
      <c r="G1585" s="22"/>
      <c r="J1585" s="24">
        <v>50000</v>
      </c>
      <c r="M1585" s="24">
        <v>50000</v>
      </c>
      <c r="O1585" s="48" t="s">
        <v>97</v>
      </c>
      <c r="P1585" s="48">
        <f>HEX2DEC(RIGHT(Table1323212714[[#This Row],[h1]],8))</f>
        <v>0</v>
      </c>
      <c r="Q1585" s="48" t="s">
        <v>97</v>
      </c>
      <c r="R1585" s="48">
        <f>HEX2DEC(RIGHT(Table1323212714[[#This Row],[h2]],8))</f>
        <v>0</v>
      </c>
    </row>
    <row r="1586" spans="1:18" x14ac:dyDescent="0.3">
      <c r="A1586" s="15" t="str">
        <f t="shared" si="29"/>
        <v>628</v>
      </c>
      <c r="B1586" s="15">
        <v>1576</v>
      </c>
      <c r="C1586" s="42"/>
      <c r="F1586" s="22"/>
      <c r="G1586" s="22"/>
      <c r="J1586" s="24">
        <v>50000</v>
      </c>
      <c r="M1586" s="24">
        <v>50000</v>
      </c>
      <c r="O1586" s="48" t="s">
        <v>97</v>
      </c>
      <c r="P1586" s="48">
        <f>HEX2DEC(RIGHT(Table1323212714[[#This Row],[h1]],8))</f>
        <v>0</v>
      </c>
      <c r="Q1586" s="48" t="s">
        <v>97</v>
      </c>
      <c r="R1586" s="48">
        <f>HEX2DEC(RIGHT(Table1323212714[[#This Row],[h2]],8))</f>
        <v>0</v>
      </c>
    </row>
    <row r="1587" spans="1:18" x14ac:dyDescent="0.3">
      <c r="A1587" s="15" t="str">
        <f t="shared" si="29"/>
        <v>629</v>
      </c>
      <c r="B1587" s="15">
        <v>1577</v>
      </c>
      <c r="C1587" s="42"/>
      <c r="F1587" s="22"/>
      <c r="G1587" s="22"/>
      <c r="J1587" s="24">
        <v>50000</v>
      </c>
      <c r="M1587" s="24">
        <v>50000</v>
      </c>
      <c r="O1587" s="48" t="s">
        <v>97</v>
      </c>
      <c r="P1587" s="48">
        <f>HEX2DEC(RIGHT(Table1323212714[[#This Row],[h1]],8))</f>
        <v>0</v>
      </c>
      <c r="Q1587" s="48" t="s">
        <v>97</v>
      </c>
      <c r="R1587" s="48">
        <f>HEX2DEC(RIGHT(Table1323212714[[#This Row],[h2]],8))</f>
        <v>0</v>
      </c>
    </row>
    <row r="1588" spans="1:18" x14ac:dyDescent="0.3">
      <c r="A1588" s="15" t="str">
        <f t="shared" si="29"/>
        <v>62A</v>
      </c>
      <c r="B1588" s="15">
        <v>1578</v>
      </c>
      <c r="C1588" s="42"/>
      <c r="F1588" s="22"/>
      <c r="G1588" s="22"/>
      <c r="J1588" s="24">
        <v>50000</v>
      </c>
      <c r="M1588" s="24">
        <v>50000</v>
      </c>
      <c r="O1588" s="48" t="s">
        <v>97</v>
      </c>
      <c r="P1588" s="48">
        <f>HEX2DEC(RIGHT(Table1323212714[[#This Row],[h1]],8))</f>
        <v>0</v>
      </c>
      <c r="Q1588" s="48" t="s">
        <v>97</v>
      </c>
      <c r="R1588" s="48">
        <f>HEX2DEC(RIGHT(Table1323212714[[#This Row],[h2]],8))</f>
        <v>0</v>
      </c>
    </row>
    <row r="1589" spans="1:18" x14ac:dyDescent="0.3">
      <c r="A1589" s="15" t="str">
        <f t="shared" si="29"/>
        <v>62B</v>
      </c>
      <c r="B1589" s="15">
        <v>1579</v>
      </c>
      <c r="C1589" s="42"/>
      <c r="F1589" s="22"/>
      <c r="G1589" s="22"/>
      <c r="J1589" s="24">
        <v>50000</v>
      </c>
      <c r="M1589" s="24">
        <v>50000</v>
      </c>
      <c r="O1589" s="48" t="s">
        <v>97</v>
      </c>
      <c r="P1589" s="48">
        <f>HEX2DEC(RIGHT(Table1323212714[[#This Row],[h1]],8))</f>
        <v>0</v>
      </c>
      <c r="Q1589" s="48" t="s">
        <v>97</v>
      </c>
      <c r="R1589" s="48">
        <f>HEX2DEC(RIGHT(Table1323212714[[#This Row],[h2]],8))</f>
        <v>0</v>
      </c>
    </row>
    <row r="1590" spans="1:18" x14ac:dyDescent="0.3">
      <c r="A1590" s="15" t="str">
        <f t="shared" si="29"/>
        <v>62C</v>
      </c>
      <c r="B1590" s="15">
        <v>1580</v>
      </c>
      <c r="C1590" s="42"/>
      <c r="F1590" s="22"/>
      <c r="G1590" s="22"/>
      <c r="J1590" s="24">
        <v>50000</v>
      </c>
      <c r="M1590" s="24">
        <v>50000</v>
      </c>
      <c r="O1590" s="48" t="s">
        <v>97</v>
      </c>
      <c r="P1590" s="48">
        <f>HEX2DEC(RIGHT(Table1323212714[[#This Row],[h1]],8))</f>
        <v>0</v>
      </c>
      <c r="Q1590" s="48" t="s">
        <v>97</v>
      </c>
      <c r="R1590" s="48">
        <f>HEX2DEC(RIGHT(Table1323212714[[#This Row],[h2]],8))</f>
        <v>0</v>
      </c>
    </row>
    <row r="1591" spans="1:18" x14ac:dyDescent="0.3">
      <c r="A1591" s="15" t="str">
        <f t="shared" si="29"/>
        <v>62D</v>
      </c>
      <c r="B1591" s="15">
        <v>1581</v>
      </c>
      <c r="C1591" s="42"/>
      <c r="F1591" s="22"/>
      <c r="G1591" s="22"/>
      <c r="J1591" s="24">
        <v>50000</v>
      </c>
      <c r="M1591" s="24">
        <v>50000</v>
      </c>
      <c r="O1591" s="48" t="s">
        <v>97</v>
      </c>
      <c r="P1591" s="48">
        <f>HEX2DEC(RIGHT(Table1323212714[[#This Row],[h1]],8))</f>
        <v>0</v>
      </c>
      <c r="Q1591" s="48" t="s">
        <v>97</v>
      </c>
      <c r="R1591" s="48">
        <f>HEX2DEC(RIGHT(Table1323212714[[#This Row],[h2]],8))</f>
        <v>0</v>
      </c>
    </row>
    <row r="1592" spans="1:18" x14ac:dyDescent="0.3">
      <c r="A1592" s="15" t="str">
        <f t="shared" si="29"/>
        <v>62E</v>
      </c>
      <c r="B1592" s="15">
        <v>1582</v>
      </c>
      <c r="C1592" s="42"/>
      <c r="F1592" s="22"/>
      <c r="G1592" s="22"/>
      <c r="J1592" s="24">
        <v>50000</v>
      </c>
      <c r="M1592" s="24">
        <v>50000</v>
      </c>
      <c r="O1592" s="48" t="s">
        <v>97</v>
      </c>
      <c r="P1592" s="48">
        <f>HEX2DEC(RIGHT(Table1323212714[[#This Row],[h1]],8))</f>
        <v>0</v>
      </c>
      <c r="Q1592" s="48" t="s">
        <v>97</v>
      </c>
      <c r="R1592" s="48">
        <f>HEX2DEC(RIGHT(Table1323212714[[#This Row],[h2]],8))</f>
        <v>0</v>
      </c>
    </row>
    <row r="1593" spans="1:18" x14ac:dyDescent="0.3">
      <c r="A1593" s="15" t="str">
        <f t="shared" si="29"/>
        <v>62F</v>
      </c>
      <c r="B1593" s="15">
        <v>1583</v>
      </c>
      <c r="C1593" s="42"/>
      <c r="F1593" s="22"/>
      <c r="G1593" s="22"/>
      <c r="J1593" s="24">
        <v>50000</v>
      </c>
      <c r="M1593" s="24">
        <v>50000</v>
      </c>
      <c r="O1593" s="48" t="s">
        <v>97</v>
      </c>
      <c r="P1593" s="48">
        <f>HEX2DEC(RIGHT(Table1323212714[[#This Row],[h1]],8))</f>
        <v>0</v>
      </c>
      <c r="Q1593" s="48" t="s">
        <v>97</v>
      </c>
      <c r="R1593" s="48">
        <f>HEX2DEC(RIGHT(Table1323212714[[#This Row],[h2]],8))</f>
        <v>0</v>
      </c>
    </row>
    <row r="1594" spans="1:18" x14ac:dyDescent="0.3">
      <c r="A1594" s="15" t="str">
        <f t="shared" si="29"/>
        <v>630</v>
      </c>
      <c r="B1594" s="15">
        <v>1584</v>
      </c>
      <c r="C1594" s="42"/>
      <c r="F1594" s="22"/>
      <c r="G1594" s="22"/>
      <c r="J1594" s="24">
        <v>50000</v>
      </c>
      <c r="M1594" s="24">
        <v>50000</v>
      </c>
      <c r="O1594" s="48" t="s">
        <v>97</v>
      </c>
      <c r="P1594" s="48">
        <f>HEX2DEC(RIGHT(Table1323212714[[#This Row],[h1]],8))</f>
        <v>0</v>
      </c>
      <c r="Q1594" s="48" t="s">
        <v>97</v>
      </c>
      <c r="R1594" s="48">
        <f>HEX2DEC(RIGHT(Table1323212714[[#This Row],[h2]],8))</f>
        <v>0</v>
      </c>
    </row>
    <row r="1595" spans="1:18" x14ac:dyDescent="0.3">
      <c r="A1595" s="15" t="str">
        <f t="shared" si="29"/>
        <v>631</v>
      </c>
      <c r="B1595" s="15">
        <v>1585</v>
      </c>
      <c r="C1595" s="42"/>
      <c r="F1595" s="22"/>
      <c r="G1595" s="22"/>
      <c r="J1595" s="24">
        <v>50000</v>
      </c>
      <c r="M1595" s="24">
        <v>50000</v>
      </c>
      <c r="O1595" s="48" t="s">
        <v>97</v>
      </c>
      <c r="P1595" s="48">
        <f>HEX2DEC(RIGHT(Table1323212714[[#This Row],[h1]],8))</f>
        <v>0</v>
      </c>
      <c r="Q1595" s="48" t="s">
        <v>97</v>
      </c>
      <c r="R1595" s="48">
        <f>HEX2DEC(RIGHT(Table1323212714[[#This Row],[h2]],8))</f>
        <v>0</v>
      </c>
    </row>
    <row r="1596" spans="1:18" x14ac:dyDescent="0.3">
      <c r="A1596" s="15" t="str">
        <f t="shared" si="29"/>
        <v>632</v>
      </c>
      <c r="B1596" s="15">
        <v>1586</v>
      </c>
      <c r="C1596" s="42"/>
      <c r="F1596" s="22"/>
      <c r="G1596" s="22"/>
      <c r="J1596" s="24">
        <v>50000</v>
      </c>
      <c r="M1596" s="24">
        <v>50000</v>
      </c>
      <c r="O1596" s="48" t="s">
        <v>97</v>
      </c>
      <c r="P1596" s="48">
        <f>HEX2DEC(RIGHT(Table1323212714[[#This Row],[h1]],8))</f>
        <v>0</v>
      </c>
      <c r="Q1596" s="48" t="s">
        <v>97</v>
      </c>
      <c r="R1596" s="48">
        <f>HEX2DEC(RIGHT(Table1323212714[[#This Row],[h2]],8))</f>
        <v>0</v>
      </c>
    </row>
    <row r="1597" spans="1:18" x14ac:dyDescent="0.3">
      <c r="A1597" s="15" t="str">
        <f t="shared" si="29"/>
        <v>633</v>
      </c>
      <c r="B1597" s="15">
        <v>1587</v>
      </c>
      <c r="C1597" s="42"/>
      <c r="F1597" s="22"/>
      <c r="G1597" s="22"/>
      <c r="J1597" s="24">
        <v>50000</v>
      </c>
      <c r="M1597" s="24">
        <v>50000</v>
      </c>
      <c r="O1597" s="48" t="s">
        <v>97</v>
      </c>
      <c r="P1597" s="48">
        <f>HEX2DEC(RIGHT(Table1323212714[[#This Row],[h1]],8))</f>
        <v>0</v>
      </c>
      <c r="Q1597" s="48" t="s">
        <v>97</v>
      </c>
      <c r="R1597" s="48">
        <f>HEX2DEC(RIGHT(Table1323212714[[#This Row],[h2]],8))</f>
        <v>0</v>
      </c>
    </row>
    <row r="1598" spans="1:18" x14ac:dyDescent="0.3">
      <c r="A1598" s="15" t="str">
        <f t="shared" si="29"/>
        <v>634</v>
      </c>
      <c r="B1598" s="15">
        <v>1588</v>
      </c>
      <c r="C1598" s="42"/>
      <c r="F1598" s="22"/>
      <c r="G1598" s="22"/>
      <c r="J1598" s="24">
        <v>50000</v>
      </c>
      <c r="M1598" s="24">
        <v>50000</v>
      </c>
      <c r="O1598" s="48" t="s">
        <v>97</v>
      </c>
      <c r="P1598" s="48">
        <f>HEX2DEC(RIGHT(Table1323212714[[#This Row],[h1]],8))</f>
        <v>0</v>
      </c>
      <c r="Q1598" s="48" t="s">
        <v>97</v>
      </c>
      <c r="R1598" s="48">
        <f>HEX2DEC(RIGHT(Table1323212714[[#This Row],[h2]],8))</f>
        <v>0</v>
      </c>
    </row>
    <row r="1599" spans="1:18" x14ac:dyDescent="0.3">
      <c r="A1599" s="15" t="str">
        <f t="shared" si="29"/>
        <v>635</v>
      </c>
      <c r="B1599" s="15">
        <v>1589</v>
      </c>
      <c r="C1599" s="42"/>
      <c r="F1599" s="22"/>
      <c r="G1599" s="22"/>
      <c r="J1599" s="24">
        <v>50000</v>
      </c>
      <c r="M1599" s="24">
        <v>50000</v>
      </c>
      <c r="O1599" s="48" t="s">
        <v>97</v>
      </c>
      <c r="P1599" s="48">
        <f>HEX2DEC(RIGHT(Table1323212714[[#This Row],[h1]],8))</f>
        <v>0</v>
      </c>
      <c r="Q1599" s="48" t="s">
        <v>97</v>
      </c>
      <c r="R1599" s="48">
        <f>HEX2DEC(RIGHT(Table1323212714[[#This Row],[h2]],8))</f>
        <v>0</v>
      </c>
    </row>
    <row r="1600" spans="1:18" x14ac:dyDescent="0.3">
      <c r="A1600" s="15" t="str">
        <f t="shared" si="29"/>
        <v>636</v>
      </c>
      <c r="B1600" s="15">
        <v>1590</v>
      </c>
      <c r="C1600" s="42"/>
      <c r="F1600" s="22"/>
      <c r="G1600" s="22"/>
      <c r="J1600" s="24">
        <v>50000</v>
      </c>
      <c r="M1600" s="24">
        <v>50000</v>
      </c>
      <c r="O1600" s="48" t="s">
        <v>97</v>
      </c>
      <c r="P1600" s="48">
        <f>HEX2DEC(RIGHT(Table1323212714[[#This Row],[h1]],8))</f>
        <v>0</v>
      </c>
      <c r="Q1600" s="48" t="s">
        <v>97</v>
      </c>
      <c r="R1600" s="48">
        <f>HEX2DEC(RIGHT(Table1323212714[[#This Row],[h2]],8))</f>
        <v>0</v>
      </c>
    </row>
    <row r="1601" spans="1:18" x14ac:dyDescent="0.3">
      <c r="A1601" s="15" t="str">
        <f t="shared" si="29"/>
        <v>637</v>
      </c>
      <c r="B1601" s="15">
        <v>1591</v>
      </c>
      <c r="C1601" s="42"/>
      <c r="F1601" s="22"/>
      <c r="G1601" s="22"/>
      <c r="J1601" s="24">
        <v>50000</v>
      </c>
      <c r="M1601" s="24">
        <v>50000</v>
      </c>
      <c r="O1601" s="48" t="s">
        <v>97</v>
      </c>
      <c r="P1601" s="48">
        <f>HEX2DEC(RIGHT(Table1323212714[[#This Row],[h1]],8))</f>
        <v>0</v>
      </c>
      <c r="Q1601" s="48" t="s">
        <v>97</v>
      </c>
      <c r="R1601" s="48">
        <f>HEX2DEC(RIGHT(Table1323212714[[#This Row],[h2]],8))</f>
        <v>0</v>
      </c>
    </row>
    <row r="1602" spans="1:18" x14ac:dyDescent="0.3">
      <c r="A1602" s="15" t="str">
        <f t="shared" si="29"/>
        <v>638</v>
      </c>
      <c r="B1602" s="15">
        <v>1592</v>
      </c>
      <c r="C1602" s="42"/>
      <c r="F1602" s="22"/>
      <c r="G1602" s="22"/>
      <c r="J1602" s="24">
        <v>50000</v>
      </c>
      <c r="M1602" s="24">
        <v>50000</v>
      </c>
      <c r="O1602" s="48" t="s">
        <v>97</v>
      </c>
      <c r="P1602" s="48">
        <f>HEX2DEC(RIGHT(Table1323212714[[#This Row],[h1]],8))</f>
        <v>0</v>
      </c>
      <c r="Q1602" s="48" t="s">
        <v>97</v>
      </c>
      <c r="R1602" s="48">
        <f>HEX2DEC(RIGHT(Table1323212714[[#This Row],[h2]],8))</f>
        <v>0</v>
      </c>
    </row>
    <row r="1603" spans="1:18" x14ac:dyDescent="0.3">
      <c r="A1603" s="15" t="str">
        <f t="shared" si="29"/>
        <v>639</v>
      </c>
      <c r="B1603" s="15">
        <v>1593</v>
      </c>
      <c r="C1603" s="42"/>
      <c r="F1603" s="22"/>
      <c r="G1603" s="22"/>
      <c r="J1603" s="24">
        <v>50000</v>
      </c>
      <c r="M1603" s="24">
        <v>50000</v>
      </c>
      <c r="O1603" s="48" t="s">
        <v>97</v>
      </c>
      <c r="P1603" s="48">
        <f>HEX2DEC(RIGHT(Table1323212714[[#This Row],[h1]],8))</f>
        <v>0</v>
      </c>
      <c r="Q1603" s="48" t="s">
        <v>97</v>
      </c>
      <c r="R1603" s="48">
        <f>HEX2DEC(RIGHT(Table1323212714[[#This Row],[h2]],8))</f>
        <v>0</v>
      </c>
    </row>
    <row r="1604" spans="1:18" x14ac:dyDescent="0.3">
      <c r="A1604" s="15" t="str">
        <f t="shared" si="29"/>
        <v>63A</v>
      </c>
      <c r="B1604" s="15">
        <v>1594</v>
      </c>
      <c r="C1604" s="42"/>
      <c r="F1604" s="22"/>
      <c r="G1604" s="22"/>
      <c r="J1604" s="24">
        <v>50000</v>
      </c>
      <c r="M1604" s="24">
        <v>50000</v>
      </c>
      <c r="O1604" s="48" t="s">
        <v>97</v>
      </c>
      <c r="P1604" s="48">
        <f>HEX2DEC(RIGHT(Table1323212714[[#This Row],[h1]],8))</f>
        <v>0</v>
      </c>
      <c r="Q1604" s="48" t="s">
        <v>97</v>
      </c>
      <c r="R1604" s="48">
        <f>HEX2DEC(RIGHT(Table1323212714[[#This Row],[h2]],8))</f>
        <v>0</v>
      </c>
    </row>
    <row r="1605" spans="1:18" x14ac:dyDescent="0.3">
      <c r="A1605" s="15" t="str">
        <f t="shared" si="29"/>
        <v>63B</v>
      </c>
      <c r="B1605" s="15">
        <v>1595</v>
      </c>
      <c r="C1605" s="42"/>
      <c r="F1605" s="22"/>
      <c r="G1605" s="22"/>
      <c r="J1605" s="24">
        <v>50000</v>
      </c>
      <c r="M1605" s="24">
        <v>50000</v>
      </c>
      <c r="O1605" s="48" t="s">
        <v>97</v>
      </c>
      <c r="P1605" s="48">
        <f>HEX2DEC(RIGHT(Table1323212714[[#This Row],[h1]],8))</f>
        <v>0</v>
      </c>
      <c r="Q1605" s="48" t="s">
        <v>97</v>
      </c>
      <c r="R1605" s="48">
        <f>HEX2DEC(RIGHT(Table1323212714[[#This Row],[h2]],8))</f>
        <v>0</v>
      </c>
    </row>
    <row r="1606" spans="1:18" x14ac:dyDescent="0.3">
      <c r="A1606" s="15" t="str">
        <f t="shared" si="29"/>
        <v>63C</v>
      </c>
      <c r="B1606" s="15">
        <v>1596</v>
      </c>
      <c r="C1606" s="42"/>
      <c r="F1606" s="22"/>
      <c r="G1606" s="22"/>
      <c r="J1606" s="24">
        <v>50000</v>
      </c>
      <c r="M1606" s="24">
        <v>50000</v>
      </c>
      <c r="O1606" s="48" t="s">
        <v>97</v>
      </c>
      <c r="P1606" s="48">
        <f>HEX2DEC(RIGHT(Table1323212714[[#This Row],[h1]],8))</f>
        <v>0</v>
      </c>
      <c r="Q1606" s="48" t="s">
        <v>97</v>
      </c>
      <c r="R1606" s="48">
        <f>HEX2DEC(RIGHT(Table1323212714[[#This Row],[h2]],8))</f>
        <v>0</v>
      </c>
    </row>
    <row r="1607" spans="1:18" x14ac:dyDescent="0.3">
      <c r="A1607" s="15" t="str">
        <f t="shared" si="29"/>
        <v>63D</v>
      </c>
      <c r="B1607" s="15">
        <v>1597</v>
      </c>
      <c r="C1607" s="42"/>
      <c r="F1607" s="22"/>
      <c r="G1607" s="22"/>
      <c r="J1607" s="24">
        <v>50000</v>
      </c>
      <c r="M1607" s="24">
        <v>50000</v>
      </c>
      <c r="O1607" s="48" t="s">
        <v>97</v>
      </c>
      <c r="P1607" s="48">
        <f>HEX2DEC(RIGHT(Table1323212714[[#This Row],[h1]],8))</f>
        <v>0</v>
      </c>
      <c r="Q1607" s="48" t="s">
        <v>97</v>
      </c>
      <c r="R1607" s="48">
        <f>HEX2DEC(RIGHT(Table1323212714[[#This Row],[h2]],8))</f>
        <v>0</v>
      </c>
    </row>
    <row r="1608" spans="1:18" x14ac:dyDescent="0.3">
      <c r="A1608" s="15" t="str">
        <f t="shared" si="29"/>
        <v>63E</v>
      </c>
      <c r="B1608" s="15">
        <v>1598</v>
      </c>
      <c r="C1608" s="42"/>
      <c r="F1608" s="22"/>
      <c r="G1608" s="22"/>
      <c r="J1608" s="24">
        <v>50000</v>
      </c>
      <c r="M1608" s="24">
        <v>50000</v>
      </c>
      <c r="O1608" s="48" t="s">
        <v>97</v>
      </c>
      <c r="P1608" s="48">
        <f>HEX2DEC(RIGHT(Table1323212714[[#This Row],[h1]],8))</f>
        <v>0</v>
      </c>
      <c r="Q1608" s="48" t="s">
        <v>97</v>
      </c>
      <c r="R1608" s="48">
        <f>HEX2DEC(RIGHT(Table1323212714[[#This Row],[h2]],8))</f>
        <v>0</v>
      </c>
    </row>
    <row r="1609" spans="1:18" x14ac:dyDescent="0.3">
      <c r="A1609" s="15" t="str">
        <f t="shared" si="29"/>
        <v>63F</v>
      </c>
      <c r="B1609" s="15">
        <v>1599</v>
      </c>
      <c r="C1609" s="42"/>
      <c r="F1609" s="22"/>
      <c r="G1609" s="22"/>
      <c r="J1609" s="24">
        <v>50000</v>
      </c>
      <c r="M1609" s="24">
        <v>50000</v>
      </c>
      <c r="O1609" s="48" t="s">
        <v>97</v>
      </c>
      <c r="P1609" s="48">
        <f>HEX2DEC(RIGHT(Table1323212714[[#This Row],[h1]],8))</f>
        <v>0</v>
      </c>
      <c r="Q1609" s="48" t="s">
        <v>97</v>
      </c>
      <c r="R1609" s="48">
        <f>HEX2DEC(RIGHT(Table1323212714[[#This Row],[h2]],8))</f>
        <v>0</v>
      </c>
    </row>
    <row r="1610" spans="1:18" x14ac:dyDescent="0.3">
      <c r="A1610" s="15" t="str">
        <f t="shared" si="29"/>
        <v>640</v>
      </c>
      <c r="B1610" s="15">
        <v>1600</v>
      </c>
      <c r="C1610" s="42"/>
      <c r="F1610" s="22"/>
      <c r="G1610" s="22"/>
      <c r="J1610" s="24">
        <v>50000</v>
      </c>
      <c r="M1610" s="24">
        <v>50000</v>
      </c>
      <c r="O1610" s="48" t="s">
        <v>97</v>
      </c>
      <c r="P1610" s="48">
        <f>HEX2DEC(RIGHT(Table1323212714[[#This Row],[h1]],8))</f>
        <v>0</v>
      </c>
      <c r="Q1610" s="48" t="s">
        <v>97</v>
      </c>
      <c r="R1610" s="48">
        <f>HEX2DEC(RIGHT(Table1323212714[[#This Row],[h2]],8))</f>
        <v>0</v>
      </c>
    </row>
    <row r="1611" spans="1:18" x14ac:dyDescent="0.3">
      <c r="A1611" s="15" t="str">
        <f t="shared" ref="A1611:A1674" si="30">DEC2HEX(B1611,3)</f>
        <v>641</v>
      </c>
      <c r="B1611" s="15">
        <v>1601</v>
      </c>
      <c r="C1611" s="42"/>
      <c r="F1611" s="22"/>
      <c r="G1611" s="22"/>
      <c r="J1611" s="24">
        <v>50000</v>
      </c>
      <c r="M1611" s="24">
        <v>50000</v>
      </c>
      <c r="O1611" s="48" t="s">
        <v>97</v>
      </c>
      <c r="P1611" s="48">
        <f>HEX2DEC(RIGHT(Table1323212714[[#This Row],[h1]],8))</f>
        <v>0</v>
      </c>
      <c r="Q1611" s="48" t="s">
        <v>97</v>
      </c>
      <c r="R1611" s="48">
        <f>HEX2DEC(RIGHT(Table1323212714[[#This Row],[h2]],8))</f>
        <v>0</v>
      </c>
    </row>
    <row r="1612" spans="1:18" x14ac:dyDescent="0.3">
      <c r="A1612" s="15" t="str">
        <f t="shared" si="30"/>
        <v>642</v>
      </c>
      <c r="B1612" s="15">
        <v>1602</v>
      </c>
      <c r="C1612" s="42"/>
      <c r="F1612" s="22"/>
      <c r="G1612" s="22"/>
      <c r="J1612" s="24">
        <v>50000</v>
      </c>
      <c r="M1612" s="24">
        <v>50000</v>
      </c>
      <c r="O1612" s="48" t="s">
        <v>97</v>
      </c>
      <c r="P1612" s="48">
        <f>HEX2DEC(RIGHT(Table1323212714[[#This Row],[h1]],8))</f>
        <v>0</v>
      </c>
      <c r="Q1612" s="48" t="s">
        <v>97</v>
      </c>
      <c r="R1612" s="48">
        <f>HEX2DEC(RIGHT(Table1323212714[[#This Row],[h2]],8))</f>
        <v>0</v>
      </c>
    </row>
    <row r="1613" spans="1:18" x14ac:dyDescent="0.3">
      <c r="A1613" s="15" t="str">
        <f t="shared" si="30"/>
        <v>643</v>
      </c>
      <c r="B1613" s="15">
        <v>1603</v>
      </c>
      <c r="C1613" s="42"/>
      <c r="F1613" s="22"/>
      <c r="G1613" s="22"/>
      <c r="J1613" s="24">
        <v>50000</v>
      </c>
      <c r="M1613" s="24">
        <v>50000</v>
      </c>
      <c r="O1613" s="48" t="s">
        <v>97</v>
      </c>
      <c r="P1613" s="48">
        <f>HEX2DEC(RIGHT(Table1323212714[[#This Row],[h1]],8))</f>
        <v>0</v>
      </c>
      <c r="Q1613" s="48" t="s">
        <v>97</v>
      </c>
      <c r="R1613" s="48">
        <f>HEX2DEC(RIGHT(Table1323212714[[#This Row],[h2]],8))</f>
        <v>0</v>
      </c>
    </row>
    <row r="1614" spans="1:18" x14ac:dyDescent="0.3">
      <c r="A1614" s="15" t="str">
        <f t="shared" si="30"/>
        <v>644</v>
      </c>
      <c r="B1614" s="15">
        <v>1604</v>
      </c>
      <c r="C1614" s="42"/>
      <c r="F1614" s="22"/>
      <c r="G1614" s="22"/>
      <c r="J1614" s="24">
        <v>50000</v>
      </c>
      <c r="M1614" s="24">
        <v>50000</v>
      </c>
      <c r="O1614" s="48" t="s">
        <v>97</v>
      </c>
      <c r="P1614" s="48">
        <f>HEX2DEC(RIGHT(Table1323212714[[#This Row],[h1]],8))</f>
        <v>0</v>
      </c>
      <c r="Q1614" s="48" t="s">
        <v>97</v>
      </c>
      <c r="R1614" s="48">
        <f>HEX2DEC(RIGHT(Table1323212714[[#This Row],[h2]],8))</f>
        <v>0</v>
      </c>
    </row>
    <row r="1615" spans="1:18" x14ac:dyDescent="0.3">
      <c r="A1615" s="15" t="str">
        <f t="shared" si="30"/>
        <v>645</v>
      </c>
      <c r="B1615" s="15">
        <v>1605</v>
      </c>
      <c r="C1615" s="42"/>
      <c r="F1615" s="22"/>
      <c r="G1615" s="22"/>
      <c r="J1615" s="24">
        <v>50000</v>
      </c>
      <c r="M1615" s="24">
        <v>50000</v>
      </c>
      <c r="O1615" s="48" t="s">
        <v>97</v>
      </c>
      <c r="P1615" s="48">
        <f>HEX2DEC(RIGHT(Table1323212714[[#This Row],[h1]],8))</f>
        <v>0</v>
      </c>
      <c r="Q1615" s="48" t="s">
        <v>97</v>
      </c>
      <c r="R1615" s="48">
        <f>HEX2DEC(RIGHT(Table1323212714[[#This Row],[h2]],8))</f>
        <v>0</v>
      </c>
    </row>
    <row r="1616" spans="1:18" x14ac:dyDescent="0.3">
      <c r="A1616" s="15" t="str">
        <f t="shared" si="30"/>
        <v>646</v>
      </c>
      <c r="B1616" s="15">
        <v>1606</v>
      </c>
      <c r="C1616" s="42"/>
      <c r="F1616" s="22"/>
      <c r="G1616" s="22"/>
      <c r="J1616" s="24">
        <v>50000</v>
      </c>
      <c r="M1616" s="24">
        <v>50000</v>
      </c>
      <c r="O1616" s="48" t="s">
        <v>97</v>
      </c>
      <c r="P1616" s="48">
        <f>HEX2DEC(RIGHT(Table1323212714[[#This Row],[h1]],8))</f>
        <v>0</v>
      </c>
      <c r="Q1616" s="48" t="s">
        <v>97</v>
      </c>
      <c r="R1616" s="48">
        <f>HEX2DEC(RIGHT(Table1323212714[[#This Row],[h2]],8))</f>
        <v>0</v>
      </c>
    </row>
    <row r="1617" spans="1:18" x14ac:dyDescent="0.3">
      <c r="A1617" s="15" t="str">
        <f t="shared" si="30"/>
        <v>647</v>
      </c>
      <c r="B1617" s="15">
        <v>1607</v>
      </c>
      <c r="C1617" s="42"/>
      <c r="F1617" s="22"/>
      <c r="G1617" s="22"/>
      <c r="J1617" s="24">
        <v>50000</v>
      </c>
      <c r="M1617" s="24">
        <v>50000</v>
      </c>
      <c r="O1617" s="48" t="s">
        <v>97</v>
      </c>
      <c r="P1617" s="48">
        <f>HEX2DEC(RIGHT(Table1323212714[[#This Row],[h1]],8))</f>
        <v>0</v>
      </c>
      <c r="Q1617" s="48" t="s">
        <v>97</v>
      </c>
      <c r="R1617" s="48">
        <f>HEX2DEC(RIGHT(Table1323212714[[#This Row],[h2]],8))</f>
        <v>0</v>
      </c>
    </row>
    <row r="1618" spans="1:18" x14ac:dyDescent="0.3">
      <c r="A1618" s="15" t="str">
        <f t="shared" si="30"/>
        <v>648</v>
      </c>
      <c r="B1618" s="15">
        <v>1608</v>
      </c>
      <c r="C1618" s="42"/>
      <c r="F1618" s="22"/>
      <c r="G1618" s="22"/>
      <c r="J1618" s="24">
        <v>50000</v>
      </c>
      <c r="M1618" s="24">
        <v>50000</v>
      </c>
      <c r="O1618" s="48" t="s">
        <v>97</v>
      </c>
      <c r="P1618" s="48">
        <f>HEX2DEC(RIGHT(Table1323212714[[#This Row],[h1]],8))</f>
        <v>0</v>
      </c>
      <c r="Q1618" s="48" t="s">
        <v>97</v>
      </c>
      <c r="R1618" s="48">
        <f>HEX2DEC(RIGHT(Table1323212714[[#This Row],[h2]],8))</f>
        <v>0</v>
      </c>
    </row>
    <row r="1619" spans="1:18" x14ac:dyDescent="0.3">
      <c r="A1619" s="15" t="str">
        <f t="shared" si="30"/>
        <v>649</v>
      </c>
      <c r="B1619" s="15">
        <v>1609</v>
      </c>
      <c r="C1619" s="42"/>
      <c r="F1619" s="22"/>
      <c r="G1619" s="22"/>
      <c r="J1619" s="24">
        <v>50000</v>
      </c>
      <c r="M1619" s="24">
        <v>50000</v>
      </c>
      <c r="O1619" s="48" t="s">
        <v>97</v>
      </c>
      <c r="P1619" s="48">
        <f>HEX2DEC(RIGHT(Table1323212714[[#This Row],[h1]],8))</f>
        <v>0</v>
      </c>
      <c r="Q1619" s="48" t="s">
        <v>97</v>
      </c>
      <c r="R1619" s="48">
        <f>HEX2DEC(RIGHT(Table1323212714[[#This Row],[h2]],8))</f>
        <v>0</v>
      </c>
    </row>
    <row r="1620" spans="1:18" x14ac:dyDescent="0.3">
      <c r="A1620" s="15" t="str">
        <f t="shared" si="30"/>
        <v>64A</v>
      </c>
      <c r="B1620" s="15">
        <v>1610</v>
      </c>
      <c r="C1620" s="42"/>
      <c r="F1620" s="22"/>
      <c r="G1620" s="22"/>
      <c r="J1620" s="24">
        <v>50000</v>
      </c>
      <c r="M1620" s="24">
        <v>50000</v>
      </c>
      <c r="O1620" s="48" t="s">
        <v>97</v>
      </c>
      <c r="P1620" s="48">
        <f>HEX2DEC(RIGHT(Table1323212714[[#This Row],[h1]],8))</f>
        <v>0</v>
      </c>
      <c r="Q1620" s="48" t="s">
        <v>97</v>
      </c>
      <c r="R1620" s="48">
        <f>HEX2DEC(RIGHT(Table1323212714[[#This Row],[h2]],8))</f>
        <v>0</v>
      </c>
    </row>
    <row r="1621" spans="1:18" x14ac:dyDescent="0.3">
      <c r="A1621" s="15" t="str">
        <f t="shared" si="30"/>
        <v>64B</v>
      </c>
      <c r="B1621" s="15">
        <v>1611</v>
      </c>
      <c r="C1621" s="42"/>
      <c r="F1621" s="22"/>
      <c r="G1621" s="22"/>
      <c r="J1621" s="24">
        <v>50000</v>
      </c>
      <c r="M1621" s="24">
        <v>50000</v>
      </c>
      <c r="O1621" s="48" t="s">
        <v>97</v>
      </c>
      <c r="P1621" s="48">
        <f>HEX2DEC(RIGHT(Table1323212714[[#This Row],[h1]],8))</f>
        <v>0</v>
      </c>
      <c r="Q1621" s="48" t="s">
        <v>97</v>
      </c>
      <c r="R1621" s="48">
        <f>HEX2DEC(RIGHT(Table1323212714[[#This Row],[h2]],8))</f>
        <v>0</v>
      </c>
    </row>
    <row r="1622" spans="1:18" x14ac:dyDescent="0.3">
      <c r="A1622" s="15" t="str">
        <f t="shared" si="30"/>
        <v>64C</v>
      </c>
      <c r="B1622" s="15">
        <v>1612</v>
      </c>
      <c r="C1622" s="42"/>
      <c r="F1622" s="22"/>
      <c r="G1622" s="22"/>
      <c r="J1622" s="24">
        <v>50000</v>
      </c>
      <c r="M1622" s="24">
        <v>50000</v>
      </c>
      <c r="O1622" s="48" t="s">
        <v>97</v>
      </c>
      <c r="P1622" s="48">
        <f>HEX2DEC(RIGHT(Table1323212714[[#This Row],[h1]],8))</f>
        <v>0</v>
      </c>
      <c r="Q1622" s="48" t="s">
        <v>97</v>
      </c>
      <c r="R1622" s="48">
        <f>HEX2DEC(RIGHT(Table1323212714[[#This Row],[h2]],8))</f>
        <v>0</v>
      </c>
    </row>
    <row r="1623" spans="1:18" x14ac:dyDescent="0.3">
      <c r="A1623" s="15" t="str">
        <f t="shared" si="30"/>
        <v>64D</v>
      </c>
      <c r="B1623" s="15">
        <v>1613</v>
      </c>
      <c r="C1623" s="42"/>
      <c r="F1623" s="22"/>
      <c r="G1623" s="22"/>
      <c r="J1623" s="24">
        <v>50000</v>
      </c>
      <c r="M1623" s="24">
        <v>50000</v>
      </c>
      <c r="O1623" s="48" t="s">
        <v>97</v>
      </c>
      <c r="P1623" s="48">
        <f>HEX2DEC(RIGHT(Table1323212714[[#This Row],[h1]],8))</f>
        <v>0</v>
      </c>
      <c r="Q1623" s="48" t="s">
        <v>97</v>
      </c>
      <c r="R1623" s="48">
        <f>HEX2DEC(RIGHT(Table1323212714[[#This Row],[h2]],8))</f>
        <v>0</v>
      </c>
    </row>
    <row r="1624" spans="1:18" x14ac:dyDescent="0.3">
      <c r="A1624" s="15" t="str">
        <f t="shared" si="30"/>
        <v>64E</v>
      </c>
      <c r="B1624" s="15">
        <v>1614</v>
      </c>
      <c r="C1624" s="42"/>
      <c r="F1624" s="22"/>
      <c r="G1624" s="22"/>
      <c r="J1624" s="24">
        <v>50000</v>
      </c>
      <c r="M1624" s="24">
        <v>50000</v>
      </c>
      <c r="O1624" s="48" t="s">
        <v>97</v>
      </c>
      <c r="P1624" s="48">
        <f>HEX2DEC(RIGHT(Table1323212714[[#This Row],[h1]],8))</f>
        <v>0</v>
      </c>
      <c r="Q1624" s="48" t="s">
        <v>97</v>
      </c>
      <c r="R1624" s="48">
        <f>HEX2DEC(RIGHT(Table1323212714[[#This Row],[h2]],8))</f>
        <v>0</v>
      </c>
    </row>
    <row r="1625" spans="1:18" x14ac:dyDescent="0.3">
      <c r="A1625" s="15" t="str">
        <f t="shared" si="30"/>
        <v>64F</v>
      </c>
      <c r="B1625" s="15">
        <v>1615</v>
      </c>
      <c r="C1625" s="42"/>
      <c r="F1625" s="22"/>
      <c r="G1625" s="22"/>
      <c r="J1625" s="24">
        <v>50000</v>
      </c>
      <c r="M1625" s="24">
        <v>50000</v>
      </c>
      <c r="O1625" s="48" t="s">
        <v>97</v>
      </c>
      <c r="P1625" s="48">
        <f>HEX2DEC(RIGHT(Table1323212714[[#This Row],[h1]],8))</f>
        <v>0</v>
      </c>
      <c r="Q1625" s="48" t="s">
        <v>97</v>
      </c>
      <c r="R1625" s="48">
        <f>HEX2DEC(RIGHT(Table1323212714[[#This Row],[h2]],8))</f>
        <v>0</v>
      </c>
    </row>
    <row r="1626" spans="1:18" x14ac:dyDescent="0.3">
      <c r="A1626" s="15" t="str">
        <f t="shared" si="30"/>
        <v>650</v>
      </c>
      <c r="B1626" s="15">
        <v>1616</v>
      </c>
      <c r="C1626" s="42"/>
      <c r="F1626" s="22"/>
      <c r="G1626" s="22"/>
      <c r="J1626" s="24">
        <v>50000</v>
      </c>
      <c r="M1626" s="24">
        <v>50000</v>
      </c>
      <c r="O1626" s="48" t="s">
        <v>97</v>
      </c>
      <c r="P1626" s="48">
        <f>HEX2DEC(RIGHT(Table1323212714[[#This Row],[h1]],8))</f>
        <v>0</v>
      </c>
      <c r="Q1626" s="48" t="s">
        <v>97</v>
      </c>
      <c r="R1626" s="48">
        <f>HEX2DEC(RIGHT(Table1323212714[[#This Row],[h2]],8))</f>
        <v>0</v>
      </c>
    </row>
    <row r="1627" spans="1:18" x14ac:dyDescent="0.3">
      <c r="A1627" s="15" t="str">
        <f t="shared" si="30"/>
        <v>651</v>
      </c>
      <c r="B1627" s="15">
        <v>1617</v>
      </c>
      <c r="C1627" s="42"/>
      <c r="F1627" s="22"/>
      <c r="G1627" s="22"/>
      <c r="J1627" s="24">
        <v>50000</v>
      </c>
      <c r="M1627" s="24">
        <v>50000</v>
      </c>
      <c r="O1627" s="48" t="s">
        <v>97</v>
      </c>
      <c r="P1627" s="48">
        <f>HEX2DEC(RIGHT(Table1323212714[[#This Row],[h1]],8))</f>
        <v>0</v>
      </c>
      <c r="Q1627" s="48" t="s">
        <v>97</v>
      </c>
      <c r="R1627" s="48">
        <f>HEX2DEC(RIGHT(Table1323212714[[#This Row],[h2]],8))</f>
        <v>0</v>
      </c>
    </row>
    <row r="1628" spans="1:18" x14ac:dyDescent="0.3">
      <c r="A1628" s="15" t="str">
        <f t="shared" si="30"/>
        <v>652</v>
      </c>
      <c r="B1628" s="15">
        <v>1618</v>
      </c>
      <c r="C1628" s="42"/>
      <c r="F1628" s="22"/>
      <c r="G1628" s="22"/>
      <c r="J1628" s="24">
        <v>50000</v>
      </c>
      <c r="M1628" s="24">
        <v>50000</v>
      </c>
      <c r="O1628" s="48" t="s">
        <v>97</v>
      </c>
      <c r="P1628" s="48">
        <f>HEX2DEC(RIGHT(Table1323212714[[#This Row],[h1]],8))</f>
        <v>0</v>
      </c>
      <c r="Q1628" s="48" t="s">
        <v>97</v>
      </c>
      <c r="R1628" s="48">
        <f>HEX2DEC(RIGHT(Table1323212714[[#This Row],[h2]],8))</f>
        <v>0</v>
      </c>
    </row>
    <row r="1629" spans="1:18" x14ac:dyDescent="0.3">
      <c r="A1629" s="15" t="str">
        <f t="shared" si="30"/>
        <v>653</v>
      </c>
      <c r="B1629" s="15">
        <v>1619</v>
      </c>
      <c r="C1629" s="42"/>
      <c r="F1629" s="22"/>
      <c r="G1629" s="22"/>
      <c r="J1629" s="24">
        <v>50000</v>
      </c>
      <c r="M1629" s="24">
        <v>50000</v>
      </c>
      <c r="O1629" s="48" t="s">
        <v>97</v>
      </c>
      <c r="P1629" s="48">
        <f>HEX2DEC(RIGHT(Table1323212714[[#This Row],[h1]],8))</f>
        <v>0</v>
      </c>
      <c r="Q1629" s="48" t="s">
        <v>97</v>
      </c>
      <c r="R1629" s="48">
        <f>HEX2DEC(RIGHT(Table1323212714[[#This Row],[h2]],8))</f>
        <v>0</v>
      </c>
    </row>
    <row r="1630" spans="1:18" x14ac:dyDescent="0.3">
      <c r="A1630" s="15" t="str">
        <f t="shared" si="30"/>
        <v>654</v>
      </c>
      <c r="B1630" s="15">
        <v>1620</v>
      </c>
      <c r="C1630" s="42"/>
      <c r="F1630" s="22"/>
      <c r="G1630" s="22"/>
      <c r="J1630" s="24">
        <v>50000</v>
      </c>
      <c r="M1630" s="24">
        <v>50000</v>
      </c>
      <c r="O1630" s="48" t="s">
        <v>97</v>
      </c>
      <c r="P1630" s="48">
        <f>HEX2DEC(RIGHT(Table1323212714[[#This Row],[h1]],8))</f>
        <v>0</v>
      </c>
      <c r="Q1630" s="48" t="s">
        <v>97</v>
      </c>
      <c r="R1630" s="48">
        <f>HEX2DEC(RIGHT(Table1323212714[[#This Row],[h2]],8))</f>
        <v>0</v>
      </c>
    </row>
    <row r="1631" spans="1:18" x14ac:dyDescent="0.3">
      <c r="A1631" s="15" t="str">
        <f t="shared" si="30"/>
        <v>655</v>
      </c>
      <c r="B1631" s="15">
        <v>1621</v>
      </c>
      <c r="C1631" s="42"/>
      <c r="F1631" s="22"/>
      <c r="G1631" s="22"/>
      <c r="J1631" s="24">
        <v>50000</v>
      </c>
      <c r="M1631" s="24">
        <v>50000</v>
      </c>
      <c r="O1631" s="48" t="s">
        <v>97</v>
      </c>
      <c r="P1631" s="48">
        <f>HEX2DEC(RIGHT(Table1323212714[[#This Row],[h1]],8))</f>
        <v>0</v>
      </c>
      <c r="Q1631" s="48" t="s">
        <v>97</v>
      </c>
      <c r="R1631" s="48">
        <f>HEX2DEC(RIGHT(Table1323212714[[#This Row],[h2]],8))</f>
        <v>0</v>
      </c>
    </row>
    <row r="1632" spans="1:18" x14ac:dyDescent="0.3">
      <c r="A1632" s="15" t="str">
        <f t="shared" si="30"/>
        <v>656</v>
      </c>
      <c r="B1632" s="15">
        <v>1622</v>
      </c>
      <c r="C1632" s="42"/>
      <c r="F1632" s="22"/>
      <c r="G1632" s="22"/>
      <c r="J1632" s="24">
        <v>50000</v>
      </c>
      <c r="M1632" s="24">
        <v>50000</v>
      </c>
      <c r="O1632" s="48" t="s">
        <v>97</v>
      </c>
      <c r="P1632" s="48">
        <f>HEX2DEC(RIGHT(Table1323212714[[#This Row],[h1]],8))</f>
        <v>0</v>
      </c>
      <c r="Q1632" s="48" t="s">
        <v>97</v>
      </c>
      <c r="R1632" s="48">
        <f>HEX2DEC(RIGHT(Table1323212714[[#This Row],[h2]],8))</f>
        <v>0</v>
      </c>
    </row>
    <row r="1633" spans="1:18" x14ac:dyDescent="0.3">
      <c r="A1633" s="15" t="str">
        <f t="shared" si="30"/>
        <v>657</v>
      </c>
      <c r="B1633" s="15">
        <v>1623</v>
      </c>
      <c r="C1633" s="42"/>
      <c r="F1633" s="22"/>
      <c r="G1633" s="22"/>
      <c r="J1633" s="24">
        <v>50000</v>
      </c>
      <c r="M1633" s="24">
        <v>50000</v>
      </c>
      <c r="O1633" s="48" t="s">
        <v>97</v>
      </c>
      <c r="P1633" s="48">
        <f>HEX2DEC(RIGHT(Table1323212714[[#This Row],[h1]],8))</f>
        <v>0</v>
      </c>
      <c r="Q1633" s="48" t="s">
        <v>97</v>
      </c>
      <c r="R1633" s="48">
        <f>HEX2DEC(RIGHT(Table1323212714[[#This Row],[h2]],8))</f>
        <v>0</v>
      </c>
    </row>
    <row r="1634" spans="1:18" x14ac:dyDescent="0.3">
      <c r="A1634" s="15" t="str">
        <f t="shared" si="30"/>
        <v>658</v>
      </c>
      <c r="B1634" s="15">
        <v>1624</v>
      </c>
      <c r="C1634" s="42"/>
      <c r="F1634" s="22"/>
      <c r="G1634" s="22"/>
      <c r="J1634" s="24">
        <v>50000</v>
      </c>
      <c r="M1634" s="24">
        <v>50000</v>
      </c>
      <c r="O1634" s="48" t="s">
        <v>97</v>
      </c>
      <c r="P1634" s="48">
        <f>HEX2DEC(RIGHT(Table1323212714[[#This Row],[h1]],8))</f>
        <v>0</v>
      </c>
      <c r="Q1634" s="48" t="s">
        <v>97</v>
      </c>
      <c r="R1634" s="48">
        <f>HEX2DEC(RIGHT(Table1323212714[[#This Row],[h2]],8))</f>
        <v>0</v>
      </c>
    </row>
    <row r="1635" spans="1:18" x14ac:dyDescent="0.3">
      <c r="A1635" s="15" t="str">
        <f t="shared" si="30"/>
        <v>659</v>
      </c>
      <c r="B1635" s="15">
        <v>1625</v>
      </c>
      <c r="C1635" s="42"/>
      <c r="F1635" s="22"/>
      <c r="G1635" s="22"/>
      <c r="J1635" s="24">
        <v>50000</v>
      </c>
      <c r="M1635" s="24">
        <v>50000</v>
      </c>
      <c r="O1635" s="48" t="s">
        <v>97</v>
      </c>
      <c r="P1635" s="48">
        <f>HEX2DEC(RIGHT(Table1323212714[[#This Row],[h1]],8))</f>
        <v>0</v>
      </c>
      <c r="Q1635" s="48" t="s">
        <v>97</v>
      </c>
      <c r="R1635" s="48">
        <f>HEX2DEC(RIGHT(Table1323212714[[#This Row],[h2]],8))</f>
        <v>0</v>
      </c>
    </row>
    <row r="1636" spans="1:18" x14ac:dyDescent="0.3">
      <c r="A1636" s="15" t="str">
        <f t="shared" si="30"/>
        <v>65A</v>
      </c>
      <c r="B1636" s="15">
        <v>1626</v>
      </c>
      <c r="C1636" s="42"/>
      <c r="F1636" s="22"/>
      <c r="G1636" s="22"/>
      <c r="J1636" s="24">
        <v>50000</v>
      </c>
      <c r="M1636" s="24">
        <v>50000</v>
      </c>
      <c r="O1636" s="48" t="s">
        <v>97</v>
      </c>
      <c r="P1636" s="48">
        <f>HEX2DEC(RIGHT(Table1323212714[[#This Row],[h1]],8))</f>
        <v>0</v>
      </c>
      <c r="Q1636" s="48" t="s">
        <v>97</v>
      </c>
      <c r="R1636" s="48">
        <f>HEX2DEC(RIGHT(Table1323212714[[#This Row],[h2]],8))</f>
        <v>0</v>
      </c>
    </row>
    <row r="1637" spans="1:18" x14ac:dyDescent="0.3">
      <c r="A1637" s="15" t="str">
        <f t="shared" si="30"/>
        <v>65B</v>
      </c>
      <c r="B1637" s="15">
        <v>1627</v>
      </c>
      <c r="C1637" s="42"/>
      <c r="F1637" s="22"/>
      <c r="G1637" s="22"/>
      <c r="J1637" s="24">
        <v>50000</v>
      </c>
      <c r="M1637" s="24">
        <v>50000</v>
      </c>
      <c r="O1637" s="48" t="s">
        <v>97</v>
      </c>
      <c r="P1637" s="48">
        <f>HEX2DEC(RIGHT(Table1323212714[[#This Row],[h1]],8))</f>
        <v>0</v>
      </c>
      <c r="Q1637" s="48" t="s">
        <v>97</v>
      </c>
      <c r="R1637" s="48">
        <f>HEX2DEC(RIGHT(Table1323212714[[#This Row],[h2]],8))</f>
        <v>0</v>
      </c>
    </row>
    <row r="1638" spans="1:18" x14ac:dyDescent="0.3">
      <c r="A1638" s="15" t="str">
        <f t="shared" si="30"/>
        <v>65C</v>
      </c>
      <c r="B1638" s="15">
        <v>1628</v>
      </c>
      <c r="C1638" s="42"/>
      <c r="F1638" s="22"/>
      <c r="G1638" s="22"/>
      <c r="J1638" s="24">
        <v>50000</v>
      </c>
      <c r="M1638" s="24">
        <v>50000</v>
      </c>
      <c r="O1638" s="48" t="s">
        <v>97</v>
      </c>
      <c r="P1638" s="48">
        <f>HEX2DEC(RIGHT(Table1323212714[[#This Row],[h1]],8))</f>
        <v>0</v>
      </c>
      <c r="Q1638" s="48" t="s">
        <v>97</v>
      </c>
      <c r="R1638" s="48">
        <f>HEX2DEC(RIGHT(Table1323212714[[#This Row],[h2]],8))</f>
        <v>0</v>
      </c>
    </row>
    <row r="1639" spans="1:18" x14ac:dyDescent="0.3">
      <c r="A1639" s="15" t="str">
        <f t="shared" si="30"/>
        <v>65D</v>
      </c>
      <c r="B1639" s="15">
        <v>1629</v>
      </c>
      <c r="C1639" s="42"/>
      <c r="F1639" s="22"/>
      <c r="G1639" s="22"/>
      <c r="J1639" s="24">
        <v>50000</v>
      </c>
      <c r="M1639" s="24">
        <v>50000</v>
      </c>
      <c r="O1639" s="48" t="s">
        <v>97</v>
      </c>
      <c r="P1639" s="48">
        <f>HEX2DEC(RIGHT(Table1323212714[[#This Row],[h1]],8))</f>
        <v>0</v>
      </c>
      <c r="Q1639" s="48" t="s">
        <v>97</v>
      </c>
      <c r="R1639" s="48">
        <f>HEX2DEC(RIGHT(Table1323212714[[#This Row],[h2]],8))</f>
        <v>0</v>
      </c>
    </row>
    <row r="1640" spans="1:18" x14ac:dyDescent="0.3">
      <c r="A1640" s="15" t="str">
        <f t="shared" si="30"/>
        <v>65E</v>
      </c>
      <c r="B1640" s="15">
        <v>1630</v>
      </c>
      <c r="C1640" s="42"/>
      <c r="F1640" s="22"/>
      <c r="G1640" s="22"/>
      <c r="J1640" s="24">
        <v>50000</v>
      </c>
      <c r="M1640" s="24">
        <v>50000</v>
      </c>
      <c r="O1640" s="48" t="s">
        <v>97</v>
      </c>
      <c r="P1640" s="48">
        <f>HEX2DEC(RIGHT(Table1323212714[[#This Row],[h1]],8))</f>
        <v>0</v>
      </c>
      <c r="Q1640" s="48" t="s">
        <v>97</v>
      </c>
      <c r="R1640" s="48">
        <f>HEX2DEC(RIGHT(Table1323212714[[#This Row],[h2]],8))</f>
        <v>0</v>
      </c>
    </row>
    <row r="1641" spans="1:18" x14ac:dyDescent="0.3">
      <c r="A1641" s="15" t="str">
        <f t="shared" si="30"/>
        <v>65F</v>
      </c>
      <c r="B1641" s="15">
        <v>1631</v>
      </c>
      <c r="C1641" s="42"/>
      <c r="F1641" s="22"/>
      <c r="G1641" s="22"/>
      <c r="J1641" s="24">
        <v>50000</v>
      </c>
      <c r="M1641" s="24">
        <v>50000</v>
      </c>
      <c r="O1641" s="48" t="s">
        <v>97</v>
      </c>
      <c r="P1641" s="48">
        <f>HEX2DEC(RIGHT(Table1323212714[[#This Row],[h1]],8))</f>
        <v>0</v>
      </c>
      <c r="Q1641" s="48" t="s">
        <v>97</v>
      </c>
      <c r="R1641" s="48">
        <f>HEX2DEC(RIGHT(Table1323212714[[#This Row],[h2]],8))</f>
        <v>0</v>
      </c>
    </row>
    <row r="1642" spans="1:18" x14ac:dyDescent="0.3">
      <c r="A1642" s="15" t="str">
        <f t="shared" si="30"/>
        <v>660</v>
      </c>
      <c r="B1642" s="15">
        <v>1632</v>
      </c>
      <c r="C1642" s="42"/>
      <c r="F1642" s="22"/>
      <c r="G1642" s="22"/>
      <c r="J1642" s="24">
        <v>50000</v>
      </c>
      <c r="M1642" s="24">
        <v>50000</v>
      </c>
      <c r="O1642" s="48" t="s">
        <v>97</v>
      </c>
      <c r="P1642" s="48">
        <f>HEX2DEC(RIGHT(Table1323212714[[#This Row],[h1]],8))</f>
        <v>0</v>
      </c>
      <c r="Q1642" s="48" t="s">
        <v>97</v>
      </c>
      <c r="R1642" s="48">
        <f>HEX2DEC(RIGHT(Table1323212714[[#This Row],[h2]],8))</f>
        <v>0</v>
      </c>
    </row>
    <row r="1643" spans="1:18" x14ac:dyDescent="0.3">
      <c r="A1643" s="15" t="str">
        <f t="shared" si="30"/>
        <v>661</v>
      </c>
      <c r="B1643" s="15">
        <v>1633</v>
      </c>
      <c r="C1643" s="42"/>
      <c r="F1643" s="22"/>
      <c r="G1643" s="22"/>
      <c r="J1643" s="24">
        <v>50000</v>
      </c>
      <c r="M1643" s="24">
        <v>50000</v>
      </c>
      <c r="O1643" s="48" t="s">
        <v>97</v>
      </c>
      <c r="P1643" s="48">
        <f>HEX2DEC(RIGHT(Table1323212714[[#This Row],[h1]],8))</f>
        <v>0</v>
      </c>
      <c r="Q1643" s="48" t="s">
        <v>97</v>
      </c>
      <c r="R1643" s="48">
        <f>HEX2DEC(RIGHT(Table1323212714[[#This Row],[h2]],8))</f>
        <v>0</v>
      </c>
    </row>
    <row r="1644" spans="1:18" x14ac:dyDescent="0.3">
      <c r="A1644" s="15" t="str">
        <f t="shared" si="30"/>
        <v>662</v>
      </c>
      <c r="B1644" s="15">
        <v>1634</v>
      </c>
      <c r="C1644" s="42"/>
      <c r="F1644" s="22"/>
      <c r="G1644" s="22"/>
      <c r="J1644" s="24">
        <v>50000</v>
      </c>
      <c r="M1644" s="24">
        <v>50000</v>
      </c>
      <c r="O1644" s="48" t="s">
        <v>97</v>
      </c>
      <c r="P1644" s="48">
        <f>HEX2DEC(RIGHT(Table1323212714[[#This Row],[h1]],8))</f>
        <v>0</v>
      </c>
      <c r="Q1644" s="48" t="s">
        <v>97</v>
      </c>
      <c r="R1644" s="48">
        <f>HEX2DEC(RIGHT(Table1323212714[[#This Row],[h2]],8))</f>
        <v>0</v>
      </c>
    </row>
    <row r="1645" spans="1:18" x14ac:dyDescent="0.3">
      <c r="A1645" s="15" t="str">
        <f t="shared" si="30"/>
        <v>663</v>
      </c>
      <c r="B1645" s="15">
        <v>1635</v>
      </c>
      <c r="C1645" s="42"/>
      <c r="F1645" s="22"/>
      <c r="G1645" s="22"/>
      <c r="J1645" s="24">
        <v>50000</v>
      </c>
      <c r="M1645" s="24">
        <v>50000</v>
      </c>
      <c r="O1645" s="48" t="s">
        <v>97</v>
      </c>
      <c r="P1645" s="48">
        <f>HEX2DEC(RIGHT(Table1323212714[[#This Row],[h1]],8))</f>
        <v>0</v>
      </c>
      <c r="Q1645" s="48" t="s">
        <v>97</v>
      </c>
      <c r="R1645" s="48">
        <f>HEX2DEC(RIGHT(Table1323212714[[#This Row],[h2]],8))</f>
        <v>0</v>
      </c>
    </row>
    <row r="1646" spans="1:18" x14ac:dyDescent="0.3">
      <c r="A1646" s="15" t="str">
        <f t="shared" si="30"/>
        <v>664</v>
      </c>
      <c r="B1646" s="15">
        <v>1636</v>
      </c>
      <c r="C1646" s="42"/>
      <c r="F1646" s="22"/>
      <c r="G1646" s="22"/>
      <c r="J1646" s="24">
        <v>50000</v>
      </c>
      <c r="M1646" s="24">
        <v>50000</v>
      </c>
      <c r="O1646" s="48" t="s">
        <v>97</v>
      </c>
      <c r="P1646" s="48">
        <f>HEX2DEC(RIGHT(Table1323212714[[#This Row],[h1]],8))</f>
        <v>0</v>
      </c>
      <c r="Q1646" s="48" t="s">
        <v>97</v>
      </c>
      <c r="R1646" s="48">
        <f>HEX2DEC(RIGHT(Table1323212714[[#This Row],[h2]],8))</f>
        <v>0</v>
      </c>
    </row>
    <row r="1647" spans="1:18" x14ac:dyDescent="0.3">
      <c r="A1647" s="15" t="str">
        <f t="shared" si="30"/>
        <v>665</v>
      </c>
      <c r="B1647" s="15">
        <v>1637</v>
      </c>
      <c r="C1647" s="42"/>
      <c r="F1647" s="22"/>
      <c r="G1647" s="22"/>
      <c r="J1647" s="24">
        <v>50000</v>
      </c>
      <c r="M1647" s="24">
        <v>50000</v>
      </c>
      <c r="O1647" s="48" t="s">
        <v>97</v>
      </c>
      <c r="P1647" s="48">
        <f>HEX2DEC(RIGHT(Table1323212714[[#This Row],[h1]],8))</f>
        <v>0</v>
      </c>
      <c r="Q1647" s="48" t="s">
        <v>97</v>
      </c>
      <c r="R1647" s="48">
        <f>HEX2DEC(RIGHT(Table1323212714[[#This Row],[h2]],8))</f>
        <v>0</v>
      </c>
    </row>
    <row r="1648" spans="1:18" x14ac:dyDescent="0.3">
      <c r="A1648" s="15" t="str">
        <f t="shared" si="30"/>
        <v>666</v>
      </c>
      <c r="B1648" s="15">
        <v>1638</v>
      </c>
      <c r="C1648" s="42"/>
      <c r="F1648" s="22"/>
      <c r="G1648" s="22"/>
      <c r="J1648" s="24">
        <v>50000</v>
      </c>
      <c r="M1648" s="24">
        <v>50000</v>
      </c>
      <c r="O1648" s="48" t="s">
        <v>97</v>
      </c>
      <c r="P1648" s="48">
        <f>HEX2DEC(RIGHT(Table1323212714[[#This Row],[h1]],8))</f>
        <v>0</v>
      </c>
      <c r="Q1648" s="48" t="s">
        <v>97</v>
      </c>
      <c r="R1648" s="48">
        <f>HEX2DEC(RIGHT(Table1323212714[[#This Row],[h2]],8))</f>
        <v>0</v>
      </c>
    </row>
    <row r="1649" spans="1:18" x14ac:dyDescent="0.3">
      <c r="A1649" s="15" t="str">
        <f t="shared" si="30"/>
        <v>667</v>
      </c>
      <c r="B1649" s="15">
        <v>1639</v>
      </c>
      <c r="C1649" s="42"/>
      <c r="F1649" s="22"/>
      <c r="G1649" s="22"/>
      <c r="J1649" s="24">
        <v>50000</v>
      </c>
      <c r="M1649" s="24">
        <v>50000</v>
      </c>
      <c r="O1649" s="48" t="s">
        <v>97</v>
      </c>
      <c r="P1649" s="48">
        <f>HEX2DEC(RIGHT(Table1323212714[[#This Row],[h1]],8))</f>
        <v>0</v>
      </c>
      <c r="Q1649" s="48" t="s">
        <v>97</v>
      </c>
      <c r="R1649" s="48">
        <f>HEX2DEC(RIGHT(Table1323212714[[#This Row],[h2]],8))</f>
        <v>0</v>
      </c>
    </row>
    <row r="1650" spans="1:18" x14ac:dyDescent="0.3">
      <c r="A1650" s="15" t="str">
        <f t="shared" si="30"/>
        <v>668</v>
      </c>
      <c r="B1650" s="15">
        <v>1640</v>
      </c>
      <c r="C1650" s="42"/>
      <c r="F1650" s="22"/>
      <c r="G1650" s="22"/>
      <c r="J1650" s="24">
        <v>50000</v>
      </c>
      <c r="M1650" s="24">
        <v>50000</v>
      </c>
      <c r="O1650" s="48" t="s">
        <v>97</v>
      </c>
      <c r="P1650" s="48">
        <f>HEX2DEC(RIGHT(Table1323212714[[#This Row],[h1]],8))</f>
        <v>0</v>
      </c>
      <c r="Q1650" s="48" t="s">
        <v>97</v>
      </c>
      <c r="R1650" s="48">
        <f>HEX2DEC(RIGHT(Table1323212714[[#This Row],[h2]],8))</f>
        <v>0</v>
      </c>
    </row>
    <row r="1651" spans="1:18" x14ac:dyDescent="0.3">
      <c r="A1651" s="15" t="str">
        <f t="shared" si="30"/>
        <v>669</v>
      </c>
      <c r="B1651" s="15">
        <v>1641</v>
      </c>
      <c r="C1651" s="42"/>
      <c r="F1651" s="22"/>
      <c r="G1651" s="22"/>
      <c r="J1651" s="24">
        <v>50000</v>
      </c>
      <c r="M1651" s="24">
        <v>50000</v>
      </c>
      <c r="O1651" s="48" t="s">
        <v>97</v>
      </c>
      <c r="P1651" s="48">
        <f>HEX2DEC(RIGHT(Table1323212714[[#This Row],[h1]],8))</f>
        <v>0</v>
      </c>
      <c r="Q1651" s="48" t="s">
        <v>97</v>
      </c>
      <c r="R1651" s="48">
        <f>HEX2DEC(RIGHT(Table1323212714[[#This Row],[h2]],8))</f>
        <v>0</v>
      </c>
    </row>
    <row r="1652" spans="1:18" x14ac:dyDescent="0.3">
      <c r="A1652" s="15" t="str">
        <f t="shared" si="30"/>
        <v>66A</v>
      </c>
      <c r="B1652" s="15">
        <v>1642</v>
      </c>
      <c r="C1652" s="42"/>
      <c r="F1652" s="22"/>
      <c r="G1652" s="22"/>
      <c r="J1652" s="24">
        <v>50000</v>
      </c>
      <c r="M1652" s="24">
        <v>50000</v>
      </c>
      <c r="O1652" s="48" t="s">
        <v>97</v>
      </c>
      <c r="P1652" s="48">
        <f>HEX2DEC(RIGHT(Table1323212714[[#This Row],[h1]],8))</f>
        <v>0</v>
      </c>
      <c r="Q1652" s="48" t="s">
        <v>97</v>
      </c>
      <c r="R1652" s="48">
        <f>HEX2DEC(RIGHT(Table1323212714[[#This Row],[h2]],8))</f>
        <v>0</v>
      </c>
    </row>
    <row r="1653" spans="1:18" x14ac:dyDescent="0.3">
      <c r="A1653" s="15" t="str">
        <f t="shared" si="30"/>
        <v>66B</v>
      </c>
      <c r="B1653" s="15">
        <v>1643</v>
      </c>
      <c r="C1653" s="42"/>
      <c r="F1653" s="22"/>
      <c r="G1653" s="22"/>
      <c r="J1653" s="24">
        <v>50000</v>
      </c>
      <c r="M1653" s="24">
        <v>50000</v>
      </c>
      <c r="O1653" s="48" t="s">
        <v>97</v>
      </c>
      <c r="P1653" s="48">
        <f>HEX2DEC(RIGHT(Table1323212714[[#This Row],[h1]],8))</f>
        <v>0</v>
      </c>
      <c r="Q1653" s="48" t="s">
        <v>97</v>
      </c>
      <c r="R1653" s="48">
        <f>HEX2DEC(RIGHT(Table1323212714[[#This Row],[h2]],8))</f>
        <v>0</v>
      </c>
    </row>
    <row r="1654" spans="1:18" x14ac:dyDescent="0.3">
      <c r="A1654" s="15" t="str">
        <f t="shared" si="30"/>
        <v>66C</v>
      </c>
      <c r="B1654" s="15">
        <v>1644</v>
      </c>
      <c r="C1654" s="42"/>
      <c r="F1654" s="22"/>
      <c r="G1654" s="22"/>
      <c r="J1654" s="24">
        <v>50000</v>
      </c>
      <c r="M1654" s="24">
        <v>50000</v>
      </c>
      <c r="O1654" s="48" t="s">
        <v>97</v>
      </c>
      <c r="P1654" s="48">
        <f>HEX2DEC(RIGHT(Table1323212714[[#This Row],[h1]],8))</f>
        <v>0</v>
      </c>
      <c r="Q1654" s="48" t="s">
        <v>97</v>
      </c>
      <c r="R1654" s="48">
        <f>HEX2DEC(RIGHT(Table1323212714[[#This Row],[h2]],8))</f>
        <v>0</v>
      </c>
    </row>
    <row r="1655" spans="1:18" x14ac:dyDescent="0.3">
      <c r="A1655" s="15" t="str">
        <f t="shared" si="30"/>
        <v>66D</v>
      </c>
      <c r="B1655" s="15">
        <v>1645</v>
      </c>
      <c r="C1655" s="42"/>
      <c r="F1655" s="22"/>
      <c r="G1655" s="22"/>
      <c r="J1655" s="24">
        <v>50000</v>
      </c>
      <c r="M1655" s="24">
        <v>50000</v>
      </c>
      <c r="O1655" s="48" t="s">
        <v>97</v>
      </c>
      <c r="P1655" s="48">
        <f>HEX2DEC(RIGHT(Table1323212714[[#This Row],[h1]],8))</f>
        <v>0</v>
      </c>
      <c r="Q1655" s="48" t="s">
        <v>97</v>
      </c>
      <c r="R1655" s="48">
        <f>HEX2DEC(RIGHT(Table1323212714[[#This Row],[h2]],8))</f>
        <v>0</v>
      </c>
    </row>
    <row r="1656" spans="1:18" x14ac:dyDescent="0.3">
      <c r="A1656" s="15" t="str">
        <f t="shared" si="30"/>
        <v>66E</v>
      </c>
      <c r="B1656" s="15">
        <v>1646</v>
      </c>
      <c r="C1656" s="42"/>
      <c r="F1656" s="22"/>
      <c r="G1656" s="22"/>
      <c r="J1656" s="24">
        <v>50000</v>
      </c>
      <c r="M1656" s="24">
        <v>50000</v>
      </c>
      <c r="O1656" s="48" t="s">
        <v>97</v>
      </c>
      <c r="P1656" s="48">
        <f>HEX2DEC(RIGHT(Table1323212714[[#This Row],[h1]],8))</f>
        <v>0</v>
      </c>
      <c r="Q1656" s="48" t="s">
        <v>97</v>
      </c>
      <c r="R1656" s="48">
        <f>HEX2DEC(RIGHT(Table1323212714[[#This Row],[h2]],8))</f>
        <v>0</v>
      </c>
    </row>
    <row r="1657" spans="1:18" x14ac:dyDescent="0.3">
      <c r="A1657" s="15" t="str">
        <f t="shared" si="30"/>
        <v>66F</v>
      </c>
      <c r="B1657" s="15">
        <v>1647</v>
      </c>
      <c r="C1657" s="42"/>
      <c r="F1657" s="22"/>
      <c r="G1657" s="22"/>
      <c r="J1657" s="24">
        <v>50000</v>
      </c>
      <c r="M1657" s="24">
        <v>50000</v>
      </c>
      <c r="O1657" s="48" t="s">
        <v>97</v>
      </c>
      <c r="P1657" s="48">
        <f>HEX2DEC(RIGHT(Table1323212714[[#This Row],[h1]],8))</f>
        <v>0</v>
      </c>
      <c r="Q1657" s="48" t="s">
        <v>97</v>
      </c>
      <c r="R1657" s="48">
        <f>HEX2DEC(RIGHT(Table1323212714[[#This Row],[h2]],8))</f>
        <v>0</v>
      </c>
    </row>
    <row r="1658" spans="1:18" x14ac:dyDescent="0.3">
      <c r="A1658" s="15" t="str">
        <f t="shared" si="30"/>
        <v>670</v>
      </c>
      <c r="B1658" s="15">
        <v>1648</v>
      </c>
      <c r="C1658" s="42"/>
      <c r="F1658" s="22"/>
      <c r="G1658" s="22"/>
      <c r="J1658" s="24">
        <v>50000</v>
      </c>
      <c r="M1658" s="24">
        <v>50000</v>
      </c>
      <c r="O1658" s="48" t="s">
        <v>97</v>
      </c>
      <c r="P1658" s="48">
        <f>HEX2DEC(RIGHT(Table1323212714[[#This Row],[h1]],8))</f>
        <v>0</v>
      </c>
      <c r="Q1658" s="48" t="s">
        <v>97</v>
      </c>
      <c r="R1658" s="48">
        <f>HEX2DEC(RIGHT(Table1323212714[[#This Row],[h2]],8))</f>
        <v>0</v>
      </c>
    </row>
    <row r="1659" spans="1:18" x14ac:dyDescent="0.3">
      <c r="A1659" s="15" t="str">
        <f t="shared" si="30"/>
        <v>671</v>
      </c>
      <c r="B1659" s="15">
        <v>1649</v>
      </c>
      <c r="C1659" s="42"/>
      <c r="F1659" s="22"/>
      <c r="G1659" s="22"/>
      <c r="J1659" s="24">
        <v>50000</v>
      </c>
      <c r="M1659" s="24">
        <v>50000</v>
      </c>
      <c r="O1659" s="48" t="s">
        <v>97</v>
      </c>
      <c r="P1659" s="48">
        <f>HEX2DEC(RIGHT(Table1323212714[[#This Row],[h1]],8))</f>
        <v>0</v>
      </c>
      <c r="Q1659" s="48" t="s">
        <v>97</v>
      </c>
      <c r="R1659" s="48">
        <f>HEX2DEC(RIGHT(Table1323212714[[#This Row],[h2]],8))</f>
        <v>0</v>
      </c>
    </row>
    <row r="1660" spans="1:18" x14ac:dyDescent="0.3">
      <c r="A1660" s="15" t="str">
        <f t="shared" si="30"/>
        <v>672</v>
      </c>
      <c r="B1660" s="15">
        <v>1650</v>
      </c>
      <c r="C1660" s="42"/>
      <c r="F1660" s="22"/>
      <c r="G1660" s="22"/>
      <c r="J1660" s="24">
        <v>50000</v>
      </c>
      <c r="M1660" s="24">
        <v>50000</v>
      </c>
      <c r="O1660" s="48" t="s">
        <v>97</v>
      </c>
      <c r="P1660" s="48">
        <f>HEX2DEC(RIGHT(Table1323212714[[#This Row],[h1]],8))</f>
        <v>0</v>
      </c>
      <c r="Q1660" s="48" t="s">
        <v>97</v>
      </c>
      <c r="R1660" s="48">
        <f>HEX2DEC(RIGHT(Table1323212714[[#This Row],[h2]],8))</f>
        <v>0</v>
      </c>
    </row>
    <row r="1661" spans="1:18" x14ac:dyDescent="0.3">
      <c r="A1661" s="15" t="str">
        <f t="shared" si="30"/>
        <v>673</v>
      </c>
      <c r="B1661" s="15">
        <v>1651</v>
      </c>
      <c r="C1661" s="42"/>
      <c r="F1661" s="22"/>
      <c r="G1661" s="22"/>
      <c r="J1661" s="24">
        <v>50000</v>
      </c>
      <c r="M1661" s="24">
        <v>50000</v>
      </c>
      <c r="O1661" s="48" t="s">
        <v>97</v>
      </c>
      <c r="P1661" s="48">
        <f>HEX2DEC(RIGHT(Table1323212714[[#This Row],[h1]],8))</f>
        <v>0</v>
      </c>
      <c r="Q1661" s="48" t="s">
        <v>97</v>
      </c>
      <c r="R1661" s="48">
        <f>HEX2DEC(RIGHT(Table1323212714[[#This Row],[h2]],8))</f>
        <v>0</v>
      </c>
    </row>
    <row r="1662" spans="1:18" x14ac:dyDescent="0.3">
      <c r="A1662" s="15" t="str">
        <f t="shared" si="30"/>
        <v>674</v>
      </c>
      <c r="B1662" s="15">
        <v>1652</v>
      </c>
      <c r="C1662" s="42"/>
      <c r="F1662" s="22"/>
      <c r="G1662" s="22"/>
      <c r="J1662" s="24">
        <v>50000</v>
      </c>
      <c r="M1662" s="24">
        <v>50000</v>
      </c>
      <c r="O1662" s="48" t="s">
        <v>97</v>
      </c>
      <c r="P1662" s="48">
        <f>HEX2DEC(RIGHT(Table1323212714[[#This Row],[h1]],8))</f>
        <v>0</v>
      </c>
      <c r="Q1662" s="48" t="s">
        <v>97</v>
      </c>
      <c r="R1662" s="48">
        <f>HEX2DEC(RIGHT(Table1323212714[[#This Row],[h2]],8))</f>
        <v>0</v>
      </c>
    </row>
    <row r="1663" spans="1:18" x14ac:dyDescent="0.3">
      <c r="A1663" s="15" t="str">
        <f t="shared" si="30"/>
        <v>675</v>
      </c>
      <c r="B1663" s="15">
        <v>1653</v>
      </c>
      <c r="C1663" s="42"/>
      <c r="F1663" s="22"/>
      <c r="G1663" s="22"/>
      <c r="J1663" s="24">
        <v>50000</v>
      </c>
      <c r="M1663" s="24">
        <v>50000</v>
      </c>
      <c r="O1663" s="48" t="s">
        <v>97</v>
      </c>
      <c r="P1663" s="48">
        <f>HEX2DEC(RIGHT(Table1323212714[[#This Row],[h1]],8))</f>
        <v>0</v>
      </c>
      <c r="Q1663" s="48" t="s">
        <v>97</v>
      </c>
      <c r="R1663" s="48">
        <f>HEX2DEC(RIGHT(Table1323212714[[#This Row],[h2]],8))</f>
        <v>0</v>
      </c>
    </row>
    <row r="1664" spans="1:18" x14ac:dyDescent="0.3">
      <c r="A1664" s="15" t="str">
        <f t="shared" si="30"/>
        <v>676</v>
      </c>
      <c r="B1664" s="15">
        <v>1654</v>
      </c>
      <c r="C1664" s="42"/>
      <c r="F1664" s="22"/>
      <c r="G1664" s="22"/>
      <c r="J1664" s="24">
        <v>50000</v>
      </c>
      <c r="M1664" s="24">
        <v>50000</v>
      </c>
      <c r="O1664" s="48" t="s">
        <v>97</v>
      </c>
      <c r="P1664" s="48">
        <f>HEX2DEC(RIGHT(Table1323212714[[#This Row],[h1]],8))</f>
        <v>0</v>
      </c>
      <c r="Q1664" s="48" t="s">
        <v>97</v>
      </c>
      <c r="R1664" s="48">
        <f>HEX2DEC(RIGHT(Table1323212714[[#This Row],[h2]],8))</f>
        <v>0</v>
      </c>
    </row>
    <row r="1665" spans="1:18" x14ac:dyDescent="0.3">
      <c r="A1665" s="15" t="str">
        <f t="shared" si="30"/>
        <v>677</v>
      </c>
      <c r="B1665" s="15">
        <v>1655</v>
      </c>
      <c r="C1665" s="42"/>
      <c r="F1665" s="22"/>
      <c r="G1665" s="22"/>
      <c r="J1665" s="24">
        <v>50000</v>
      </c>
      <c r="M1665" s="24">
        <v>50000</v>
      </c>
      <c r="O1665" s="48" t="s">
        <v>97</v>
      </c>
      <c r="P1665" s="48">
        <f>HEX2DEC(RIGHT(Table1323212714[[#This Row],[h1]],8))</f>
        <v>0</v>
      </c>
      <c r="Q1665" s="48" t="s">
        <v>97</v>
      </c>
      <c r="R1665" s="48">
        <f>HEX2DEC(RIGHT(Table1323212714[[#This Row],[h2]],8))</f>
        <v>0</v>
      </c>
    </row>
    <row r="1666" spans="1:18" x14ac:dyDescent="0.3">
      <c r="A1666" s="15" t="str">
        <f t="shared" si="30"/>
        <v>678</v>
      </c>
      <c r="B1666" s="15">
        <v>1656</v>
      </c>
      <c r="C1666" s="42"/>
      <c r="F1666" s="22"/>
      <c r="G1666" s="22"/>
      <c r="J1666" s="24">
        <v>50000</v>
      </c>
      <c r="M1666" s="24">
        <v>50000</v>
      </c>
      <c r="O1666" s="48" t="s">
        <v>97</v>
      </c>
      <c r="P1666" s="48">
        <f>HEX2DEC(RIGHT(Table1323212714[[#This Row],[h1]],8))</f>
        <v>0</v>
      </c>
      <c r="Q1666" s="48" t="s">
        <v>97</v>
      </c>
      <c r="R1666" s="48">
        <f>HEX2DEC(RIGHT(Table1323212714[[#This Row],[h2]],8))</f>
        <v>0</v>
      </c>
    </row>
    <row r="1667" spans="1:18" x14ac:dyDescent="0.3">
      <c r="A1667" s="15" t="str">
        <f t="shared" si="30"/>
        <v>679</v>
      </c>
      <c r="B1667" s="15">
        <v>1657</v>
      </c>
      <c r="C1667" s="42"/>
      <c r="F1667" s="22"/>
      <c r="G1667" s="22"/>
      <c r="J1667" s="24">
        <v>50000</v>
      </c>
      <c r="M1667" s="24">
        <v>50000</v>
      </c>
      <c r="O1667" s="48" t="s">
        <v>97</v>
      </c>
      <c r="P1667" s="48">
        <f>HEX2DEC(RIGHT(Table1323212714[[#This Row],[h1]],8))</f>
        <v>0</v>
      </c>
      <c r="Q1667" s="48" t="s">
        <v>97</v>
      </c>
      <c r="R1667" s="48">
        <f>HEX2DEC(RIGHT(Table1323212714[[#This Row],[h2]],8))</f>
        <v>0</v>
      </c>
    </row>
    <row r="1668" spans="1:18" x14ac:dyDescent="0.3">
      <c r="A1668" s="15" t="str">
        <f t="shared" si="30"/>
        <v>67A</v>
      </c>
      <c r="B1668" s="15">
        <v>1658</v>
      </c>
      <c r="C1668" s="42"/>
      <c r="F1668" s="22"/>
      <c r="G1668" s="22"/>
      <c r="J1668" s="24">
        <v>50000</v>
      </c>
      <c r="M1668" s="24">
        <v>50000</v>
      </c>
      <c r="O1668" s="48" t="s">
        <v>97</v>
      </c>
      <c r="P1668" s="48">
        <f>HEX2DEC(RIGHT(Table1323212714[[#This Row],[h1]],8))</f>
        <v>0</v>
      </c>
      <c r="Q1668" s="48" t="s">
        <v>97</v>
      </c>
      <c r="R1668" s="48">
        <f>HEX2DEC(RIGHT(Table1323212714[[#This Row],[h2]],8))</f>
        <v>0</v>
      </c>
    </row>
    <row r="1669" spans="1:18" x14ac:dyDescent="0.3">
      <c r="A1669" s="15" t="str">
        <f t="shared" si="30"/>
        <v>67B</v>
      </c>
      <c r="B1669" s="15">
        <v>1659</v>
      </c>
      <c r="C1669" s="42"/>
      <c r="F1669" s="22"/>
      <c r="G1669" s="22"/>
      <c r="J1669" s="24">
        <v>50000</v>
      </c>
      <c r="M1669" s="24">
        <v>50000</v>
      </c>
      <c r="O1669" s="48" t="s">
        <v>97</v>
      </c>
      <c r="P1669" s="48">
        <f>HEX2DEC(RIGHT(Table1323212714[[#This Row],[h1]],8))</f>
        <v>0</v>
      </c>
      <c r="Q1669" s="48" t="s">
        <v>97</v>
      </c>
      <c r="R1669" s="48">
        <f>HEX2DEC(RIGHT(Table1323212714[[#This Row],[h2]],8))</f>
        <v>0</v>
      </c>
    </row>
    <row r="1670" spans="1:18" x14ac:dyDescent="0.3">
      <c r="A1670" s="15" t="str">
        <f t="shared" si="30"/>
        <v>67C</v>
      </c>
      <c r="B1670" s="15">
        <v>1660</v>
      </c>
      <c r="C1670" s="42"/>
      <c r="F1670" s="22"/>
      <c r="G1670" s="22"/>
      <c r="J1670" s="24">
        <v>50000</v>
      </c>
      <c r="M1670" s="24">
        <v>50000</v>
      </c>
      <c r="O1670" s="48" t="s">
        <v>97</v>
      </c>
      <c r="P1670" s="48">
        <f>HEX2DEC(RIGHT(Table1323212714[[#This Row],[h1]],8))</f>
        <v>0</v>
      </c>
      <c r="Q1670" s="48" t="s">
        <v>97</v>
      </c>
      <c r="R1670" s="48">
        <f>HEX2DEC(RIGHT(Table1323212714[[#This Row],[h2]],8))</f>
        <v>0</v>
      </c>
    </row>
    <row r="1671" spans="1:18" x14ac:dyDescent="0.3">
      <c r="A1671" s="15" t="str">
        <f t="shared" si="30"/>
        <v>67D</v>
      </c>
      <c r="B1671" s="15">
        <v>1661</v>
      </c>
      <c r="C1671" s="42"/>
      <c r="F1671" s="22"/>
      <c r="G1671" s="22"/>
      <c r="J1671" s="24">
        <v>50000</v>
      </c>
      <c r="M1671" s="24">
        <v>50000</v>
      </c>
      <c r="O1671" s="48" t="s">
        <v>97</v>
      </c>
      <c r="P1671" s="48">
        <f>HEX2DEC(RIGHT(Table1323212714[[#This Row],[h1]],8))</f>
        <v>0</v>
      </c>
      <c r="Q1671" s="48" t="s">
        <v>97</v>
      </c>
      <c r="R1671" s="48">
        <f>HEX2DEC(RIGHT(Table1323212714[[#This Row],[h2]],8))</f>
        <v>0</v>
      </c>
    </row>
    <row r="1672" spans="1:18" x14ac:dyDescent="0.3">
      <c r="A1672" s="15" t="str">
        <f t="shared" si="30"/>
        <v>67E</v>
      </c>
      <c r="B1672" s="15">
        <v>1662</v>
      </c>
      <c r="C1672" s="42"/>
      <c r="F1672" s="22"/>
      <c r="G1672" s="22"/>
      <c r="J1672" s="24">
        <v>50000</v>
      </c>
      <c r="M1672" s="24">
        <v>50000</v>
      </c>
      <c r="O1672" s="48" t="s">
        <v>97</v>
      </c>
      <c r="P1672" s="48">
        <f>HEX2DEC(RIGHT(Table1323212714[[#This Row],[h1]],8))</f>
        <v>0</v>
      </c>
      <c r="Q1672" s="48" t="s">
        <v>97</v>
      </c>
      <c r="R1672" s="48">
        <f>HEX2DEC(RIGHT(Table1323212714[[#This Row],[h2]],8))</f>
        <v>0</v>
      </c>
    </row>
    <row r="1673" spans="1:18" x14ac:dyDescent="0.3">
      <c r="A1673" s="15" t="str">
        <f t="shared" si="30"/>
        <v>67F</v>
      </c>
      <c r="B1673" s="15">
        <v>1663</v>
      </c>
      <c r="C1673" s="42"/>
      <c r="F1673" s="22"/>
      <c r="G1673" s="22"/>
      <c r="J1673" s="24">
        <v>50000</v>
      </c>
      <c r="M1673" s="24">
        <v>50000</v>
      </c>
      <c r="O1673" s="48" t="s">
        <v>97</v>
      </c>
      <c r="P1673" s="48">
        <f>HEX2DEC(RIGHT(Table1323212714[[#This Row],[h1]],8))</f>
        <v>0</v>
      </c>
      <c r="Q1673" s="48" t="s">
        <v>97</v>
      </c>
      <c r="R1673" s="48">
        <f>HEX2DEC(RIGHT(Table1323212714[[#This Row],[h2]],8))</f>
        <v>0</v>
      </c>
    </row>
    <row r="1674" spans="1:18" x14ac:dyDescent="0.3">
      <c r="A1674" s="15" t="str">
        <f t="shared" si="30"/>
        <v>680</v>
      </c>
      <c r="B1674" s="15">
        <v>1664</v>
      </c>
      <c r="C1674" s="42"/>
      <c r="F1674" s="22"/>
      <c r="G1674" s="22"/>
      <c r="J1674" s="24">
        <v>50000</v>
      </c>
      <c r="M1674" s="24">
        <v>50000</v>
      </c>
      <c r="O1674" s="48" t="s">
        <v>97</v>
      </c>
      <c r="P1674" s="48">
        <f>HEX2DEC(RIGHT(Table1323212714[[#This Row],[h1]],8))</f>
        <v>0</v>
      </c>
      <c r="Q1674" s="48" t="s">
        <v>97</v>
      </c>
      <c r="R1674" s="48">
        <f>HEX2DEC(RIGHT(Table1323212714[[#This Row],[h2]],8))</f>
        <v>0</v>
      </c>
    </row>
    <row r="1675" spans="1:18" x14ac:dyDescent="0.3">
      <c r="A1675" s="15" t="str">
        <f t="shared" ref="A1675:A1738" si="31">DEC2HEX(B1675,3)</f>
        <v>681</v>
      </c>
      <c r="B1675" s="15">
        <v>1665</v>
      </c>
      <c r="C1675" s="42"/>
      <c r="F1675" s="22"/>
      <c r="G1675" s="22"/>
      <c r="J1675" s="24">
        <v>50000</v>
      </c>
      <c r="M1675" s="24">
        <v>50000</v>
      </c>
      <c r="O1675" s="48" t="s">
        <v>97</v>
      </c>
      <c r="P1675" s="48">
        <f>HEX2DEC(RIGHT(Table1323212714[[#This Row],[h1]],8))</f>
        <v>0</v>
      </c>
      <c r="Q1675" s="48" t="s">
        <v>97</v>
      </c>
      <c r="R1675" s="48">
        <f>HEX2DEC(RIGHT(Table1323212714[[#This Row],[h2]],8))</f>
        <v>0</v>
      </c>
    </row>
    <row r="1676" spans="1:18" x14ac:dyDescent="0.3">
      <c r="A1676" s="15" t="str">
        <f t="shared" si="31"/>
        <v>682</v>
      </c>
      <c r="B1676" s="15">
        <v>1666</v>
      </c>
      <c r="C1676" s="42"/>
      <c r="F1676" s="22"/>
      <c r="G1676" s="22"/>
      <c r="J1676" s="24">
        <v>50000</v>
      </c>
      <c r="M1676" s="24">
        <v>50000</v>
      </c>
      <c r="O1676" s="48" t="s">
        <v>97</v>
      </c>
      <c r="P1676" s="48">
        <f>HEX2DEC(RIGHT(Table1323212714[[#This Row],[h1]],8))</f>
        <v>0</v>
      </c>
      <c r="Q1676" s="48" t="s">
        <v>97</v>
      </c>
      <c r="R1676" s="48">
        <f>HEX2DEC(RIGHT(Table1323212714[[#This Row],[h2]],8))</f>
        <v>0</v>
      </c>
    </row>
    <row r="1677" spans="1:18" x14ac:dyDescent="0.3">
      <c r="A1677" s="15" t="str">
        <f t="shared" si="31"/>
        <v>683</v>
      </c>
      <c r="B1677" s="15">
        <v>1667</v>
      </c>
      <c r="C1677" s="42"/>
      <c r="F1677" s="22"/>
      <c r="G1677" s="22"/>
      <c r="J1677" s="24">
        <v>50000</v>
      </c>
      <c r="M1677" s="24">
        <v>50000</v>
      </c>
      <c r="O1677" s="48" t="s">
        <v>97</v>
      </c>
      <c r="P1677" s="48">
        <f>HEX2DEC(RIGHT(Table1323212714[[#This Row],[h1]],8))</f>
        <v>0</v>
      </c>
      <c r="Q1677" s="48" t="s">
        <v>97</v>
      </c>
      <c r="R1677" s="48">
        <f>HEX2DEC(RIGHT(Table1323212714[[#This Row],[h2]],8))</f>
        <v>0</v>
      </c>
    </row>
    <row r="1678" spans="1:18" x14ac:dyDescent="0.3">
      <c r="A1678" s="15" t="str">
        <f t="shared" si="31"/>
        <v>684</v>
      </c>
      <c r="B1678" s="15">
        <v>1668</v>
      </c>
      <c r="C1678" s="42"/>
      <c r="F1678" s="22"/>
      <c r="G1678" s="22"/>
      <c r="J1678" s="24">
        <v>50000</v>
      </c>
      <c r="M1678" s="24">
        <v>50000</v>
      </c>
      <c r="O1678" s="48" t="s">
        <v>97</v>
      </c>
      <c r="P1678" s="48">
        <f>HEX2DEC(RIGHT(Table1323212714[[#This Row],[h1]],8))</f>
        <v>0</v>
      </c>
      <c r="Q1678" s="48" t="s">
        <v>97</v>
      </c>
      <c r="R1678" s="48">
        <f>HEX2DEC(RIGHT(Table1323212714[[#This Row],[h2]],8))</f>
        <v>0</v>
      </c>
    </row>
    <row r="1679" spans="1:18" x14ac:dyDescent="0.3">
      <c r="A1679" s="15" t="str">
        <f t="shared" si="31"/>
        <v>685</v>
      </c>
      <c r="B1679" s="15">
        <v>1669</v>
      </c>
      <c r="C1679" s="42"/>
      <c r="F1679" s="22"/>
      <c r="G1679" s="22"/>
      <c r="J1679" s="24">
        <v>50000</v>
      </c>
      <c r="M1679" s="24">
        <v>50000</v>
      </c>
      <c r="O1679" s="48" t="s">
        <v>97</v>
      </c>
      <c r="P1679" s="48">
        <f>HEX2DEC(RIGHT(Table1323212714[[#This Row],[h1]],8))</f>
        <v>0</v>
      </c>
      <c r="Q1679" s="48" t="s">
        <v>97</v>
      </c>
      <c r="R1679" s="48">
        <f>HEX2DEC(RIGHT(Table1323212714[[#This Row],[h2]],8))</f>
        <v>0</v>
      </c>
    </row>
    <row r="1680" spans="1:18" x14ac:dyDescent="0.3">
      <c r="A1680" s="15" t="str">
        <f t="shared" si="31"/>
        <v>686</v>
      </c>
      <c r="B1680" s="15">
        <v>1670</v>
      </c>
      <c r="C1680" s="42"/>
      <c r="F1680" s="22"/>
      <c r="G1680" s="22"/>
      <c r="J1680" s="24">
        <v>50000</v>
      </c>
      <c r="M1680" s="24">
        <v>50000</v>
      </c>
      <c r="O1680" s="48" t="s">
        <v>97</v>
      </c>
      <c r="P1680" s="48">
        <f>HEX2DEC(RIGHT(Table1323212714[[#This Row],[h1]],8))</f>
        <v>0</v>
      </c>
      <c r="Q1680" s="48" t="s">
        <v>97</v>
      </c>
      <c r="R1680" s="48">
        <f>HEX2DEC(RIGHT(Table1323212714[[#This Row],[h2]],8))</f>
        <v>0</v>
      </c>
    </row>
    <row r="1681" spans="1:18" x14ac:dyDescent="0.3">
      <c r="A1681" s="15" t="str">
        <f t="shared" si="31"/>
        <v>687</v>
      </c>
      <c r="B1681" s="15">
        <v>1671</v>
      </c>
      <c r="C1681" s="42"/>
      <c r="F1681" s="22"/>
      <c r="G1681" s="22"/>
      <c r="J1681" s="24">
        <v>50000</v>
      </c>
      <c r="M1681" s="24">
        <v>50000</v>
      </c>
      <c r="O1681" s="48" t="s">
        <v>97</v>
      </c>
      <c r="P1681" s="48">
        <f>HEX2DEC(RIGHT(Table1323212714[[#This Row],[h1]],8))</f>
        <v>0</v>
      </c>
      <c r="Q1681" s="48" t="s">
        <v>97</v>
      </c>
      <c r="R1681" s="48">
        <f>HEX2DEC(RIGHT(Table1323212714[[#This Row],[h2]],8))</f>
        <v>0</v>
      </c>
    </row>
    <row r="1682" spans="1:18" x14ac:dyDescent="0.3">
      <c r="A1682" s="15" t="str">
        <f t="shared" si="31"/>
        <v>688</v>
      </c>
      <c r="B1682" s="15">
        <v>1672</v>
      </c>
      <c r="C1682" s="42"/>
      <c r="F1682" s="22"/>
      <c r="G1682" s="22"/>
      <c r="J1682" s="24">
        <v>50000</v>
      </c>
      <c r="M1682" s="24">
        <v>50000</v>
      </c>
      <c r="O1682" s="48" t="s">
        <v>97</v>
      </c>
      <c r="P1682" s="48">
        <f>HEX2DEC(RIGHT(Table1323212714[[#This Row],[h1]],8))</f>
        <v>0</v>
      </c>
      <c r="Q1682" s="48" t="s">
        <v>97</v>
      </c>
      <c r="R1682" s="48">
        <f>HEX2DEC(RIGHT(Table1323212714[[#This Row],[h2]],8))</f>
        <v>0</v>
      </c>
    </row>
    <row r="1683" spans="1:18" x14ac:dyDescent="0.3">
      <c r="A1683" s="15" t="str">
        <f t="shared" si="31"/>
        <v>689</v>
      </c>
      <c r="B1683" s="15">
        <v>1673</v>
      </c>
      <c r="C1683" s="42"/>
      <c r="F1683" s="22"/>
      <c r="G1683" s="22"/>
      <c r="J1683" s="24">
        <v>50000</v>
      </c>
      <c r="M1683" s="24">
        <v>50000</v>
      </c>
      <c r="O1683" s="48" t="s">
        <v>97</v>
      </c>
      <c r="P1683" s="48">
        <f>HEX2DEC(RIGHT(Table1323212714[[#This Row],[h1]],8))</f>
        <v>0</v>
      </c>
      <c r="Q1683" s="48" t="s">
        <v>97</v>
      </c>
      <c r="R1683" s="48">
        <f>HEX2DEC(RIGHT(Table1323212714[[#This Row],[h2]],8))</f>
        <v>0</v>
      </c>
    </row>
    <row r="1684" spans="1:18" x14ac:dyDescent="0.3">
      <c r="A1684" s="15" t="str">
        <f t="shared" si="31"/>
        <v>68A</v>
      </c>
      <c r="B1684" s="15">
        <v>1674</v>
      </c>
      <c r="C1684" s="42"/>
      <c r="F1684" s="22"/>
      <c r="G1684" s="22"/>
      <c r="J1684" s="24">
        <v>50000</v>
      </c>
      <c r="M1684" s="24">
        <v>50000</v>
      </c>
      <c r="O1684" s="48" t="s">
        <v>97</v>
      </c>
      <c r="P1684" s="48">
        <f>HEX2DEC(RIGHT(Table1323212714[[#This Row],[h1]],8))</f>
        <v>0</v>
      </c>
      <c r="Q1684" s="48" t="s">
        <v>97</v>
      </c>
      <c r="R1684" s="48">
        <f>HEX2DEC(RIGHT(Table1323212714[[#This Row],[h2]],8))</f>
        <v>0</v>
      </c>
    </row>
    <row r="1685" spans="1:18" x14ac:dyDescent="0.3">
      <c r="A1685" s="15" t="str">
        <f t="shared" si="31"/>
        <v>68B</v>
      </c>
      <c r="B1685" s="15">
        <v>1675</v>
      </c>
      <c r="C1685" s="42"/>
      <c r="F1685" s="22"/>
      <c r="G1685" s="22"/>
      <c r="J1685" s="24">
        <v>50000</v>
      </c>
      <c r="M1685" s="24">
        <v>50000</v>
      </c>
      <c r="O1685" s="48" t="s">
        <v>97</v>
      </c>
      <c r="P1685" s="48">
        <f>HEX2DEC(RIGHT(Table1323212714[[#This Row],[h1]],8))</f>
        <v>0</v>
      </c>
      <c r="Q1685" s="48" t="s">
        <v>97</v>
      </c>
      <c r="R1685" s="48">
        <f>HEX2DEC(RIGHT(Table1323212714[[#This Row],[h2]],8))</f>
        <v>0</v>
      </c>
    </row>
    <row r="1686" spans="1:18" x14ac:dyDescent="0.3">
      <c r="A1686" s="15" t="str">
        <f t="shared" si="31"/>
        <v>68C</v>
      </c>
      <c r="B1686" s="15">
        <v>1676</v>
      </c>
      <c r="C1686" s="42"/>
      <c r="F1686" s="22"/>
      <c r="G1686" s="22"/>
      <c r="J1686" s="24">
        <v>50000</v>
      </c>
      <c r="M1686" s="24">
        <v>50000</v>
      </c>
      <c r="O1686" s="48" t="s">
        <v>97</v>
      </c>
      <c r="P1686" s="48">
        <f>HEX2DEC(RIGHT(Table1323212714[[#This Row],[h1]],8))</f>
        <v>0</v>
      </c>
      <c r="Q1686" s="48" t="s">
        <v>97</v>
      </c>
      <c r="R1686" s="48">
        <f>HEX2DEC(RIGHT(Table1323212714[[#This Row],[h2]],8))</f>
        <v>0</v>
      </c>
    </row>
    <row r="1687" spans="1:18" x14ac:dyDescent="0.3">
      <c r="A1687" s="15" t="str">
        <f t="shared" si="31"/>
        <v>68D</v>
      </c>
      <c r="B1687" s="15">
        <v>1677</v>
      </c>
      <c r="C1687" s="42"/>
      <c r="F1687" s="22"/>
      <c r="G1687" s="22"/>
      <c r="J1687" s="24">
        <v>50000</v>
      </c>
      <c r="M1687" s="24">
        <v>50000</v>
      </c>
      <c r="O1687" s="48" t="s">
        <v>97</v>
      </c>
      <c r="P1687" s="48">
        <f>HEX2DEC(RIGHT(Table1323212714[[#This Row],[h1]],8))</f>
        <v>0</v>
      </c>
      <c r="Q1687" s="48" t="s">
        <v>97</v>
      </c>
      <c r="R1687" s="48">
        <f>HEX2DEC(RIGHT(Table1323212714[[#This Row],[h2]],8))</f>
        <v>0</v>
      </c>
    </row>
    <row r="1688" spans="1:18" x14ac:dyDescent="0.3">
      <c r="A1688" s="15" t="str">
        <f t="shared" si="31"/>
        <v>68E</v>
      </c>
      <c r="B1688" s="15">
        <v>1678</v>
      </c>
      <c r="C1688" s="42"/>
      <c r="F1688" s="22"/>
      <c r="G1688" s="22"/>
      <c r="J1688" s="24">
        <v>50000</v>
      </c>
      <c r="M1688" s="24">
        <v>50000</v>
      </c>
      <c r="O1688" s="48" t="s">
        <v>97</v>
      </c>
      <c r="P1688" s="48">
        <f>HEX2DEC(RIGHT(Table1323212714[[#This Row],[h1]],8))</f>
        <v>0</v>
      </c>
      <c r="Q1688" s="48" t="s">
        <v>97</v>
      </c>
      <c r="R1688" s="48">
        <f>HEX2DEC(RIGHT(Table1323212714[[#This Row],[h2]],8))</f>
        <v>0</v>
      </c>
    </row>
    <row r="1689" spans="1:18" x14ac:dyDescent="0.3">
      <c r="A1689" s="15" t="str">
        <f t="shared" si="31"/>
        <v>68F</v>
      </c>
      <c r="B1689" s="15">
        <v>1679</v>
      </c>
      <c r="C1689" s="42"/>
      <c r="F1689" s="22"/>
      <c r="G1689" s="22"/>
      <c r="J1689" s="24">
        <v>50000</v>
      </c>
      <c r="M1689" s="24">
        <v>50000</v>
      </c>
      <c r="O1689" s="48" t="s">
        <v>97</v>
      </c>
      <c r="P1689" s="48">
        <f>HEX2DEC(RIGHT(Table1323212714[[#This Row],[h1]],8))</f>
        <v>0</v>
      </c>
      <c r="Q1689" s="48" t="s">
        <v>97</v>
      </c>
      <c r="R1689" s="48">
        <f>HEX2DEC(RIGHT(Table1323212714[[#This Row],[h2]],8))</f>
        <v>0</v>
      </c>
    </row>
    <row r="1690" spans="1:18" x14ac:dyDescent="0.3">
      <c r="A1690" s="15" t="str">
        <f t="shared" si="31"/>
        <v>690</v>
      </c>
      <c r="B1690" s="15">
        <v>1680</v>
      </c>
      <c r="C1690" s="42"/>
      <c r="F1690" s="22"/>
      <c r="G1690" s="22"/>
      <c r="J1690" s="24">
        <v>50000</v>
      </c>
      <c r="M1690" s="24">
        <v>50000</v>
      </c>
      <c r="O1690" s="48" t="s">
        <v>97</v>
      </c>
      <c r="P1690" s="48">
        <f>HEX2DEC(RIGHT(Table1323212714[[#This Row],[h1]],8))</f>
        <v>0</v>
      </c>
      <c r="Q1690" s="48" t="s">
        <v>97</v>
      </c>
      <c r="R1690" s="48">
        <f>HEX2DEC(RIGHT(Table1323212714[[#This Row],[h2]],8))</f>
        <v>0</v>
      </c>
    </row>
    <row r="1691" spans="1:18" x14ac:dyDescent="0.3">
      <c r="A1691" s="15" t="str">
        <f t="shared" si="31"/>
        <v>691</v>
      </c>
      <c r="B1691" s="15">
        <v>1681</v>
      </c>
      <c r="C1691" s="42"/>
      <c r="F1691" s="22"/>
      <c r="G1691" s="22"/>
      <c r="J1691" s="24">
        <v>50000</v>
      </c>
      <c r="M1691" s="24">
        <v>50000</v>
      </c>
      <c r="O1691" s="48" t="s">
        <v>97</v>
      </c>
      <c r="P1691" s="48">
        <f>HEX2DEC(RIGHT(Table1323212714[[#This Row],[h1]],8))</f>
        <v>0</v>
      </c>
      <c r="Q1691" s="48" t="s">
        <v>97</v>
      </c>
      <c r="R1691" s="48">
        <f>HEX2DEC(RIGHT(Table1323212714[[#This Row],[h2]],8))</f>
        <v>0</v>
      </c>
    </row>
    <row r="1692" spans="1:18" x14ac:dyDescent="0.3">
      <c r="A1692" s="15" t="str">
        <f t="shared" si="31"/>
        <v>692</v>
      </c>
      <c r="B1692" s="15">
        <v>1682</v>
      </c>
      <c r="C1692" s="42"/>
      <c r="F1692" s="22"/>
      <c r="G1692" s="22"/>
      <c r="J1692" s="24">
        <v>50000</v>
      </c>
      <c r="M1692" s="24">
        <v>50000</v>
      </c>
      <c r="O1692" s="48" t="s">
        <v>97</v>
      </c>
      <c r="P1692" s="48">
        <f>HEX2DEC(RIGHT(Table1323212714[[#This Row],[h1]],8))</f>
        <v>0</v>
      </c>
      <c r="Q1692" s="48" t="s">
        <v>97</v>
      </c>
      <c r="R1692" s="48">
        <f>HEX2DEC(RIGHT(Table1323212714[[#This Row],[h2]],8))</f>
        <v>0</v>
      </c>
    </row>
    <row r="1693" spans="1:18" x14ac:dyDescent="0.3">
      <c r="A1693" s="15" t="str">
        <f t="shared" si="31"/>
        <v>693</v>
      </c>
      <c r="B1693" s="15">
        <v>1683</v>
      </c>
      <c r="C1693" s="42"/>
      <c r="F1693" s="22"/>
      <c r="G1693" s="22"/>
      <c r="J1693" s="24">
        <v>50000</v>
      </c>
      <c r="M1693" s="24">
        <v>50000</v>
      </c>
      <c r="O1693" s="48" t="s">
        <v>97</v>
      </c>
      <c r="P1693" s="48">
        <f>HEX2DEC(RIGHT(Table1323212714[[#This Row],[h1]],8))</f>
        <v>0</v>
      </c>
      <c r="Q1693" s="48" t="s">
        <v>97</v>
      </c>
      <c r="R1693" s="48">
        <f>HEX2DEC(RIGHT(Table1323212714[[#This Row],[h2]],8))</f>
        <v>0</v>
      </c>
    </row>
    <row r="1694" spans="1:18" x14ac:dyDescent="0.3">
      <c r="A1694" s="15" t="str">
        <f t="shared" si="31"/>
        <v>694</v>
      </c>
      <c r="B1694" s="15">
        <v>1684</v>
      </c>
      <c r="C1694" s="42"/>
      <c r="F1694" s="22"/>
      <c r="G1694" s="22"/>
      <c r="J1694" s="24">
        <v>50000</v>
      </c>
      <c r="M1694" s="24">
        <v>50000</v>
      </c>
      <c r="O1694" s="48" t="s">
        <v>97</v>
      </c>
      <c r="P1694" s="48">
        <f>HEX2DEC(RIGHT(Table1323212714[[#This Row],[h1]],8))</f>
        <v>0</v>
      </c>
      <c r="Q1694" s="48" t="s">
        <v>97</v>
      </c>
      <c r="R1694" s="48">
        <f>HEX2DEC(RIGHT(Table1323212714[[#This Row],[h2]],8))</f>
        <v>0</v>
      </c>
    </row>
    <row r="1695" spans="1:18" x14ac:dyDescent="0.3">
      <c r="A1695" s="15" t="str">
        <f t="shared" si="31"/>
        <v>695</v>
      </c>
      <c r="B1695" s="15">
        <v>1685</v>
      </c>
      <c r="C1695" s="42"/>
      <c r="F1695" s="22"/>
      <c r="G1695" s="22"/>
      <c r="J1695" s="24">
        <v>50000</v>
      </c>
      <c r="M1695" s="24">
        <v>50000</v>
      </c>
      <c r="O1695" s="48" t="s">
        <v>97</v>
      </c>
      <c r="P1695" s="48">
        <f>HEX2DEC(RIGHT(Table1323212714[[#This Row],[h1]],8))</f>
        <v>0</v>
      </c>
      <c r="Q1695" s="48" t="s">
        <v>97</v>
      </c>
      <c r="R1695" s="48">
        <f>HEX2DEC(RIGHT(Table1323212714[[#This Row],[h2]],8))</f>
        <v>0</v>
      </c>
    </row>
    <row r="1696" spans="1:18" x14ac:dyDescent="0.3">
      <c r="A1696" s="15" t="str">
        <f t="shared" si="31"/>
        <v>696</v>
      </c>
      <c r="B1696" s="15">
        <v>1686</v>
      </c>
      <c r="C1696" s="42"/>
      <c r="F1696" s="22"/>
      <c r="G1696" s="22"/>
      <c r="J1696" s="24">
        <v>50000</v>
      </c>
      <c r="M1696" s="24">
        <v>50000</v>
      </c>
      <c r="O1696" s="48" t="s">
        <v>97</v>
      </c>
      <c r="P1696" s="48">
        <f>HEX2DEC(RIGHT(Table1323212714[[#This Row],[h1]],8))</f>
        <v>0</v>
      </c>
      <c r="Q1696" s="48" t="s">
        <v>97</v>
      </c>
      <c r="R1696" s="48">
        <f>HEX2DEC(RIGHT(Table1323212714[[#This Row],[h2]],8))</f>
        <v>0</v>
      </c>
    </row>
    <row r="1697" spans="1:18" x14ac:dyDescent="0.3">
      <c r="A1697" s="15" t="str">
        <f t="shared" si="31"/>
        <v>697</v>
      </c>
      <c r="B1697" s="15">
        <v>1687</v>
      </c>
      <c r="C1697" s="42"/>
      <c r="F1697" s="22"/>
      <c r="G1697" s="22"/>
      <c r="J1697" s="24">
        <v>50000</v>
      </c>
      <c r="M1697" s="24">
        <v>50000</v>
      </c>
      <c r="O1697" s="48" t="s">
        <v>97</v>
      </c>
      <c r="P1697" s="48">
        <f>HEX2DEC(RIGHT(Table1323212714[[#This Row],[h1]],8))</f>
        <v>0</v>
      </c>
      <c r="Q1697" s="48" t="s">
        <v>97</v>
      </c>
      <c r="R1697" s="48">
        <f>HEX2DEC(RIGHT(Table1323212714[[#This Row],[h2]],8))</f>
        <v>0</v>
      </c>
    </row>
    <row r="1698" spans="1:18" x14ac:dyDescent="0.3">
      <c r="A1698" s="15" t="str">
        <f t="shared" si="31"/>
        <v>698</v>
      </c>
      <c r="B1698" s="15">
        <v>1688</v>
      </c>
      <c r="C1698" s="42"/>
      <c r="F1698" s="22"/>
      <c r="G1698" s="22"/>
      <c r="J1698" s="24">
        <v>50000</v>
      </c>
      <c r="M1698" s="24">
        <v>50000</v>
      </c>
      <c r="O1698" s="48" t="s">
        <v>97</v>
      </c>
      <c r="P1698" s="48">
        <f>HEX2DEC(RIGHT(Table1323212714[[#This Row],[h1]],8))</f>
        <v>0</v>
      </c>
      <c r="Q1698" s="48" t="s">
        <v>97</v>
      </c>
      <c r="R1698" s="48">
        <f>HEX2DEC(RIGHT(Table1323212714[[#This Row],[h2]],8))</f>
        <v>0</v>
      </c>
    </row>
    <row r="1699" spans="1:18" x14ac:dyDescent="0.3">
      <c r="A1699" s="15" t="str">
        <f t="shared" si="31"/>
        <v>699</v>
      </c>
      <c r="B1699" s="15">
        <v>1689</v>
      </c>
      <c r="C1699" s="42"/>
      <c r="F1699" s="22"/>
      <c r="G1699" s="22"/>
      <c r="J1699" s="24">
        <v>50000</v>
      </c>
      <c r="M1699" s="24">
        <v>50000</v>
      </c>
      <c r="O1699" s="48" t="s">
        <v>97</v>
      </c>
      <c r="P1699" s="48">
        <f>HEX2DEC(RIGHT(Table1323212714[[#This Row],[h1]],8))</f>
        <v>0</v>
      </c>
      <c r="Q1699" s="48" t="s">
        <v>97</v>
      </c>
      <c r="R1699" s="48">
        <f>HEX2DEC(RIGHT(Table1323212714[[#This Row],[h2]],8))</f>
        <v>0</v>
      </c>
    </row>
    <row r="1700" spans="1:18" x14ac:dyDescent="0.3">
      <c r="A1700" s="15" t="str">
        <f t="shared" si="31"/>
        <v>69A</v>
      </c>
      <c r="B1700" s="15">
        <v>1690</v>
      </c>
      <c r="C1700" s="42"/>
      <c r="F1700" s="22"/>
      <c r="G1700" s="22"/>
      <c r="J1700" s="24">
        <v>50000</v>
      </c>
      <c r="M1700" s="24">
        <v>50000</v>
      </c>
      <c r="O1700" s="48" t="s">
        <v>97</v>
      </c>
      <c r="P1700" s="48">
        <f>HEX2DEC(RIGHT(Table1323212714[[#This Row],[h1]],8))</f>
        <v>0</v>
      </c>
      <c r="Q1700" s="48" t="s">
        <v>97</v>
      </c>
      <c r="R1700" s="48">
        <f>HEX2DEC(RIGHT(Table1323212714[[#This Row],[h2]],8))</f>
        <v>0</v>
      </c>
    </row>
    <row r="1701" spans="1:18" x14ac:dyDescent="0.3">
      <c r="A1701" s="15" t="str">
        <f t="shared" si="31"/>
        <v>69B</v>
      </c>
      <c r="B1701" s="15">
        <v>1691</v>
      </c>
      <c r="C1701" s="42"/>
      <c r="F1701" s="22"/>
      <c r="G1701" s="22"/>
      <c r="J1701" s="24">
        <v>50000</v>
      </c>
      <c r="M1701" s="24">
        <v>50000</v>
      </c>
      <c r="O1701" s="48" t="s">
        <v>97</v>
      </c>
      <c r="P1701" s="48">
        <f>HEX2DEC(RIGHT(Table1323212714[[#This Row],[h1]],8))</f>
        <v>0</v>
      </c>
      <c r="Q1701" s="48" t="s">
        <v>97</v>
      </c>
      <c r="R1701" s="48">
        <f>HEX2DEC(RIGHT(Table1323212714[[#This Row],[h2]],8))</f>
        <v>0</v>
      </c>
    </row>
    <row r="1702" spans="1:18" x14ac:dyDescent="0.3">
      <c r="A1702" s="15" t="str">
        <f t="shared" si="31"/>
        <v>69C</v>
      </c>
      <c r="B1702" s="15">
        <v>1692</v>
      </c>
      <c r="C1702" s="42"/>
      <c r="F1702" s="22"/>
      <c r="G1702" s="22"/>
      <c r="J1702" s="24">
        <v>50000</v>
      </c>
      <c r="M1702" s="24">
        <v>50000</v>
      </c>
      <c r="O1702" s="48" t="s">
        <v>97</v>
      </c>
      <c r="P1702" s="48">
        <f>HEX2DEC(RIGHT(Table1323212714[[#This Row],[h1]],8))</f>
        <v>0</v>
      </c>
      <c r="Q1702" s="48" t="s">
        <v>97</v>
      </c>
      <c r="R1702" s="48">
        <f>HEX2DEC(RIGHT(Table1323212714[[#This Row],[h2]],8))</f>
        <v>0</v>
      </c>
    </row>
    <row r="1703" spans="1:18" x14ac:dyDescent="0.3">
      <c r="A1703" s="15" t="str">
        <f t="shared" si="31"/>
        <v>69D</v>
      </c>
      <c r="B1703" s="15">
        <v>1693</v>
      </c>
      <c r="C1703" s="42"/>
      <c r="F1703" s="22"/>
      <c r="G1703" s="22"/>
      <c r="J1703" s="24">
        <v>50000</v>
      </c>
      <c r="M1703" s="24">
        <v>50000</v>
      </c>
      <c r="O1703" s="48" t="s">
        <v>97</v>
      </c>
      <c r="P1703" s="48">
        <f>HEX2DEC(RIGHT(Table1323212714[[#This Row],[h1]],8))</f>
        <v>0</v>
      </c>
      <c r="Q1703" s="48" t="s">
        <v>97</v>
      </c>
      <c r="R1703" s="48">
        <f>HEX2DEC(RIGHT(Table1323212714[[#This Row],[h2]],8))</f>
        <v>0</v>
      </c>
    </row>
    <row r="1704" spans="1:18" x14ac:dyDescent="0.3">
      <c r="A1704" s="15" t="str">
        <f t="shared" si="31"/>
        <v>69E</v>
      </c>
      <c r="B1704" s="15">
        <v>1694</v>
      </c>
      <c r="C1704" s="42"/>
      <c r="F1704" s="22"/>
      <c r="G1704" s="22"/>
      <c r="J1704" s="24">
        <v>50000</v>
      </c>
      <c r="M1704" s="24">
        <v>50000</v>
      </c>
      <c r="O1704" s="48" t="s">
        <v>97</v>
      </c>
      <c r="P1704" s="48">
        <f>HEX2DEC(RIGHT(Table1323212714[[#This Row],[h1]],8))</f>
        <v>0</v>
      </c>
      <c r="Q1704" s="48" t="s">
        <v>97</v>
      </c>
      <c r="R1704" s="48">
        <f>HEX2DEC(RIGHT(Table1323212714[[#This Row],[h2]],8))</f>
        <v>0</v>
      </c>
    </row>
    <row r="1705" spans="1:18" x14ac:dyDescent="0.3">
      <c r="A1705" s="15" t="str">
        <f t="shared" si="31"/>
        <v>69F</v>
      </c>
      <c r="B1705" s="15">
        <v>1695</v>
      </c>
      <c r="C1705" s="42"/>
      <c r="F1705" s="22"/>
      <c r="G1705" s="22"/>
      <c r="J1705" s="24">
        <v>50000</v>
      </c>
      <c r="M1705" s="24">
        <v>50000</v>
      </c>
      <c r="O1705" s="48" t="s">
        <v>97</v>
      </c>
      <c r="P1705" s="48">
        <f>HEX2DEC(RIGHT(Table1323212714[[#This Row],[h1]],8))</f>
        <v>0</v>
      </c>
      <c r="Q1705" s="48" t="s">
        <v>97</v>
      </c>
      <c r="R1705" s="48">
        <f>HEX2DEC(RIGHT(Table1323212714[[#This Row],[h2]],8))</f>
        <v>0</v>
      </c>
    </row>
    <row r="1706" spans="1:18" x14ac:dyDescent="0.3">
      <c r="A1706" s="15" t="str">
        <f t="shared" si="31"/>
        <v>6A0</v>
      </c>
      <c r="B1706" s="15">
        <v>1696</v>
      </c>
      <c r="C1706" s="42"/>
      <c r="F1706" s="22"/>
      <c r="G1706" s="22"/>
      <c r="J1706" s="24">
        <v>50000</v>
      </c>
      <c r="M1706" s="24">
        <v>50000</v>
      </c>
      <c r="O1706" s="48" t="s">
        <v>97</v>
      </c>
      <c r="P1706" s="48">
        <f>HEX2DEC(RIGHT(Table1323212714[[#This Row],[h1]],8))</f>
        <v>0</v>
      </c>
      <c r="Q1706" s="48" t="s">
        <v>97</v>
      </c>
      <c r="R1706" s="48">
        <f>HEX2DEC(RIGHT(Table1323212714[[#This Row],[h2]],8))</f>
        <v>0</v>
      </c>
    </row>
    <row r="1707" spans="1:18" x14ac:dyDescent="0.3">
      <c r="A1707" s="15" t="str">
        <f t="shared" si="31"/>
        <v>6A1</v>
      </c>
      <c r="B1707" s="15">
        <v>1697</v>
      </c>
      <c r="C1707" s="42"/>
      <c r="F1707" s="22"/>
      <c r="G1707" s="22"/>
      <c r="J1707" s="24">
        <v>50000</v>
      </c>
      <c r="M1707" s="24">
        <v>50000</v>
      </c>
      <c r="O1707" s="48" t="s">
        <v>97</v>
      </c>
      <c r="P1707" s="48">
        <f>HEX2DEC(RIGHT(Table1323212714[[#This Row],[h1]],8))</f>
        <v>0</v>
      </c>
      <c r="Q1707" s="48" t="s">
        <v>97</v>
      </c>
      <c r="R1707" s="48">
        <f>HEX2DEC(RIGHT(Table1323212714[[#This Row],[h2]],8))</f>
        <v>0</v>
      </c>
    </row>
    <row r="1708" spans="1:18" x14ac:dyDescent="0.3">
      <c r="A1708" s="15" t="str">
        <f t="shared" si="31"/>
        <v>6A2</v>
      </c>
      <c r="B1708" s="15">
        <v>1698</v>
      </c>
      <c r="C1708" s="42"/>
      <c r="F1708" s="22"/>
      <c r="G1708" s="22"/>
      <c r="J1708" s="24">
        <v>50000</v>
      </c>
      <c r="M1708" s="24">
        <v>50000</v>
      </c>
      <c r="O1708" s="48" t="s">
        <v>97</v>
      </c>
      <c r="P1708" s="48">
        <f>HEX2DEC(RIGHT(Table1323212714[[#This Row],[h1]],8))</f>
        <v>0</v>
      </c>
      <c r="Q1708" s="48" t="s">
        <v>97</v>
      </c>
      <c r="R1708" s="48">
        <f>HEX2DEC(RIGHT(Table1323212714[[#This Row],[h2]],8))</f>
        <v>0</v>
      </c>
    </row>
    <row r="1709" spans="1:18" x14ac:dyDescent="0.3">
      <c r="A1709" s="15" t="str">
        <f t="shared" si="31"/>
        <v>6A3</v>
      </c>
      <c r="B1709" s="15">
        <v>1699</v>
      </c>
      <c r="C1709" s="42"/>
      <c r="F1709" s="22"/>
      <c r="G1709" s="22"/>
      <c r="J1709" s="24">
        <v>50000</v>
      </c>
      <c r="M1709" s="24">
        <v>50000</v>
      </c>
      <c r="O1709" s="48" t="s">
        <v>97</v>
      </c>
      <c r="P1709" s="48">
        <f>HEX2DEC(RIGHT(Table1323212714[[#This Row],[h1]],8))</f>
        <v>0</v>
      </c>
      <c r="Q1709" s="48" t="s">
        <v>97</v>
      </c>
      <c r="R1709" s="48">
        <f>HEX2DEC(RIGHT(Table1323212714[[#This Row],[h2]],8))</f>
        <v>0</v>
      </c>
    </row>
    <row r="1710" spans="1:18" x14ac:dyDescent="0.3">
      <c r="A1710" s="15" t="str">
        <f t="shared" si="31"/>
        <v>6A4</v>
      </c>
      <c r="B1710" s="15">
        <v>1700</v>
      </c>
      <c r="C1710" s="42"/>
      <c r="F1710" s="22"/>
      <c r="G1710" s="22"/>
      <c r="J1710" s="24">
        <v>50000</v>
      </c>
      <c r="M1710" s="24">
        <v>50000</v>
      </c>
      <c r="O1710" s="48" t="s">
        <v>97</v>
      </c>
      <c r="P1710" s="48">
        <f>HEX2DEC(RIGHT(Table1323212714[[#This Row],[h1]],8))</f>
        <v>0</v>
      </c>
      <c r="Q1710" s="48" t="s">
        <v>97</v>
      </c>
      <c r="R1710" s="48">
        <f>HEX2DEC(RIGHT(Table1323212714[[#This Row],[h2]],8))</f>
        <v>0</v>
      </c>
    </row>
    <row r="1711" spans="1:18" x14ac:dyDescent="0.3">
      <c r="A1711" s="15" t="str">
        <f t="shared" si="31"/>
        <v>6A5</v>
      </c>
      <c r="B1711" s="15">
        <v>1701</v>
      </c>
      <c r="C1711" s="42"/>
      <c r="F1711" s="22"/>
      <c r="G1711" s="22"/>
      <c r="J1711" s="24">
        <v>50000</v>
      </c>
      <c r="M1711" s="24">
        <v>50000</v>
      </c>
      <c r="O1711" s="48" t="s">
        <v>97</v>
      </c>
      <c r="P1711" s="48">
        <f>HEX2DEC(RIGHT(Table1323212714[[#This Row],[h1]],8))</f>
        <v>0</v>
      </c>
      <c r="Q1711" s="48" t="s">
        <v>97</v>
      </c>
      <c r="R1711" s="48">
        <f>HEX2DEC(RIGHT(Table1323212714[[#This Row],[h2]],8))</f>
        <v>0</v>
      </c>
    </row>
    <row r="1712" spans="1:18" x14ac:dyDescent="0.3">
      <c r="A1712" s="15" t="str">
        <f t="shared" si="31"/>
        <v>6A6</v>
      </c>
      <c r="B1712" s="15">
        <v>1702</v>
      </c>
      <c r="C1712" s="42"/>
      <c r="F1712" s="22"/>
      <c r="G1712" s="22"/>
      <c r="J1712" s="24">
        <v>50000</v>
      </c>
      <c r="M1712" s="24">
        <v>50000</v>
      </c>
      <c r="O1712" s="48" t="s">
        <v>97</v>
      </c>
      <c r="P1712" s="48">
        <f>HEX2DEC(RIGHT(Table1323212714[[#This Row],[h1]],8))</f>
        <v>0</v>
      </c>
      <c r="Q1712" s="48" t="s">
        <v>97</v>
      </c>
      <c r="R1712" s="48">
        <f>HEX2DEC(RIGHT(Table1323212714[[#This Row],[h2]],8))</f>
        <v>0</v>
      </c>
    </row>
    <row r="1713" spans="1:18" x14ac:dyDescent="0.3">
      <c r="A1713" s="15" t="str">
        <f t="shared" si="31"/>
        <v>6A7</v>
      </c>
      <c r="B1713" s="15">
        <v>1703</v>
      </c>
      <c r="C1713" s="42"/>
      <c r="F1713" s="22"/>
      <c r="G1713" s="22"/>
      <c r="J1713" s="24">
        <v>50000</v>
      </c>
      <c r="M1713" s="24">
        <v>50000</v>
      </c>
      <c r="O1713" s="48" t="s">
        <v>97</v>
      </c>
      <c r="P1713" s="48">
        <f>HEX2DEC(RIGHT(Table1323212714[[#This Row],[h1]],8))</f>
        <v>0</v>
      </c>
      <c r="Q1713" s="48" t="s">
        <v>97</v>
      </c>
      <c r="R1713" s="48">
        <f>HEX2DEC(RIGHT(Table1323212714[[#This Row],[h2]],8))</f>
        <v>0</v>
      </c>
    </row>
    <row r="1714" spans="1:18" x14ac:dyDescent="0.3">
      <c r="A1714" s="15" t="str">
        <f t="shared" si="31"/>
        <v>6A8</v>
      </c>
      <c r="B1714" s="15">
        <v>1704</v>
      </c>
      <c r="C1714" s="42"/>
      <c r="F1714" s="22"/>
      <c r="G1714" s="22"/>
      <c r="J1714" s="24">
        <v>50000</v>
      </c>
      <c r="M1714" s="24">
        <v>50000</v>
      </c>
      <c r="O1714" s="48" t="s">
        <v>97</v>
      </c>
      <c r="P1714" s="48">
        <f>HEX2DEC(RIGHT(Table1323212714[[#This Row],[h1]],8))</f>
        <v>0</v>
      </c>
      <c r="Q1714" s="48" t="s">
        <v>97</v>
      </c>
      <c r="R1714" s="48">
        <f>HEX2DEC(RIGHT(Table1323212714[[#This Row],[h2]],8))</f>
        <v>0</v>
      </c>
    </row>
    <row r="1715" spans="1:18" x14ac:dyDescent="0.3">
      <c r="A1715" s="15" t="str">
        <f t="shared" si="31"/>
        <v>6A9</v>
      </c>
      <c r="B1715" s="15">
        <v>1705</v>
      </c>
      <c r="C1715" s="42"/>
      <c r="F1715" s="22"/>
      <c r="G1715" s="22"/>
      <c r="J1715" s="24">
        <v>50000</v>
      </c>
      <c r="M1715" s="24">
        <v>50000</v>
      </c>
      <c r="O1715" s="48" t="s">
        <v>97</v>
      </c>
      <c r="P1715" s="48">
        <f>HEX2DEC(RIGHT(Table1323212714[[#This Row],[h1]],8))</f>
        <v>0</v>
      </c>
      <c r="Q1715" s="48" t="s">
        <v>97</v>
      </c>
      <c r="R1715" s="48">
        <f>HEX2DEC(RIGHT(Table1323212714[[#This Row],[h2]],8))</f>
        <v>0</v>
      </c>
    </row>
    <row r="1716" spans="1:18" x14ac:dyDescent="0.3">
      <c r="A1716" s="15" t="str">
        <f t="shared" si="31"/>
        <v>6AA</v>
      </c>
      <c r="B1716" s="15">
        <v>1706</v>
      </c>
      <c r="C1716" s="42"/>
      <c r="F1716" s="22"/>
      <c r="G1716" s="22"/>
      <c r="J1716" s="24">
        <v>50000</v>
      </c>
      <c r="M1716" s="24">
        <v>50000</v>
      </c>
      <c r="O1716" s="48" t="s">
        <v>97</v>
      </c>
      <c r="P1716" s="48">
        <f>HEX2DEC(RIGHT(Table1323212714[[#This Row],[h1]],8))</f>
        <v>0</v>
      </c>
      <c r="Q1716" s="48" t="s">
        <v>97</v>
      </c>
      <c r="R1716" s="48">
        <f>HEX2DEC(RIGHT(Table1323212714[[#This Row],[h2]],8))</f>
        <v>0</v>
      </c>
    </row>
    <row r="1717" spans="1:18" x14ac:dyDescent="0.3">
      <c r="A1717" s="15" t="str">
        <f t="shared" si="31"/>
        <v>6AB</v>
      </c>
      <c r="B1717" s="15">
        <v>1707</v>
      </c>
      <c r="C1717" s="42"/>
      <c r="F1717" s="22"/>
      <c r="G1717" s="22"/>
      <c r="J1717" s="24">
        <v>50000</v>
      </c>
      <c r="M1717" s="24">
        <v>50000</v>
      </c>
      <c r="O1717" s="48" t="s">
        <v>97</v>
      </c>
      <c r="P1717" s="48">
        <f>HEX2DEC(RIGHT(Table1323212714[[#This Row],[h1]],8))</f>
        <v>0</v>
      </c>
      <c r="Q1717" s="48" t="s">
        <v>97</v>
      </c>
      <c r="R1717" s="48">
        <f>HEX2DEC(RIGHT(Table1323212714[[#This Row],[h2]],8))</f>
        <v>0</v>
      </c>
    </row>
    <row r="1718" spans="1:18" x14ac:dyDescent="0.3">
      <c r="A1718" s="15" t="str">
        <f t="shared" si="31"/>
        <v>6AC</v>
      </c>
      <c r="B1718" s="15">
        <v>1708</v>
      </c>
      <c r="C1718" s="42"/>
      <c r="F1718" s="22"/>
      <c r="G1718" s="22"/>
      <c r="J1718" s="24">
        <v>50000</v>
      </c>
      <c r="M1718" s="24">
        <v>50000</v>
      </c>
      <c r="O1718" s="48" t="s">
        <v>97</v>
      </c>
      <c r="P1718" s="48">
        <f>HEX2DEC(RIGHT(Table1323212714[[#This Row],[h1]],8))</f>
        <v>0</v>
      </c>
      <c r="Q1718" s="48" t="s">
        <v>97</v>
      </c>
      <c r="R1718" s="48">
        <f>HEX2DEC(RIGHT(Table1323212714[[#This Row],[h2]],8))</f>
        <v>0</v>
      </c>
    </row>
    <row r="1719" spans="1:18" x14ac:dyDescent="0.3">
      <c r="A1719" s="15" t="str">
        <f t="shared" si="31"/>
        <v>6AD</v>
      </c>
      <c r="B1719" s="15">
        <v>1709</v>
      </c>
      <c r="C1719" s="42"/>
      <c r="F1719" s="22"/>
      <c r="G1719" s="22"/>
      <c r="J1719" s="24">
        <v>50000</v>
      </c>
      <c r="M1719" s="24">
        <v>50000</v>
      </c>
      <c r="O1719" s="48" t="s">
        <v>97</v>
      </c>
      <c r="P1719" s="48">
        <f>HEX2DEC(RIGHT(Table1323212714[[#This Row],[h1]],8))</f>
        <v>0</v>
      </c>
      <c r="Q1719" s="48" t="s">
        <v>97</v>
      </c>
      <c r="R1719" s="48">
        <f>HEX2DEC(RIGHT(Table1323212714[[#This Row],[h2]],8))</f>
        <v>0</v>
      </c>
    </row>
    <row r="1720" spans="1:18" x14ac:dyDescent="0.3">
      <c r="A1720" s="15" t="str">
        <f t="shared" si="31"/>
        <v>6AE</v>
      </c>
      <c r="B1720" s="15">
        <v>1710</v>
      </c>
      <c r="C1720" s="42"/>
      <c r="F1720" s="22"/>
      <c r="G1720" s="22"/>
      <c r="J1720" s="24">
        <v>50000</v>
      </c>
      <c r="M1720" s="24">
        <v>50000</v>
      </c>
      <c r="O1720" s="48" t="s">
        <v>97</v>
      </c>
      <c r="P1720" s="48">
        <f>HEX2DEC(RIGHT(Table1323212714[[#This Row],[h1]],8))</f>
        <v>0</v>
      </c>
      <c r="Q1720" s="48" t="s">
        <v>97</v>
      </c>
      <c r="R1720" s="48">
        <f>HEX2DEC(RIGHT(Table1323212714[[#This Row],[h2]],8))</f>
        <v>0</v>
      </c>
    </row>
    <row r="1721" spans="1:18" x14ac:dyDescent="0.3">
      <c r="A1721" s="15" t="str">
        <f t="shared" si="31"/>
        <v>6AF</v>
      </c>
      <c r="B1721" s="15">
        <v>1711</v>
      </c>
      <c r="C1721" s="42"/>
      <c r="F1721" s="22"/>
      <c r="G1721" s="22"/>
      <c r="J1721" s="24">
        <v>50000</v>
      </c>
      <c r="M1721" s="24">
        <v>50000</v>
      </c>
      <c r="O1721" s="48" t="s">
        <v>97</v>
      </c>
      <c r="P1721" s="48">
        <f>HEX2DEC(RIGHT(Table1323212714[[#This Row],[h1]],8))</f>
        <v>0</v>
      </c>
      <c r="Q1721" s="48" t="s">
        <v>97</v>
      </c>
      <c r="R1721" s="48">
        <f>HEX2DEC(RIGHT(Table1323212714[[#This Row],[h2]],8))</f>
        <v>0</v>
      </c>
    </row>
    <row r="1722" spans="1:18" x14ac:dyDescent="0.3">
      <c r="A1722" s="15" t="str">
        <f t="shared" si="31"/>
        <v>6B0</v>
      </c>
      <c r="B1722" s="15">
        <v>1712</v>
      </c>
      <c r="C1722" s="42"/>
      <c r="F1722" s="22"/>
      <c r="G1722" s="22"/>
      <c r="J1722" s="24">
        <v>50000</v>
      </c>
      <c r="M1722" s="24">
        <v>50000</v>
      </c>
      <c r="O1722" s="48" t="s">
        <v>97</v>
      </c>
      <c r="P1722" s="48">
        <f>HEX2DEC(RIGHT(Table1323212714[[#This Row],[h1]],8))</f>
        <v>0</v>
      </c>
      <c r="Q1722" s="48" t="s">
        <v>97</v>
      </c>
      <c r="R1722" s="48">
        <f>HEX2DEC(RIGHT(Table1323212714[[#This Row],[h2]],8))</f>
        <v>0</v>
      </c>
    </row>
    <row r="1723" spans="1:18" x14ac:dyDescent="0.3">
      <c r="A1723" s="15" t="str">
        <f t="shared" si="31"/>
        <v>6B1</v>
      </c>
      <c r="B1723" s="15">
        <v>1713</v>
      </c>
      <c r="C1723" s="42"/>
      <c r="F1723" s="22"/>
      <c r="G1723" s="22"/>
      <c r="J1723" s="24">
        <v>50000</v>
      </c>
      <c r="M1723" s="24">
        <v>50000</v>
      </c>
      <c r="O1723" s="48" t="s">
        <v>97</v>
      </c>
      <c r="P1723" s="48">
        <f>HEX2DEC(RIGHT(Table1323212714[[#This Row],[h1]],8))</f>
        <v>0</v>
      </c>
      <c r="Q1723" s="48" t="s">
        <v>97</v>
      </c>
      <c r="R1723" s="48">
        <f>HEX2DEC(RIGHT(Table1323212714[[#This Row],[h2]],8))</f>
        <v>0</v>
      </c>
    </row>
    <row r="1724" spans="1:18" x14ac:dyDescent="0.3">
      <c r="A1724" s="15" t="str">
        <f t="shared" si="31"/>
        <v>6B2</v>
      </c>
      <c r="B1724" s="15">
        <v>1714</v>
      </c>
      <c r="C1724" s="42"/>
      <c r="F1724" s="22"/>
      <c r="G1724" s="22"/>
      <c r="J1724" s="24">
        <v>50000</v>
      </c>
      <c r="M1724" s="24">
        <v>50000</v>
      </c>
      <c r="O1724" s="48" t="s">
        <v>97</v>
      </c>
      <c r="P1724" s="48">
        <f>HEX2DEC(RIGHT(Table1323212714[[#This Row],[h1]],8))</f>
        <v>0</v>
      </c>
      <c r="Q1724" s="48" t="s">
        <v>97</v>
      </c>
      <c r="R1724" s="48">
        <f>HEX2DEC(RIGHT(Table1323212714[[#This Row],[h2]],8))</f>
        <v>0</v>
      </c>
    </row>
    <row r="1725" spans="1:18" x14ac:dyDescent="0.3">
      <c r="A1725" s="15" t="str">
        <f t="shared" si="31"/>
        <v>6B3</v>
      </c>
      <c r="B1725" s="15">
        <v>1715</v>
      </c>
      <c r="C1725" s="42"/>
      <c r="F1725" s="22"/>
      <c r="G1725" s="22"/>
      <c r="J1725" s="24">
        <v>50000</v>
      </c>
      <c r="M1725" s="24">
        <v>50000</v>
      </c>
      <c r="O1725" s="48" t="s">
        <v>97</v>
      </c>
      <c r="P1725" s="48">
        <f>HEX2DEC(RIGHT(Table1323212714[[#This Row],[h1]],8))</f>
        <v>0</v>
      </c>
      <c r="Q1725" s="48" t="s">
        <v>97</v>
      </c>
      <c r="R1725" s="48">
        <f>HEX2DEC(RIGHT(Table1323212714[[#This Row],[h2]],8))</f>
        <v>0</v>
      </c>
    </row>
    <row r="1726" spans="1:18" x14ac:dyDescent="0.3">
      <c r="A1726" s="15" t="str">
        <f t="shared" si="31"/>
        <v>6B4</v>
      </c>
      <c r="B1726" s="15">
        <v>1716</v>
      </c>
      <c r="C1726" s="42"/>
      <c r="F1726" s="22"/>
      <c r="G1726" s="22"/>
      <c r="J1726" s="24">
        <v>50000</v>
      </c>
      <c r="M1726" s="24">
        <v>50000</v>
      </c>
      <c r="O1726" s="48" t="s">
        <v>97</v>
      </c>
      <c r="P1726" s="48">
        <f>HEX2DEC(RIGHT(Table1323212714[[#This Row],[h1]],8))</f>
        <v>0</v>
      </c>
      <c r="Q1726" s="48" t="s">
        <v>97</v>
      </c>
      <c r="R1726" s="48">
        <f>HEX2DEC(RIGHT(Table1323212714[[#This Row],[h2]],8))</f>
        <v>0</v>
      </c>
    </row>
    <row r="1727" spans="1:18" x14ac:dyDescent="0.3">
      <c r="A1727" s="15" t="str">
        <f t="shared" si="31"/>
        <v>6B5</v>
      </c>
      <c r="B1727" s="15">
        <v>1717</v>
      </c>
      <c r="C1727" s="42"/>
      <c r="F1727" s="22"/>
      <c r="G1727" s="22"/>
      <c r="J1727" s="24">
        <v>50000</v>
      </c>
      <c r="M1727" s="24">
        <v>50000</v>
      </c>
      <c r="O1727" s="48" t="s">
        <v>97</v>
      </c>
      <c r="P1727" s="48">
        <f>HEX2DEC(RIGHT(Table1323212714[[#This Row],[h1]],8))</f>
        <v>0</v>
      </c>
      <c r="Q1727" s="48" t="s">
        <v>97</v>
      </c>
      <c r="R1727" s="48">
        <f>HEX2DEC(RIGHT(Table1323212714[[#This Row],[h2]],8))</f>
        <v>0</v>
      </c>
    </row>
    <row r="1728" spans="1:18" x14ac:dyDescent="0.3">
      <c r="A1728" s="15" t="str">
        <f t="shared" si="31"/>
        <v>6B6</v>
      </c>
      <c r="B1728" s="15">
        <v>1718</v>
      </c>
      <c r="C1728" s="42"/>
      <c r="F1728" s="22"/>
      <c r="G1728" s="22"/>
      <c r="J1728" s="24">
        <v>50000</v>
      </c>
      <c r="M1728" s="24">
        <v>50000</v>
      </c>
      <c r="O1728" s="48" t="s">
        <v>97</v>
      </c>
      <c r="P1728" s="48">
        <f>HEX2DEC(RIGHT(Table1323212714[[#This Row],[h1]],8))</f>
        <v>0</v>
      </c>
      <c r="Q1728" s="48" t="s">
        <v>97</v>
      </c>
      <c r="R1728" s="48">
        <f>HEX2DEC(RIGHT(Table1323212714[[#This Row],[h2]],8))</f>
        <v>0</v>
      </c>
    </row>
    <row r="1729" spans="1:18" x14ac:dyDescent="0.3">
      <c r="A1729" s="15" t="str">
        <f t="shared" si="31"/>
        <v>6B7</v>
      </c>
      <c r="B1729" s="15">
        <v>1719</v>
      </c>
      <c r="C1729" s="42"/>
      <c r="F1729" s="22"/>
      <c r="G1729" s="22"/>
      <c r="J1729" s="24">
        <v>50000</v>
      </c>
      <c r="M1729" s="24">
        <v>50000</v>
      </c>
      <c r="O1729" s="48" t="s">
        <v>97</v>
      </c>
      <c r="P1729" s="48">
        <f>HEX2DEC(RIGHT(Table1323212714[[#This Row],[h1]],8))</f>
        <v>0</v>
      </c>
      <c r="Q1729" s="48" t="s">
        <v>97</v>
      </c>
      <c r="R1729" s="48">
        <f>HEX2DEC(RIGHT(Table1323212714[[#This Row],[h2]],8))</f>
        <v>0</v>
      </c>
    </row>
    <row r="1730" spans="1:18" x14ac:dyDescent="0.3">
      <c r="A1730" s="15" t="str">
        <f t="shared" si="31"/>
        <v>6B8</v>
      </c>
      <c r="B1730" s="15">
        <v>1720</v>
      </c>
      <c r="C1730" s="42"/>
      <c r="F1730" s="22"/>
      <c r="G1730" s="22"/>
      <c r="J1730" s="24">
        <v>50000</v>
      </c>
      <c r="M1730" s="24">
        <v>50000</v>
      </c>
      <c r="O1730" s="48" t="s">
        <v>97</v>
      </c>
      <c r="P1730" s="48">
        <f>HEX2DEC(RIGHT(Table1323212714[[#This Row],[h1]],8))</f>
        <v>0</v>
      </c>
      <c r="Q1730" s="48" t="s">
        <v>97</v>
      </c>
      <c r="R1730" s="48">
        <f>HEX2DEC(RIGHT(Table1323212714[[#This Row],[h2]],8))</f>
        <v>0</v>
      </c>
    </row>
    <row r="1731" spans="1:18" x14ac:dyDescent="0.3">
      <c r="A1731" s="15" t="str">
        <f t="shared" si="31"/>
        <v>6B9</v>
      </c>
      <c r="B1731" s="15">
        <v>1721</v>
      </c>
      <c r="C1731" s="42"/>
      <c r="F1731" s="22"/>
      <c r="G1731" s="22"/>
      <c r="J1731" s="24">
        <v>50000</v>
      </c>
      <c r="M1731" s="24">
        <v>50000</v>
      </c>
      <c r="O1731" s="48" t="s">
        <v>97</v>
      </c>
      <c r="P1731" s="48">
        <f>HEX2DEC(RIGHT(Table1323212714[[#This Row],[h1]],8))</f>
        <v>0</v>
      </c>
      <c r="Q1731" s="48" t="s">
        <v>97</v>
      </c>
      <c r="R1731" s="48">
        <f>HEX2DEC(RIGHT(Table1323212714[[#This Row],[h2]],8))</f>
        <v>0</v>
      </c>
    </row>
    <row r="1732" spans="1:18" x14ac:dyDescent="0.3">
      <c r="A1732" s="15" t="str">
        <f t="shared" si="31"/>
        <v>6BA</v>
      </c>
      <c r="B1732" s="15">
        <v>1722</v>
      </c>
      <c r="C1732" s="42"/>
      <c r="F1732" s="22"/>
      <c r="G1732" s="22"/>
      <c r="J1732" s="24">
        <v>50000</v>
      </c>
      <c r="M1732" s="24">
        <v>50000</v>
      </c>
      <c r="O1732" s="48" t="s">
        <v>97</v>
      </c>
      <c r="P1732" s="48">
        <f>HEX2DEC(RIGHT(Table1323212714[[#This Row],[h1]],8))</f>
        <v>0</v>
      </c>
      <c r="Q1732" s="48" t="s">
        <v>97</v>
      </c>
      <c r="R1732" s="48">
        <f>HEX2DEC(RIGHT(Table1323212714[[#This Row],[h2]],8))</f>
        <v>0</v>
      </c>
    </row>
    <row r="1733" spans="1:18" x14ac:dyDescent="0.3">
      <c r="A1733" s="15" t="str">
        <f t="shared" si="31"/>
        <v>6BB</v>
      </c>
      <c r="B1733" s="15">
        <v>1723</v>
      </c>
      <c r="C1733" s="42"/>
      <c r="F1733" s="22"/>
      <c r="G1733" s="22"/>
      <c r="J1733" s="24">
        <v>50000</v>
      </c>
      <c r="M1733" s="24">
        <v>50000</v>
      </c>
      <c r="O1733" s="48" t="s">
        <v>97</v>
      </c>
      <c r="P1733" s="48">
        <f>HEX2DEC(RIGHT(Table1323212714[[#This Row],[h1]],8))</f>
        <v>0</v>
      </c>
      <c r="Q1733" s="48" t="s">
        <v>97</v>
      </c>
      <c r="R1733" s="48">
        <f>HEX2DEC(RIGHT(Table1323212714[[#This Row],[h2]],8))</f>
        <v>0</v>
      </c>
    </row>
    <row r="1734" spans="1:18" x14ac:dyDescent="0.3">
      <c r="A1734" s="15" t="str">
        <f t="shared" si="31"/>
        <v>6BC</v>
      </c>
      <c r="B1734" s="15">
        <v>1724</v>
      </c>
      <c r="C1734" s="42"/>
      <c r="F1734" s="22"/>
      <c r="G1734" s="22"/>
      <c r="J1734" s="24">
        <v>50000</v>
      </c>
      <c r="M1734" s="24">
        <v>50000</v>
      </c>
      <c r="O1734" s="48" t="s">
        <v>97</v>
      </c>
      <c r="P1734" s="48">
        <f>HEX2DEC(RIGHT(Table1323212714[[#This Row],[h1]],8))</f>
        <v>0</v>
      </c>
      <c r="Q1734" s="48" t="s">
        <v>97</v>
      </c>
      <c r="R1734" s="48">
        <f>HEX2DEC(RIGHT(Table1323212714[[#This Row],[h2]],8))</f>
        <v>0</v>
      </c>
    </row>
    <row r="1735" spans="1:18" x14ac:dyDescent="0.3">
      <c r="A1735" s="15" t="str">
        <f t="shared" si="31"/>
        <v>6BD</v>
      </c>
      <c r="B1735" s="15">
        <v>1725</v>
      </c>
      <c r="C1735" s="42"/>
      <c r="F1735" s="22"/>
      <c r="G1735" s="22"/>
      <c r="J1735" s="24">
        <v>50000</v>
      </c>
      <c r="M1735" s="24">
        <v>50000</v>
      </c>
      <c r="O1735" s="48" t="s">
        <v>97</v>
      </c>
      <c r="P1735" s="48">
        <f>HEX2DEC(RIGHT(Table1323212714[[#This Row],[h1]],8))</f>
        <v>0</v>
      </c>
      <c r="Q1735" s="48" t="s">
        <v>97</v>
      </c>
      <c r="R1735" s="48">
        <f>HEX2DEC(RIGHT(Table1323212714[[#This Row],[h2]],8))</f>
        <v>0</v>
      </c>
    </row>
    <row r="1736" spans="1:18" x14ac:dyDescent="0.3">
      <c r="A1736" s="15" t="str">
        <f t="shared" si="31"/>
        <v>6BE</v>
      </c>
      <c r="B1736" s="15">
        <v>1726</v>
      </c>
      <c r="C1736" s="42"/>
      <c r="F1736" s="22"/>
      <c r="G1736" s="22"/>
      <c r="J1736" s="24">
        <v>50000</v>
      </c>
      <c r="M1736" s="24">
        <v>50000</v>
      </c>
      <c r="O1736" s="48" t="s">
        <v>97</v>
      </c>
      <c r="P1736" s="48">
        <f>HEX2DEC(RIGHT(Table1323212714[[#This Row],[h1]],8))</f>
        <v>0</v>
      </c>
      <c r="Q1736" s="48" t="s">
        <v>97</v>
      </c>
      <c r="R1736" s="48">
        <f>HEX2DEC(RIGHT(Table1323212714[[#This Row],[h2]],8))</f>
        <v>0</v>
      </c>
    </row>
    <row r="1737" spans="1:18" x14ac:dyDescent="0.3">
      <c r="A1737" s="15" t="str">
        <f t="shared" si="31"/>
        <v>6BF</v>
      </c>
      <c r="B1737" s="15">
        <v>1727</v>
      </c>
      <c r="C1737" s="42"/>
      <c r="F1737" s="22"/>
      <c r="G1737" s="22"/>
      <c r="J1737" s="24">
        <v>50000</v>
      </c>
      <c r="M1737" s="24">
        <v>50000</v>
      </c>
      <c r="O1737" s="48" t="s">
        <v>97</v>
      </c>
      <c r="P1737" s="48">
        <f>HEX2DEC(RIGHT(Table1323212714[[#This Row],[h1]],8))</f>
        <v>0</v>
      </c>
      <c r="Q1737" s="48" t="s">
        <v>97</v>
      </c>
      <c r="R1737" s="48">
        <f>HEX2DEC(RIGHT(Table1323212714[[#This Row],[h2]],8))</f>
        <v>0</v>
      </c>
    </row>
    <row r="1738" spans="1:18" x14ac:dyDescent="0.3">
      <c r="A1738" s="15" t="str">
        <f t="shared" si="31"/>
        <v>6C0</v>
      </c>
      <c r="B1738" s="15">
        <v>1728</v>
      </c>
      <c r="C1738" s="42"/>
      <c r="F1738" s="22"/>
      <c r="G1738" s="22"/>
      <c r="J1738" s="24">
        <v>50000</v>
      </c>
      <c r="M1738" s="24">
        <v>50000</v>
      </c>
      <c r="O1738" s="48" t="s">
        <v>97</v>
      </c>
      <c r="P1738" s="48">
        <f>HEX2DEC(RIGHT(Table1323212714[[#This Row],[h1]],8))</f>
        <v>0</v>
      </c>
      <c r="Q1738" s="48" t="s">
        <v>97</v>
      </c>
      <c r="R1738" s="48">
        <f>HEX2DEC(RIGHT(Table1323212714[[#This Row],[h2]],8))</f>
        <v>0</v>
      </c>
    </row>
    <row r="1739" spans="1:18" x14ac:dyDescent="0.3">
      <c r="A1739" s="15" t="str">
        <f t="shared" ref="A1739:A1802" si="32">DEC2HEX(B1739,3)</f>
        <v>6C1</v>
      </c>
      <c r="B1739" s="15">
        <v>1729</v>
      </c>
      <c r="C1739" s="42"/>
      <c r="F1739" s="22"/>
      <c r="G1739" s="22"/>
      <c r="J1739" s="24">
        <v>50000</v>
      </c>
      <c r="M1739" s="24">
        <v>50000</v>
      </c>
      <c r="O1739" s="48" t="s">
        <v>97</v>
      </c>
      <c r="P1739" s="48">
        <f>HEX2DEC(RIGHT(Table1323212714[[#This Row],[h1]],8))</f>
        <v>0</v>
      </c>
      <c r="Q1739" s="48" t="s">
        <v>97</v>
      </c>
      <c r="R1739" s="48">
        <f>HEX2DEC(RIGHT(Table1323212714[[#This Row],[h2]],8))</f>
        <v>0</v>
      </c>
    </row>
    <row r="1740" spans="1:18" x14ac:dyDescent="0.3">
      <c r="A1740" s="15" t="str">
        <f t="shared" si="32"/>
        <v>6C2</v>
      </c>
      <c r="B1740" s="15">
        <v>1730</v>
      </c>
      <c r="C1740" s="42"/>
      <c r="F1740" s="22"/>
      <c r="G1740" s="22"/>
      <c r="J1740" s="24">
        <v>50000</v>
      </c>
      <c r="M1740" s="24">
        <v>50000</v>
      </c>
      <c r="O1740" s="48" t="s">
        <v>97</v>
      </c>
      <c r="P1740" s="48">
        <f>HEX2DEC(RIGHT(Table1323212714[[#This Row],[h1]],8))</f>
        <v>0</v>
      </c>
      <c r="Q1740" s="48" t="s">
        <v>97</v>
      </c>
      <c r="R1740" s="48">
        <f>HEX2DEC(RIGHT(Table1323212714[[#This Row],[h2]],8))</f>
        <v>0</v>
      </c>
    </row>
    <row r="1741" spans="1:18" x14ac:dyDescent="0.3">
      <c r="A1741" s="15" t="str">
        <f t="shared" si="32"/>
        <v>6C3</v>
      </c>
      <c r="B1741" s="15">
        <v>1731</v>
      </c>
      <c r="C1741" s="42"/>
      <c r="F1741" s="22"/>
      <c r="G1741" s="22"/>
      <c r="J1741" s="24">
        <v>50000</v>
      </c>
      <c r="M1741" s="24">
        <v>50000</v>
      </c>
      <c r="O1741" s="48" t="s">
        <v>97</v>
      </c>
      <c r="P1741" s="48">
        <f>HEX2DEC(RIGHT(Table1323212714[[#This Row],[h1]],8))</f>
        <v>0</v>
      </c>
      <c r="Q1741" s="48" t="s">
        <v>97</v>
      </c>
      <c r="R1741" s="48">
        <f>HEX2DEC(RIGHT(Table1323212714[[#This Row],[h2]],8))</f>
        <v>0</v>
      </c>
    </row>
    <row r="1742" spans="1:18" x14ac:dyDescent="0.3">
      <c r="A1742" s="15" t="str">
        <f t="shared" si="32"/>
        <v>6C4</v>
      </c>
      <c r="B1742" s="15">
        <v>1732</v>
      </c>
      <c r="C1742" s="42"/>
      <c r="F1742" s="22"/>
      <c r="G1742" s="22"/>
      <c r="J1742" s="24">
        <v>50000</v>
      </c>
      <c r="M1742" s="24">
        <v>50000</v>
      </c>
      <c r="O1742" s="48" t="s">
        <v>97</v>
      </c>
      <c r="P1742" s="48">
        <f>HEX2DEC(RIGHT(Table1323212714[[#This Row],[h1]],8))</f>
        <v>0</v>
      </c>
      <c r="Q1742" s="48" t="s">
        <v>97</v>
      </c>
      <c r="R1742" s="48">
        <f>HEX2DEC(RIGHT(Table1323212714[[#This Row],[h2]],8))</f>
        <v>0</v>
      </c>
    </row>
    <row r="1743" spans="1:18" x14ac:dyDescent="0.3">
      <c r="A1743" s="15" t="str">
        <f t="shared" si="32"/>
        <v>6C5</v>
      </c>
      <c r="B1743" s="15">
        <v>1733</v>
      </c>
      <c r="C1743" s="42"/>
      <c r="F1743" s="22"/>
      <c r="G1743" s="22"/>
      <c r="J1743" s="24">
        <v>50000</v>
      </c>
      <c r="M1743" s="24">
        <v>50000</v>
      </c>
      <c r="O1743" s="48" t="s">
        <v>97</v>
      </c>
      <c r="P1743" s="48">
        <f>HEX2DEC(RIGHT(Table1323212714[[#This Row],[h1]],8))</f>
        <v>0</v>
      </c>
      <c r="Q1743" s="48" t="s">
        <v>97</v>
      </c>
      <c r="R1743" s="48">
        <f>HEX2DEC(RIGHT(Table1323212714[[#This Row],[h2]],8))</f>
        <v>0</v>
      </c>
    </row>
    <row r="1744" spans="1:18" x14ac:dyDescent="0.3">
      <c r="A1744" s="15" t="str">
        <f t="shared" si="32"/>
        <v>6C6</v>
      </c>
      <c r="B1744" s="15">
        <v>1734</v>
      </c>
      <c r="C1744" s="42"/>
      <c r="F1744" s="22"/>
      <c r="G1744" s="22"/>
      <c r="J1744" s="24">
        <v>50000</v>
      </c>
      <c r="M1744" s="24">
        <v>50000</v>
      </c>
      <c r="O1744" s="48" t="s">
        <v>97</v>
      </c>
      <c r="P1744" s="48">
        <f>HEX2DEC(RIGHT(Table1323212714[[#This Row],[h1]],8))</f>
        <v>0</v>
      </c>
      <c r="Q1744" s="48" t="s">
        <v>97</v>
      </c>
      <c r="R1744" s="48">
        <f>HEX2DEC(RIGHT(Table1323212714[[#This Row],[h2]],8))</f>
        <v>0</v>
      </c>
    </row>
    <row r="1745" spans="1:18" x14ac:dyDescent="0.3">
      <c r="A1745" s="15" t="str">
        <f t="shared" si="32"/>
        <v>6C7</v>
      </c>
      <c r="B1745" s="15">
        <v>1735</v>
      </c>
      <c r="C1745" s="42"/>
      <c r="F1745" s="22"/>
      <c r="G1745" s="22"/>
      <c r="J1745" s="24">
        <v>50000</v>
      </c>
      <c r="M1745" s="24">
        <v>50000</v>
      </c>
      <c r="O1745" s="48" t="s">
        <v>97</v>
      </c>
      <c r="P1745" s="48">
        <f>HEX2DEC(RIGHT(Table1323212714[[#This Row],[h1]],8))</f>
        <v>0</v>
      </c>
      <c r="Q1745" s="48" t="s">
        <v>97</v>
      </c>
      <c r="R1745" s="48">
        <f>HEX2DEC(RIGHT(Table1323212714[[#This Row],[h2]],8))</f>
        <v>0</v>
      </c>
    </row>
    <row r="1746" spans="1:18" x14ac:dyDescent="0.3">
      <c r="A1746" s="15" t="str">
        <f t="shared" si="32"/>
        <v>6C8</v>
      </c>
      <c r="B1746" s="15">
        <v>1736</v>
      </c>
      <c r="C1746" s="42"/>
      <c r="F1746" s="22"/>
      <c r="G1746" s="22"/>
      <c r="J1746" s="24">
        <v>50000</v>
      </c>
      <c r="M1746" s="24">
        <v>50000</v>
      </c>
      <c r="O1746" s="48" t="s">
        <v>97</v>
      </c>
      <c r="P1746" s="48">
        <f>HEX2DEC(RIGHT(Table1323212714[[#This Row],[h1]],8))</f>
        <v>0</v>
      </c>
      <c r="Q1746" s="48" t="s">
        <v>97</v>
      </c>
      <c r="R1746" s="48">
        <f>HEX2DEC(RIGHT(Table1323212714[[#This Row],[h2]],8))</f>
        <v>0</v>
      </c>
    </row>
    <row r="1747" spans="1:18" x14ac:dyDescent="0.3">
      <c r="A1747" s="15" t="str">
        <f t="shared" si="32"/>
        <v>6C9</v>
      </c>
      <c r="B1747" s="15">
        <v>1737</v>
      </c>
      <c r="C1747" s="42"/>
      <c r="F1747" s="22"/>
      <c r="G1747" s="22"/>
      <c r="J1747" s="24">
        <v>50000</v>
      </c>
      <c r="M1747" s="24">
        <v>50000</v>
      </c>
      <c r="O1747" s="48" t="s">
        <v>97</v>
      </c>
      <c r="P1747" s="48">
        <f>HEX2DEC(RIGHT(Table1323212714[[#This Row],[h1]],8))</f>
        <v>0</v>
      </c>
      <c r="Q1747" s="48" t="s">
        <v>97</v>
      </c>
      <c r="R1747" s="48">
        <f>HEX2DEC(RIGHT(Table1323212714[[#This Row],[h2]],8))</f>
        <v>0</v>
      </c>
    </row>
    <row r="1748" spans="1:18" x14ac:dyDescent="0.3">
      <c r="A1748" s="15" t="str">
        <f t="shared" si="32"/>
        <v>6CA</v>
      </c>
      <c r="B1748" s="15">
        <v>1738</v>
      </c>
      <c r="C1748" s="42"/>
      <c r="F1748" s="22"/>
      <c r="G1748" s="22"/>
      <c r="J1748" s="24">
        <v>50000</v>
      </c>
      <c r="M1748" s="24">
        <v>50000</v>
      </c>
      <c r="O1748" s="48" t="s">
        <v>97</v>
      </c>
      <c r="P1748" s="48">
        <f>HEX2DEC(RIGHT(Table1323212714[[#This Row],[h1]],8))</f>
        <v>0</v>
      </c>
      <c r="Q1748" s="48" t="s">
        <v>97</v>
      </c>
      <c r="R1748" s="48">
        <f>HEX2DEC(RIGHT(Table1323212714[[#This Row],[h2]],8))</f>
        <v>0</v>
      </c>
    </row>
    <row r="1749" spans="1:18" x14ac:dyDescent="0.3">
      <c r="A1749" s="15" t="str">
        <f t="shared" si="32"/>
        <v>6CB</v>
      </c>
      <c r="B1749" s="15">
        <v>1739</v>
      </c>
      <c r="C1749" s="42"/>
      <c r="F1749" s="22"/>
      <c r="G1749" s="22"/>
      <c r="J1749" s="24">
        <v>50000</v>
      </c>
      <c r="M1749" s="24">
        <v>50000</v>
      </c>
      <c r="O1749" s="48" t="s">
        <v>97</v>
      </c>
      <c r="P1749" s="48">
        <f>HEX2DEC(RIGHT(Table1323212714[[#This Row],[h1]],8))</f>
        <v>0</v>
      </c>
      <c r="Q1749" s="48" t="s">
        <v>97</v>
      </c>
      <c r="R1749" s="48">
        <f>HEX2DEC(RIGHT(Table1323212714[[#This Row],[h2]],8))</f>
        <v>0</v>
      </c>
    </row>
    <row r="1750" spans="1:18" x14ac:dyDescent="0.3">
      <c r="A1750" s="15" t="str">
        <f t="shared" si="32"/>
        <v>6CC</v>
      </c>
      <c r="B1750" s="15">
        <v>1740</v>
      </c>
      <c r="C1750" s="42"/>
      <c r="F1750" s="22"/>
      <c r="G1750" s="22"/>
      <c r="J1750" s="24">
        <v>50000</v>
      </c>
      <c r="M1750" s="24">
        <v>50000</v>
      </c>
      <c r="O1750" s="48" t="s">
        <v>97</v>
      </c>
      <c r="P1750" s="48">
        <f>HEX2DEC(RIGHT(Table1323212714[[#This Row],[h1]],8))</f>
        <v>0</v>
      </c>
      <c r="Q1750" s="48" t="s">
        <v>97</v>
      </c>
      <c r="R1750" s="48">
        <f>HEX2DEC(RIGHT(Table1323212714[[#This Row],[h2]],8))</f>
        <v>0</v>
      </c>
    </row>
    <row r="1751" spans="1:18" x14ac:dyDescent="0.3">
      <c r="A1751" s="15" t="str">
        <f t="shared" si="32"/>
        <v>6CD</v>
      </c>
      <c r="B1751" s="15">
        <v>1741</v>
      </c>
      <c r="C1751" s="42"/>
      <c r="F1751" s="22"/>
      <c r="G1751" s="22"/>
      <c r="J1751" s="24">
        <v>50000</v>
      </c>
      <c r="M1751" s="24">
        <v>50000</v>
      </c>
      <c r="O1751" s="48" t="s">
        <v>97</v>
      </c>
      <c r="P1751" s="48">
        <f>HEX2DEC(RIGHT(Table1323212714[[#This Row],[h1]],8))</f>
        <v>0</v>
      </c>
      <c r="Q1751" s="48" t="s">
        <v>97</v>
      </c>
      <c r="R1751" s="48">
        <f>HEX2DEC(RIGHT(Table1323212714[[#This Row],[h2]],8))</f>
        <v>0</v>
      </c>
    </row>
    <row r="1752" spans="1:18" x14ac:dyDescent="0.3">
      <c r="A1752" s="15" t="str">
        <f t="shared" si="32"/>
        <v>6CE</v>
      </c>
      <c r="B1752" s="15">
        <v>1742</v>
      </c>
      <c r="C1752" s="42"/>
      <c r="F1752" s="22"/>
      <c r="G1752" s="22"/>
      <c r="J1752" s="24">
        <v>50000</v>
      </c>
      <c r="M1752" s="24">
        <v>50000</v>
      </c>
      <c r="O1752" s="48" t="s">
        <v>97</v>
      </c>
      <c r="P1752" s="48">
        <f>HEX2DEC(RIGHT(Table1323212714[[#This Row],[h1]],8))</f>
        <v>0</v>
      </c>
      <c r="Q1752" s="48" t="s">
        <v>97</v>
      </c>
      <c r="R1752" s="48">
        <f>HEX2DEC(RIGHT(Table1323212714[[#This Row],[h2]],8))</f>
        <v>0</v>
      </c>
    </row>
    <row r="1753" spans="1:18" x14ac:dyDescent="0.3">
      <c r="A1753" s="15" t="str">
        <f t="shared" si="32"/>
        <v>6CF</v>
      </c>
      <c r="B1753" s="15">
        <v>1743</v>
      </c>
      <c r="C1753" s="42"/>
      <c r="F1753" s="22"/>
      <c r="G1753" s="22"/>
      <c r="J1753" s="24">
        <v>50000</v>
      </c>
      <c r="M1753" s="24">
        <v>50000</v>
      </c>
      <c r="O1753" s="48" t="s">
        <v>97</v>
      </c>
      <c r="P1753" s="48">
        <f>HEX2DEC(RIGHT(Table1323212714[[#This Row],[h1]],8))</f>
        <v>0</v>
      </c>
      <c r="Q1753" s="48" t="s">
        <v>97</v>
      </c>
      <c r="R1753" s="48">
        <f>HEX2DEC(RIGHT(Table1323212714[[#This Row],[h2]],8))</f>
        <v>0</v>
      </c>
    </row>
    <row r="1754" spans="1:18" x14ac:dyDescent="0.3">
      <c r="A1754" s="15" t="str">
        <f t="shared" si="32"/>
        <v>6D0</v>
      </c>
      <c r="B1754" s="15">
        <v>1744</v>
      </c>
      <c r="C1754" s="42"/>
      <c r="F1754" s="22"/>
      <c r="G1754" s="22"/>
      <c r="J1754" s="24">
        <v>50000</v>
      </c>
      <c r="M1754" s="24">
        <v>50000</v>
      </c>
      <c r="O1754" s="48" t="s">
        <v>97</v>
      </c>
      <c r="P1754" s="48">
        <f>HEX2DEC(RIGHT(Table1323212714[[#This Row],[h1]],8))</f>
        <v>0</v>
      </c>
      <c r="Q1754" s="48" t="s">
        <v>97</v>
      </c>
      <c r="R1754" s="48">
        <f>HEX2DEC(RIGHT(Table1323212714[[#This Row],[h2]],8))</f>
        <v>0</v>
      </c>
    </row>
    <row r="1755" spans="1:18" x14ac:dyDescent="0.3">
      <c r="A1755" s="15" t="str">
        <f t="shared" si="32"/>
        <v>6D1</v>
      </c>
      <c r="B1755" s="15">
        <v>1745</v>
      </c>
      <c r="C1755" s="42"/>
      <c r="F1755" s="22"/>
      <c r="G1755" s="22"/>
      <c r="J1755" s="24">
        <v>50000</v>
      </c>
      <c r="M1755" s="24">
        <v>50000</v>
      </c>
      <c r="O1755" s="48" t="s">
        <v>97</v>
      </c>
      <c r="P1755" s="48">
        <f>HEX2DEC(RIGHT(Table1323212714[[#This Row],[h1]],8))</f>
        <v>0</v>
      </c>
      <c r="Q1755" s="48" t="s">
        <v>97</v>
      </c>
      <c r="R1755" s="48">
        <f>HEX2DEC(RIGHT(Table1323212714[[#This Row],[h2]],8))</f>
        <v>0</v>
      </c>
    </row>
    <row r="1756" spans="1:18" x14ac:dyDescent="0.3">
      <c r="A1756" s="15" t="str">
        <f t="shared" si="32"/>
        <v>6D2</v>
      </c>
      <c r="B1756" s="15">
        <v>1746</v>
      </c>
      <c r="C1756" s="42"/>
      <c r="F1756" s="22"/>
      <c r="G1756" s="22"/>
      <c r="J1756" s="24">
        <v>50000</v>
      </c>
      <c r="M1756" s="24">
        <v>50000</v>
      </c>
      <c r="O1756" s="48" t="s">
        <v>97</v>
      </c>
      <c r="P1756" s="48">
        <f>HEX2DEC(RIGHT(Table1323212714[[#This Row],[h1]],8))</f>
        <v>0</v>
      </c>
      <c r="Q1756" s="48" t="s">
        <v>97</v>
      </c>
      <c r="R1756" s="48">
        <f>HEX2DEC(RIGHT(Table1323212714[[#This Row],[h2]],8))</f>
        <v>0</v>
      </c>
    </row>
    <row r="1757" spans="1:18" x14ac:dyDescent="0.3">
      <c r="A1757" s="15" t="str">
        <f t="shared" si="32"/>
        <v>6D3</v>
      </c>
      <c r="B1757" s="15">
        <v>1747</v>
      </c>
      <c r="C1757" s="42"/>
      <c r="F1757" s="22"/>
      <c r="G1757" s="22"/>
      <c r="J1757" s="24">
        <v>50000</v>
      </c>
      <c r="M1757" s="24">
        <v>50000</v>
      </c>
      <c r="O1757" s="48" t="s">
        <v>97</v>
      </c>
      <c r="P1757" s="48">
        <f>HEX2DEC(RIGHT(Table1323212714[[#This Row],[h1]],8))</f>
        <v>0</v>
      </c>
      <c r="Q1757" s="48" t="s">
        <v>97</v>
      </c>
      <c r="R1757" s="48">
        <f>HEX2DEC(RIGHT(Table1323212714[[#This Row],[h2]],8))</f>
        <v>0</v>
      </c>
    </row>
    <row r="1758" spans="1:18" x14ac:dyDescent="0.3">
      <c r="A1758" s="15" t="str">
        <f t="shared" si="32"/>
        <v>6D4</v>
      </c>
      <c r="B1758" s="15">
        <v>1748</v>
      </c>
      <c r="C1758" s="42"/>
      <c r="F1758" s="22"/>
      <c r="G1758" s="22"/>
      <c r="J1758" s="24">
        <v>50000</v>
      </c>
      <c r="M1758" s="24">
        <v>50000</v>
      </c>
      <c r="O1758" s="48" t="s">
        <v>97</v>
      </c>
      <c r="P1758" s="48">
        <f>HEX2DEC(RIGHT(Table1323212714[[#This Row],[h1]],8))</f>
        <v>0</v>
      </c>
      <c r="Q1758" s="48" t="s">
        <v>97</v>
      </c>
      <c r="R1758" s="48">
        <f>HEX2DEC(RIGHT(Table1323212714[[#This Row],[h2]],8))</f>
        <v>0</v>
      </c>
    </row>
    <row r="1759" spans="1:18" x14ac:dyDescent="0.3">
      <c r="A1759" s="15" t="str">
        <f t="shared" si="32"/>
        <v>6D5</v>
      </c>
      <c r="B1759" s="15">
        <v>1749</v>
      </c>
      <c r="C1759" s="42"/>
      <c r="F1759" s="22"/>
      <c r="G1759" s="22"/>
      <c r="J1759" s="24">
        <v>50000</v>
      </c>
      <c r="M1759" s="24">
        <v>50000</v>
      </c>
      <c r="O1759" s="48" t="s">
        <v>97</v>
      </c>
      <c r="P1759" s="48">
        <f>HEX2DEC(RIGHT(Table1323212714[[#This Row],[h1]],8))</f>
        <v>0</v>
      </c>
      <c r="Q1759" s="48" t="s">
        <v>97</v>
      </c>
      <c r="R1759" s="48">
        <f>HEX2DEC(RIGHT(Table1323212714[[#This Row],[h2]],8))</f>
        <v>0</v>
      </c>
    </row>
    <row r="1760" spans="1:18" x14ac:dyDescent="0.3">
      <c r="A1760" s="15" t="str">
        <f t="shared" si="32"/>
        <v>6D6</v>
      </c>
      <c r="B1760" s="15">
        <v>1750</v>
      </c>
      <c r="C1760" s="42"/>
      <c r="F1760" s="22"/>
      <c r="G1760" s="22"/>
      <c r="J1760" s="24">
        <v>50000</v>
      </c>
      <c r="M1760" s="24">
        <v>50000</v>
      </c>
      <c r="O1760" s="48" t="s">
        <v>97</v>
      </c>
      <c r="P1760" s="48">
        <f>HEX2DEC(RIGHT(Table1323212714[[#This Row],[h1]],8))</f>
        <v>0</v>
      </c>
      <c r="Q1760" s="48" t="s">
        <v>97</v>
      </c>
      <c r="R1760" s="48">
        <f>HEX2DEC(RIGHT(Table1323212714[[#This Row],[h2]],8))</f>
        <v>0</v>
      </c>
    </row>
    <row r="1761" spans="1:18" x14ac:dyDescent="0.3">
      <c r="A1761" s="15" t="str">
        <f t="shared" si="32"/>
        <v>6D7</v>
      </c>
      <c r="B1761" s="15">
        <v>1751</v>
      </c>
      <c r="C1761" s="42"/>
      <c r="F1761" s="22"/>
      <c r="G1761" s="22"/>
      <c r="J1761" s="24">
        <v>50000</v>
      </c>
      <c r="M1761" s="24">
        <v>50000</v>
      </c>
      <c r="O1761" s="48" t="s">
        <v>97</v>
      </c>
      <c r="P1761" s="48">
        <f>HEX2DEC(RIGHT(Table1323212714[[#This Row],[h1]],8))</f>
        <v>0</v>
      </c>
      <c r="Q1761" s="48" t="s">
        <v>97</v>
      </c>
      <c r="R1761" s="48">
        <f>HEX2DEC(RIGHT(Table1323212714[[#This Row],[h2]],8))</f>
        <v>0</v>
      </c>
    </row>
    <row r="1762" spans="1:18" x14ac:dyDescent="0.3">
      <c r="A1762" s="15" t="str">
        <f t="shared" si="32"/>
        <v>6D8</v>
      </c>
      <c r="B1762" s="15">
        <v>1752</v>
      </c>
      <c r="C1762" s="42"/>
      <c r="F1762" s="22"/>
      <c r="G1762" s="22"/>
      <c r="J1762" s="24">
        <v>50000</v>
      </c>
      <c r="M1762" s="24">
        <v>50000</v>
      </c>
      <c r="O1762" s="48" t="s">
        <v>97</v>
      </c>
      <c r="P1762" s="48">
        <f>HEX2DEC(RIGHT(Table1323212714[[#This Row],[h1]],8))</f>
        <v>0</v>
      </c>
      <c r="Q1762" s="48" t="s">
        <v>97</v>
      </c>
      <c r="R1762" s="48">
        <f>HEX2DEC(RIGHT(Table1323212714[[#This Row],[h2]],8))</f>
        <v>0</v>
      </c>
    </row>
    <row r="1763" spans="1:18" x14ac:dyDescent="0.3">
      <c r="A1763" s="15" t="str">
        <f t="shared" si="32"/>
        <v>6D9</v>
      </c>
      <c r="B1763" s="15">
        <v>1753</v>
      </c>
      <c r="C1763" s="42"/>
      <c r="F1763" s="22"/>
      <c r="G1763" s="22"/>
      <c r="J1763" s="24">
        <v>50000</v>
      </c>
      <c r="M1763" s="24">
        <v>50000</v>
      </c>
      <c r="O1763" s="48" t="s">
        <v>97</v>
      </c>
      <c r="P1763" s="48">
        <f>HEX2DEC(RIGHT(Table1323212714[[#This Row],[h1]],8))</f>
        <v>0</v>
      </c>
      <c r="Q1763" s="48" t="s">
        <v>97</v>
      </c>
      <c r="R1763" s="48">
        <f>HEX2DEC(RIGHT(Table1323212714[[#This Row],[h2]],8))</f>
        <v>0</v>
      </c>
    </row>
    <row r="1764" spans="1:18" x14ac:dyDescent="0.3">
      <c r="A1764" s="15" t="str">
        <f t="shared" si="32"/>
        <v>6DA</v>
      </c>
      <c r="B1764" s="15">
        <v>1754</v>
      </c>
      <c r="C1764" s="42"/>
      <c r="F1764" s="22"/>
      <c r="G1764" s="22"/>
      <c r="J1764" s="24">
        <v>50000</v>
      </c>
      <c r="M1764" s="24">
        <v>50000</v>
      </c>
      <c r="O1764" s="48" t="s">
        <v>97</v>
      </c>
      <c r="P1764" s="48">
        <f>HEX2DEC(RIGHT(Table1323212714[[#This Row],[h1]],8))</f>
        <v>0</v>
      </c>
      <c r="Q1764" s="48" t="s">
        <v>97</v>
      </c>
      <c r="R1764" s="48">
        <f>HEX2DEC(RIGHT(Table1323212714[[#This Row],[h2]],8))</f>
        <v>0</v>
      </c>
    </row>
    <row r="1765" spans="1:18" x14ac:dyDescent="0.3">
      <c r="A1765" s="15" t="str">
        <f t="shared" si="32"/>
        <v>6DB</v>
      </c>
      <c r="B1765" s="15">
        <v>1755</v>
      </c>
      <c r="C1765" s="42"/>
      <c r="F1765" s="22"/>
      <c r="G1765" s="22"/>
      <c r="J1765" s="24">
        <v>50000</v>
      </c>
      <c r="M1765" s="24">
        <v>50000</v>
      </c>
      <c r="O1765" s="48" t="s">
        <v>97</v>
      </c>
      <c r="P1765" s="48">
        <f>HEX2DEC(RIGHT(Table1323212714[[#This Row],[h1]],8))</f>
        <v>0</v>
      </c>
      <c r="Q1765" s="48" t="s">
        <v>97</v>
      </c>
      <c r="R1765" s="48">
        <f>HEX2DEC(RIGHT(Table1323212714[[#This Row],[h2]],8))</f>
        <v>0</v>
      </c>
    </row>
    <row r="1766" spans="1:18" x14ac:dyDescent="0.3">
      <c r="A1766" s="15" t="str">
        <f t="shared" si="32"/>
        <v>6DC</v>
      </c>
      <c r="B1766" s="15">
        <v>1756</v>
      </c>
      <c r="C1766" s="42"/>
      <c r="F1766" s="22"/>
      <c r="G1766" s="22"/>
      <c r="J1766" s="24">
        <v>50000</v>
      </c>
      <c r="M1766" s="24">
        <v>50000</v>
      </c>
      <c r="O1766" s="48" t="s">
        <v>97</v>
      </c>
      <c r="P1766" s="48">
        <f>HEX2DEC(RIGHT(Table1323212714[[#This Row],[h1]],8))</f>
        <v>0</v>
      </c>
      <c r="Q1766" s="48" t="s">
        <v>97</v>
      </c>
      <c r="R1766" s="48">
        <f>HEX2DEC(RIGHT(Table1323212714[[#This Row],[h2]],8))</f>
        <v>0</v>
      </c>
    </row>
    <row r="1767" spans="1:18" x14ac:dyDescent="0.3">
      <c r="A1767" s="15" t="str">
        <f t="shared" si="32"/>
        <v>6DD</v>
      </c>
      <c r="B1767" s="15">
        <v>1757</v>
      </c>
      <c r="C1767" s="42"/>
      <c r="F1767" s="22"/>
      <c r="G1767" s="22"/>
      <c r="J1767" s="24">
        <v>50000</v>
      </c>
      <c r="M1767" s="24">
        <v>50000</v>
      </c>
      <c r="O1767" s="48" t="s">
        <v>97</v>
      </c>
      <c r="P1767" s="48">
        <f>HEX2DEC(RIGHT(Table1323212714[[#This Row],[h1]],8))</f>
        <v>0</v>
      </c>
      <c r="Q1767" s="48" t="s">
        <v>97</v>
      </c>
      <c r="R1767" s="48">
        <f>HEX2DEC(RIGHT(Table1323212714[[#This Row],[h2]],8))</f>
        <v>0</v>
      </c>
    </row>
    <row r="1768" spans="1:18" x14ac:dyDescent="0.3">
      <c r="A1768" s="15" t="str">
        <f t="shared" si="32"/>
        <v>6DE</v>
      </c>
      <c r="B1768" s="15">
        <v>1758</v>
      </c>
      <c r="C1768" s="42"/>
      <c r="F1768" s="22"/>
      <c r="G1768" s="22"/>
      <c r="J1768" s="24">
        <v>50000</v>
      </c>
      <c r="M1768" s="24">
        <v>50000</v>
      </c>
      <c r="O1768" s="48" t="s">
        <v>97</v>
      </c>
      <c r="P1768" s="48">
        <f>HEX2DEC(RIGHT(Table1323212714[[#This Row],[h1]],8))</f>
        <v>0</v>
      </c>
      <c r="Q1768" s="48" t="s">
        <v>97</v>
      </c>
      <c r="R1768" s="48">
        <f>HEX2DEC(RIGHT(Table1323212714[[#This Row],[h2]],8))</f>
        <v>0</v>
      </c>
    </row>
    <row r="1769" spans="1:18" x14ac:dyDescent="0.3">
      <c r="A1769" s="15" t="str">
        <f t="shared" si="32"/>
        <v>6DF</v>
      </c>
      <c r="B1769" s="15">
        <v>1759</v>
      </c>
      <c r="C1769" s="42"/>
      <c r="F1769" s="22"/>
      <c r="G1769" s="22"/>
      <c r="J1769" s="24">
        <v>50000</v>
      </c>
      <c r="M1769" s="24">
        <v>50000</v>
      </c>
      <c r="O1769" s="48" t="s">
        <v>97</v>
      </c>
      <c r="P1769" s="48">
        <f>HEX2DEC(RIGHT(Table1323212714[[#This Row],[h1]],8))</f>
        <v>0</v>
      </c>
      <c r="Q1769" s="48" t="s">
        <v>97</v>
      </c>
      <c r="R1769" s="48">
        <f>HEX2DEC(RIGHT(Table1323212714[[#This Row],[h2]],8))</f>
        <v>0</v>
      </c>
    </row>
    <row r="1770" spans="1:18" x14ac:dyDescent="0.3">
      <c r="A1770" s="15" t="str">
        <f t="shared" si="32"/>
        <v>6E0</v>
      </c>
      <c r="B1770" s="15">
        <v>1760</v>
      </c>
      <c r="C1770" s="42"/>
      <c r="F1770" s="22"/>
      <c r="G1770" s="22"/>
      <c r="J1770" s="24">
        <v>50000</v>
      </c>
      <c r="M1770" s="24">
        <v>50000</v>
      </c>
      <c r="O1770" s="48" t="s">
        <v>97</v>
      </c>
      <c r="P1770" s="48">
        <f>HEX2DEC(RIGHT(Table1323212714[[#This Row],[h1]],8))</f>
        <v>0</v>
      </c>
      <c r="Q1770" s="48" t="s">
        <v>97</v>
      </c>
      <c r="R1770" s="48">
        <f>HEX2DEC(RIGHT(Table1323212714[[#This Row],[h2]],8))</f>
        <v>0</v>
      </c>
    </row>
    <row r="1771" spans="1:18" x14ac:dyDescent="0.3">
      <c r="A1771" s="15" t="str">
        <f t="shared" si="32"/>
        <v>6E1</v>
      </c>
      <c r="B1771" s="15">
        <v>1761</v>
      </c>
      <c r="C1771" s="42"/>
      <c r="F1771" s="22"/>
      <c r="G1771" s="22"/>
      <c r="J1771" s="24">
        <v>50000</v>
      </c>
      <c r="M1771" s="24">
        <v>50000</v>
      </c>
      <c r="O1771" s="48" t="s">
        <v>97</v>
      </c>
      <c r="P1771" s="48">
        <f>HEX2DEC(RIGHT(Table1323212714[[#This Row],[h1]],8))</f>
        <v>0</v>
      </c>
      <c r="Q1771" s="48" t="s">
        <v>97</v>
      </c>
      <c r="R1771" s="48">
        <f>HEX2DEC(RIGHT(Table1323212714[[#This Row],[h2]],8))</f>
        <v>0</v>
      </c>
    </row>
    <row r="1772" spans="1:18" x14ac:dyDescent="0.3">
      <c r="A1772" s="15" t="str">
        <f t="shared" si="32"/>
        <v>6E2</v>
      </c>
      <c r="B1772" s="15">
        <v>1762</v>
      </c>
      <c r="C1772" s="42"/>
      <c r="F1772" s="22"/>
      <c r="G1772" s="22"/>
      <c r="J1772" s="24">
        <v>50000</v>
      </c>
      <c r="M1772" s="24">
        <v>50000</v>
      </c>
      <c r="O1772" s="48" t="s">
        <v>97</v>
      </c>
      <c r="P1772" s="48">
        <f>HEX2DEC(RIGHT(Table1323212714[[#This Row],[h1]],8))</f>
        <v>0</v>
      </c>
      <c r="Q1772" s="48" t="s">
        <v>97</v>
      </c>
      <c r="R1772" s="48">
        <f>HEX2DEC(RIGHT(Table1323212714[[#This Row],[h2]],8))</f>
        <v>0</v>
      </c>
    </row>
    <row r="1773" spans="1:18" x14ac:dyDescent="0.3">
      <c r="A1773" s="15" t="str">
        <f t="shared" si="32"/>
        <v>6E3</v>
      </c>
      <c r="B1773" s="15">
        <v>1763</v>
      </c>
      <c r="C1773" s="42"/>
      <c r="F1773" s="22"/>
      <c r="G1773" s="22"/>
      <c r="J1773" s="24">
        <v>50000</v>
      </c>
      <c r="M1773" s="24">
        <v>50000</v>
      </c>
      <c r="O1773" s="48" t="s">
        <v>97</v>
      </c>
      <c r="P1773" s="48">
        <f>HEX2DEC(RIGHT(Table1323212714[[#This Row],[h1]],8))</f>
        <v>0</v>
      </c>
      <c r="Q1773" s="48" t="s">
        <v>97</v>
      </c>
      <c r="R1773" s="48">
        <f>HEX2DEC(RIGHT(Table1323212714[[#This Row],[h2]],8))</f>
        <v>0</v>
      </c>
    </row>
    <row r="1774" spans="1:18" x14ac:dyDescent="0.3">
      <c r="A1774" s="15" t="str">
        <f t="shared" si="32"/>
        <v>6E4</v>
      </c>
      <c r="B1774" s="15">
        <v>1764</v>
      </c>
      <c r="C1774" s="42"/>
      <c r="F1774" s="22"/>
      <c r="G1774" s="22"/>
      <c r="J1774" s="24">
        <v>50000</v>
      </c>
      <c r="M1774" s="24">
        <v>50000</v>
      </c>
      <c r="O1774" s="48" t="s">
        <v>97</v>
      </c>
      <c r="P1774" s="48">
        <f>HEX2DEC(RIGHT(Table1323212714[[#This Row],[h1]],8))</f>
        <v>0</v>
      </c>
      <c r="Q1774" s="48" t="s">
        <v>97</v>
      </c>
      <c r="R1774" s="48">
        <f>HEX2DEC(RIGHT(Table1323212714[[#This Row],[h2]],8))</f>
        <v>0</v>
      </c>
    </row>
    <row r="1775" spans="1:18" x14ac:dyDescent="0.3">
      <c r="A1775" s="15" t="str">
        <f t="shared" si="32"/>
        <v>6E5</v>
      </c>
      <c r="B1775" s="15">
        <v>1765</v>
      </c>
      <c r="C1775" s="42"/>
      <c r="F1775" s="22"/>
      <c r="G1775" s="22"/>
      <c r="J1775" s="24">
        <v>50000</v>
      </c>
      <c r="M1775" s="24">
        <v>50000</v>
      </c>
      <c r="O1775" s="48" t="s">
        <v>97</v>
      </c>
      <c r="P1775" s="48">
        <f>HEX2DEC(RIGHT(Table1323212714[[#This Row],[h1]],8))</f>
        <v>0</v>
      </c>
      <c r="Q1775" s="48" t="s">
        <v>97</v>
      </c>
      <c r="R1775" s="48">
        <f>HEX2DEC(RIGHT(Table1323212714[[#This Row],[h2]],8))</f>
        <v>0</v>
      </c>
    </row>
    <row r="1776" spans="1:18" x14ac:dyDescent="0.3">
      <c r="A1776" s="15" t="str">
        <f t="shared" si="32"/>
        <v>6E6</v>
      </c>
      <c r="B1776" s="15">
        <v>1766</v>
      </c>
      <c r="C1776" s="42"/>
      <c r="F1776" s="22"/>
      <c r="G1776" s="22"/>
      <c r="J1776" s="24">
        <v>50000</v>
      </c>
      <c r="M1776" s="24">
        <v>50000</v>
      </c>
      <c r="O1776" s="48" t="s">
        <v>97</v>
      </c>
      <c r="P1776" s="48">
        <f>HEX2DEC(RIGHT(Table1323212714[[#This Row],[h1]],8))</f>
        <v>0</v>
      </c>
      <c r="Q1776" s="48" t="s">
        <v>97</v>
      </c>
      <c r="R1776" s="48">
        <f>HEX2DEC(RIGHT(Table1323212714[[#This Row],[h2]],8))</f>
        <v>0</v>
      </c>
    </row>
    <row r="1777" spans="1:18" x14ac:dyDescent="0.3">
      <c r="A1777" s="15" t="str">
        <f t="shared" si="32"/>
        <v>6E7</v>
      </c>
      <c r="B1777" s="15">
        <v>1767</v>
      </c>
      <c r="C1777" s="42"/>
      <c r="F1777" s="22"/>
      <c r="G1777" s="22"/>
      <c r="J1777" s="24">
        <v>50000</v>
      </c>
      <c r="M1777" s="24">
        <v>50000</v>
      </c>
      <c r="O1777" s="48" t="s">
        <v>97</v>
      </c>
      <c r="P1777" s="48">
        <f>HEX2DEC(RIGHT(Table1323212714[[#This Row],[h1]],8))</f>
        <v>0</v>
      </c>
      <c r="Q1777" s="48" t="s">
        <v>97</v>
      </c>
      <c r="R1777" s="48">
        <f>HEX2DEC(RIGHT(Table1323212714[[#This Row],[h2]],8))</f>
        <v>0</v>
      </c>
    </row>
    <row r="1778" spans="1:18" x14ac:dyDescent="0.3">
      <c r="A1778" s="15" t="str">
        <f t="shared" si="32"/>
        <v>6E8</v>
      </c>
      <c r="B1778" s="15">
        <v>1768</v>
      </c>
      <c r="C1778" s="42"/>
      <c r="F1778" s="22"/>
      <c r="G1778" s="22"/>
      <c r="J1778" s="24">
        <v>50000</v>
      </c>
      <c r="M1778" s="24">
        <v>50000</v>
      </c>
      <c r="O1778" s="48" t="s">
        <v>97</v>
      </c>
      <c r="P1778" s="48">
        <f>HEX2DEC(RIGHT(Table1323212714[[#This Row],[h1]],8))</f>
        <v>0</v>
      </c>
      <c r="Q1778" s="48" t="s">
        <v>97</v>
      </c>
      <c r="R1778" s="48">
        <f>HEX2DEC(RIGHT(Table1323212714[[#This Row],[h2]],8))</f>
        <v>0</v>
      </c>
    </row>
    <row r="1779" spans="1:18" x14ac:dyDescent="0.3">
      <c r="A1779" s="15" t="str">
        <f t="shared" si="32"/>
        <v>6E9</v>
      </c>
      <c r="B1779" s="15">
        <v>1769</v>
      </c>
      <c r="C1779" s="42"/>
      <c r="F1779" s="22"/>
      <c r="G1779" s="22"/>
      <c r="J1779" s="24">
        <v>50000</v>
      </c>
      <c r="M1779" s="24">
        <v>50000</v>
      </c>
      <c r="O1779" s="48" t="s">
        <v>97</v>
      </c>
      <c r="P1779" s="48">
        <f>HEX2DEC(RIGHT(Table1323212714[[#This Row],[h1]],8))</f>
        <v>0</v>
      </c>
      <c r="Q1779" s="48" t="s">
        <v>97</v>
      </c>
      <c r="R1779" s="48">
        <f>HEX2DEC(RIGHT(Table1323212714[[#This Row],[h2]],8))</f>
        <v>0</v>
      </c>
    </row>
    <row r="1780" spans="1:18" x14ac:dyDescent="0.3">
      <c r="A1780" s="15" t="str">
        <f t="shared" si="32"/>
        <v>6EA</v>
      </c>
      <c r="B1780" s="15">
        <v>1770</v>
      </c>
      <c r="C1780" s="42"/>
      <c r="F1780" s="22"/>
      <c r="G1780" s="22"/>
      <c r="J1780" s="24">
        <v>50000</v>
      </c>
      <c r="M1780" s="24">
        <v>50000</v>
      </c>
      <c r="O1780" s="48" t="s">
        <v>97</v>
      </c>
      <c r="P1780" s="48">
        <f>HEX2DEC(RIGHT(Table1323212714[[#This Row],[h1]],8))</f>
        <v>0</v>
      </c>
      <c r="Q1780" s="48" t="s">
        <v>97</v>
      </c>
      <c r="R1780" s="48">
        <f>HEX2DEC(RIGHT(Table1323212714[[#This Row],[h2]],8))</f>
        <v>0</v>
      </c>
    </row>
    <row r="1781" spans="1:18" x14ac:dyDescent="0.3">
      <c r="A1781" s="15" t="str">
        <f t="shared" si="32"/>
        <v>6EB</v>
      </c>
      <c r="B1781" s="15">
        <v>1771</v>
      </c>
      <c r="C1781" s="42"/>
      <c r="F1781" s="22"/>
      <c r="G1781" s="22"/>
      <c r="J1781" s="24">
        <v>50000</v>
      </c>
      <c r="M1781" s="24">
        <v>50000</v>
      </c>
      <c r="O1781" s="48" t="s">
        <v>97</v>
      </c>
      <c r="P1781" s="48">
        <f>HEX2DEC(RIGHT(Table1323212714[[#This Row],[h1]],8))</f>
        <v>0</v>
      </c>
      <c r="Q1781" s="48" t="s">
        <v>97</v>
      </c>
      <c r="R1781" s="48">
        <f>HEX2DEC(RIGHT(Table1323212714[[#This Row],[h2]],8))</f>
        <v>0</v>
      </c>
    </row>
    <row r="1782" spans="1:18" x14ac:dyDescent="0.3">
      <c r="A1782" s="15" t="str">
        <f t="shared" si="32"/>
        <v>6EC</v>
      </c>
      <c r="B1782" s="15">
        <v>1772</v>
      </c>
      <c r="C1782" s="42"/>
      <c r="F1782" s="22"/>
      <c r="G1782" s="22"/>
      <c r="J1782" s="24">
        <v>50000</v>
      </c>
      <c r="M1782" s="24">
        <v>50000</v>
      </c>
      <c r="O1782" s="48" t="s">
        <v>97</v>
      </c>
      <c r="P1782" s="48">
        <f>HEX2DEC(RIGHT(Table1323212714[[#This Row],[h1]],8))</f>
        <v>0</v>
      </c>
      <c r="Q1782" s="48" t="s">
        <v>97</v>
      </c>
      <c r="R1782" s="48">
        <f>HEX2DEC(RIGHT(Table1323212714[[#This Row],[h2]],8))</f>
        <v>0</v>
      </c>
    </row>
    <row r="1783" spans="1:18" x14ac:dyDescent="0.3">
      <c r="A1783" s="15" t="str">
        <f t="shared" si="32"/>
        <v>6ED</v>
      </c>
      <c r="B1783" s="15">
        <v>1773</v>
      </c>
      <c r="C1783" s="42"/>
      <c r="F1783" s="22"/>
      <c r="G1783" s="22"/>
      <c r="J1783" s="24">
        <v>50000</v>
      </c>
      <c r="M1783" s="24">
        <v>50000</v>
      </c>
      <c r="O1783" s="48" t="s">
        <v>97</v>
      </c>
      <c r="P1783" s="48">
        <f>HEX2DEC(RIGHT(Table1323212714[[#This Row],[h1]],8))</f>
        <v>0</v>
      </c>
      <c r="Q1783" s="48" t="s">
        <v>97</v>
      </c>
      <c r="R1783" s="48">
        <f>HEX2DEC(RIGHT(Table1323212714[[#This Row],[h2]],8))</f>
        <v>0</v>
      </c>
    </row>
    <row r="1784" spans="1:18" x14ac:dyDescent="0.3">
      <c r="A1784" s="15" t="str">
        <f t="shared" si="32"/>
        <v>6EE</v>
      </c>
      <c r="B1784" s="15">
        <v>1774</v>
      </c>
      <c r="C1784" s="42"/>
      <c r="F1784" s="22"/>
      <c r="G1784" s="22"/>
      <c r="J1784" s="24">
        <v>50000</v>
      </c>
      <c r="M1784" s="24">
        <v>50000</v>
      </c>
      <c r="O1784" s="48" t="s">
        <v>97</v>
      </c>
      <c r="P1784" s="48">
        <f>HEX2DEC(RIGHT(Table1323212714[[#This Row],[h1]],8))</f>
        <v>0</v>
      </c>
      <c r="Q1784" s="48" t="s">
        <v>97</v>
      </c>
      <c r="R1784" s="48">
        <f>HEX2DEC(RIGHT(Table1323212714[[#This Row],[h2]],8))</f>
        <v>0</v>
      </c>
    </row>
    <row r="1785" spans="1:18" x14ac:dyDescent="0.3">
      <c r="A1785" s="15" t="str">
        <f t="shared" si="32"/>
        <v>6EF</v>
      </c>
      <c r="B1785" s="15">
        <v>1775</v>
      </c>
      <c r="C1785" s="42"/>
      <c r="F1785" s="22"/>
      <c r="G1785" s="22"/>
      <c r="J1785" s="24">
        <v>50000</v>
      </c>
      <c r="M1785" s="24">
        <v>50000</v>
      </c>
      <c r="O1785" s="48" t="s">
        <v>97</v>
      </c>
      <c r="P1785" s="48">
        <f>HEX2DEC(RIGHT(Table1323212714[[#This Row],[h1]],8))</f>
        <v>0</v>
      </c>
      <c r="Q1785" s="48" t="s">
        <v>97</v>
      </c>
      <c r="R1785" s="48">
        <f>HEX2DEC(RIGHT(Table1323212714[[#This Row],[h2]],8))</f>
        <v>0</v>
      </c>
    </row>
    <row r="1786" spans="1:18" x14ac:dyDescent="0.3">
      <c r="A1786" s="15" t="str">
        <f t="shared" si="32"/>
        <v>6F0</v>
      </c>
      <c r="B1786" s="15">
        <v>1776</v>
      </c>
      <c r="C1786" s="42"/>
      <c r="F1786" s="22"/>
      <c r="G1786" s="22"/>
      <c r="J1786" s="24">
        <v>50000</v>
      </c>
      <c r="M1786" s="24">
        <v>50000</v>
      </c>
      <c r="O1786" s="48" t="s">
        <v>97</v>
      </c>
      <c r="P1786" s="48">
        <f>HEX2DEC(RIGHT(Table1323212714[[#This Row],[h1]],8))</f>
        <v>0</v>
      </c>
      <c r="Q1786" s="48" t="s">
        <v>97</v>
      </c>
      <c r="R1786" s="48">
        <f>HEX2DEC(RIGHT(Table1323212714[[#This Row],[h2]],8))</f>
        <v>0</v>
      </c>
    </row>
    <row r="1787" spans="1:18" x14ac:dyDescent="0.3">
      <c r="A1787" s="15" t="str">
        <f t="shared" si="32"/>
        <v>6F1</v>
      </c>
      <c r="B1787" s="15">
        <v>1777</v>
      </c>
      <c r="C1787" s="42"/>
      <c r="F1787" s="22"/>
      <c r="G1787" s="22"/>
      <c r="J1787" s="24">
        <v>50000</v>
      </c>
      <c r="M1787" s="24">
        <v>50000</v>
      </c>
      <c r="O1787" s="48" t="s">
        <v>97</v>
      </c>
      <c r="P1787" s="48">
        <f>HEX2DEC(RIGHT(Table1323212714[[#This Row],[h1]],8))</f>
        <v>0</v>
      </c>
      <c r="Q1787" s="48" t="s">
        <v>97</v>
      </c>
      <c r="R1787" s="48">
        <f>HEX2DEC(RIGHT(Table1323212714[[#This Row],[h2]],8))</f>
        <v>0</v>
      </c>
    </row>
    <row r="1788" spans="1:18" x14ac:dyDescent="0.3">
      <c r="A1788" s="15" t="str">
        <f t="shared" si="32"/>
        <v>6F2</v>
      </c>
      <c r="B1788" s="15">
        <v>1778</v>
      </c>
      <c r="C1788" s="42"/>
      <c r="F1788" s="22"/>
      <c r="G1788" s="22"/>
      <c r="J1788" s="24">
        <v>50000</v>
      </c>
      <c r="M1788" s="24">
        <v>50000</v>
      </c>
      <c r="O1788" s="48" t="s">
        <v>97</v>
      </c>
      <c r="P1788" s="48">
        <f>HEX2DEC(RIGHT(Table1323212714[[#This Row],[h1]],8))</f>
        <v>0</v>
      </c>
      <c r="Q1788" s="48" t="s">
        <v>97</v>
      </c>
      <c r="R1788" s="48">
        <f>HEX2DEC(RIGHT(Table1323212714[[#This Row],[h2]],8))</f>
        <v>0</v>
      </c>
    </row>
    <row r="1789" spans="1:18" x14ac:dyDescent="0.3">
      <c r="A1789" s="15" t="str">
        <f t="shared" si="32"/>
        <v>6F3</v>
      </c>
      <c r="B1789" s="15">
        <v>1779</v>
      </c>
      <c r="C1789" s="42"/>
      <c r="F1789" s="22"/>
      <c r="G1789" s="22"/>
      <c r="J1789" s="24">
        <v>50000</v>
      </c>
      <c r="M1789" s="24">
        <v>50000</v>
      </c>
      <c r="O1789" s="48" t="s">
        <v>97</v>
      </c>
      <c r="P1789" s="48">
        <f>HEX2DEC(RIGHT(Table1323212714[[#This Row],[h1]],8))</f>
        <v>0</v>
      </c>
      <c r="Q1789" s="48" t="s">
        <v>97</v>
      </c>
      <c r="R1789" s="48">
        <f>HEX2DEC(RIGHT(Table1323212714[[#This Row],[h2]],8))</f>
        <v>0</v>
      </c>
    </row>
    <row r="1790" spans="1:18" x14ac:dyDescent="0.3">
      <c r="A1790" s="15" t="str">
        <f t="shared" si="32"/>
        <v>6F4</v>
      </c>
      <c r="B1790" s="15">
        <v>1780</v>
      </c>
      <c r="C1790" s="42"/>
      <c r="F1790" s="22"/>
      <c r="G1790" s="22"/>
      <c r="J1790" s="24">
        <v>50000</v>
      </c>
      <c r="M1790" s="24">
        <v>50000</v>
      </c>
      <c r="O1790" s="48" t="s">
        <v>97</v>
      </c>
      <c r="P1790" s="48">
        <f>HEX2DEC(RIGHT(Table1323212714[[#This Row],[h1]],8))</f>
        <v>0</v>
      </c>
      <c r="Q1790" s="48" t="s">
        <v>97</v>
      </c>
      <c r="R1790" s="48">
        <f>HEX2DEC(RIGHT(Table1323212714[[#This Row],[h2]],8))</f>
        <v>0</v>
      </c>
    </row>
    <row r="1791" spans="1:18" x14ac:dyDescent="0.3">
      <c r="A1791" s="15" t="str">
        <f t="shared" si="32"/>
        <v>6F5</v>
      </c>
      <c r="B1791" s="15">
        <v>1781</v>
      </c>
      <c r="C1791" s="42"/>
      <c r="F1791" s="22"/>
      <c r="G1791" s="22"/>
      <c r="J1791" s="24">
        <v>50000</v>
      </c>
      <c r="M1791" s="24">
        <v>50000</v>
      </c>
      <c r="O1791" s="48" t="s">
        <v>97</v>
      </c>
      <c r="P1791" s="48">
        <f>HEX2DEC(RIGHT(Table1323212714[[#This Row],[h1]],8))</f>
        <v>0</v>
      </c>
      <c r="Q1791" s="48" t="s">
        <v>97</v>
      </c>
      <c r="R1791" s="48">
        <f>HEX2DEC(RIGHT(Table1323212714[[#This Row],[h2]],8))</f>
        <v>0</v>
      </c>
    </row>
    <row r="1792" spans="1:18" x14ac:dyDescent="0.3">
      <c r="A1792" s="15" t="str">
        <f t="shared" si="32"/>
        <v>6F6</v>
      </c>
      <c r="B1792" s="15">
        <v>1782</v>
      </c>
      <c r="C1792" s="42"/>
      <c r="F1792" s="22"/>
      <c r="G1792" s="22"/>
      <c r="J1792" s="24">
        <v>50000</v>
      </c>
      <c r="M1792" s="24">
        <v>50000</v>
      </c>
      <c r="O1792" s="48" t="s">
        <v>97</v>
      </c>
      <c r="P1792" s="48">
        <f>HEX2DEC(RIGHT(Table1323212714[[#This Row],[h1]],8))</f>
        <v>0</v>
      </c>
      <c r="Q1792" s="48" t="s">
        <v>97</v>
      </c>
      <c r="R1792" s="48">
        <f>HEX2DEC(RIGHT(Table1323212714[[#This Row],[h2]],8))</f>
        <v>0</v>
      </c>
    </row>
    <row r="1793" spans="1:18" x14ac:dyDescent="0.3">
      <c r="A1793" s="15" t="str">
        <f t="shared" si="32"/>
        <v>6F7</v>
      </c>
      <c r="B1793" s="15">
        <v>1783</v>
      </c>
      <c r="C1793" s="42"/>
      <c r="F1793" s="22"/>
      <c r="G1793" s="22"/>
      <c r="J1793" s="24">
        <v>50000</v>
      </c>
      <c r="M1793" s="24">
        <v>50000</v>
      </c>
      <c r="O1793" s="48" t="s">
        <v>97</v>
      </c>
      <c r="P1793" s="48">
        <f>HEX2DEC(RIGHT(Table1323212714[[#This Row],[h1]],8))</f>
        <v>0</v>
      </c>
      <c r="Q1793" s="48" t="s">
        <v>97</v>
      </c>
      <c r="R1793" s="48">
        <f>HEX2DEC(RIGHT(Table1323212714[[#This Row],[h2]],8))</f>
        <v>0</v>
      </c>
    </row>
    <row r="1794" spans="1:18" x14ac:dyDescent="0.3">
      <c r="A1794" s="15" t="str">
        <f t="shared" si="32"/>
        <v>6F8</v>
      </c>
      <c r="B1794" s="15">
        <v>1784</v>
      </c>
      <c r="C1794" s="42"/>
      <c r="F1794" s="22"/>
      <c r="G1794" s="22"/>
      <c r="J1794" s="24">
        <v>50000</v>
      </c>
      <c r="M1794" s="24">
        <v>50000</v>
      </c>
      <c r="O1794" s="48" t="s">
        <v>97</v>
      </c>
      <c r="P1794" s="48">
        <f>HEX2DEC(RIGHT(Table1323212714[[#This Row],[h1]],8))</f>
        <v>0</v>
      </c>
      <c r="Q1794" s="48" t="s">
        <v>97</v>
      </c>
      <c r="R1794" s="48">
        <f>HEX2DEC(RIGHT(Table1323212714[[#This Row],[h2]],8))</f>
        <v>0</v>
      </c>
    </row>
    <row r="1795" spans="1:18" x14ac:dyDescent="0.3">
      <c r="A1795" s="15" t="str">
        <f t="shared" si="32"/>
        <v>6F9</v>
      </c>
      <c r="B1795" s="15">
        <v>1785</v>
      </c>
      <c r="C1795" s="42"/>
      <c r="F1795" s="22"/>
      <c r="G1795" s="22"/>
      <c r="J1795" s="24">
        <v>50000</v>
      </c>
      <c r="M1795" s="24">
        <v>50000</v>
      </c>
      <c r="O1795" s="48" t="s">
        <v>97</v>
      </c>
      <c r="P1795" s="48">
        <f>HEX2DEC(RIGHT(Table1323212714[[#This Row],[h1]],8))</f>
        <v>0</v>
      </c>
      <c r="Q1795" s="48" t="s">
        <v>97</v>
      </c>
      <c r="R1795" s="48">
        <f>HEX2DEC(RIGHT(Table1323212714[[#This Row],[h2]],8))</f>
        <v>0</v>
      </c>
    </row>
    <row r="1796" spans="1:18" x14ac:dyDescent="0.3">
      <c r="A1796" s="15" t="str">
        <f t="shared" si="32"/>
        <v>6FA</v>
      </c>
      <c r="B1796" s="15">
        <v>1786</v>
      </c>
      <c r="C1796" s="42"/>
      <c r="F1796" s="22"/>
      <c r="G1796" s="22"/>
      <c r="J1796" s="24">
        <v>50000</v>
      </c>
      <c r="M1796" s="24">
        <v>50000</v>
      </c>
      <c r="O1796" s="48" t="s">
        <v>97</v>
      </c>
      <c r="P1796" s="48">
        <f>HEX2DEC(RIGHT(Table1323212714[[#This Row],[h1]],8))</f>
        <v>0</v>
      </c>
      <c r="Q1796" s="48" t="s">
        <v>97</v>
      </c>
      <c r="R1796" s="48">
        <f>HEX2DEC(RIGHT(Table1323212714[[#This Row],[h2]],8))</f>
        <v>0</v>
      </c>
    </row>
    <row r="1797" spans="1:18" x14ac:dyDescent="0.3">
      <c r="A1797" s="15" t="str">
        <f t="shared" si="32"/>
        <v>6FB</v>
      </c>
      <c r="B1797" s="15">
        <v>1787</v>
      </c>
      <c r="C1797" s="42"/>
      <c r="F1797" s="22"/>
      <c r="G1797" s="22"/>
      <c r="J1797" s="24">
        <v>50000</v>
      </c>
      <c r="M1797" s="24">
        <v>50000</v>
      </c>
      <c r="O1797" s="48" t="s">
        <v>97</v>
      </c>
      <c r="P1797" s="48">
        <f>HEX2DEC(RIGHT(Table1323212714[[#This Row],[h1]],8))</f>
        <v>0</v>
      </c>
      <c r="Q1797" s="48" t="s">
        <v>97</v>
      </c>
      <c r="R1797" s="48">
        <f>HEX2DEC(RIGHT(Table1323212714[[#This Row],[h2]],8))</f>
        <v>0</v>
      </c>
    </row>
    <row r="1798" spans="1:18" x14ac:dyDescent="0.3">
      <c r="A1798" s="15" t="str">
        <f t="shared" si="32"/>
        <v>6FC</v>
      </c>
      <c r="B1798" s="15">
        <v>1788</v>
      </c>
      <c r="C1798" s="42"/>
      <c r="F1798" s="22"/>
      <c r="G1798" s="22"/>
      <c r="J1798" s="24">
        <v>50000</v>
      </c>
      <c r="M1798" s="24">
        <v>50000</v>
      </c>
      <c r="O1798" s="48" t="s">
        <v>97</v>
      </c>
      <c r="P1798" s="48">
        <f>HEX2DEC(RIGHT(Table1323212714[[#This Row],[h1]],8))</f>
        <v>0</v>
      </c>
      <c r="Q1798" s="48" t="s">
        <v>97</v>
      </c>
      <c r="R1798" s="48">
        <f>HEX2DEC(RIGHT(Table1323212714[[#This Row],[h2]],8))</f>
        <v>0</v>
      </c>
    </row>
    <row r="1799" spans="1:18" x14ac:dyDescent="0.3">
      <c r="A1799" s="15" t="str">
        <f t="shared" si="32"/>
        <v>6FD</v>
      </c>
      <c r="B1799" s="15">
        <v>1789</v>
      </c>
      <c r="C1799" s="42"/>
      <c r="F1799" s="22"/>
      <c r="G1799" s="22"/>
      <c r="J1799" s="24">
        <v>50000</v>
      </c>
      <c r="M1799" s="24">
        <v>50000</v>
      </c>
      <c r="O1799" s="48" t="s">
        <v>97</v>
      </c>
      <c r="P1799" s="48">
        <f>HEX2DEC(RIGHT(Table1323212714[[#This Row],[h1]],8))</f>
        <v>0</v>
      </c>
      <c r="Q1799" s="48" t="s">
        <v>97</v>
      </c>
      <c r="R1799" s="48">
        <f>HEX2DEC(RIGHT(Table1323212714[[#This Row],[h2]],8))</f>
        <v>0</v>
      </c>
    </row>
    <row r="1800" spans="1:18" x14ac:dyDescent="0.3">
      <c r="A1800" s="15" t="str">
        <f t="shared" si="32"/>
        <v>6FE</v>
      </c>
      <c r="B1800" s="15">
        <v>1790</v>
      </c>
      <c r="C1800" s="42"/>
      <c r="F1800" s="22"/>
      <c r="G1800" s="22"/>
      <c r="J1800" s="24">
        <v>50000</v>
      </c>
      <c r="M1800" s="24">
        <v>50000</v>
      </c>
      <c r="O1800" s="48" t="s">
        <v>97</v>
      </c>
      <c r="P1800" s="48">
        <f>HEX2DEC(RIGHT(Table1323212714[[#This Row],[h1]],8))</f>
        <v>0</v>
      </c>
      <c r="Q1800" s="48" t="s">
        <v>97</v>
      </c>
      <c r="R1800" s="48">
        <f>HEX2DEC(RIGHT(Table1323212714[[#This Row],[h2]],8))</f>
        <v>0</v>
      </c>
    </row>
    <row r="1801" spans="1:18" x14ac:dyDescent="0.3">
      <c r="A1801" s="15" t="str">
        <f t="shared" si="32"/>
        <v>6FF</v>
      </c>
      <c r="B1801" s="15">
        <v>1791</v>
      </c>
      <c r="C1801" s="42"/>
      <c r="F1801" s="22"/>
      <c r="G1801" s="22"/>
      <c r="J1801" s="24">
        <v>50000</v>
      </c>
      <c r="M1801" s="24">
        <v>50000</v>
      </c>
      <c r="O1801" s="48" t="s">
        <v>97</v>
      </c>
      <c r="P1801" s="48">
        <f>HEX2DEC(RIGHT(Table1323212714[[#This Row],[h1]],8))</f>
        <v>0</v>
      </c>
      <c r="Q1801" s="48" t="s">
        <v>97</v>
      </c>
      <c r="R1801" s="48">
        <f>HEX2DEC(RIGHT(Table1323212714[[#This Row],[h2]],8))</f>
        <v>0</v>
      </c>
    </row>
    <row r="1802" spans="1:18" x14ac:dyDescent="0.3">
      <c r="A1802" s="15" t="str">
        <f t="shared" si="32"/>
        <v>700</v>
      </c>
      <c r="B1802" s="15">
        <v>1792</v>
      </c>
      <c r="C1802" s="42"/>
      <c r="F1802" s="22"/>
      <c r="G1802" s="22"/>
      <c r="J1802" s="24">
        <v>50000</v>
      </c>
      <c r="M1802" s="24">
        <v>50000</v>
      </c>
      <c r="O1802" s="48" t="s">
        <v>97</v>
      </c>
      <c r="P1802" s="48">
        <f>HEX2DEC(RIGHT(Table1323212714[[#This Row],[h1]],8))</f>
        <v>0</v>
      </c>
      <c r="Q1802" s="48" t="s">
        <v>97</v>
      </c>
      <c r="R1802" s="48">
        <f>HEX2DEC(RIGHT(Table1323212714[[#This Row],[h2]],8))</f>
        <v>0</v>
      </c>
    </row>
    <row r="1803" spans="1:18" x14ac:dyDescent="0.3">
      <c r="A1803" s="15" t="str">
        <f t="shared" ref="A1803:A1866" si="33">DEC2HEX(B1803,3)</f>
        <v>701</v>
      </c>
      <c r="B1803" s="15">
        <v>1793</v>
      </c>
      <c r="C1803" s="42"/>
      <c r="F1803" s="22"/>
      <c r="G1803" s="22"/>
      <c r="J1803" s="24">
        <v>50000</v>
      </c>
      <c r="M1803" s="24">
        <v>50000</v>
      </c>
      <c r="O1803" s="48" t="s">
        <v>97</v>
      </c>
      <c r="P1803" s="48">
        <f>HEX2DEC(RIGHT(Table1323212714[[#This Row],[h1]],8))</f>
        <v>0</v>
      </c>
      <c r="Q1803" s="48" t="s">
        <v>97</v>
      </c>
      <c r="R1803" s="48">
        <f>HEX2DEC(RIGHT(Table1323212714[[#This Row],[h2]],8))</f>
        <v>0</v>
      </c>
    </row>
    <row r="1804" spans="1:18" x14ac:dyDescent="0.3">
      <c r="A1804" s="15" t="str">
        <f t="shared" si="33"/>
        <v>702</v>
      </c>
      <c r="B1804" s="15">
        <v>1794</v>
      </c>
      <c r="C1804" s="42"/>
      <c r="F1804" s="22"/>
      <c r="G1804" s="22"/>
      <c r="J1804" s="24">
        <v>50000</v>
      </c>
      <c r="M1804" s="24">
        <v>50000</v>
      </c>
      <c r="O1804" s="48" t="s">
        <v>97</v>
      </c>
      <c r="P1804" s="48">
        <f>HEX2DEC(RIGHT(Table1323212714[[#This Row],[h1]],8))</f>
        <v>0</v>
      </c>
      <c r="Q1804" s="48" t="s">
        <v>97</v>
      </c>
      <c r="R1804" s="48">
        <f>HEX2DEC(RIGHT(Table1323212714[[#This Row],[h2]],8))</f>
        <v>0</v>
      </c>
    </row>
    <row r="1805" spans="1:18" x14ac:dyDescent="0.3">
      <c r="A1805" s="15" t="str">
        <f t="shared" si="33"/>
        <v>703</v>
      </c>
      <c r="B1805" s="15">
        <v>1795</v>
      </c>
      <c r="C1805" s="42"/>
      <c r="F1805" s="22"/>
      <c r="G1805" s="22"/>
      <c r="J1805" s="24">
        <v>50000</v>
      </c>
      <c r="M1805" s="24">
        <v>50000</v>
      </c>
      <c r="O1805" s="48" t="s">
        <v>97</v>
      </c>
      <c r="P1805" s="48">
        <f>HEX2DEC(RIGHT(Table1323212714[[#This Row],[h1]],8))</f>
        <v>0</v>
      </c>
      <c r="Q1805" s="48" t="s">
        <v>97</v>
      </c>
      <c r="R1805" s="48">
        <f>HEX2DEC(RIGHT(Table1323212714[[#This Row],[h2]],8))</f>
        <v>0</v>
      </c>
    </row>
    <row r="1806" spans="1:18" x14ac:dyDescent="0.3">
      <c r="A1806" s="15" t="str">
        <f t="shared" si="33"/>
        <v>704</v>
      </c>
      <c r="B1806" s="15">
        <v>1796</v>
      </c>
      <c r="C1806" s="42"/>
      <c r="F1806" s="22"/>
      <c r="G1806" s="22"/>
      <c r="J1806" s="24">
        <v>50000</v>
      </c>
      <c r="M1806" s="24">
        <v>50000</v>
      </c>
      <c r="O1806" s="48" t="s">
        <v>97</v>
      </c>
      <c r="P1806" s="48">
        <f>HEX2DEC(RIGHT(Table1323212714[[#This Row],[h1]],8))</f>
        <v>0</v>
      </c>
      <c r="Q1806" s="48" t="s">
        <v>97</v>
      </c>
      <c r="R1806" s="48">
        <f>HEX2DEC(RIGHT(Table1323212714[[#This Row],[h2]],8))</f>
        <v>0</v>
      </c>
    </row>
    <row r="1807" spans="1:18" x14ac:dyDescent="0.3">
      <c r="A1807" s="15" t="str">
        <f t="shared" si="33"/>
        <v>705</v>
      </c>
      <c r="B1807" s="15">
        <v>1797</v>
      </c>
      <c r="C1807" s="42"/>
      <c r="F1807" s="22"/>
      <c r="G1807" s="22"/>
      <c r="J1807" s="24">
        <v>50000</v>
      </c>
      <c r="M1807" s="24">
        <v>50000</v>
      </c>
      <c r="O1807" s="48" t="s">
        <v>97</v>
      </c>
      <c r="P1807" s="48">
        <f>HEX2DEC(RIGHT(Table1323212714[[#This Row],[h1]],8))</f>
        <v>0</v>
      </c>
      <c r="Q1807" s="48" t="s">
        <v>97</v>
      </c>
      <c r="R1807" s="48">
        <f>HEX2DEC(RIGHT(Table1323212714[[#This Row],[h2]],8))</f>
        <v>0</v>
      </c>
    </row>
    <row r="1808" spans="1:18" x14ac:dyDescent="0.3">
      <c r="A1808" s="15" t="str">
        <f t="shared" si="33"/>
        <v>706</v>
      </c>
      <c r="B1808" s="15">
        <v>1798</v>
      </c>
      <c r="C1808" s="42"/>
      <c r="F1808" s="22"/>
      <c r="G1808" s="22"/>
      <c r="J1808" s="24">
        <v>50000</v>
      </c>
      <c r="M1808" s="24">
        <v>50000</v>
      </c>
      <c r="O1808" s="48" t="s">
        <v>97</v>
      </c>
      <c r="P1808" s="48">
        <f>HEX2DEC(RIGHT(Table1323212714[[#This Row],[h1]],8))</f>
        <v>0</v>
      </c>
      <c r="Q1808" s="48" t="s">
        <v>97</v>
      </c>
      <c r="R1808" s="48">
        <f>HEX2DEC(RIGHT(Table1323212714[[#This Row],[h2]],8))</f>
        <v>0</v>
      </c>
    </row>
    <row r="1809" spans="1:18" x14ac:dyDescent="0.3">
      <c r="A1809" s="15" t="str">
        <f t="shared" si="33"/>
        <v>707</v>
      </c>
      <c r="B1809" s="15">
        <v>1799</v>
      </c>
      <c r="C1809" s="42"/>
      <c r="F1809" s="22"/>
      <c r="G1809" s="22"/>
      <c r="J1809" s="24">
        <v>50000</v>
      </c>
      <c r="M1809" s="24">
        <v>50000</v>
      </c>
      <c r="O1809" s="48" t="s">
        <v>97</v>
      </c>
      <c r="P1809" s="48">
        <f>HEX2DEC(RIGHT(Table1323212714[[#This Row],[h1]],8))</f>
        <v>0</v>
      </c>
      <c r="Q1809" s="48" t="s">
        <v>97</v>
      </c>
      <c r="R1809" s="48">
        <f>HEX2DEC(RIGHT(Table1323212714[[#This Row],[h2]],8))</f>
        <v>0</v>
      </c>
    </row>
    <row r="1810" spans="1:18" x14ac:dyDescent="0.3">
      <c r="A1810" s="15" t="str">
        <f t="shared" si="33"/>
        <v>708</v>
      </c>
      <c r="B1810" s="15">
        <v>1800</v>
      </c>
      <c r="C1810" s="42"/>
      <c r="F1810" s="22"/>
      <c r="G1810" s="22"/>
      <c r="J1810" s="24">
        <v>50000</v>
      </c>
      <c r="M1810" s="24">
        <v>50000</v>
      </c>
      <c r="O1810" s="48" t="s">
        <v>97</v>
      </c>
      <c r="P1810" s="48">
        <f>HEX2DEC(RIGHT(Table1323212714[[#This Row],[h1]],8))</f>
        <v>0</v>
      </c>
      <c r="Q1810" s="48" t="s">
        <v>97</v>
      </c>
      <c r="R1810" s="48">
        <f>HEX2DEC(RIGHT(Table1323212714[[#This Row],[h2]],8))</f>
        <v>0</v>
      </c>
    </row>
    <row r="1811" spans="1:18" x14ac:dyDescent="0.3">
      <c r="A1811" s="15" t="str">
        <f t="shared" si="33"/>
        <v>709</v>
      </c>
      <c r="B1811" s="15">
        <v>1801</v>
      </c>
      <c r="C1811" s="42"/>
      <c r="F1811" s="22"/>
      <c r="G1811" s="22"/>
      <c r="J1811" s="24">
        <v>50000</v>
      </c>
      <c r="M1811" s="24">
        <v>50000</v>
      </c>
      <c r="O1811" s="48" t="s">
        <v>97</v>
      </c>
      <c r="P1811" s="48">
        <f>HEX2DEC(RIGHT(Table1323212714[[#This Row],[h1]],8))</f>
        <v>0</v>
      </c>
      <c r="Q1811" s="48" t="s">
        <v>97</v>
      </c>
      <c r="R1811" s="48">
        <f>HEX2DEC(RIGHT(Table1323212714[[#This Row],[h2]],8))</f>
        <v>0</v>
      </c>
    </row>
    <row r="1812" spans="1:18" x14ac:dyDescent="0.3">
      <c r="A1812" s="15" t="str">
        <f t="shared" si="33"/>
        <v>70A</v>
      </c>
      <c r="B1812" s="15">
        <v>1802</v>
      </c>
      <c r="C1812" s="42"/>
      <c r="F1812" s="22"/>
      <c r="G1812" s="22"/>
      <c r="J1812" s="24">
        <v>50000</v>
      </c>
      <c r="M1812" s="24">
        <v>50000</v>
      </c>
      <c r="O1812" s="48" t="s">
        <v>97</v>
      </c>
      <c r="P1812" s="48">
        <f>HEX2DEC(RIGHT(Table1323212714[[#This Row],[h1]],8))</f>
        <v>0</v>
      </c>
      <c r="Q1812" s="48" t="s">
        <v>97</v>
      </c>
      <c r="R1812" s="48">
        <f>HEX2DEC(RIGHT(Table1323212714[[#This Row],[h2]],8))</f>
        <v>0</v>
      </c>
    </row>
    <row r="1813" spans="1:18" x14ac:dyDescent="0.3">
      <c r="A1813" s="15" t="str">
        <f t="shared" si="33"/>
        <v>70B</v>
      </c>
      <c r="B1813" s="15">
        <v>1803</v>
      </c>
      <c r="C1813" s="42"/>
      <c r="F1813" s="22"/>
      <c r="G1813" s="22"/>
      <c r="J1813" s="24">
        <v>50000</v>
      </c>
      <c r="M1813" s="24">
        <v>50000</v>
      </c>
      <c r="O1813" s="48" t="s">
        <v>97</v>
      </c>
      <c r="P1813" s="48">
        <f>HEX2DEC(RIGHT(Table1323212714[[#This Row],[h1]],8))</f>
        <v>0</v>
      </c>
      <c r="Q1813" s="48" t="s">
        <v>97</v>
      </c>
      <c r="R1813" s="48">
        <f>HEX2DEC(RIGHT(Table1323212714[[#This Row],[h2]],8))</f>
        <v>0</v>
      </c>
    </row>
    <row r="1814" spans="1:18" x14ac:dyDescent="0.3">
      <c r="A1814" s="15" t="str">
        <f t="shared" si="33"/>
        <v>70C</v>
      </c>
      <c r="B1814" s="15">
        <v>1804</v>
      </c>
      <c r="C1814" s="42"/>
      <c r="F1814" s="22"/>
      <c r="G1814" s="22"/>
      <c r="J1814" s="24">
        <v>50000</v>
      </c>
      <c r="M1814" s="24">
        <v>50000</v>
      </c>
      <c r="O1814" s="48" t="s">
        <v>97</v>
      </c>
      <c r="P1814" s="48">
        <f>HEX2DEC(RIGHT(Table1323212714[[#This Row],[h1]],8))</f>
        <v>0</v>
      </c>
      <c r="Q1814" s="48" t="s">
        <v>97</v>
      </c>
      <c r="R1814" s="48">
        <f>HEX2DEC(RIGHT(Table1323212714[[#This Row],[h2]],8))</f>
        <v>0</v>
      </c>
    </row>
    <row r="1815" spans="1:18" x14ac:dyDescent="0.3">
      <c r="A1815" s="15" t="str">
        <f t="shared" si="33"/>
        <v>70D</v>
      </c>
      <c r="B1815" s="15">
        <v>1805</v>
      </c>
      <c r="C1815" s="42"/>
      <c r="F1815" s="22"/>
      <c r="G1815" s="22"/>
      <c r="J1815" s="24">
        <v>50000</v>
      </c>
      <c r="M1815" s="24">
        <v>50000</v>
      </c>
      <c r="O1815" s="48" t="s">
        <v>97</v>
      </c>
      <c r="P1815" s="48">
        <f>HEX2DEC(RIGHT(Table1323212714[[#This Row],[h1]],8))</f>
        <v>0</v>
      </c>
      <c r="Q1815" s="48" t="s">
        <v>97</v>
      </c>
      <c r="R1815" s="48">
        <f>HEX2DEC(RIGHT(Table1323212714[[#This Row],[h2]],8))</f>
        <v>0</v>
      </c>
    </row>
    <row r="1816" spans="1:18" x14ac:dyDescent="0.3">
      <c r="A1816" s="15" t="str">
        <f t="shared" si="33"/>
        <v>70E</v>
      </c>
      <c r="B1816" s="15">
        <v>1806</v>
      </c>
      <c r="C1816" s="42"/>
      <c r="F1816" s="22"/>
      <c r="G1816" s="22"/>
      <c r="J1816" s="24">
        <v>50000</v>
      </c>
      <c r="M1816" s="24">
        <v>50000</v>
      </c>
      <c r="O1816" s="48" t="s">
        <v>97</v>
      </c>
      <c r="P1816" s="48">
        <f>HEX2DEC(RIGHT(Table1323212714[[#This Row],[h1]],8))</f>
        <v>0</v>
      </c>
      <c r="Q1816" s="48" t="s">
        <v>97</v>
      </c>
      <c r="R1816" s="48">
        <f>HEX2DEC(RIGHT(Table1323212714[[#This Row],[h2]],8))</f>
        <v>0</v>
      </c>
    </row>
    <row r="1817" spans="1:18" x14ac:dyDescent="0.3">
      <c r="A1817" s="15" t="str">
        <f t="shared" si="33"/>
        <v>70F</v>
      </c>
      <c r="B1817" s="15">
        <v>1807</v>
      </c>
      <c r="C1817" s="42"/>
      <c r="F1817" s="22"/>
      <c r="G1817" s="22"/>
      <c r="J1817" s="24">
        <v>50000</v>
      </c>
      <c r="M1817" s="24">
        <v>50000</v>
      </c>
      <c r="O1817" s="48" t="s">
        <v>97</v>
      </c>
      <c r="P1817" s="48">
        <f>HEX2DEC(RIGHT(Table1323212714[[#This Row],[h1]],8))</f>
        <v>0</v>
      </c>
      <c r="Q1817" s="48" t="s">
        <v>97</v>
      </c>
      <c r="R1817" s="48">
        <f>HEX2DEC(RIGHT(Table1323212714[[#This Row],[h2]],8))</f>
        <v>0</v>
      </c>
    </row>
    <row r="1818" spans="1:18" x14ac:dyDescent="0.3">
      <c r="A1818" s="15" t="str">
        <f t="shared" si="33"/>
        <v>710</v>
      </c>
      <c r="B1818" s="15">
        <v>1808</v>
      </c>
      <c r="C1818" s="42"/>
      <c r="F1818" s="22"/>
      <c r="G1818" s="22"/>
      <c r="J1818" s="24">
        <v>50000</v>
      </c>
      <c r="M1818" s="24">
        <v>50000</v>
      </c>
      <c r="O1818" s="48" t="s">
        <v>97</v>
      </c>
      <c r="P1818" s="48">
        <f>HEX2DEC(RIGHT(Table1323212714[[#This Row],[h1]],8))</f>
        <v>0</v>
      </c>
      <c r="Q1818" s="48" t="s">
        <v>97</v>
      </c>
      <c r="R1818" s="48">
        <f>HEX2DEC(RIGHT(Table1323212714[[#This Row],[h2]],8))</f>
        <v>0</v>
      </c>
    </row>
    <row r="1819" spans="1:18" x14ac:dyDescent="0.3">
      <c r="A1819" s="15" t="str">
        <f t="shared" si="33"/>
        <v>711</v>
      </c>
      <c r="B1819" s="15">
        <v>1809</v>
      </c>
      <c r="C1819" s="42"/>
      <c r="F1819" s="22"/>
      <c r="G1819" s="22"/>
      <c r="J1819" s="24">
        <v>50000</v>
      </c>
      <c r="M1819" s="24">
        <v>50000</v>
      </c>
      <c r="O1819" s="48" t="s">
        <v>97</v>
      </c>
      <c r="P1819" s="48">
        <f>HEX2DEC(RIGHT(Table1323212714[[#This Row],[h1]],8))</f>
        <v>0</v>
      </c>
      <c r="Q1819" s="48" t="s">
        <v>97</v>
      </c>
      <c r="R1819" s="48">
        <f>HEX2DEC(RIGHT(Table1323212714[[#This Row],[h2]],8))</f>
        <v>0</v>
      </c>
    </row>
    <row r="1820" spans="1:18" x14ac:dyDescent="0.3">
      <c r="A1820" s="15" t="str">
        <f t="shared" si="33"/>
        <v>712</v>
      </c>
      <c r="B1820" s="15">
        <v>1810</v>
      </c>
      <c r="C1820" s="42"/>
      <c r="F1820" s="22"/>
      <c r="G1820" s="22"/>
      <c r="J1820" s="24">
        <v>50000</v>
      </c>
      <c r="M1820" s="24">
        <v>50000</v>
      </c>
      <c r="O1820" s="48" t="s">
        <v>97</v>
      </c>
      <c r="P1820" s="48">
        <f>HEX2DEC(RIGHT(Table1323212714[[#This Row],[h1]],8))</f>
        <v>0</v>
      </c>
      <c r="Q1820" s="48" t="s">
        <v>97</v>
      </c>
      <c r="R1820" s="48">
        <f>HEX2DEC(RIGHT(Table1323212714[[#This Row],[h2]],8))</f>
        <v>0</v>
      </c>
    </row>
    <row r="1821" spans="1:18" x14ac:dyDescent="0.3">
      <c r="A1821" s="15" t="str">
        <f t="shared" si="33"/>
        <v>713</v>
      </c>
      <c r="B1821" s="15">
        <v>1811</v>
      </c>
      <c r="C1821" s="42"/>
      <c r="F1821" s="22"/>
      <c r="G1821" s="22"/>
      <c r="J1821" s="24">
        <v>50000</v>
      </c>
      <c r="M1821" s="24">
        <v>50000</v>
      </c>
      <c r="O1821" s="48" t="s">
        <v>97</v>
      </c>
      <c r="P1821" s="48">
        <f>HEX2DEC(RIGHT(Table1323212714[[#This Row],[h1]],8))</f>
        <v>0</v>
      </c>
      <c r="Q1821" s="48" t="s">
        <v>97</v>
      </c>
      <c r="R1821" s="48">
        <f>HEX2DEC(RIGHT(Table1323212714[[#This Row],[h2]],8))</f>
        <v>0</v>
      </c>
    </row>
    <row r="1822" spans="1:18" x14ac:dyDescent="0.3">
      <c r="A1822" s="15" t="str">
        <f t="shared" si="33"/>
        <v>714</v>
      </c>
      <c r="B1822" s="15">
        <v>1812</v>
      </c>
      <c r="C1822" s="42"/>
      <c r="F1822" s="22"/>
      <c r="G1822" s="22"/>
      <c r="J1822" s="24">
        <v>50000</v>
      </c>
      <c r="M1822" s="24">
        <v>50000</v>
      </c>
      <c r="O1822" s="48" t="s">
        <v>97</v>
      </c>
      <c r="P1822" s="48">
        <f>HEX2DEC(RIGHT(Table1323212714[[#This Row],[h1]],8))</f>
        <v>0</v>
      </c>
      <c r="Q1822" s="48" t="s">
        <v>97</v>
      </c>
      <c r="R1822" s="48">
        <f>HEX2DEC(RIGHT(Table1323212714[[#This Row],[h2]],8))</f>
        <v>0</v>
      </c>
    </row>
    <row r="1823" spans="1:18" x14ac:dyDescent="0.3">
      <c r="A1823" s="15" t="str">
        <f t="shared" si="33"/>
        <v>715</v>
      </c>
      <c r="B1823" s="15">
        <v>1813</v>
      </c>
      <c r="C1823" s="42"/>
      <c r="F1823" s="22"/>
      <c r="G1823" s="22"/>
      <c r="J1823" s="24">
        <v>50000</v>
      </c>
      <c r="M1823" s="24">
        <v>50000</v>
      </c>
      <c r="O1823" s="48" t="s">
        <v>97</v>
      </c>
      <c r="P1823" s="48">
        <f>HEX2DEC(RIGHT(Table1323212714[[#This Row],[h1]],8))</f>
        <v>0</v>
      </c>
      <c r="Q1823" s="48" t="s">
        <v>97</v>
      </c>
      <c r="R1823" s="48">
        <f>HEX2DEC(RIGHT(Table1323212714[[#This Row],[h2]],8))</f>
        <v>0</v>
      </c>
    </row>
    <row r="1824" spans="1:18" x14ac:dyDescent="0.3">
      <c r="A1824" s="15" t="str">
        <f t="shared" si="33"/>
        <v>716</v>
      </c>
      <c r="B1824" s="15">
        <v>1814</v>
      </c>
      <c r="C1824" s="42"/>
      <c r="F1824" s="22"/>
      <c r="G1824" s="22"/>
      <c r="J1824" s="24">
        <v>50000</v>
      </c>
      <c r="M1824" s="24">
        <v>50000</v>
      </c>
      <c r="O1824" s="48" t="s">
        <v>97</v>
      </c>
      <c r="P1824" s="48">
        <f>HEX2DEC(RIGHT(Table1323212714[[#This Row],[h1]],8))</f>
        <v>0</v>
      </c>
      <c r="Q1824" s="48" t="s">
        <v>97</v>
      </c>
      <c r="R1824" s="48">
        <f>HEX2DEC(RIGHT(Table1323212714[[#This Row],[h2]],8))</f>
        <v>0</v>
      </c>
    </row>
    <row r="1825" spans="1:18" x14ac:dyDescent="0.3">
      <c r="A1825" s="15" t="str">
        <f t="shared" si="33"/>
        <v>717</v>
      </c>
      <c r="B1825" s="15">
        <v>1815</v>
      </c>
      <c r="C1825" s="42"/>
      <c r="F1825" s="22"/>
      <c r="G1825" s="22"/>
      <c r="J1825" s="24">
        <v>50000</v>
      </c>
      <c r="M1825" s="24">
        <v>50000</v>
      </c>
      <c r="O1825" s="48" t="s">
        <v>97</v>
      </c>
      <c r="P1825" s="48">
        <f>HEX2DEC(RIGHT(Table1323212714[[#This Row],[h1]],8))</f>
        <v>0</v>
      </c>
      <c r="Q1825" s="48" t="s">
        <v>97</v>
      </c>
      <c r="R1825" s="48">
        <f>HEX2DEC(RIGHT(Table1323212714[[#This Row],[h2]],8))</f>
        <v>0</v>
      </c>
    </row>
    <row r="1826" spans="1:18" x14ac:dyDescent="0.3">
      <c r="A1826" s="15" t="str">
        <f t="shared" si="33"/>
        <v>718</v>
      </c>
      <c r="B1826" s="15">
        <v>1816</v>
      </c>
      <c r="C1826" s="42"/>
      <c r="F1826" s="22"/>
      <c r="G1826" s="22"/>
      <c r="J1826" s="24">
        <v>50000</v>
      </c>
      <c r="M1826" s="24">
        <v>50000</v>
      </c>
      <c r="O1826" s="48" t="s">
        <v>97</v>
      </c>
      <c r="P1826" s="48">
        <f>HEX2DEC(RIGHT(Table1323212714[[#This Row],[h1]],8))</f>
        <v>0</v>
      </c>
      <c r="Q1826" s="48" t="s">
        <v>97</v>
      </c>
      <c r="R1826" s="48">
        <f>HEX2DEC(RIGHT(Table1323212714[[#This Row],[h2]],8))</f>
        <v>0</v>
      </c>
    </row>
    <row r="1827" spans="1:18" x14ac:dyDescent="0.3">
      <c r="A1827" s="15" t="str">
        <f t="shared" si="33"/>
        <v>719</v>
      </c>
      <c r="B1827" s="15">
        <v>1817</v>
      </c>
      <c r="C1827" s="42"/>
      <c r="F1827" s="22"/>
      <c r="G1827" s="22"/>
      <c r="J1827" s="24">
        <v>50000</v>
      </c>
      <c r="M1827" s="24">
        <v>50000</v>
      </c>
      <c r="O1827" s="48" t="s">
        <v>97</v>
      </c>
      <c r="P1827" s="48">
        <f>HEX2DEC(RIGHT(Table1323212714[[#This Row],[h1]],8))</f>
        <v>0</v>
      </c>
      <c r="Q1827" s="48" t="s">
        <v>97</v>
      </c>
      <c r="R1827" s="48">
        <f>HEX2DEC(RIGHT(Table1323212714[[#This Row],[h2]],8))</f>
        <v>0</v>
      </c>
    </row>
    <row r="1828" spans="1:18" x14ac:dyDescent="0.3">
      <c r="A1828" s="15" t="str">
        <f t="shared" si="33"/>
        <v>71A</v>
      </c>
      <c r="B1828" s="15">
        <v>1818</v>
      </c>
      <c r="C1828" s="42"/>
      <c r="F1828" s="22"/>
      <c r="G1828" s="22"/>
      <c r="J1828" s="24">
        <v>50000</v>
      </c>
      <c r="M1828" s="24">
        <v>50000</v>
      </c>
      <c r="O1828" s="48" t="s">
        <v>97</v>
      </c>
      <c r="P1828" s="48">
        <f>HEX2DEC(RIGHT(Table1323212714[[#This Row],[h1]],8))</f>
        <v>0</v>
      </c>
      <c r="Q1828" s="48" t="s">
        <v>97</v>
      </c>
      <c r="R1828" s="48">
        <f>HEX2DEC(RIGHT(Table1323212714[[#This Row],[h2]],8))</f>
        <v>0</v>
      </c>
    </row>
    <row r="1829" spans="1:18" x14ac:dyDescent="0.3">
      <c r="A1829" s="15" t="str">
        <f t="shared" si="33"/>
        <v>71B</v>
      </c>
      <c r="B1829" s="15">
        <v>1819</v>
      </c>
      <c r="C1829" s="42"/>
      <c r="F1829" s="22"/>
      <c r="G1829" s="22"/>
      <c r="J1829" s="24">
        <v>50000</v>
      </c>
      <c r="M1829" s="24">
        <v>50000</v>
      </c>
      <c r="O1829" s="48" t="s">
        <v>97</v>
      </c>
      <c r="P1829" s="48">
        <f>HEX2DEC(RIGHT(Table1323212714[[#This Row],[h1]],8))</f>
        <v>0</v>
      </c>
      <c r="Q1829" s="48" t="s">
        <v>97</v>
      </c>
      <c r="R1829" s="48">
        <f>HEX2DEC(RIGHT(Table1323212714[[#This Row],[h2]],8))</f>
        <v>0</v>
      </c>
    </row>
    <row r="1830" spans="1:18" x14ac:dyDescent="0.3">
      <c r="A1830" s="15" t="str">
        <f t="shared" si="33"/>
        <v>71C</v>
      </c>
      <c r="B1830" s="15">
        <v>1820</v>
      </c>
      <c r="C1830" s="42"/>
      <c r="F1830" s="22"/>
      <c r="G1830" s="22"/>
      <c r="J1830" s="24">
        <v>50000</v>
      </c>
      <c r="M1830" s="24">
        <v>50000</v>
      </c>
      <c r="O1830" s="48" t="s">
        <v>97</v>
      </c>
      <c r="P1830" s="48">
        <f>HEX2DEC(RIGHT(Table1323212714[[#This Row],[h1]],8))</f>
        <v>0</v>
      </c>
      <c r="Q1830" s="48" t="s">
        <v>97</v>
      </c>
      <c r="R1830" s="48">
        <f>HEX2DEC(RIGHT(Table1323212714[[#This Row],[h2]],8))</f>
        <v>0</v>
      </c>
    </row>
    <row r="1831" spans="1:18" x14ac:dyDescent="0.3">
      <c r="A1831" s="15" t="str">
        <f t="shared" si="33"/>
        <v>71D</v>
      </c>
      <c r="B1831" s="15">
        <v>1821</v>
      </c>
      <c r="C1831" s="42"/>
      <c r="F1831" s="22"/>
      <c r="G1831" s="22"/>
      <c r="J1831" s="24">
        <v>50000</v>
      </c>
      <c r="M1831" s="24">
        <v>50000</v>
      </c>
      <c r="O1831" s="48" t="s">
        <v>97</v>
      </c>
      <c r="P1831" s="48">
        <f>HEX2DEC(RIGHT(Table1323212714[[#This Row],[h1]],8))</f>
        <v>0</v>
      </c>
      <c r="Q1831" s="48" t="s">
        <v>97</v>
      </c>
      <c r="R1831" s="48">
        <f>HEX2DEC(RIGHT(Table1323212714[[#This Row],[h2]],8))</f>
        <v>0</v>
      </c>
    </row>
    <row r="1832" spans="1:18" x14ac:dyDescent="0.3">
      <c r="A1832" s="15" t="str">
        <f t="shared" si="33"/>
        <v>71E</v>
      </c>
      <c r="B1832" s="15">
        <v>1822</v>
      </c>
      <c r="C1832" s="42"/>
      <c r="F1832" s="22"/>
      <c r="G1832" s="22"/>
      <c r="J1832" s="24">
        <v>50000</v>
      </c>
      <c r="M1832" s="24">
        <v>50000</v>
      </c>
      <c r="O1832" s="48" t="s">
        <v>97</v>
      </c>
      <c r="P1832" s="48">
        <f>HEX2DEC(RIGHT(Table1323212714[[#This Row],[h1]],8))</f>
        <v>0</v>
      </c>
      <c r="Q1832" s="48" t="s">
        <v>97</v>
      </c>
      <c r="R1832" s="48">
        <f>HEX2DEC(RIGHT(Table1323212714[[#This Row],[h2]],8))</f>
        <v>0</v>
      </c>
    </row>
    <row r="1833" spans="1:18" x14ac:dyDescent="0.3">
      <c r="A1833" s="15" t="str">
        <f t="shared" si="33"/>
        <v>71F</v>
      </c>
      <c r="B1833" s="15">
        <v>1823</v>
      </c>
      <c r="C1833" s="42"/>
      <c r="F1833" s="22"/>
      <c r="G1833" s="22"/>
      <c r="J1833" s="24">
        <v>50000</v>
      </c>
      <c r="M1833" s="24">
        <v>50000</v>
      </c>
      <c r="O1833" s="48" t="s">
        <v>97</v>
      </c>
      <c r="P1833" s="48">
        <f>HEX2DEC(RIGHT(Table1323212714[[#This Row],[h1]],8))</f>
        <v>0</v>
      </c>
      <c r="Q1833" s="48" t="s">
        <v>97</v>
      </c>
      <c r="R1833" s="48">
        <f>HEX2DEC(RIGHT(Table1323212714[[#This Row],[h2]],8))</f>
        <v>0</v>
      </c>
    </row>
    <row r="1834" spans="1:18" x14ac:dyDescent="0.3">
      <c r="A1834" s="15" t="str">
        <f t="shared" si="33"/>
        <v>720</v>
      </c>
      <c r="B1834" s="15">
        <v>1824</v>
      </c>
      <c r="C1834" s="42"/>
      <c r="F1834" s="22"/>
      <c r="G1834" s="22"/>
      <c r="J1834" s="24">
        <v>50000</v>
      </c>
      <c r="M1834" s="24">
        <v>50000</v>
      </c>
      <c r="O1834" s="48" t="s">
        <v>97</v>
      </c>
      <c r="P1834" s="48">
        <f>HEX2DEC(RIGHT(Table1323212714[[#This Row],[h1]],8))</f>
        <v>0</v>
      </c>
      <c r="Q1834" s="48" t="s">
        <v>97</v>
      </c>
      <c r="R1834" s="48">
        <f>HEX2DEC(RIGHT(Table1323212714[[#This Row],[h2]],8))</f>
        <v>0</v>
      </c>
    </row>
    <row r="1835" spans="1:18" x14ac:dyDescent="0.3">
      <c r="A1835" s="15" t="str">
        <f t="shared" si="33"/>
        <v>721</v>
      </c>
      <c r="B1835" s="15">
        <v>1825</v>
      </c>
      <c r="C1835" s="42"/>
      <c r="F1835" s="22"/>
      <c r="G1835" s="22"/>
      <c r="J1835" s="24">
        <v>50000</v>
      </c>
      <c r="M1835" s="24">
        <v>50000</v>
      </c>
      <c r="O1835" s="48" t="s">
        <v>97</v>
      </c>
      <c r="P1835" s="48">
        <f>HEX2DEC(RIGHT(Table1323212714[[#This Row],[h1]],8))</f>
        <v>0</v>
      </c>
      <c r="Q1835" s="48" t="s">
        <v>97</v>
      </c>
      <c r="R1835" s="48">
        <f>HEX2DEC(RIGHT(Table1323212714[[#This Row],[h2]],8))</f>
        <v>0</v>
      </c>
    </row>
    <row r="1836" spans="1:18" x14ac:dyDescent="0.3">
      <c r="A1836" s="15" t="str">
        <f t="shared" si="33"/>
        <v>722</v>
      </c>
      <c r="B1836" s="15">
        <v>1826</v>
      </c>
      <c r="C1836" s="42"/>
      <c r="F1836" s="22"/>
      <c r="G1836" s="22"/>
      <c r="J1836" s="24">
        <v>50000</v>
      </c>
      <c r="M1836" s="24">
        <v>50000</v>
      </c>
      <c r="O1836" s="48" t="s">
        <v>97</v>
      </c>
      <c r="P1836" s="48">
        <f>HEX2DEC(RIGHT(Table1323212714[[#This Row],[h1]],8))</f>
        <v>0</v>
      </c>
      <c r="Q1836" s="48" t="s">
        <v>97</v>
      </c>
      <c r="R1836" s="48">
        <f>HEX2DEC(RIGHT(Table1323212714[[#This Row],[h2]],8))</f>
        <v>0</v>
      </c>
    </row>
    <row r="1837" spans="1:18" x14ac:dyDescent="0.3">
      <c r="A1837" s="15" t="str">
        <f t="shared" si="33"/>
        <v>723</v>
      </c>
      <c r="B1837" s="15">
        <v>1827</v>
      </c>
      <c r="C1837" s="42"/>
      <c r="F1837" s="22"/>
      <c r="G1837" s="22"/>
      <c r="J1837" s="24">
        <v>50000</v>
      </c>
      <c r="M1837" s="24">
        <v>50000</v>
      </c>
      <c r="O1837" s="48" t="s">
        <v>97</v>
      </c>
      <c r="P1837" s="48">
        <f>HEX2DEC(RIGHT(Table1323212714[[#This Row],[h1]],8))</f>
        <v>0</v>
      </c>
      <c r="Q1837" s="48" t="s">
        <v>97</v>
      </c>
      <c r="R1837" s="48">
        <f>HEX2DEC(RIGHT(Table1323212714[[#This Row],[h2]],8))</f>
        <v>0</v>
      </c>
    </row>
    <row r="1838" spans="1:18" x14ac:dyDescent="0.3">
      <c r="A1838" s="15" t="str">
        <f t="shared" si="33"/>
        <v>724</v>
      </c>
      <c r="B1838" s="15">
        <v>1828</v>
      </c>
      <c r="C1838" s="42"/>
      <c r="F1838" s="22"/>
      <c r="G1838" s="22"/>
      <c r="J1838" s="24">
        <v>50000</v>
      </c>
      <c r="M1838" s="24">
        <v>50000</v>
      </c>
      <c r="O1838" s="48" t="s">
        <v>97</v>
      </c>
      <c r="P1838" s="48">
        <f>HEX2DEC(RIGHT(Table1323212714[[#This Row],[h1]],8))</f>
        <v>0</v>
      </c>
      <c r="Q1838" s="48" t="s">
        <v>97</v>
      </c>
      <c r="R1838" s="48">
        <f>HEX2DEC(RIGHT(Table1323212714[[#This Row],[h2]],8))</f>
        <v>0</v>
      </c>
    </row>
    <row r="1839" spans="1:18" x14ac:dyDescent="0.3">
      <c r="A1839" s="15" t="str">
        <f t="shared" si="33"/>
        <v>725</v>
      </c>
      <c r="B1839" s="15">
        <v>1829</v>
      </c>
      <c r="C1839" s="42"/>
      <c r="F1839" s="22"/>
      <c r="G1839" s="22"/>
      <c r="J1839" s="24">
        <v>50000</v>
      </c>
      <c r="M1839" s="24">
        <v>50000</v>
      </c>
      <c r="O1839" s="48" t="s">
        <v>97</v>
      </c>
      <c r="P1839" s="48">
        <f>HEX2DEC(RIGHT(Table1323212714[[#This Row],[h1]],8))</f>
        <v>0</v>
      </c>
      <c r="Q1839" s="48" t="s">
        <v>97</v>
      </c>
      <c r="R1839" s="48">
        <f>HEX2DEC(RIGHT(Table1323212714[[#This Row],[h2]],8))</f>
        <v>0</v>
      </c>
    </row>
    <row r="1840" spans="1:18" x14ac:dyDescent="0.3">
      <c r="A1840" s="15" t="str">
        <f t="shared" si="33"/>
        <v>726</v>
      </c>
      <c r="B1840" s="15">
        <v>1830</v>
      </c>
      <c r="C1840" s="42"/>
      <c r="F1840" s="22"/>
      <c r="G1840" s="22"/>
      <c r="J1840" s="24">
        <v>50000</v>
      </c>
      <c r="M1840" s="24">
        <v>50000</v>
      </c>
      <c r="O1840" s="48" t="s">
        <v>97</v>
      </c>
      <c r="P1840" s="48">
        <f>HEX2DEC(RIGHT(Table1323212714[[#This Row],[h1]],8))</f>
        <v>0</v>
      </c>
      <c r="Q1840" s="48" t="s">
        <v>97</v>
      </c>
      <c r="R1840" s="48">
        <f>HEX2DEC(RIGHT(Table1323212714[[#This Row],[h2]],8))</f>
        <v>0</v>
      </c>
    </row>
    <row r="1841" spans="1:18" x14ac:dyDescent="0.3">
      <c r="A1841" s="15" t="str">
        <f t="shared" si="33"/>
        <v>727</v>
      </c>
      <c r="B1841" s="15">
        <v>1831</v>
      </c>
      <c r="C1841" s="42"/>
      <c r="F1841" s="22"/>
      <c r="G1841" s="22"/>
      <c r="J1841" s="24">
        <v>50000</v>
      </c>
      <c r="M1841" s="24">
        <v>50000</v>
      </c>
      <c r="O1841" s="48" t="s">
        <v>97</v>
      </c>
      <c r="P1841" s="48">
        <f>HEX2DEC(RIGHT(Table1323212714[[#This Row],[h1]],8))</f>
        <v>0</v>
      </c>
      <c r="Q1841" s="48" t="s">
        <v>97</v>
      </c>
      <c r="R1841" s="48">
        <f>HEX2DEC(RIGHT(Table1323212714[[#This Row],[h2]],8))</f>
        <v>0</v>
      </c>
    </row>
    <row r="1842" spans="1:18" x14ac:dyDescent="0.3">
      <c r="A1842" s="15" t="str">
        <f t="shared" si="33"/>
        <v>728</v>
      </c>
      <c r="B1842" s="15">
        <v>1832</v>
      </c>
      <c r="C1842" s="42"/>
      <c r="F1842" s="22"/>
      <c r="G1842" s="22"/>
      <c r="J1842" s="24">
        <v>50000</v>
      </c>
      <c r="M1842" s="24">
        <v>50000</v>
      </c>
      <c r="O1842" s="48" t="s">
        <v>97</v>
      </c>
      <c r="P1842" s="48">
        <f>HEX2DEC(RIGHT(Table1323212714[[#This Row],[h1]],8))</f>
        <v>0</v>
      </c>
      <c r="Q1842" s="48" t="s">
        <v>97</v>
      </c>
      <c r="R1842" s="48">
        <f>HEX2DEC(RIGHT(Table1323212714[[#This Row],[h2]],8))</f>
        <v>0</v>
      </c>
    </row>
    <row r="1843" spans="1:18" x14ac:dyDescent="0.3">
      <c r="A1843" s="15" t="str">
        <f t="shared" si="33"/>
        <v>729</v>
      </c>
      <c r="B1843" s="15">
        <v>1833</v>
      </c>
      <c r="C1843" s="42"/>
      <c r="F1843" s="22"/>
      <c r="G1843" s="22"/>
      <c r="J1843" s="24">
        <v>50000</v>
      </c>
      <c r="M1843" s="24">
        <v>50000</v>
      </c>
      <c r="O1843" s="48" t="s">
        <v>97</v>
      </c>
      <c r="P1843" s="48">
        <f>HEX2DEC(RIGHT(Table1323212714[[#This Row],[h1]],8))</f>
        <v>0</v>
      </c>
      <c r="Q1843" s="48" t="s">
        <v>97</v>
      </c>
      <c r="R1843" s="48">
        <f>HEX2DEC(RIGHT(Table1323212714[[#This Row],[h2]],8))</f>
        <v>0</v>
      </c>
    </row>
    <row r="1844" spans="1:18" x14ac:dyDescent="0.3">
      <c r="A1844" s="15" t="str">
        <f t="shared" si="33"/>
        <v>72A</v>
      </c>
      <c r="B1844" s="15">
        <v>1834</v>
      </c>
      <c r="C1844" s="42"/>
      <c r="F1844" s="22"/>
      <c r="G1844" s="22"/>
      <c r="J1844" s="24">
        <v>50000</v>
      </c>
      <c r="M1844" s="24">
        <v>50000</v>
      </c>
      <c r="O1844" s="48" t="s">
        <v>97</v>
      </c>
      <c r="P1844" s="48">
        <f>HEX2DEC(RIGHT(Table1323212714[[#This Row],[h1]],8))</f>
        <v>0</v>
      </c>
      <c r="Q1844" s="48" t="s">
        <v>97</v>
      </c>
      <c r="R1844" s="48">
        <f>HEX2DEC(RIGHT(Table1323212714[[#This Row],[h2]],8))</f>
        <v>0</v>
      </c>
    </row>
    <row r="1845" spans="1:18" x14ac:dyDescent="0.3">
      <c r="A1845" s="15" t="str">
        <f t="shared" si="33"/>
        <v>72B</v>
      </c>
      <c r="B1845" s="15">
        <v>1835</v>
      </c>
      <c r="C1845" s="42"/>
      <c r="F1845" s="22"/>
      <c r="G1845" s="22"/>
      <c r="J1845" s="24">
        <v>50000</v>
      </c>
      <c r="M1845" s="24">
        <v>50000</v>
      </c>
      <c r="O1845" s="48" t="s">
        <v>97</v>
      </c>
      <c r="P1845" s="48">
        <f>HEX2DEC(RIGHT(Table1323212714[[#This Row],[h1]],8))</f>
        <v>0</v>
      </c>
      <c r="Q1845" s="48" t="s">
        <v>97</v>
      </c>
      <c r="R1845" s="48">
        <f>HEX2DEC(RIGHT(Table1323212714[[#This Row],[h2]],8))</f>
        <v>0</v>
      </c>
    </row>
    <row r="1846" spans="1:18" x14ac:dyDescent="0.3">
      <c r="A1846" s="15" t="str">
        <f t="shared" si="33"/>
        <v>72C</v>
      </c>
      <c r="B1846" s="15">
        <v>1836</v>
      </c>
      <c r="C1846" s="42"/>
      <c r="F1846" s="22"/>
      <c r="G1846" s="22"/>
      <c r="J1846" s="24">
        <v>50000</v>
      </c>
      <c r="M1846" s="24">
        <v>50000</v>
      </c>
      <c r="O1846" s="48" t="s">
        <v>97</v>
      </c>
      <c r="P1846" s="48">
        <f>HEX2DEC(RIGHT(Table1323212714[[#This Row],[h1]],8))</f>
        <v>0</v>
      </c>
      <c r="Q1846" s="48" t="s">
        <v>97</v>
      </c>
      <c r="R1846" s="48">
        <f>HEX2DEC(RIGHT(Table1323212714[[#This Row],[h2]],8))</f>
        <v>0</v>
      </c>
    </row>
    <row r="1847" spans="1:18" x14ac:dyDescent="0.3">
      <c r="A1847" s="15" t="str">
        <f t="shared" si="33"/>
        <v>72D</v>
      </c>
      <c r="B1847" s="15">
        <v>1837</v>
      </c>
      <c r="C1847" s="42"/>
      <c r="F1847" s="22"/>
      <c r="G1847" s="22"/>
      <c r="J1847" s="24">
        <v>50000</v>
      </c>
      <c r="M1847" s="24">
        <v>50000</v>
      </c>
      <c r="O1847" s="48" t="s">
        <v>97</v>
      </c>
      <c r="P1847" s="48">
        <f>HEX2DEC(RIGHT(Table1323212714[[#This Row],[h1]],8))</f>
        <v>0</v>
      </c>
      <c r="Q1847" s="48" t="s">
        <v>97</v>
      </c>
      <c r="R1847" s="48">
        <f>HEX2DEC(RIGHT(Table1323212714[[#This Row],[h2]],8))</f>
        <v>0</v>
      </c>
    </row>
    <row r="1848" spans="1:18" x14ac:dyDescent="0.3">
      <c r="A1848" s="15" t="str">
        <f t="shared" si="33"/>
        <v>72E</v>
      </c>
      <c r="B1848" s="15">
        <v>1838</v>
      </c>
      <c r="C1848" s="42"/>
      <c r="F1848" s="22"/>
      <c r="G1848" s="22"/>
      <c r="J1848" s="24">
        <v>50000</v>
      </c>
      <c r="M1848" s="24">
        <v>50000</v>
      </c>
      <c r="O1848" s="48" t="s">
        <v>97</v>
      </c>
      <c r="P1848" s="48">
        <f>HEX2DEC(RIGHT(Table1323212714[[#This Row],[h1]],8))</f>
        <v>0</v>
      </c>
      <c r="Q1848" s="48" t="s">
        <v>97</v>
      </c>
      <c r="R1848" s="48">
        <f>HEX2DEC(RIGHT(Table1323212714[[#This Row],[h2]],8))</f>
        <v>0</v>
      </c>
    </row>
    <row r="1849" spans="1:18" x14ac:dyDescent="0.3">
      <c r="A1849" s="15" t="str">
        <f t="shared" si="33"/>
        <v>72F</v>
      </c>
      <c r="B1849" s="15">
        <v>1839</v>
      </c>
      <c r="C1849" s="42"/>
      <c r="F1849" s="22"/>
      <c r="G1849" s="22"/>
      <c r="J1849" s="24">
        <v>50000</v>
      </c>
      <c r="M1849" s="24">
        <v>50000</v>
      </c>
      <c r="O1849" s="48" t="s">
        <v>97</v>
      </c>
      <c r="P1849" s="48">
        <f>HEX2DEC(RIGHT(Table1323212714[[#This Row],[h1]],8))</f>
        <v>0</v>
      </c>
      <c r="Q1849" s="48" t="s">
        <v>97</v>
      </c>
      <c r="R1849" s="48">
        <f>HEX2DEC(RIGHT(Table1323212714[[#This Row],[h2]],8))</f>
        <v>0</v>
      </c>
    </row>
    <row r="1850" spans="1:18" x14ac:dyDescent="0.3">
      <c r="A1850" s="15" t="str">
        <f t="shared" si="33"/>
        <v>730</v>
      </c>
      <c r="B1850" s="15">
        <v>1840</v>
      </c>
      <c r="C1850" s="42"/>
      <c r="F1850" s="22"/>
      <c r="G1850" s="22"/>
      <c r="J1850" s="24">
        <v>50000</v>
      </c>
      <c r="M1850" s="24">
        <v>50000</v>
      </c>
      <c r="O1850" s="48" t="s">
        <v>97</v>
      </c>
      <c r="P1850" s="48">
        <f>HEX2DEC(RIGHT(Table1323212714[[#This Row],[h1]],8))</f>
        <v>0</v>
      </c>
      <c r="Q1850" s="48" t="s">
        <v>97</v>
      </c>
      <c r="R1850" s="48">
        <f>HEX2DEC(RIGHT(Table1323212714[[#This Row],[h2]],8))</f>
        <v>0</v>
      </c>
    </row>
    <row r="1851" spans="1:18" x14ac:dyDescent="0.3">
      <c r="A1851" s="15" t="str">
        <f t="shared" si="33"/>
        <v>731</v>
      </c>
      <c r="B1851" s="15">
        <v>1841</v>
      </c>
      <c r="C1851" s="42"/>
      <c r="F1851" s="22"/>
      <c r="G1851" s="22"/>
      <c r="J1851" s="24">
        <v>50000</v>
      </c>
      <c r="M1851" s="24">
        <v>50000</v>
      </c>
      <c r="O1851" s="48" t="s">
        <v>97</v>
      </c>
      <c r="P1851" s="48">
        <f>HEX2DEC(RIGHT(Table1323212714[[#This Row],[h1]],8))</f>
        <v>0</v>
      </c>
      <c r="Q1851" s="48" t="s">
        <v>97</v>
      </c>
      <c r="R1851" s="48">
        <f>HEX2DEC(RIGHT(Table1323212714[[#This Row],[h2]],8))</f>
        <v>0</v>
      </c>
    </row>
    <row r="1852" spans="1:18" x14ac:dyDescent="0.3">
      <c r="A1852" s="15" t="str">
        <f t="shared" si="33"/>
        <v>732</v>
      </c>
      <c r="B1852" s="15">
        <v>1842</v>
      </c>
      <c r="C1852" s="42"/>
      <c r="F1852" s="22"/>
      <c r="G1852" s="22"/>
      <c r="J1852" s="24">
        <v>50000</v>
      </c>
      <c r="M1852" s="24">
        <v>50000</v>
      </c>
      <c r="O1852" s="48" t="s">
        <v>97</v>
      </c>
      <c r="P1852" s="48">
        <f>HEX2DEC(RIGHT(Table1323212714[[#This Row],[h1]],8))</f>
        <v>0</v>
      </c>
      <c r="Q1852" s="48" t="s">
        <v>97</v>
      </c>
      <c r="R1852" s="48">
        <f>HEX2DEC(RIGHT(Table1323212714[[#This Row],[h2]],8))</f>
        <v>0</v>
      </c>
    </row>
    <row r="1853" spans="1:18" x14ac:dyDescent="0.3">
      <c r="A1853" s="15" t="str">
        <f t="shared" si="33"/>
        <v>733</v>
      </c>
      <c r="B1853" s="15">
        <v>1843</v>
      </c>
      <c r="C1853" s="42"/>
      <c r="F1853" s="22"/>
      <c r="G1853" s="22"/>
      <c r="J1853" s="24">
        <v>50000</v>
      </c>
      <c r="M1853" s="24">
        <v>50000</v>
      </c>
      <c r="O1853" s="48" t="s">
        <v>97</v>
      </c>
      <c r="P1853" s="48">
        <f>HEX2DEC(RIGHT(Table1323212714[[#This Row],[h1]],8))</f>
        <v>0</v>
      </c>
      <c r="Q1853" s="48" t="s">
        <v>97</v>
      </c>
      <c r="R1853" s="48">
        <f>HEX2DEC(RIGHT(Table1323212714[[#This Row],[h2]],8))</f>
        <v>0</v>
      </c>
    </row>
    <row r="1854" spans="1:18" x14ac:dyDescent="0.3">
      <c r="A1854" s="15" t="str">
        <f t="shared" si="33"/>
        <v>734</v>
      </c>
      <c r="B1854" s="15">
        <v>1844</v>
      </c>
      <c r="C1854" s="42"/>
      <c r="F1854" s="22"/>
      <c r="G1854" s="22"/>
      <c r="J1854" s="24">
        <v>50000</v>
      </c>
      <c r="M1854" s="24">
        <v>50000</v>
      </c>
      <c r="O1854" s="48" t="s">
        <v>97</v>
      </c>
      <c r="P1854" s="48">
        <f>HEX2DEC(RIGHT(Table1323212714[[#This Row],[h1]],8))</f>
        <v>0</v>
      </c>
      <c r="Q1854" s="48" t="s">
        <v>97</v>
      </c>
      <c r="R1854" s="48">
        <f>HEX2DEC(RIGHT(Table1323212714[[#This Row],[h2]],8))</f>
        <v>0</v>
      </c>
    </row>
    <row r="1855" spans="1:18" x14ac:dyDescent="0.3">
      <c r="A1855" s="15" t="str">
        <f t="shared" si="33"/>
        <v>735</v>
      </c>
      <c r="B1855" s="15">
        <v>1845</v>
      </c>
      <c r="C1855" s="42"/>
      <c r="F1855" s="22"/>
      <c r="G1855" s="22"/>
      <c r="J1855" s="24">
        <v>50000</v>
      </c>
      <c r="M1855" s="24">
        <v>50000</v>
      </c>
      <c r="O1855" s="48" t="s">
        <v>97</v>
      </c>
      <c r="P1855" s="48">
        <f>HEX2DEC(RIGHT(Table1323212714[[#This Row],[h1]],8))</f>
        <v>0</v>
      </c>
      <c r="Q1855" s="48" t="s">
        <v>97</v>
      </c>
      <c r="R1855" s="48">
        <f>HEX2DEC(RIGHT(Table1323212714[[#This Row],[h2]],8))</f>
        <v>0</v>
      </c>
    </row>
    <row r="1856" spans="1:18" x14ac:dyDescent="0.3">
      <c r="A1856" s="15" t="str">
        <f t="shared" si="33"/>
        <v>736</v>
      </c>
      <c r="B1856" s="15">
        <v>1846</v>
      </c>
      <c r="C1856" s="42"/>
      <c r="F1856" s="22"/>
      <c r="G1856" s="22"/>
      <c r="J1856" s="24">
        <v>50000</v>
      </c>
      <c r="M1856" s="24">
        <v>50000</v>
      </c>
      <c r="O1856" s="48" t="s">
        <v>97</v>
      </c>
      <c r="P1856" s="48">
        <f>HEX2DEC(RIGHT(Table1323212714[[#This Row],[h1]],8))</f>
        <v>0</v>
      </c>
      <c r="Q1856" s="48" t="s">
        <v>97</v>
      </c>
      <c r="R1856" s="48">
        <f>HEX2DEC(RIGHT(Table1323212714[[#This Row],[h2]],8))</f>
        <v>0</v>
      </c>
    </row>
    <row r="1857" spans="1:18" x14ac:dyDescent="0.3">
      <c r="A1857" s="15" t="str">
        <f t="shared" si="33"/>
        <v>737</v>
      </c>
      <c r="B1857" s="15">
        <v>1847</v>
      </c>
      <c r="C1857" s="42"/>
      <c r="F1857" s="22"/>
      <c r="G1857" s="22"/>
      <c r="J1857" s="24">
        <v>50000</v>
      </c>
      <c r="M1857" s="24">
        <v>50000</v>
      </c>
      <c r="O1857" s="48" t="s">
        <v>97</v>
      </c>
      <c r="P1857" s="48">
        <f>HEX2DEC(RIGHT(Table1323212714[[#This Row],[h1]],8))</f>
        <v>0</v>
      </c>
      <c r="Q1857" s="48" t="s">
        <v>97</v>
      </c>
      <c r="R1857" s="48">
        <f>HEX2DEC(RIGHT(Table1323212714[[#This Row],[h2]],8))</f>
        <v>0</v>
      </c>
    </row>
    <row r="1858" spans="1:18" x14ac:dyDescent="0.3">
      <c r="A1858" s="15" t="str">
        <f t="shared" si="33"/>
        <v>738</v>
      </c>
      <c r="B1858" s="15">
        <v>1848</v>
      </c>
      <c r="C1858" s="42"/>
      <c r="F1858" s="22"/>
      <c r="G1858" s="22"/>
      <c r="J1858" s="24">
        <v>50000</v>
      </c>
      <c r="M1858" s="24">
        <v>50000</v>
      </c>
      <c r="O1858" s="48" t="s">
        <v>97</v>
      </c>
      <c r="P1858" s="48">
        <f>HEX2DEC(RIGHT(Table1323212714[[#This Row],[h1]],8))</f>
        <v>0</v>
      </c>
      <c r="Q1858" s="48" t="s">
        <v>97</v>
      </c>
      <c r="R1858" s="48">
        <f>HEX2DEC(RIGHT(Table1323212714[[#This Row],[h2]],8))</f>
        <v>0</v>
      </c>
    </row>
    <row r="1859" spans="1:18" x14ac:dyDescent="0.3">
      <c r="A1859" s="15" t="str">
        <f t="shared" si="33"/>
        <v>739</v>
      </c>
      <c r="B1859" s="15">
        <v>1849</v>
      </c>
      <c r="C1859" s="42"/>
      <c r="F1859" s="22"/>
      <c r="G1859" s="22"/>
      <c r="J1859" s="24">
        <v>50000</v>
      </c>
      <c r="M1859" s="24">
        <v>50000</v>
      </c>
      <c r="O1859" s="48" t="s">
        <v>97</v>
      </c>
      <c r="P1859" s="48">
        <f>HEX2DEC(RIGHT(Table1323212714[[#This Row],[h1]],8))</f>
        <v>0</v>
      </c>
      <c r="Q1859" s="48" t="s">
        <v>97</v>
      </c>
      <c r="R1859" s="48">
        <f>HEX2DEC(RIGHT(Table1323212714[[#This Row],[h2]],8))</f>
        <v>0</v>
      </c>
    </row>
    <row r="1860" spans="1:18" x14ac:dyDescent="0.3">
      <c r="A1860" s="15" t="str">
        <f t="shared" si="33"/>
        <v>73A</v>
      </c>
      <c r="B1860" s="15">
        <v>1850</v>
      </c>
      <c r="C1860" s="42"/>
      <c r="F1860" s="22"/>
      <c r="G1860" s="22"/>
      <c r="J1860" s="24">
        <v>50000</v>
      </c>
      <c r="M1860" s="24">
        <v>50000</v>
      </c>
      <c r="O1860" s="48" t="s">
        <v>97</v>
      </c>
      <c r="P1860" s="48">
        <f>HEX2DEC(RIGHT(Table1323212714[[#This Row],[h1]],8))</f>
        <v>0</v>
      </c>
      <c r="Q1860" s="48" t="s">
        <v>97</v>
      </c>
      <c r="R1860" s="48">
        <f>HEX2DEC(RIGHT(Table1323212714[[#This Row],[h2]],8))</f>
        <v>0</v>
      </c>
    </row>
    <row r="1861" spans="1:18" x14ac:dyDescent="0.3">
      <c r="A1861" s="15" t="str">
        <f t="shared" si="33"/>
        <v>73B</v>
      </c>
      <c r="B1861" s="15">
        <v>1851</v>
      </c>
      <c r="C1861" s="42"/>
      <c r="F1861" s="22"/>
      <c r="G1861" s="22"/>
      <c r="J1861" s="24">
        <v>50000</v>
      </c>
      <c r="M1861" s="24">
        <v>50000</v>
      </c>
      <c r="O1861" s="48" t="s">
        <v>97</v>
      </c>
      <c r="P1861" s="48">
        <f>HEX2DEC(RIGHT(Table1323212714[[#This Row],[h1]],8))</f>
        <v>0</v>
      </c>
      <c r="Q1861" s="48" t="s">
        <v>97</v>
      </c>
      <c r="R1861" s="48">
        <f>HEX2DEC(RIGHT(Table1323212714[[#This Row],[h2]],8))</f>
        <v>0</v>
      </c>
    </row>
    <row r="1862" spans="1:18" x14ac:dyDescent="0.3">
      <c r="A1862" s="15" t="str">
        <f t="shared" si="33"/>
        <v>73C</v>
      </c>
      <c r="B1862" s="15">
        <v>1852</v>
      </c>
      <c r="C1862" s="42"/>
      <c r="F1862" s="22"/>
      <c r="G1862" s="22"/>
      <c r="J1862" s="24">
        <v>50000</v>
      </c>
      <c r="M1862" s="24">
        <v>50000</v>
      </c>
      <c r="O1862" s="48" t="s">
        <v>97</v>
      </c>
      <c r="P1862" s="48">
        <f>HEX2DEC(RIGHT(Table1323212714[[#This Row],[h1]],8))</f>
        <v>0</v>
      </c>
      <c r="Q1862" s="48" t="s">
        <v>97</v>
      </c>
      <c r="R1862" s="48">
        <f>HEX2DEC(RIGHT(Table1323212714[[#This Row],[h2]],8))</f>
        <v>0</v>
      </c>
    </row>
    <row r="1863" spans="1:18" x14ac:dyDescent="0.3">
      <c r="A1863" s="15" t="str">
        <f t="shared" si="33"/>
        <v>73D</v>
      </c>
      <c r="B1863" s="15">
        <v>1853</v>
      </c>
      <c r="C1863" s="42"/>
      <c r="F1863" s="22"/>
      <c r="G1863" s="22"/>
      <c r="J1863" s="24">
        <v>50000</v>
      </c>
      <c r="M1863" s="24">
        <v>50000</v>
      </c>
      <c r="O1863" s="48" t="s">
        <v>97</v>
      </c>
      <c r="P1863" s="48">
        <f>HEX2DEC(RIGHT(Table1323212714[[#This Row],[h1]],8))</f>
        <v>0</v>
      </c>
      <c r="Q1863" s="48" t="s">
        <v>97</v>
      </c>
      <c r="R1863" s="48">
        <f>HEX2DEC(RIGHT(Table1323212714[[#This Row],[h2]],8))</f>
        <v>0</v>
      </c>
    </row>
    <row r="1864" spans="1:18" x14ac:dyDescent="0.3">
      <c r="A1864" s="15" t="str">
        <f t="shared" si="33"/>
        <v>73E</v>
      </c>
      <c r="B1864" s="15">
        <v>1854</v>
      </c>
      <c r="C1864" s="42"/>
      <c r="F1864" s="22"/>
      <c r="G1864" s="22"/>
      <c r="J1864" s="24">
        <v>50000</v>
      </c>
      <c r="M1864" s="24">
        <v>50000</v>
      </c>
      <c r="O1864" s="48" t="s">
        <v>97</v>
      </c>
      <c r="P1864" s="48">
        <f>HEX2DEC(RIGHT(Table1323212714[[#This Row],[h1]],8))</f>
        <v>0</v>
      </c>
      <c r="Q1864" s="48" t="s">
        <v>97</v>
      </c>
      <c r="R1864" s="48">
        <f>HEX2DEC(RIGHT(Table1323212714[[#This Row],[h2]],8))</f>
        <v>0</v>
      </c>
    </row>
    <row r="1865" spans="1:18" x14ac:dyDescent="0.3">
      <c r="A1865" s="15" t="str">
        <f t="shared" si="33"/>
        <v>73F</v>
      </c>
      <c r="B1865" s="15">
        <v>1855</v>
      </c>
      <c r="C1865" s="42"/>
      <c r="F1865" s="22"/>
      <c r="G1865" s="22"/>
      <c r="J1865" s="24">
        <v>50000</v>
      </c>
      <c r="M1865" s="24">
        <v>50000</v>
      </c>
      <c r="O1865" s="48" t="s">
        <v>97</v>
      </c>
      <c r="P1865" s="48">
        <f>HEX2DEC(RIGHT(Table1323212714[[#This Row],[h1]],8))</f>
        <v>0</v>
      </c>
      <c r="Q1865" s="48" t="s">
        <v>97</v>
      </c>
      <c r="R1865" s="48">
        <f>HEX2DEC(RIGHT(Table1323212714[[#This Row],[h2]],8))</f>
        <v>0</v>
      </c>
    </row>
    <row r="1866" spans="1:18" x14ac:dyDescent="0.3">
      <c r="A1866" s="15" t="str">
        <f t="shared" si="33"/>
        <v>740</v>
      </c>
      <c r="B1866" s="15">
        <v>1856</v>
      </c>
      <c r="C1866" s="42"/>
      <c r="F1866" s="22"/>
      <c r="G1866" s="22"/>
      <c r="J1866" s="24">
        <v>50000</v>
      </c>
      <c r="M1866" s="24">
        <v>50000</v>
      </c>
      <c r="O1866" s="48" t="s">
        <v>97</v>
      </c>
      <c r="P1866" s="48">
        <f>HEX2DEC(RIGHT(Table1323212714[[#This Row],[h1]],8))</f>
        <v>0</v>
      </c>
      <c r="Q1866" s="48" t="s">
        <v>97</v>
      </c>
      <c r="R1866" s="48">
        <f>HEX2DEC(RIGHT(Table1323212714[[#This Row],[h2]],8))</f>
        <v>0</v>
      </c>
    </row>
    <row r="1867" spans="1:18" x14ac:dyDescent="0.3">
      <c r="A1867" s="15" t="str">
        <f t="shared" ref="A1867:A1930" si="34">DEC2HEX(B1867,3)</f>
        <v>741</v>
      </c>
      <c r="B1867" s="15">
        <v>1857</v>
      </c>
      <c r="C1867" s="42"/>
      <c r="F1867" s="22"/>
      <c r="G1867" s="22"/>
      <c r="J1867" s="24">
        <v>50000</v>
      </c>
      <c r="M1867" s="24">
        <v>50000</v>
      </c>
      <c r="O1867" s="48" t="s">
        <v>97</v>
      </c>
      <c r="P1867" s="48">
        <f>HEX2DEC(RIGHT(Table1323212714[[#This Row],[h1]],8))</f>
        <v>0</v>
      </c>
      <c r="Q1867" s="48" t="s">
        <v>97</v>
      </c>
      <c r="R1867" s="48">
        <f>HEX2DEC(RIGHT(Table1323212714[[#This Row],[h2]],8))</f>
        <v>0</v>
      </c>
    </row>
    <row r="1868" spans="1:18" x14ac:dyDescent="0.3">
      <c r="A1868" s="15" t="str">
        <f t="shared" si="34"/>
        <v>742</v>
      </c>
      <c r="B1868" s="15">
        <v>1858</v>
      </c>
      <c r="C1868" s="42"/>
      <c r="F1868" s="22"/>
      <c r="G1868" s="22"/>
      <c r="J1868" s="24">
        <v>50000</v>
      </c>
      <c r="M1868" s="24">
        <v>50000</v>
      </c>
      <c r="O1868" s="48" t="s">
        <v>97</v>
      </c>
      <c r="P1868" s="48">
        <f>HEX2DEC(RIGHT(Table1323212714[[#This Row],[h1]],8))</f>
        <v>0</v>
      </c>
      <c r="Q1868" s="48" t="s">
        <v>97</v>
      </c>
      <c r="R1868" s="48">
        <f>HEX2DEC(RIGHT(Table1323212714[[#This Row],[h2]],8))</f>
        <v>0</v>
      </c>
    </row>
    <row r="1869" spans="1:18" x14ac:dyDescent="0.3">
      <c r="A1869" s="15" t="str">
        <f t="shared" si="34"/>
        <v>743</v>
      </c>
      <c r="B1869" s="15">
        <v>1859</v>
      </c>
      <c r="C1869" s="42"/>
      <c r="F1869" s="22"/>
      <c r="G1869" s="22"/>
      <c r="J1869" s="24">
        <v>50000</v>
      </c>
      <c r="M1869" s="24">
        <v>50000</v>
      </c>
      <c r="O1869" s="48" t="s">
        <v>97</v>
      </c>
      <c r="P1869" s="48">
        <f>HEX2DEC(RIGHT(Table1323212714[[#This Row],[h1]],8))</f>
        <v>0</v>
      </c>
      <c r="Q1869" s="48" t="s">
        <v>97</v>
      </c>
      <c r="R1869" s="48">
        <f>HEX2DEC(RIGHT(Table1323212714[[#This Row],[h2]],8))</f>
        <v>0</v>
      </c>
    </row>
    <row r="1870" spans="1:18" x14ac:dyDescent="0.3">
      <c r="A1870" s="15" t="str">
        <f t="shared" si="34"/>
        <v>744</v>
      </c>
      <c r="B1870" s="15">
        <v>1860</v>
      </c>
      <c r="C1870" s="42"/>
      <c r="F1870" s="22"/>
      <c r="G1870" s="22"/>
      <c r="J1870" s="24">
        <v>50000</v>
      </c>
      <c r="M1870" s="24">
        <v>50000</v>
      </c>
      <c r="O1870" s="48" t="s">
        <v>97</v>
      </c>
      <c r="P1870" s="48">
        <f>HEX2DEC(RIGHT(Table1323212714[[#This Row],[h1]],8))</f>
        <v>0</v>
      </c>
      <c r="Q1870" s="48" t="s">
        <v>97</v>
      </c>
      <c r="R1870" s="48">
        <f>HEX2DEC(RIGHT(Table1323212714[[#This Row],[h2]],8))</f>
        <v>0</v>
      </c>
    </row>
    <row r="1871" spans="1:18" x14ac:dyDescent="0.3">
      <c r="A1871" s="15" t="str">
        <f t="shared" si="34"/>
        <v>745</v>
      </c>
      <c r="B1871" s="15">
        <v>1861</v>
      </c>
      <c r="C1871" s="42"/>
      <c r="F1871" s="22"/>
      <c r="G1871" s="22"/>
      <c r="J1871" s="24">
        <v>50000</v>
      </c>
      <c r="M1871" s="24">
        <v>50000</v>
      </c>
      <c r="O1871" s="48" t="s">
        <v>97</v>
      </c>
      <c r="P1871" s="48">
        <f>HEX2DEC(RIGHT(Table1323212714[[#This Row],[h1]],8))</f>
        <v>0</v>
      </c>
      <c r="Q1871" s="48" t="s">
        <v>97</v>
      </c>
      <c r="R1871" s="48">
        <f>HEX2DEC(RIGHT(Table1323212714[[#This Row],[h2]],8))</f>
        <v>0</v>
      </c>
    </row>
    <row r="1872" spans="1:18" x14ac:dyDescent="0.3">
      <c r="A1872" s="15" t="str">
        <f t="shared" si="34"/>
        <v>746</v>
      </c>
      <c r="B1872" s="15">
        <v>1862</v>
      </c>
      <c r="C1872" s="42"/>
      <c r="F1872" s="22"/>
      <c r="G1872" s="22"/>
      <c r="J1872" s="24">
        <v>50000</v>
      </c>
      <c r="M1872" s="24">
        <v>50000</v>
      </c>
      <c r="O1872" s="48" t="s">
        <v>97</v>
      </c>
      <c r="P1872" s="48">
        <f>HEX2DEC(RIGHT(Table1323212714[[#This Row],[h1]],8))</f>
        <v>0</v>
      </c>
      <c r="Q1872" s="48" t="s">
        <v>97</v>
      </c>
      <c r="R1872" s="48">
        <f>HEX2DEC(RIGHT(Table1323212714[[#This Row],[h2]],8))</f>
        <v>0</v>
      </c>
    </row>
    <row r="1873" spans="1:18" x14ac:dyDescent="0.3">
      <c r="A1873" s="15" t="str">
        <f t="shared" si="34"/>
        <v>747</v>
      </c>
      <c r="B1873" s="15">
        <v>1863</v>
      </c>
      <c r="C1873" s="42"/>
      <c r="F1873" s="22"/>
      <c r="G1873" s="22"/>
      <c r="J1873" s="24">
        <v>50000</v>
      </c>
      <c r="M1873" s="24">
        <v>50000</v>
      </c>
      <c r="O1873" s="48" t="s">
        <v>97</v>
      </c>
      <c r="P1873" s="48">
        <f>HEX2DEC(RIGHT(Table1323212714[[#This Row],[h1]],8))</f>
        <v>0</v>
      </c>
      <c r="Q1873" s="48" t="s">
        <v>97</v>
      </c>
      <c r="R1873" s="48">
        <f>HEX2DEC(RIGHT(Table1323212714[[#This Row],[h2]],8))</f>
        <v>0</v>
      </c>
    </row>
    <row r="1874" spans="1:18" x14ac:dyDescent="0.3">
      <c r="A1874" s="15" t="str">
        <f t="shared" si="34"/>
        <v>748</v>
      </c>
      <c r="B1874" s="15">
        <v>1864</v>
      </c>
      <c r="C1874" s="42"/>
      <c r="F1874" s="22"/>
      <c r="G1874" s="22"/>
      <c r="J1874" s="24">
        <v>50000</v>
      </c>
      <c r="M1874" s="24">
        <v>50000</v>
      </c>
      <c r="O1874" s="48" t="s">
        <v>97</v>
      </c>
      <c r="P1874" s="48">
        <f>HEX2DEC(RIGHT(Table1323212714[[#This Row],[h1]],8))</f>
        <v>0</v>
      </c>
      <c r="Q1874" s="48" t="s">
        <v>97</v>
      </c>
      <c r="R1874" s="48">
        <f>HEX2DEC(RIGHT(Table1323212714[[#This Row],[h2]],8))</f>
        <v>0</v>
      </c>
    </row>
    <row r="1875" spans="1:18" x14ac:dyDescent="0.3">
      <c r="A1875" s="15" t="str">
        <f t="shared" si="34"/>
        <v>749</v>
      </c>
      <c r="B1875" s="15">
        <v>1865</v>
      </c>
      <c r="C1875" s="42"/>
      <c r="F1875" s="22"/>
      <c r="G1875" s="22"/>
      <c r="J1875" s="24">
        <v>50000</v>
      </c>
      <c r="M1875" s="24">
        <v>50000</v>
      </c>
      <c r="O1875" s="48" t="s">
        <v>97</v>
      </c>
      <c r="P1875" s="48">
        <f>HEX2DEC(RIGHT(Table1323212714[[#This Row],[h1]],8))</f>
        <v>0</v>
      </c>
      <c r="Q1875" s="48" t="s">
        <v>97</v>
      </c>
      <c r="R1875" s="48">
        <f>HEX2DEC(RIGHT(Table1323212714[[#This Row],[h2]],8))</f>
        <v>0</v>
      </c>
    </row>
    <row r="1876" spans="1:18" x14ac:dyDescent="0.3">
      <c r="A1876" s="15" t="str">
        <f t="shared" si="34"/>
        <v>74A</v>
      </c>
      <c r="B1876" s="15">
        <v>1866</v>
      </c>
      <c r="C1876" s="42"/>
      <c r="F1876" s="22"/>
      <c r="G1876" s="22"/>
      <c r="J1876" s="24">
        <v>50000</v>
      </c>
      <c r="M1876" s="24">
        <v>50000</v>
      </c>
      <c r="O1876" s="48" t="s">
        <v>97</v>
      </c>
      <c r="P1876" s="48">
        <f>HEX2DEC(RIGHT(Table1323212714[[#This Row],[h1]],8))</f>
        <v>0</v>
      </c>
      <c r="Q1876" s="48" t="s">
        <v>97</v>
      </c>
      <c r="R1876" s="48">
        <f>HEX2DEC(RIGHT(Table1323212714[[#This Row],[h2]],8))</f>
        <v>0</v>
      </c>
    </row>
    <row r="1877" spans="1:18" x14ac:dyDescent="0.3">
      <c r="A1877" s="15" t="str">
        <f t="shared" si="34"/>
        <v>74B</v>
      </c>
      <c r="B1877" s="15">
        <v>1867</v>
      </c>
      <c r="C1877" s="42"/>
      <c r="F1877" s="22"/>
      <c r="G1877" s="22"/>
      <c r="J1877" s="24">
        <v>50000</v>
      </c>
      <c r="M1877" s="24">
        <v>50000</v>
      </c>
      <c r="O1877" s="48" t="s">
        <v>97</v>
      </c>
      <c r="P1877" s="48">
        <f>HEX2DEC(RIGHT(Table1323212714[[#This Row],[h1]],8))</f>
        <v>0</v>
      </c>
      <c r="Q1877" s="48" t="s">
        <v>97</v>
      </c>
      <c r="R1877" s="48">
        <f>HEX2DEC(RIGHT(Table1323212714[[#This Row],[h2]],8))</f>
        <v>0</v>
      </c>
    </row>
    <row r="1878" spans="1:18" x14ac:dyDescent="0.3">
      <c r="A1878" s="15" t="str">
        <f t="shared" si="34"/>
        <v>74C</v>
      </c>
      <c r="B1878" s="15">
        <v>1868</v>
      </c>
      <c r="C1878" s="42"/>
      <c r="F1878" s="22"/>
      <c r="G1878" s="22"/>
      <c r="J1878" s="24">
        <v>50000</v>
      </c>
      <c r="M1878" s="24">
        <v>50000</v>
      </c>
      <c r="O1878" s="48" t="s">
        <v>97</v>
      </c>
      <c r="P1878" s="48">
        <f>HEX2DEC(RIGHT(Table1323212714[[#This Row],[h1]],8))</f>
        <v>0</v>
      </c>
      <c r="Q1878" s="48" t="s">
        <v>97</v>
      </c>
      <c r="R1878" s="48">
        <f>HEX2DEC(RIGHT(Table1323212714[[#This Row],[h2]],8))</f>
        <v>0</v>
      </c>
    </row>
    <row r="1879" spans="1:18" x14ac:dyDescent="0.3">
      <c r="A1879" s="15" t="str">
        <f t="shared" si="34"/>
        <v>74D</v>
      </c>
      <c r="B1879" s="15">
        <v>1869</v>
      </c>
      <c r="C1879" s="42"/>
      <c r="F1879" s="22"/>
      <c r="G1879" s="22"/>
      <c r="J1879" s="24">
        <v>50000</v>
      </c>
      <c r="M1879" s="24">
        <v>50000</v>
      </c>
      <c r="O1879" s="48" t="s">
        <v>97</v>
      </c>
      <c r="P1879" s="48">
        <f>HEX2DEC(RIGHT(Table1323212714[[#This Row],[h1]],8))</f>
        <v>0</v>
      </c>
      <c r="Q1879" s="48" t="s">
        <v>97</v>
      </c>
      <c r="R1879" s="48">
        <f>HEX2DEC(RIGHT(Table1323212714[[#This Row],[h2]],8))</f>
        <v>0</v>
      </c>
    </row>
    <row r="1880" spans="1:18" x14ac:dyDescent="0.3">
      <c r="A1880" s="15" t="str">
        <f t="shared" si="34"/>
        <v>74E</v>
      </c>
      <c r="B1880" s="15">
        <v>1870</v>
      </c>
      <c r="C1880" s="42"/>
      <c r="F1880" s="22"/>
      <c r="G1880" s="22"/>
      <c r="J1880" s="24">
        <v>50000</v>
      </c>
      <c r="M1880" s="24">
        <v>50000</v>
      </c>
      <c r="O1880" s="48" t="s">
        <v>97</v>
      </c>
      <c r="P1880" s="48">
        <f>HEX2DEC(RIGHT(Table1323212714[[#This Row],[h1]],8))</f>
        <v>0</v>
      </c>
      <c r="Q1880" s="48" t="s">
        <v>97</v>
      </c>
      <c r="R1880" s="48">
        <f>HEX2DEC(RIGHT(Table1323212714[[#This Row],[h2]],8))</f>
        <v>0</v>
      </c>
    </row>
    <row r="1881" spans="1:18" x14ac:dyDescent="0.3">
      <c r="A1881" s="15" t="str">
        <f t="shared" si="34"/>
        <v>74F</v>
      </c>
      <c r="B1881" s="15">
        <v>1871</v>
      </c>
      <c r="C1881" s="42"/>
      <c r="F1881" s="22"/>
      <c r="G1881" s="22"/>
      <c r="J1881" s="24">
        <v>50000</v>
      </c>
      <c r="M1881" s="24">
        <v>50000</v>
      </c>
      <c r="O1881" s="48" t="s">
        <v>97</v>
      </c>
      <c r="P1881" s="48">
        <f>HEX2DEC(RIGHT(Table1323212714[[#This Row],[h1]],8))</f>
        <v>0</v>
      </c>
      <c r="Q1881" s="48" t="s">
        <v>97</v>
      </c>
      <c r="R1881" s="48">
        <f>HEX2DEC(RIGHT(Table1323212714[[#This Row],[h2]],8))</f>
        <v>0</v>
      </c>
    </row>
    <row r="1882" spans="1:18" x14ac:dyDescent="0.3">
      <c r="A1882" s="15" t="str">
        <f t="shared" si="34"/>
        <v>750</v>
      </c>
      <c r="B1882" s="15">
        <v>1872</v>
      </c>
      <c r="C1882" s="42"/>
      <c r="F1882" s="22"/>
      <c r="G1882" s="22"/>
      <c r="J1882" s="24">
        <v>50000</v>
      </c>
      <c r="M1882" s="24">
        <v>50000</v>
      </c>
      <c r="O1882" s="48" t="s">
        <v>97</v>
      </c>
      <c r="P1882" s="48">
        <f>HEX2DEC(RIGHT(Table1323212714[[#This Row],[h1]],8))</f>
        <v>0</v>
      </c>
      <c r="Q1882" s="48" t="s">
        <v>97</v>
      </c>
      <c r="R1882" s="48">
        <f>HEX2DEC(RIGHT(Table1323212714[[#This Row],[h2]],8))</f>
        <v>0</v>
      </c>
    </row>
    <row r="1883" spans="1:18" x14ac:dyDescent="0.3">
      <c r="A1883" s="15" t="str">
        <f t="shared" si="34"/>
        <v>751</v>
      </c>
      <c r="B1883" s="15">
        <v>1873</v>
      </c>
      <c r="C1883" s="42"/>
      <c r="F1883" s="22"/>
      <c r="G1883" s="22"/>
      <c r="J1883" s="24">
        <v>50000</v>
      </c>
      <c r="M1883" s="24">
        <v>50000</v>
      </c>
      <c r="O1883" s="48" t="s">
        <v>97</v>
      </c>
      <c r="P1883" s="48">
        <f>HEX2DEC(RIGHT(Table1323212714[[#This Row],[h1]],8))</f>
        <v>0</v>
      </c>
      <c r="Q1883" s="48" t="s">
        <v>97</v>
      </c>
      <c r="R1883" s="48">
        <f>HEX2DEC(RIGHT(Table1323212714[[#This Row],[h2]],8))</f>
        <v>0</v>
      </c>
    </row>
    <row r="1884" spans="1:18" x14ac:dyDescent="0.3">
      <c r="A1884" s="15" t="str">
        <f t="shared" si="34"/>
        <v>752</v>
      </c>
      <c r="B1884" s="15">
        <v>1874</v>
      </c>
      <c r="C1884" s="42"/>
      <c r="F1884" s="22"/>
      <c r="G1884" s="22"/>
      <c r="J1884" s="24">
        <v>50000</v>
      </c>
      <c r="M1884" s="24">
        <v>50000</v>
      </c>
      <c r="O1884" s="48" t="s">
        <v>97</v>
      </c>
      <c r="P1884" s="48">
        <f>HEX2DEC(RIGHT(Table1323212714[[#This Row],[h1]],8))</f>
        <v>0</v>
      </c>
      <c r="Q1884" s="48" t="s">
        <v>97</v>
      </c>
      <c r="R1884" s="48">
        <f>HEX2DEC(RIGHT(Table1323212714[[#This Row],[h2]],8))</f>
        <v>0</v>
      </c>
    </row>
    <row r="1885" spans="1:18" x14ac:dyDescent="0.3">
      <c r="A1885" s="15" t="str">
        <f t="shared" si="34"/>
        <v>753</v>
      </c>
      <c r="B1885" s="15">
        <v>1875</v>
      </c>
      <c r="C1885" s="42"/>
      <c r="F1885" s="22"/>
      <c r="G1885" s="22"/>
      <c r="J1885" s="24">
        <v>50000</v>
      </c>
      <c r="M1885" s="24">
        <v>50000</v>
      </c>
      <c r="O1885" s="48" t="s">
        <v>97</v>
      </c>
      <c r="P1885" s="48">
        <f>HEX2DEC(RIGHT(Table1323212714[[#This Row],[h1]],8))</f>
        <v>0</v>
      </c>
      <c r="Q1885" s="48" t="s">
        <v>97</v>
      </c>
      <c r="R1885" s="48">
        <f>HEX2DEC(RIGHT(Table1323212714[[#This Row],[h2]],8))</f>
        <v>0</v>
      </c>
    </row>
    <row r="1886" spans="1:18" x14ac:dyDescent="0.3">
      <c r="A1886" s="15" t="str">
        <f t="shared" si="34"/>
        <v>754</v>
      </c>
      <c r="B1886" s="15">
        <v>1876</v>
      </c>
      <c r="C1886" s="42"/>
      <c r="F1886" s="22"/>
      <c r="G1886" s="22"/>
      <c r="J1886" s="24">
        <v>50000</v>
      </c>
      <c r="M1886" s="24">
        <v>50000</v>
      </c>
      <c r="O1886" s="48" t="s">
        <v>97</v>
      </c>
      <c r="P1886" s="48">
        <f>HEX2DEC(RIGHT(Table1323212714[[#This Row],[h1]],8))</f>
        <v>0</v>
      </c>
      <c r="Q1886" s="48" t="s">
        <v>97</v>
      </c>
      <c r="R1886" s="48">
        <f>HEX2DEC(RIGHT(Table1323212714[[#This Row],[h2]],8))</f>
        <v>0</v>
      </c>
    </row>
    <row r="1887" spans="1:18" x14ac:dyDescent="0.3">
      <c r="A1887" s="15" t="str">
        <f t="shared" si="34"/>
        <v>755</v>
      </c>
      <c r="B1887" s="15">
        <v>1877</v>
      </c>
      <c r="C1887" s="42"/>
      <c r="F1887" s="22"/>
      <c r="G1887" s="22"/>
      <c r="J1887" s="24">
        <v>50000</v>
      </c>
      <c r="M1887" s="24">
        <v>50000</v>
      </c>
      <c r="O1887" s="48" t="s">
        <v>97</v>
      </c>
      <c r="P1887" s="48">
        <f>HEX2DEC(RIGHT(Table1323212714[[#This Row],[h1]],8))</f>
        <v>0</v>
      </c>
      <c r="Q1887" s="48" t="s">
        <v>97</v>
      </c>
      <c r="R1887" s="48">
        <f>HEX2DEC(RIGHT(Table1323212714[[#This Row],[h2]],8))</f>
        <v>0</v>
      </c>
    </row>
    <row r="1888" spans="1:18" x14ac:dyDescent="0.3">
      <c r="A1888" s="15" t="str">
        <f t="shared" si="34"/>
        <v>756</v>
      </c>
      <c r="B1888" s="15">
        <v>1878</v>
      </c>
      <c r="C1888" s="42"/>
      <c r="F1888" s="22"/>
      <c r="G1888" s="22"/>
      <c r="J1888" s="24">
        <v>50000</v>
      </c>
      <c r="M1888" s="24">
        <v>50000</v>
      </c>
      <c r="O1888" s="48" t="s">
        <v>97</v>
      </c>
      <c r="P1888" s="48">
        <f>HEX2DEC(RIGHT(Table1323212714[[#This Row],[h1]],8))</f>
        <v>0</v>
      </c>
      <c r="Q1888" s="48" t="s">
        <v>97</v>
      </c>
      <c r="R1888" s="48">
        <f>HEX2DEC(RIGHT(Table1323212714[[#This Row],[h2]],8))</f>
        <v>0</v>
      </c>
    </row>
    <row r="1889" spans="1:18" x14ac:dyDescent="0.3">
      <c r="A1889" s="15" t="str">
        <f t="shared" si="34"/>
        <v>757</v>
      </c>
      <c r="B1889" s="15">
        <v>1879</v>
      </c>
      <c r="C1889" s="42"/>
      <c r="F1889" s="22"/>
      <c r="G1889" s="22"/>
      <c r="J1889" s="24">
        <v>50000</v>
      </c>
      <c r="M1889" s="24">
        <v>50000</v>
      </c>
      <c r="O1889" s="48" t="s">
        <v>97</v>
      </c>
      <c r="P1889" s="48">
        <f>HEX2DEC(RIGHT(Table1323212714[[#This Row],[h1]],8))</f>
        <v>0</v>
      </c>
      <c r="Q1889" s="48" t="s">
        <v>97</v>
      </c>
      <c r="R1889" s="48">
        <f>HEX2DEC(RIGHT(Table1323212714[[#This Row],[h2]],8))</f>
        <v>0</v>
      </c>
    </row>
    <row r="1890" spans="1:18" x14ac:dyDescent="0.3">
      <c r="A1890" s="15" t="str">
        <f t="shared" si="34"/>
        <v>758</v>
      </c>
      <c r="B1890" s="15">
        <v>1880</v>
      </c>
      <c r="C1890" s="42"/>
      <c r="F1890" s="22"/>
      <c r="G1890" s="22"/>
      <c r="J1890" s="24">
        <v>50000</v>
      </c>
      <c r="M1890" s="24">
        <v>50000</v>
      </c>
      <c r="O1890" s="48" t="s">
        <v>97</v>
      </c>
      <c r="P1890" s="48">
        <f>HEX2DEC(RIGHT(Table1323212714[[#This Row],[h1]],8))</f>
        <v>0</v>
      </c>
      <c r="Q1890" s="48" t="s">
        <v>97</v>
      </c>
      <c r="R1890" s="48">
        <f>HEX2DEC(RIGHT(Table1323212714[[#This Row],[h2]],8))</f>
        <v>0</v>
      </c>
    </row>
    <row r="1891" spans="1:18" x14ac:dyDescent="0.3">
      <c r="A1891" s="15" t="str">
        <f t="shared" si="34"/>
        <v>759</v>
      </c>
      <c r="B1891" s="15">
        <v>1881</v>
      </c>
      <c r="C1891" s="42"/>
      <c r="F1891" s="22"/>
      <c r="G1891" s="22"/>
      <c r="J1891" s="24">
        <v>50000</v>
      </c>
      <c r="M1891" s="24">
        <v>50000</v>
      </c>
      <c r="O1891" s="48" t="s">
        <v>97</v>
      </c>
      <c r="P1891" s="48">
        <f>HEX2DEC(RIGHT(Table1323212714[[#This Row],[h1]],8))</f>
        <v>0</v>
      </c>
      <c r="Q1891" s="48" t="s">
        <v>97</v>
      </c>
      <c r="R1891" s="48">
        <f>HEX2DEC(RIGHT(Table1323212714[[#This Row],[h2]],8))</f>
        <v>0</v>
      </c>
    </row>
    <row r="1892" spans="1:18" x14ac:dyDescent="0.3">
      <c r="A1892" s="15" t="str">
        <f t="shared" si="34"/>
        <v>75A</v>
      </c>
      <c r="B1892" s="15">
        <v>1882</v>
      </c>
      <c r="C1892" s="42"/>
      <c r="F1892" s="22"/>
      <c r="G1892" s="22"/>
      <c r="J1892" s="24">
        <v>50000</v>
      </c>
      <c r="M1892" s="24">
        <v>50000</v>
      </c>
      <c r="O1892" s="48" t="s">
        <v>97</v>
      </c>
      <c r="P1892" s="48">
        <f>HEX2DEC(RIGHT(Table1323212714[[#This Row],[h1]],8))</f>
        <v>0</v>
      </c>
      <c r="Q1892" s="48" t="s">
        <v>97</v>
      </c>
      <c r="R1892" s="48">
        <f>HEX2DEC(RIGHT(Table1323212714[[#This Row],[h2]],8))</f>
        <v>0</v>
      </c>
    </row>
    <row r="1893" spans="1:18" x14ac:dyDescent="0.3">
      <c r="A1893" s="15" t="str">
        <f t="shared" si="34"/>
        <v>75B</v>
      </c>
      <c r="B1893" s="15">
        <v>1883</v>
      </c>
      <c r="C1893" s="42"/>
      <c r="F1893" s="22"/>
      <c r="G1893" s="22"/>
      <c r="J1893" s="24">
        <v>50000</v>
      </c>
      <c r="M1893" s="24">
        <v>50000</v>
      </c>
      <c r="O1893" s="48" t="s">
        <v>97</v>
      </c>
      <c r="P1893" s="48">
        <f>HEX2DEC(RIGHT(Table1323212714[[#This Row],[h1]],8))</f>
        <v>0</v>
      </c>
      <c r="Q1893" s="48" t="s">
        <v>97</v>
      </c>
      <c r="R1893" s="48">
        <f>HEX2DEC(RIGHT(Table1323212714[[#This Row],[h2]],8))</f>
        <v>0</v>
      </c>
    </row>
    <row r="1894" spans="1:18" x14ac:dyDescent="0.3">
      <c r="A1894" s="15" t="str">
        <f t="shared" si="34"/>
        <v>75C</v>
      </c>
      <c r="B1894" s="15">
        <v>1884</v>
      </c>
      <c r="C1894" s="42"/>
      <c r="F1894" s="22"/>
      <c r="G1894" s="22"/>
      <c r="J1894" s="24">
        <v>50000</v>
      </c>
      <c r="M1894" s="24">
        <v>50000</v>
      </c>
      <c r="O1894" s="48" t="s">
        <v>97</v>
      </c>
      <c r="P1894" s="48">
        <f>HEX2DEC(RIGHT(Table1323212714[[#This Row],[h1]],8))</f>
        <v>0</v>
      </c>
      <c r="Q1894" s="48" t="s">
        <v>97</v>
      </c>
      <c r="R1894" s="48">
        <f>HEX2DEC(RIGHT(Table1323212714[[#This Row],[h2]],8))</f>
        <v>0</v>
      </c>
    </row>
    <row r="1895" spans="1:18" x14ac:dyDescent="0.3">
      <c r="A1895" s="15" t="str">
        <f t="shared" si="34"/>
        <v>75D</v>
      </c>
      <c r="B1895" s="15">
        <v>1885</v>
      </c>
      <c r="C1895" s="42"/>
      <c r="F1895" s="22"/>
      <c r="G1895" s="22"/>
      <c r="J1895" s="24">
        <v>50000</v>
      </c>
      <c r="M1895" s="24">
        <v>50000</v>
      </c>
      <c r="O1895" s="48" t="s">
        <v>97</v>
      </c>
      <c r="P1895" s="48">
        <f>HEX2DEC(RIGHT(Table1323212714[[#This Row],[h1]],8))</f>
        <v>0</v>
      </c>
      <c r="Q1895" s="48" t="s">
        <v>97</v>
      </c>
      <c r="R1895" s="48">
        <f>HEX2DEC(RIGHT(Table1323212714[[#This Row],[h2]],8))</f>
        <v>0</v>
      </c>
    </row>
    <row r="1896" spans="1:18" x14ac:dyDescent="0.3">
      <c r="A1896" s="15" t="str">
        <f t="shared" si="34"/>
        <v>75E</v>
      </c>
      <c r="B1896" s="15">
        <v>1886</v>
      </c>
      <c r="C1896" s="42"/>
      <c r="F1896" s="22"/>
      <c r="G1896" s="22"/>
      <c r="J1896" s="24">
        <v>50000</v>
      </c>
      <c r="M1896" s="24">
        <v>50000</v>
      </c>
      <c r="O1896" s="48" t="s">
        <v>97</v>
      </c>
      <c r="P1896" s="48">
        <f>HEX2DEC(RIGHT(Table1323212714[[#This Row],[h1]],8))</f>
        <v>0</v>
      </c>
      <c r="Q1896" s="48" t="s">
        <v>97</v>
      </c>
      <c r="R1896" s="48">
        <f>HEX2DEC(RIGHT(Table1323212714[[#This Row],[h2]],8))</f>
        <v>0</v>
      </c>
    </row>
    <row r="1897" spans="1:18" x14ac:dyDescent="0.3">
      <c r="A1897" s="15" t="str">
        <f t="shared" si="34"/>
        <v>75F</v>
      </c>
      <c r="B1897" s="15">
        <v>1887</v>
      </c>
      <c r="C1897" s="42"/>
      <c r="F1897" s="22"/>
      <c r="G1897" s="22"/>
      <c r="J1897" s="24">
        <v>50000</v>
      </c>
      <c r="M1897" s="24">
        <v>50000</v>
      </c>
      <c r="O1897" s="48" t="s">
        <v>97</v>
      </c>
      <c r="P1897" s="48">
        <f>HEX2DEC(RIGHT(Table1323212714[[#This Row],[h1]],8))</f>
        <v>0</v>
      </c>
      <c r="Q1897" s="48" t="s">
        <v>97</v>
      </c>
      <c r="R1897" s="48">
        <f>HEX2DEC(RIGHT(Table1323212714[[#This Row],[h2]],8))</f>
        <v>0</v>
      </c>
    </row>
    <row r="1898" spans="1:18" x14ac:dyDescent="0.3">
      <c r="A1898" s="15" t="str">
        <f t="shared" si="34"/>
        <v>760</v>
      </c>
      <c r="B1898" s="15">
        <v>1888</v>
      </c>
      <c r="C1898" s="42"/>
      <c r="F1898" s="22"/>
      <c r="G1898" s="22"/>
      <c r="J1898" s="24">
        <v>50000</v>
      </c>
      <c r="M1898" s="24">
        <v>50000</v>
      </c>
      <c r="O1898" s="48" t="s">
        <v>97</v>
      </c>
      <c r="P1898" s="48">
        <f>HEX2DEC(RIGHT(Table1323212714[[#This Row],[h1]],8))</f>
        <v>0</v>
      </c>
      <c r="Q1898" s="48" t="s">
        <v>97</v>
      </c>
      <c r="R1898" s="48">
        <f>HEX2DEC(RIGHT(Table1323212714[[#This Row],[h2]],8))</f>
        <v>0</v>
      </c>
    </row>
    <row r="1899" spans="1:18" x14ac:dyDescent="0.3">
      <c r="A1899" s="15" t="str">
        <f t="shared" si="34"/>
        <v>761</v>
      </c>
      <c r="B1899" s="15">
        <v>1889</v>
      </c>
      <c r="C1899" s="42"/>
      <c r="F1899" s="22"/>
      <c r="G1899" s="22"/>
      <c r="J1899" s="24">
        <v>50000</v>
      </c>
      <c r="M1899" s="24">
        <v>50000</v>
      </c>
      <c r="O1899" s="48" t="s">
        <v>97</v>
      </c>
      <c r="P1899" s="48">
        <f>HEX2DEC(RIGHT(Table1323212714[[#This Row],[h1]],8))</f>
        <v>0</v>
      </c>
      <c r="Q1899" s="48" t="s">
        <v>97</v>
      </c>
      <c r="R1899" s="48">
        <f>HEX2DEC(RIGHT(Table1323212714[[#This Row],[h2]],8))</f>
        <v>0</v>
      </c>
    </row>
    <row r="1900" spans="1:18" x14ac:dyDescent="0.3">
      <c r="A1900" s="15" t="str">
        <f t="shared" si="34"/>
        <v>762</v>
      </c>
      <c r="B1900" s="15">
        <v>1890</v>
      </c>
      <c r="C1900" s="42"/>
      <c r="F1900" s="22"/>
      <c r="G1900" s="22"/>
      <c r="J1900" s="24">
        <v>50000</v>
      </c>
      <c r="M1900" s="24">
        <v>50000</v>
      </c>
      <c r="O1900" s="48" t="s">
        <v>97</v>
      </c>
      <c r="P1900" s="48">
        <f>HEX2DEC(RIGHT(Table1323212714[[#This Row],[h1]],8))</f>
        <v>0</v>
      </c>
      <c r="Q1900" s="48" t="s">
        <v>97</v>
      </c>
      <c r="R1900" s="48">
        <f>HEX2DEC(RIGHT(Table1323212714[[#This Row],[h2]],8))</f>
        <v>0</v>
      </c>
    </row>
    <row r="1901" spans="1:18" x14ac:dyDescent="0.3">
      <c r="A1901" s="15" t="str">
        <f t="shared" si="34"/>
        <v>763</v>
      </c>
      <c r="B1901" s="15">
        <v>1891</v>
      </c>
      <c r="C1901" s="42"/>
      <c r="F1901" s="22"/>
      <c r="G1901" s="22"/>
      <c r="J1901" s="24">
        <v>50000</v>
      </c>
      <c r="M1901" s="24">
        <v>50000</v>
      </c>
      <c r="O1901" s="48" t="s">
        <v>97</v>
      </c>
      <c r="P1901" s="48">
        <f>HEX2DEC(RIGHT(Table1323212714[[#This Row],[h1]],8))</f>
        <v>0</v>
      </c>
      <c r="Q1901" s="48" t="s">
        <v>97</v>
      </c>
      <c r="R1901" s="48">
        <f>HEX2DEC(RIGHT(Table1323212714[[#This Row],[h2]],8))</f>
        <v>0</v>
      </c>
    </row>
    <row r="1902" spans="1:18" x14ac:dyDescent="0.3">
      <c r="A1902" s="15" t="str">
        <f t="shared" si="34"/>
        <v>764</v>
      </c>
      <c r="B1902" s="15">
        <v>1892</v>
      </c>
      <c r="C1902" s="42"/>
      <c r="F1902" s="22"/>
      <c r="G1902" s="22"/>
      <c r="J1902" s="24">
        <v>50000</v>
      </c>
      <c r="M1902" s="24">
        <v>50000</v>
      </c>
      <c r="O1902" s="48" t="s">
        <v>97</v>
      </c>
      <c r="P1902" s="48">
        <f>HEX2DEC(RIGHT(Table1323212714[[#This Row],[h1]],8))</f>
        <v>0</v>
      </c>
      <c r="Q1902" s="48" t="s">
        <v>97</v>
      </c>
      <c r="R1902" s="48">
        <f>HEX2DEC(RIGHT(Table1323212714[[#This Row],[h2]],8))</f>
        <v>0</v>
      </c>
    </row>
    <row r="1903" spans="1:18" x14ac:dyDescent="0.3">
      <c r="A1903" s="15" t="str">
        <f t="shared" si="34"/>
        <v>765</v>
      </c>
      <c r="B1903" s="15">
        <v>1893</v>
      </c>
      <c r="C1903" s="42"/>
      <c r="F1903" s="22"/>
      <c r="G1903" s="22"/>
      <c r="J1903" s="24">
        <v>50000</v>
      </c>
      <c r="M1903" s="24">
        <v>50000</v>
      </c>
      <c r="O1903" s="48" t="s">
        <v>97</v>
      </c>
      <c r="P1903" s="48">
        <f>HEX2DEC(RIGHT(Table1323212714[[#This Row],[h1]],8))</f>
        <v>0</v>
      </c>
      <c r="Q1903" s="48" t="s">
        <v>97</v>
      </c>
      <c r="R1903" s="48">
        <f>HEX2DEC(RIGHT(Table1323212714[[#This Row],[h2]],8))</f>
        <v>0</v>
      </c>
    </row>
    <row r="1904" spans="1:18" x14ac:dyDescent="0.3">
      <c r="A1904" s="15" t="str">
        <f t="shared" si="34"/>
        <v>766</v>
      </c>
      <c r="B1904" s="15">
        <v>1894</v>
      </c>
      <c r="C1904" s="42"/>
      <c r="F1904" s="22"/>
      <c r="G1904" s="22"/>
      <c r="J1904" s="24">
        <v>50000</v>
      </c>
      <c r="M1904" s="24">
        <v>50000</v>
      </c>
      <c r="O1904" s="48" t="s">
        <v>97</v>
      </c>
      <c r="P1904" s="48">
        <f>HEX2DEC(RIGHT(Table1323212714[[#This Row],[h1]],8))</f>
        <v>0</v>
      </c>
      <c r="Q1904" s="48" t="s">
        <v>97</v>
      </c>
      <c r="R1904" s="48">
        <f>HEX2DEC(RIGHT(Table1323212714[[#This Row],[h2]],8))</f>
        <v>0</v>
      </c>
    </row>
    <row r="1905" spans="1:18" x14ac:dyDescent="0.3">
      <c r="A1905" s="15" t="str">
        <f t="shared" si="34"/>
        <v>767</v>
      </c>
      <c r="B1905" s="15">
        <v>1895</v>
      </c>
      <c r="C1905" s="42"/>
      <c r="F1905" s="22"/>
      <c r="G1905" s="22"/>
      <c r="J1905" s="24">
        <v>50000</v>
      </c>
      <c r="M1905" s="24">
        <v>50000</v>
      </c>
      <c r="O1905" s="48" t="s">
        <v>97</v>
      </c>
      <c r="P1905" s="48">
        <f>HEX2DEC(RIGHT(Table1323212714[[#This Row],[h1]],8))</f>
        <v>0</v>
      </c>
      <c r="Q1905" s="48" t="s">
        <v>97</v>
      </c>
      <c r="R1905" s="48">
        <f>HEX2DEC(RIGHT(Table1323212714[[#This Row],[h2]],8))</f>
        <v>0</v>
      </c>
    </row>
    <row r="1906" spans="1:18" x14ac:dyDescent="0.3">
      <c r="A1906" s="15" t="str">
        <f t="shared" si="34"/>
        <v>768</v>
      </c>
      <c r="B1906" s="15">
        <v>1896</v>
      </c>
      <c r="C1906" s="42"/>
      <c r="F1906" s="22"/>
      <c r="G1906" s="22"/>
      <c r="J1906" s="24">
        <v>50000</v>
      </c>
      <c r="M1906" s="24">
        <v>50000</v>
      </c>
      <c r="O1906" s="48" t="s">
        <v>97</v>
      </c>
      <c r="P1906" s="48">
        <f>HEX2DEC(RIGHT(Table1323212714[[#This Row],[h1]],8))</f>
        <v>0</v>
      </c>
      <c r="Q1906" s="48" t="s">
        <v>97</v>
      </c>
      <c r="R1906" s="48">
        <f>HEX2DEC(RIGHT(Table1323212714[[#This Row],[h2]],8))</f>
        <v>0</v>
      </c>
    </row>
    <row r="1907" spans="1:18" x14ac:dyDescent="0.3">
      <c r="A1907" s="15" t="str">
        <f t="shared" si="34"/>
        <v>769</v>
      </c>
      <c r="B1907" s="15">
        <v>1897</v>
      </c>
      <c r="C1907" s="42"/>
      <c r="F1907" s="22"/>
      <c r="G1907" s="22"/>
      <c r="J1907" s="24">
        <v>50000</v>
      </c>
      <c r="M1907" s="24">
        <v>50000</v>
      </c>
      <c r="O1907" s="48" t="s">
        <v>97</v>
      </c>
      <c r="P1907" s="48">
        <f>HEX2DEC(RIGHT(Table1323212714[[#This Row],[h1]],8))</f>
        <v>0</v>
      </c>
      <c r="Q1907" s="48" t="s">
        <v>97</v>
      </c>
      <c r="R1907" s="48">
        <f>HEX2DEC(RIGHT(Table1323212714[[#This Row],[h2]],8))</f>
        <v>0</v>
      </c>
    </row>
    <row r="1908" spans="1:18" x14ac:dyDescent="0.3">
      <c r="A1908" s="15" t="str">
        <f t="shared" si="34"/>
        <v>76A</v>
      </c>
      <c r="B1908" s="15">
        <v>1898</v>
      </c>
      <c r="C1908" s="42"/>
      <c r="F1908" s="22"/>
      <c r="G1908" s="22"/>
      <c r="J1908" s="24">
        <v>50000</v>
      </c>
      <c r="M1908" s="24">
        <v>50000</v>
      </c>
      <c r="O1908" s="48" t="s">
        <v>97</v>
      </c>
      <c r="P1908" s="48">
        <f>HEX2DEC(RIGHT(Table1323212714[[#This Row],[h1]],8))</f>
        <v>0</v>
      </c>
      <c r="Q1908" s="48" t="s">
        <v>97</v>
      </c>
      <c r="R1908" s="48">
        <f>HEX2DEC(RIGHT(Table1323212714[[#This Row],[h2]],8))</f>
        <v>0</v>
      </c>
    </row>
    <row r="1909" spans="1:18" x14ac:dyDescent="0.3">
      <c r="A1909" s="15" t="str">
        <f t="shared" si="34"/>
        <v>76B</v>
      </c>
      <c r="B1909" s="15">
        <v>1899</v>
      </c>
      <c r="C1909" s="42"/>
      <c r="F1909" s="22"/>
      <c r="G1909" s="22"/>
      <c r="J1909" s="24">
        <v>50000</v>
      </c>
      <c r="M1909" s="24">
        <v>50000</v>
      </c>
      <c r="O1909" s="48" t="s">
        <v>97</v>
      </c>
      <c r="P1909" s="48">
        <f>HEX2DEC(RIGHT(Table1323212714[[#This Row],[h1]],8))</f>
        <v>0</v>
      </c>
      <c r="Q1909" s="48" t="s">
        <v>97</v>
      </c>
      <c r="R1909" s="48">
        <f>HEX2DEC(RIGHT(Table1323212714[[#This Row],[h2]],8))</f>
        <v>0</v>
      </c>
    </row>
    <row r="1910" spans="1:18" x14ac:dyDescent="0.3">
      <c r="A1910" s="15" t="str">
        <f t="shared" si="34"/>
        <v>76C</v>
      </c>
      <c r="B1910" s="15">
        <v>1900</v>
      </c>
      <c r="C1910" s="42"/>
      <c r="F1910" s="22"/>
      <c r="G1910" s="22"/>
      <c r="J1910" s="24">
        <v>50000</v>
      </c>
      <c r="M1910" s="24">
        <v>50000</v>
      </c>
      <c r="O1910" s="48" t="s">
        <v>97</v>
      </c>
      <c r="P1910" s="48">
        <f>HEX2DEC(RIGHT(Table1323212714[[#This Row],[h1]],8))</f>
        <v>0</v>
      </c>
      <c r="Q1910" s="48" t="s">
        <v>97</v>
      </c>
      <c r="R1910" s="48">
        <f>HEX2DEC(RIGHT(Table1323212714[[#This Row],[h2]],8))</f>
        <v>0</v>
      </c>
    </row>
    <row r="1911" spans="1:18" x14ac:dyDescent="0.3">
      <c r="A1911" s="15" t="str">
        <f t="shared" si="34"/>
        <v>76D</v>
      </c>
      <c r="B1911" s="15">
        <v>1901</v>
      </c>
      <c r="C1911" s="42"/>
      <c r="F1911" s="22"/>
      <c r="G1911" s="22"/>
      <c r="J1911" s="24">
        <v>50000</v>
      </c>
      <c r="M1911" s="24">
        <v>50000</v>
      </c>
      <c r="O1911" s="48" t="s">
        <v>97</v>
      </c>
      <c r="P1911" s="48">
        <f>HEX2DEC(RIGHT(Table1323212714[[#This Row],[h1]],8))</f>
        <v>0</v>
      </c>
      <c r="Q1911" s="48" t="s">
        <v>97</v>
      </c>
      <c r="R1911" s="48">
        <f>HEX2DEC(RIGHT(Table1323212714[[#This Row],[h2]],8))</f>
        <v>0</v>
      </c>
    </row>
    <row r="1912" spans="1:18" x14ac:dyDescent="0.3">
      <c r="A1912" s="15" t="str">
        <f t="shared" si="34"/>
        <v>76E</v>
      </c>
      <c r="B1912" s="15">
        <v>1902</v>
      </c>
      <c r="C1912" s="42"/>
      <c r="F1912" s="22"/>
      <c r="G1912" s="22"/>
      <c r="J1912" s="24">
        <v>50000</v>
      </c>
      <c r="M1912" s="24">
        <v>50000</v>
      </c>
      <c r="O1912" s="48" t="s">
        <v>97</v>
      </c>
      <c r="P1912" s="48">
        <f>HEX2DEC(RIGHT(Table1323212714[[#This Row],[h1]],8))</f>
        <v>0</v>
      </c>
      <c r="Q1912" s="48" t="s">
        <v>97</v>
      </c>
      <c r="R1912" s="48">
        <f>HEX2DEC(RIGHT(Table1323212714[[#This Row],[h2]],8))</f>
        <v>0</v>
      </c>
    </row>
    <row r="1913" spans="1:18" x14ac:dyDescent="0.3">
      <c r="A1913" s="15" t="str">
        <f t="shared" si="34"/>
        <v>76F</v>
      </c>
      <c r="B1913" s="15">
        <v>1903</v>
      </c>
      <c r="C1913" s="42"/>
      <c r="F1913" s="22"/>
      <c r="G1913" s="22"/>
      <c r="J1913" s="24">
        <v>50000</v>
      </c>
      <c r="M1913" s="24">
        <v>50000</v>
      </c>
      <c r="O1913" s="48" t="s">
        <v>97</v>
      </c>
      <c r="P1913" s="48">
        <f>HEX2DEC(RIGHT(Table1323212714[[#This Row],[h1]],8))</f>
        <v>0</v>
      </c>
      <c r="Q1913" s="48" t="s">
        <v>97</v>
      </c>
      <c r="R1913" s="48">
        <f>HEX2DEC(RIGHT(Table1323212714[[#This Row],[h2]],8))</f>
        <v>0</v>
      </c>
    </row>
    <row r="1914" spans="1:18" x14ac:dyDescent="0.3">
      <c r="A1914" s="15" t="str">
        <f t="shared" si="34"/>
        <v>770</v>
      </c>
      <c r="B1914" s="15">
        <v>1904</v>
      </c>
      <c r="C1914" s="42"/>
      <c r="F1914" s="22"/>
      <c r="G1914" s="22"/>
      <c r="J1914" s="24">
        <v>50000</v>
      </c>
      <c r="M1914" s="24">
        <v>50000</v>
      </c>
      <c r="O1914" s="48" t="s">
        <v>97</v>
      </c>
      <c r="P1914" s="48">
        <f>HEX2DEC(RIGHT(Table1323212714[[#This Row],[h1]],8))</f>
        <v>0</v>
      </c>
      <c r="Q1914" s="48" t="s">
        <v>97</v>
      </c>
      <c r="R1914" s="48">
        <f>HEX2DEC(RIGHT(Table1323212714[[#This Row],[h2]],8))</f>
        <v>0</v>
      </c>
    </row>
    <row r="1915" spans="1:18" x14ac:dyDescent="0.3">
      <c r="A1915" s="15" t="str">
        <f t="shared" si="34"/>
        <v>771</v>
      </c>
      <c r="B1915" s="15">
        <v>1905</v>
      </c>
      <c r="C1915" s="42"/>
      <c r="F1915" s="22"/>
      <c r="G1915" s="22"/>
      <c r="J1915" s="24">
        <v>50000</v>
      </c>
      <c r="M1915" s="24">
        <v>50000</v>
      </c>
      <c r="O1915" s="48" t="s">
        <v>97</v>
      </c>
      <c r="P1915" s="48">
        <f>HEX2DEC(RIGHT(Table1323212714[[#This Row],[h1]],8))</f>
        <v>0</v>
      </c>
      <c r="Q1915" s="48" t="s">
        <v>97</v>
      </c>
      <c r="R1915" s="48">
        <f>HEX2DEC(RIGHT(Table1323212714[[#This Row],[h2]],8))</f>
        <v>0</v>
      </c>
    </row>
    <row r="1916" spans="1:18" x14ac:dyDescent="0.3">
      <c r="A1916" s="15" t="str">
        <f t="shared" si="34"/>
        <v>772</v>
      </c>
      <c r="B1916" s="15">
        <v>1906</v>
      </c>
      <c r="C1916" s="42"/>
      <c r="F1916" s="22"/>
      <c r="G1916" s="22"/>
      <c r="J1916" s="24">
        <v>50000</v>
      </c>
      <c r="M1916" s="24">
        <v>50000</v>
      </c>
      <c r="O1916" s="48" t="s">
        <v>97</v>
      </c>
      <c r="P1916" s="48">
        <f>HEX2DEC(RIGHT(Table1323212714[[#This Row],[h1]],8))</f>
        <v>0</v>
      </c>
      <c r="Q1916" s="48" t="s">
        <v>97</v>
      </c>
      <c r="R1916" s="48">
        <f>HEX2DEC(RIGHT(Table1323212714[[#This Row],[h2]],8))</f>
        <v>0</v>
      </c>
    </row>
    <row r="1917" spans="1:18" x14ac:dyDescent="0.3">
      <c r="A1917" s="15" t="str">
        <f t="shared" si="34"/>
        <v>773</v>
      </c>
      <c r="B1917" s="15">
        <v>1907</v>
      </c>
      <c r="C1917" s="42"/>
      <c r="F1917" s="22"/>
      <c r="G1917" s="22"/>
      <c r="J1917" s="24">
        <v>50000</v>
      </c>
      <c r="M1917" s="24">
        <v>50000</v>
      </c>
      <c r="O1917" s="48" t="s">
        <v>97</v>
      </c>
      <c r="P1917" s="48">
        <f>HEX2DEC(RIGHT(Table1323212714[[#This Row],[h1]],8))</f>
        <v>0</v>
      </c>
      <c r="Q1917" s="48" t="s">
        <v>97</v>
      </c>
      <c r="R1917" s="48">
        <f>HEX2DEC(RIGHT(Table1323212714[[#This Row],[h2]],8))</f>
        <v>0</v>
      </c>
    </row>
    <row r="1918" spans="1:18" x14ac:dyDescent="0.3">
      <c r="A1918" s="15" t="str">
        <f t="shared" si="34"/>
        <v>774</v>
      </c>
      <c r="B1918" s="15">
        <v>1908</v>
      </c>
      <c r="C1918" s="42"/>
      <c r="F1918" s="22"/>
      <c r="G1918" s="22"/>
      <c r="J1918" s="24">
        <v>50000</v>
      </c>
      <c r="M1918" s="24">
        <v>50000</v>
      </c>
      <c r="O1918" s="48" t="s">
        <v>97</v>
      </c>
      <c r="P1918" s="48">
        <f>HEX2DEC(RIGHT(Table1323212714[[#This Row],[h1]],8))</f>
        <v>0</v>
      </c>
      <c r="Q1918" s="48" t="s">
        <v>97</v>
      </c>
      <c r="R1918" s="48">
        <f>HEX2DEC(RIGHT(Table1323212714[[#This Row],[h2]],8))</f>
        <v>0</v>
      </c>
    </row>
    <row r="1919" spans="1:18" x14ac:dyDescent="0.3">
      <c r="A1919" s="15" t="str">
        <f t="shared" si="34"/>
        <v>775</v>
      </c>
      <c r="B1919" s="15">
        <v>1909</v>
      </c>
      <c r="C1919" s="42"/>
      <c r="F1919" s="22"/>
      <c r="G1919" s="22"/>
      <c r="J1919" s="24">
        <v>50000</v>
      </c>
      <c r="M1919" s="24">
        <v>50000</v>
      </c>
      <c r="O1919" s="48" t="s">
        <v>97</v>
      </c>
      <c r="P1919" s="48">
        <f>HEX2DEC(RIGHT(Table1323212714[[#This Row],[h1]],8))</f>
        <v>0</v>
      </c>
      <c r="Q1919" s="48" t="s">
        <v>97</v>
      </c>
      <c r="R1919" s="48">
        <f>HEX2DEC(RIGHT(Table1323212714[[#This Row],[h2]],8))</f>
        <v>0</v>
      </c>
    </row>
    <row r="1920" spans="1:18" x14ac:dyDescent="0.3">
      <c r="A1920" s="15" t="str">
        <f t="shared" si="34"/>
        <v>776</v>
      </c>
      <c r="B1920" s="15">
        <v>1910</v>
      </c>
      <c r="C1920" s="42"/>
      <c r="F1920" s="22"/>
      <c r="G1920" s="22"/>
      <c r="J1920" s="24">
        <v>50000</v>
      </c>
      <c r="M1920" s="24">
        <v>50000</v>
      </c>
      <c r="O1920" s="48" t="s">
        <v>97</v>
      </c>
      <c r="P1920" s="48">
        <f>HEX2DEC(RIGHT(Table1323212714[[#This Row],[h1]],8))</f>
        <v>0</v>
      </c>
      <c r="Q1920" s="48" t="s">
        <v>97</v>
      </c>
      <c r="R1920" s="48">
        <f>HEX2DEC(RIGHT(Table1323212714[[#This Row],[h2]],8))</f>
        <v>0</v>
      </c>
    </row>
    <row r="1921" spans="1:18" x14ac:dyDescent="0.3">
      <c r="A1921" s="15" t="str">
        <f t="shared" si="34"/>
        <v>777</v>
      </c>
      <c r="B1921" s="15">
        <v>1911</v>
      </c>
      <c r="C1921" s="42"/>
      <c r="F1921" s="22"/>
      <c r="G1921" s="22"/>
      <c r="J1921" s="24">
        <v>50000</v>
      </c>
      <c r="M1921" s="24">
        <v>50000</v>
      </c>
      <c r="O1921" s="48" t="s">
        <v>97</v>
      </c>
      <c r="P1921" s="48">
        <f>HEX2DEC(RIGHT(Table1323212714[[#This Row],[h1]],8))</f>
        <v>0</v>
      </c>
      <c r="Q1921" s="48" t="s">
        <v>97</v>
      </c>
      <c r="R1921" s="48">
        <f>HEX2DEC(RIGHT(Table1323212714[[#This Row],[h2]],8))</f>
        <v>0</v>
      </c>
    </row>
    <row r="1922" spans="1:18" x14ac:dyDescent="0.3">
      <c r="A1922" s="15" t="str">
        <f t="shared" si="34"/>
        <v>778</v>
      </c>
      <c r="B1922" s="15">
        <v>1912</v>
      </c>
      <c r="C1922" s="42"/>
      <c r="F1922" s="22"/>
      <c r="G1922" s="22"/>
      <c r="J1922" s="24">
        <v>50000</v>
      </c>
      <c r="M1922" s="24">
        <v>50000</v>
      </c>
      <c r="O1922" s="48" t="s">
        <v>97</v>
      </c>
      <c r="P1922" s="48">
        <f>HEX2DEC(RIGHT(Table1323212714[[#This Row],[h1]],8))</f>
        <v>0</v>
      </c>
      <c r="Q1922" s="48" t="s">
        <v>97</v>
      </c>
      <c r="R1922" s="48">
        <f>HEX2DEC(RIGHT(Table1323212714[[#This Row],[h2]],8))</f>
        <v>0</v>
      </c>
    </row>
    <row r="1923" spans="1:18" x14ac:dyDescent="0.3">
      <c r="A1923" s="15" t="str">
        <f t="shared" si="34"/>
        <v>779</v>
      </c>
      <c r="B1923" s="15">
        <v>1913</v>
      </c>
      <c r="C1923" s="42"/>
      <c r="F1923" s="22"/>
      <c r="G1923" s="22"/>
      <c r="J1923" s="24">
        <v>50000</v>
      </c>
      <c r="M1923" s="24">
        <v>50000</v>
      </c>
      <c r="O1923" s="48" t="s">
        <v>97</v>
      </c>
      <c r="P1923" s="48">
        <f>HEX2DEC(RIGHT(Table1323212714[[#This Row],[h1]],8))</f>
        <v>0</v>
      </c>
      <c r="Q1923" s="48" t="s">
        <v>97</v>
      </c>
      <c r="R1923" s="48">
        <f>HEX2DEC(RIGHT(Table1323212714[[#This Row],[h2]],8))</f>
        <v>0</v>
      </c>
    </row>
    <row r="1924" spans="1:18" x14ac:dyDescent="0.3">
      <c r="A1924" s="15" t="str">
        <f t="shared" si="34"/>
        <v>77A</v>
      </c>
      <c r="B1924" s="15">
        <v>1914</v>
      </c>
      <c r="C1924" s="42"/>
      <c r="F1924" s="22"/>
      <c r="G1924" s="22"/>
      <c r="J1924" s="24">
        <v>50000</v>
      </c>
      <c r="M1924" s="24">
        <v>50000</v>
      </c>
      <c r="O1924" s="48" t="s">
        <v>97</v>
      </c>
      <c r="P1924" s="48">
        <f>HEX2DEC(RIGHT(Table1323212714[[#This Row],[h1]],8))</f>
        <v>0</v>
      </c>
      <c r="Q1924" s="48" t="s">
        <v>97</v>
      </c>
      <c r="R1924" s="48">
        <f>HEX2DEC(RIGHT(Table1323212714[[#This Row],[h2]],8))</f>
        <v>0</v>
      </c>
    </row>
    <row r="1925" spans="1:18" x14ac:dyDescent="0.3">
      <c r="A1925" s="15" t="str">
        <f t="shared" si="34"/>
        <v>77B</v>
      </c>
      <c r="B1925" s="15">
        <v>1915</v>
      </c>
      <c r="C1925" s="42"/>
      <c r="F1925" s="22"/>
      <c r="G1925" s="22"/>
      <c r="J1925" s="24">
        <v>50000</v>
      </c>
      <c r="M1925" s="24">
        <v>50000</v>
      </c>
      <c r="O1925" s="48" t="s">
        <v>97</v>
      </c>
      <c r="P1925" s="48">
        <f>HEX2DEC(RIGHT(Table1323212714[[#This Row],[h1]],8))</f>
        <v>0</v>
      </c>
      <c r="Q1925" s="48" t="s">
        <v>97</v>
      </c>
      <c r="R1925" s="48">
        <f>HEX2DEC(RIGHT(Table1323212714[[#This Row],[h2]],8))</f>
        <v>0</v>
      </c>
    </row>
    <row r="1926" spans="1:18" x14ac:dyDescent="0.3">
      <c r="A1926" s="15" t="str">
        <f t="shared" si="34"/>
        <v>77C</v>
      </c>
      <c r="B1926" s="15">
        <v>1916</v>
      </c>
      <c r="C1926" s="42"/>
      <c r="F1926" s="22"/>
      <c r="G1926" s="22"/>
      <c r="J1926" s="24">
        <v>50000</v>
      </c>
      <c r="M1926" s="24">
        <v>50000</v>
      </c>
      <c r="O1926" s="48" t="s">
        <v>97</v>
      </c>
      <c r="P1926" s="48">
        <f>HEX2DEC(RIGHT(Table1323212714[[#This Row],[h1]],8))</f>
        <v>0</v>
      </c>
      <c r="Q1926" s="48" t="s">
        <v>97</v>
      </c>
      <c r="R1926" s="48">
        <f>HEX2DEC(RIGHT(Table1323212714[[#This Row],[h2]],8))</f>
        <v>0</v>
      </c>
    </row>
    <row r="1927" spans="1:18" x14ac:dyDescent="0.3">
      <c r="A1927" s="15" t="str">
        <f t="shared" si="34"/>
        <v>77D</v>
      </c>
      <c r="B1927" s="15">
        <v>1917</v>
      </c>
      <c r="C1927" s="42"/>
      <c r="F1927" s="22"/>
      <c r="G1927" s="22"/>
      <c r="J1927" s="24">
        <v>50000</v>
      </c>
      <c r="M1927" s="24">
        <v>50000</v>
      </c>
      <c r="O1927" s="48" t="s">
        <v>97</v>
      </c>
      <c r="P1927" s="48">
        <f>HEX2DEC(RIGHT(Table1323212714[[#This Row],[h1]],8))</f>
        <v>0</v>
      </c>
      <c r="Q1927" s="48" t="s">
        <v>97</v>
      </c>
      <c r="R1927" s="48">
        <f>HEX2DEC(RIGHT(Table1323212714[[#This Row],[h2]],8))</f>
        <v>0</v>
      </c>
    </row>
    <row r="1928" spans="1:18" x14ac:dyDescent="0.3">
      <c r="A1928" s="15" t="str">
        <f t="shared" si="34"/>
        <v>77E</v>
      </c>
      <c r="B1928" s="15">
        <v>1918</v>
      </c>
      <c r="C1928" s="42"/>
      <c r="F1928" s="22"/>
      <c r="G1928" s="22"/>
      <c r="J1928" s="24">
        <v>50000</v>
      </c>
      <c r="M1928" s="24">
        <v>50000</v>
      </c>
      <c r="O1928" s="48" t="s">
        <v>97</v>
      </c>
      <c r="P1928" s="48">
        <f>HEX2DEC(RIGHT(Table1323212714[[#This Row],[h1]],8))</f>
        <v>0</v>
      </c>
      <c r="Q1928" s="48" t="s">
        <v>97</v>
      </c>
      <c r="R1928" s="48">
        <f>HEX2DEC(RIGHT(Table1323212714[[#This Row],[h2]],8))</f>
        <v>0</v>
      </c>
    </row>
    <row r="1929" spans="1:18" x14ac:dyDescent="0.3">
      <c r="A1929" s="15" t="str">
        <f t="shared" si="34"/>
        <v>77F</v>
      </c>
      <c r="B1929" s="15">
        <v>1919</v>
      </c>
      <c r="C1929" s="42"/>
      <c r="F1929" s="22"/>
      <c r="G1929" s="22"/>
      <c r="J1929" s="24">
        <v>50000</v>
      </c>
      <c r="M1929" s="24">
        <v>50000</v>
      </c>
      <c r="O1929" s="48" t="s">
        <v>97</v>
      </c>
      <c r="P1929" s="48">
        <f>HEX2DEC(RIGHT(Table1323212714[[#This Row],[h1]],8))</f>
        <v>0</v>
      </c>
      <c r="Q1929" s="48" t="s">
        <v>97</v>
      </c>
      <c r="R1929" s="48">
        <f>HEX2DEC(RIGHT(Table1323212714[[#This Row],[h2]],8))</f>
        <v>0</v>
      </c>
    </row>
    <row r="1930" spans="1:18" x14ac:dyDescent="0.3">
      <c r="A1930" s="15" t="str">
        <f t="shared" si="34"/>
        <v>780</v>
      </c>
      <c r="B1930" s="15">
        <v>1920</v>
      </c>
      <c r="C1930" s="42"/>
      <c r="F1930" s="22"/>
      <c r="G1930" s="22"/>
      <c r="J1930" s="24">
        <v>50000</v>
      </c>
      <c r="M1930" s="24">
        <v>50000</v>
      </c>
      <c r="O1930" s="48" t="s">
        <v>97</v>
      </c>
      <c r="P1930" s="48">
        <f>HEX2DEC(RIGHT(Table1323212714[[#This Row],[h1]],8))</f>
        <v>0</v>
      </c>
      <c r="Q1930" s="48" t="s">
        <v>97</v>
      </c>
      <c r="R1930" s="48">
        <f>HEX2DEC(RIGHT(Table1323212714[[#This Row],[h2]],8))</f>
        <v>0</v>
      </c>
    </row>
    <row r="1931" spans="1:18" x14ac:dyDescent="0.3">
      <c r="A1931" s="15" t="str">
        <f t="shared" ref="A1931:A1994" si="35">DEC2HEX(B1931,3)</f>
        <v>781</v>
      </c>
      <c r="B1931" s="15">
        <v>1921</v>
      </c>
      <c r="C1931" s="42"/>
      <c r="F1931" s="22"/>
      <c r="G1931" s="22"/>
      <c r="J1931" s="24">
        <v>50000</v>
      </c>
      <c r="M1931" s="24">
        <v>50000</v>
      </c>
      <c r="O1931" s="48" t="s">
        <v>97</v>
      </c>
      <c r="P1931" s="48">
        <f>HEX2DEC(RIGHT(Table1323212714[[#This Row],[h1]],8))</f>
        <v>0</v>
      </c>
      <c r="Q1931" s="48" t="s">
        <v>97</v>
      </c>
      <c r="R1931" s="48">
        <f>HEX2DEC(RIGHT(Table1323212714[[#This Row],[h2]],8))</f>
        <v>0</v>
      </c>
    </row>
    <row r="1932" spans="1:18" x14ac:dyDescent="0.3">
      <c r="A1932" s="15" t="str">
        <f t="shared" si="35"/>
        <v>782</v>
      </c>
      <c r="B1932" s="15">
        <v>1922</v>
      </c>
      <c r="C1932" s="42"/>
      <c r="F1932" s="22"/>
      <c r="G1932" s="22"/>
      <c r="J1932" s="24">
        <v>50000</v>
      </c>
      <c r="M1932" s="24">
        <v>50000</v>
      </c>
      <c r="O1932" s="48" t="s">
        <v>97</v>
      </c>
      <c r="P1932" s="48">
        <f>HEX2DEC(RIGHT(Table1323212714[[#This Row],[h1]],8))</f>
        <v>0</v>
      </c>
      <c r="Q1932" s="48" t="s">
        <v>97</v>
      </c>
      <c r="R1932" s="48">
        <f>HEX2DEC(RIGHT(Table1323212714[[#This Row],[h2]],8))</f>
        <v>0</v>
      </c>
    </row>
    <row r="1933" spans="1:18" x14ac:dyDescent="0.3">
      <c r="A1933" s="15" t="str">
        <f t="shared" si="35"/>
        <v>783</v>
      </c>
      <c r="B1933" s="15">
        <v>1923</v>
      </c>
      <c r="C1933" s="42"/>
      <c r="F1933" s="22"/>
      <c r="G1933" s="22"/>
      <c r="J1933" s="24">
        <v>50000</v>
      </c>
      <c r="M1933" s="24">
        <v>50000</v>
      </c>
      <c r="O1933" s="48" t="s">
        <v>97</v>
      </c>
      <c r="P1933" s="48">
        <f>HEX2DEC(RIGHT(Table1323212714[[#This Row],[h1]],8))</f>
        <v>0</v>
      </c>
      <c r="Q1933" s="48" t="s">
        <v>97</v>
      </c>
      <c r="R1933" s="48">
        <f>HEX2DEC(RIGHT(Table1323212714[[#This Row],[h2]],8))</f>
        <v>0</v>
      </c>
    </row>
    <row r="1934" spans="1:18" x14ac:dyDescent="0.3">
      <c r="A1934" s="15" t="str">
        <f t="shared" si="35"/>
        <v>784</v>
      </c>
      <c r="B1934" s="15">
        <v>1924</v>
      </c>
      <c r="C1934" s="42"/>
      <c r="F1934" s="22"/>
      <c r="G1934" s="22"/>
      <c r="J1934" s="24">
        <v>50000</v>
      </c>
      <c r="M1934" s="24">
        <v>50000</v>
      </c>
      <c r="O1934" s="48" t="s">
        <v>97</v>
      </c>
      <c r="P1934" s="48">
        <f>HEX2DEC(RIGHT(Table1323212714[[#This Row],[h1]],8))</f>
        <v>0</v>
      </c>
      <c r="Q1934" s="48" t="s">
        <v>97</v>
      </c>
      <c r="R1934" s="48">
        <f>HEX2DEC(RIGHT(Table1323212714[[#This Row],[h2]],8))</f>
        <v>0</v>
      </c>
    </row>
    <row r="1935" spans="1:18" x14ac:dyDescent="0.3">
      <c r="A1935" s="15" t="str">
        <f t="shared" si="35"/>
        <v>785</v>
      </c>
      <c r="B1935" s="15">
        <v>1925</v>
      </c>
      <c r="C1935" s="42"/>
      <c r="F1935" s="22"/>
      <c r="G1935" s="22"/>
      <c r="J1935" s="24">
        <v>50000</v>
      </c>
      <c r="M1935" s="24">
        <v>50000</v>
      </c>
      <c r="O1935" s="48" t="s">
        <v>97</v>
      </c>
      <c r="P1935" s="48">
        <f>HEX2DEC(RIGHT(Table1323212714[[#This Row],[h1]],8))</f>
        <v>0</v>
      </c>
      <c r="Q1935" s="48" t="s">
        <v>97</v>
      </c>
      <c r="R1935" s="48">
        <f>HEX2DEC(RIGHT(Table1323212714[[#This Row],[h2]],8))</f>
        <v>0</v>
      </c>
    </row>
    <row r="1936" spans="1:18" x14ac:dyDescent="0.3">
      <c r="A1936" s="15" t="str">
        <f t="shared" si="35"/>
        <v>786</v>
      </c>
      <c r="B1936" s="15">
        <v>1926</v>
      </c>
      <c r="C1936" s="42"/>
      <c r="F1936" s="22"/>
      <c r="G1936" s="22"/>
      <c r="J1936" s="24">
        <v>50000</v>
      </c>
      <c r="M1936" s="24">
        <v>50000</v>
      </c>
      <c r="O1936" s="48" t="s">
        <v>97</v>
      </c>
      <c r="P1936" s="48">
        <f>HEX2DEC(RIGHT(Table1323212714[[#This Row],[h1]],8))</f>
        <v>0</v>
      </c>
      <c r="Q1936" s="48" t="s">
        <v>97</v>
      </c>
      <c r="R1936" s="48">
        <f>HEX2DEC(RIGHT(Table1323212714[[#This Row],[h2]],8))</f>
        <v>0</v>
      </c>
    </row>
    <row r="1937" spans="1:18" x14ac:dyDescent="0.3">
      <c r="A1937" s="15" t="str">
        <f t="shared" si="35"/>
        <v>787</v>
      </c>
      <c r="B1937" s="15">
        <v>1927</v>
      </c>
      <c r="C1937" s="42"/>
      <c r="F1937" s="22"/>
      <c r="G1937" s="22"/>
      <c r="J1937" s="24">
        <v>50000</v>
      </c>
      <c r="M1937" s="24">
        <v>50000</v>
      </c>
      <c r="O1937" s="48" t="s">
        <v>97</v>
      </c>
      <c r="P1937" s="48">
        <f>HEX2DEC(RIGHT(Table1323212714[[#This Row],[h1]],8))</f>
        <v>0</v>
      </c>
      <c r="Q1937" s="48" t="s">
        <v>97</v>
      </c>
      <c r="R1937" s="48">
        <f>HEX2DEC(RIGHT(Table1323212714[[#This Row],[h2]],8))</f>
        <v>0</v>
      </c>
    </row>
    <row r="1938" spans="1:18" x14ac:dyDescent="0.3">
      <c r="A1938" s="15" t="str">
        <f t="shared" si="35"/>
        <v>788</v>
      </c>
      <c r="B1938" s="15">
        <v>1928</v>
      </c>
      <c r="C1938" s="42"/>
      <c r="F1938" s="22"/>
      <c r="G1938" s="22"/>
      <c r="J1938" s="24">
        <v>50000</v>
      </c>
      <c r="M1938" s="24">
        <v>50000</v>
      </c>
      <c r="O1938" s="48" t="s">
        <v>97</v>
      </c>
      <c r="P1938" s="48">
        <f>HEX2DEC(RIGHT(Table1323212714[[#This Row],[h1]],8))</f>
        <v>0</v>
      </c>
      <c r="Q1938" s="48" t="s">
        <v>97</v>
      </c>
      <c r="R1938" s="48">
        <f>HEX2DEC(RIGHT(Table1323212714[[#This Row],[h2]],8))</f>
        <v>0</v>
      </c>
    </row>
    <row r="1939" spans="1:18" x14ac:dyDescent="0.3">
      <c r="A1939" s="15" t="str">
        <f t="shared" si="35"/>
        <v>789</v>
      </c>
      <c r="B1939" s="15">
        <v>1929</v>
      </c>
      <c r="C1939" s="42"/>
      <c r="F1939" s="22"/>
      <c r="G1939" s="22"/>
      <c r="J1939" s="24">
        <v>50000</v>
      </c>
      <c r="M1939" s="24">
        <v>50000</v>
      </c>
      <c r="O1939" s="48" t="s">
        <v>97</v>
      </c>
      <c r="P1939" s="48">
        <f>HEX2DEC(RIGHT(Table1323212714[[#This Row],[h1]],8))</f>
        <v>0</v>
      </c>
      <c r="Q1939" s="48" t="s">
        <v>97</v>
      </c>
      <c r="R1939" s="48">
        <f>HEX2DEC(RIGHT(Table1323212714[[#This Row],[h2]],8))</f>
        <v>0</v>
      </c>
    </row>
    <row r="1940" spans="1:18" x14ac:dyDescent="0.3">
      <c r="A1940" s="15" t="str">
        <f t="shared" si="35"/>
        <v>78A</v>
      </c>
      <c r="B1940" s="15">
        <v>1930</v>
      </c>
      <c r="C1940" s="42"/>
      <c r="F1940" s="22"/>
      <c r="G1940" s="22"/>
      <c r="J1940" s="24">
        <v>50000</v>
      </c>
      <c r="M1940" s="24">
        <v>50000</v>
      </c>
      <c r="O1940" s="48" t="s">
        <v>97</v>
      </c>
      <c r="P1940" s="48">
        <f>HEX2DEC(RIGHT(Table1323212714[[#This Row],[h1]],8))</f>
        <v>0</v>
      </c>
      <c r="Q1940" s="48" t="s">
        <v>97</v>
      </c>
      <c r="R1940" s="48">
        <f>HEX2DEC(RIGHT(Table1323212714[[#This Row],[h2]],8))</f>
        <v>0</v>
      </c>
    </row>
    <row r="1941" spans="1:18" x14ac:dyDescent="0.3">
      <c r="A1941" s="15" t="str">
        <f t="shared" si="35"/>
        <v>78B</v>
      </c>
      <c r="B1941" s="15">
        <v>1931</v>
      </c>
      <c r="C1941" s="42"/>
      <c r="F1941" s="22"/>
      <c r="G1941" s="22"/>
      <c r="J1941" s="24">
        <v>50000</v>
      </c>
      <c r="M1941" s="24">
        <v>50000</v>
      </c>
      <c r="O1941" s="48" t="s">
        <v>97</v>
      </c>
      <c r="P1941" s="48">
        <f>HEX2DEC(RIGHT(Table1323212714[[#This Row],[h1]],8))</f>
        <v>0</v>
      </c>
      <c r="Q1941" s="48" t="s">
        <v>97</v>
      </c>
      <c r="R1941" s="48">
        <f>HEX2DEC(RIGHT(Table1323212714[[#This Row],[h2]],8))</f>
        <v>0</v>
      </c>
    </row>
    <row r="1942" spans="1:18" x14ac:dyDescent="0.3">
      <c r="A1942" s="15" t="str">
        <f t="shared" si="35"/>
        <v>78C</v>
      </c>
      <c r="B1942" s="15">
        <v>1932</v>
      </c>
      <c r="C1942" s="42"/>
      <c r="F1942" s="22"/>
      <c r="G1942" s="22"/>
      <c r="J1942" s="24">
        <v>50000</v>
      </c>
      <c r="M1942" s="24">
        <v>50000</v>
      </c>
      <c r="O1942" s="48" t="s">
        <v>97</v>
      </c>
      <c r="P1942" s="48">
        <f>HEX2DEC(RIGHT(Table1323212714[[#This Row],[h1]],8))</f>
        <v>0</v>
      </c>
      <c r="Q1942" s="48" t="s">
        <v>97</v>
      </c>
      <c r="R1942" s="48">
        <f>HEX2DEC(RIGHT(Table1323212714[[#This Row],[h2]],8))</f>
        <v>0</v>
      </c>
    </row>
    <row r="1943" spans="1:18" x14ac:dyDescent="0.3">
      <c r="A1943" s="15" t="str">
        <f t="shared" si="35"/>
        <v>78D</v>
      </c>
      <c r="B1943" s="15">
        <v>1933</v>
      </c>
      <c r="C1943" s="42"/>
      <c r="F1943" s="22"/>
      <c r="G1943" s="22"/>
      <c r="J1943" s="24">
        <v>50000</v>
      </c>
      <c r="M1943" s="24">
        <v>50000</v>
      </c>
      <c r="O1943" s="48" t="s">
        <v>97</v>
      </c>
      <c r="P1943" s="48">
        <f>HEX2DEC(RIGHT(Table1323212714[[#This Row],[h1]],8))</f>
        <v>0</v>
      </c>
      <c r="Q1943" s="48" t="s">
        <v>97</v>
      </c>
      <c r="R1943" s="48">
        <f>HEX2DEC(RIGHT(Table1323212714[[#This Row],[h2]],8))</f>
        <v>0</v>
      </c>
    </row>
    <row r="1944" spans="1:18" x14ac:dyDescent="0.3">
      <c r="A1944" s="15" t="str">
        <f t="shared" si="35"/>
        <v>78E</v>
      </c>
      <c r="B1944" s="15">
        <v>1934</v>
      </c>
      <c r="C1944" s="42"/>
      <c r="F1944" s="22"/>
      <c r="G1944" s="22"/>
      <c r="J1944" s="24">
        <v>50000</v>
      </c>
      <c r="M1944" s="24">
        <v>50000</v>
      </c>
      <c r="O1944" s="48" t="s">
        <v>97</v>
      </c>
      <c r="P1944" s="48">
        <f>HEX2DEC(RIGHT(Table1323212714[[#This Row],[h1]],8))</f>
        <v>0</v>
      </c>
      <c r="Q1944" s="48" t="s">
        <v>97</v>
      </c>
      <c r="R1944" s="48">
        <f>HEX2DEC(RIGHT(Table1323212714[[#This Row],[h2]],8))</f>
        <v>0</v>
      </c>
    </row>
    <row r="1945" spans="1:18" x14ac:dyDescent="0.3">
      <c r="A1945" s="15" t="str">
        <f t="shared" si="35"/>
        <v>78F</v>
      </c>
      <c r="B1945" s="15">
        <v>1935</v>
      </c>
      <c r="C1945" s="42"/>
      <c r="F1945" s="22"/>
      <c r="G1945" s="22"/>
      <c r="J1945" s="24">
        <v>50000</v>
      </c>
      <c r="M1945" s="24">
        <v>50000</v>
      </c>
      <c r="O1945" s="48" t="s">
        <v>97</v>
      </c>
      <c r="P1945" s="48">
        <f>HEX2DEC(RIGHT(Table1323212714[[#This Row],[h1]],8))</f>
        <v>0</v>
      </c>
      <c r="Q1945" s="48" t="s">
        <v>97</v>
      </c>
      <c r="R1945" s="48">
        <f>HEX2DEC(RIGHT(Table1323212714[[#This Row],[h2]],8))</f>
        <v>0</v>
      </c>
    </row>
    <row r="1946" spans="1:18" x14ac:dyDescent="0.3">
      <c r="A1946" s="15" t="str">
        <f t="shared" si="35"/>
        <v>790</v>
      </c>
      <c r="B1946" s="15">
        <v>1936</v>
      </c>
      <c r="C1946" s="42"/>
      <c r="F1946" s="22"/>
      <c r="G1946" s="22"/>
      <c r="J1946" s="24">
        <v>50000</v>
      </c>
      <c r="M1946" s="24">
        <v>50000</v>
      </c>
      <c r="O1946" s="48" t="s">
        <v>97</v>
      </c>
      <c r="P1946" s="48">
        <f>HEX2DEC(RIGHT(Table1323212714[[#This Row],[h1]],8))</f>
        <v>0</v>
      </c>
      <c r="Q1946" s="48" t="s">
        <v>97</v>
      </c>
      <c r="R1946" s="48">
        <f>HEX2DEC(RIGHT(Table1323212714[[#This Row],[h2]],8))</f>
        <v>0</v>
      </c>
    </row>
    <row r="1947" spans="1:18" x14ac:dyDescent="0.3">
      <c r="A1947" s="15" t="str">
        <f t="shared" si="35"/>
        <v>791</v>
      </c>
      <c r="B1947" s="15">
        <v>1937</v>
      </c>
      <c r="C1947" s="42"/>
      <c r="F1947" s="22"/>
      <c r="G1947" s="22"/>
      <c r="J1947" s="24">
        <v>50000</v>
      </c>
      <c r="M1947" s="24">
        <v>50000</v>
      </c>
      <c r="O1947" s="48" t="s">
        <v>97</v>
      </c>
      <c r="P1947" s="48">
        <f>HEX2DEC(RIGHT(Table1323212714[[#This Row],[h1]],8))</f>
        <v>0</v>
      </c>
      <c r="Q1947" s="48" t="s">
        <v>97</v>
      </c>
      <c r="R1947" s="48">
        <f>HEX2DEC(RIGHT(Table1323212714[[#This Row],[h2]],8))</f>
        <v>0</v>
      </c>
    </row>
    <row r="1948" spans="1:18" x14ac:dyDescent="0.3">
      <c r="A1948" s="15" t="str">
        <f t="shared" si="35"/>
        <v>792</v>
      </c>
      <c r="B1948" s="15">
        <v>1938</v>
      </c>
      <c r="C1948" s="42"/>
      <c r="F1948" s="22"/>
      <c r="G1948" s="22"/>
      <c r="J1948" s="24">
        <v>50000</v>
      </c>
      <c r="M1948" s="24">
        <v>50000</v>
      </c>
      <c r="O1948" s="48" t="s">
        <v>97</v>
      </c>
      <c r="P1948" s="48">
        <f>HEX2DEC(RIGHT(Table1323212714[[#This Row],[h1]],8))</f>
        <v>0</v>
      </c>
      <c r="Q1948" s="48" t="s">
        <v>97</v>
      </c>
      <c r="R1948" s="48">
        <f>HEX2DEC(RIGHT(Table1323212714[[#This Row],[h2]],8))</f>
        <v>0</v>
      </c>
    </row>
    <row r="1949" spans="1:18" x14ac:dyDescent="0.3">
      <c r="A1949" s="15" t="str">
        <f t="shared" si="35"/>
        <v>793</v>
      </c>
      <c r="B1949" s="15">
        <v>1939</v>
      </c>
      <c r="C1949" s="42"/>
      <c r="F1949" s="22"/>
      <c r="G1949" s="22"/>
      <c r="J1949" s="24">
        <v>50000</v>
      </c>
      <c r="M1949" s="24">
        <v>50000</v>
      </c>
      <c r="O1949" s="48" t="s">
        <v>97</v>
      </c>
      <c r="P1949" s="48">
        <f>HEX2DEC(RIGHT(Table1323212714[[#This Row],[h1]],8))</f>
        <v>0</v>
      </c>
      <c r="Q1949" s="48" t="s">
        <v>97</v>
      </c>
      <c r="R1949" s="48">
        <f>HEX2DEC(RIGHT(Table1323212714[[#This Row],[h2]],8))</f>
        <v>0</v>
      </c>
    </row>
    <row r="1950" spans="1:18" x14ac:dyDescent="0.3">
      <c r="A1950" s="15" t="str">
        <f t="shared" si="35"/>
        <v>794</v>
      </c>
      <c r="B1950" s="15">
        <v>1940</v>
      </c>
      <c r="C1950" s="42"/>
      <c r="F1950" s="22"/>
      <c r="G1950" s="22"/>
      <c r="J1950" s="24">
        <v>50000</v>
      </c>
      <c r="M1950" s="24">
        <v>50000</v>
      </c>
      <c r="O1950" s="48" t="s">
        <v>97</v>
      </c>
      <c r="P1950" s="48">
        <f>HEX2DEC(RIGHT(Table1323212714[[#This Row],[h1]],8))</f>
        <v>0</v>
      </c>
      <c r="Q1950" s="48" t="s">
        <v>97</v>
      </c>
      <c r="R1950" s="48">
        <f>HEX2DEC(RIGHT(Table1323212714[[#This Row],[h2]],8))</f>
        <v>0</v>
      </c>
    </row>
    <row r="1951" spans="1:18" x14ac:dyDescent="0.3">
      <c r="A1951" s="15" t="str">
        <f t="shared" si="35"/>
        <v>795</v>
      </c>
      <c r="B1951" s="15">
        <v>1941</v>
      </c>
      <c r="C1951" s="42"/>
      <c r="F1951" s="22"/>
      <c r="G1951" s="22"/>
      <c r="J1951" s="24">
        <v>50000</v>
      </c>
      <c r="M1951" s="24">
        <v>50000</v>
      </c>
      <c r="O1951" s="48" t="s">
        <v>97</v>
      </c>
      <c r="P1951" s="48">
        <f>HEX2DEC(RIGHT(Table1323212714[[#This Row],[h1]],8))</f>
        <v>0</v>
      </c>
      <c r="Q1951" s="48" t="s">
        <v>97</v>
      </c>
      <c r="R1951" s="48">
        <f>HEX2DEC(RIGHT(Table1323212714[[#This Row],[h2]],8))</f>
        <v>0</v>
      </c>
    </row>
    <row r="1952" spans="1:18" x14ac:dyDescent="0.3">
      <c r="A1952" s="15" t="str">
        <f t="shared" si="35"/>
        <v>796</v>
      </c>
      <c r="B1952" s="15">
        <v>1942</v>
      </c>
      <c r="C1952" s="42"/>
      <c r="F1952" s="22"/>
      <c r="G1952" s="22"/>
      <c r="J1952" s="24">
        <v>50000</v>
      </c>
      <c r="M1952" s="24">
        <v>50000</v>
      </c>
      <c r="O1952" s="48" t="s">
        <v>97</v>
      </c>
      <c r="P1952" s="48">
        <f>HEX2DEC(RIGHT(Table1323212714[[#This Row],[h1]],8))</f>
        <v>0</v>
      </c>
      <c r="Q1952" s="48" t="s">
        <v>97</v>
      </c>
      <c r="R1952" s="48">
        <f>HEX2DEC(RIGHT(Table1323212714[[#This Row],[h2]],8))</f>
        <v>0</v>
      </c>
    </row>
    <row r="1953" spans="1:18" x14ac:dyDescent="0.3">
      <c r="A1953" s="15" t="str">
        <f t="shared" si="35"/>
        <v>797</v>
      </c>
      <c r="B1953" s="15">
        <v>1943</v>
      </c>
      <c r="C1953" s="42"/>
      <c r="F1953" s="22"/>
      <c r="G1953" s="22"/>
      <c r="J1953" s="24">
        <v>50000</v>
      </c>
      <c r="M1953" s="24">
        <v>50000</v>
      </c>
      <c r="O1953" s="48" t="s">
        <v>97</v>
      </c>
      <c r="P1953" s="48">
        <f>HEX2DEC(RIGHT(Table1323212714[[#This Row],[h1]],8))</f>
        <v>0</v>
      </c>
      <c r="Q1953" s="48" t="s">
        <v>97</v>
      </c>
      <c r="R1953" s="48">
        <f>HEX2DEC(RIGHT(Table1323212714[[#This Row],[h2]],8))</f>
        <v>0</v>
      </c>
    </row>
    <row r="1954" spans="1:18" x14ac:dyDescent="0.3">
      <c r="A1954" s="15" t="str">
        <f t="shared" si="35"/>
        <v>798</v>
      </c>
      <c r="B1954" s="15">
        <v>1944</v>
      </c>
      <c r="C1954" s="42"/>
      <c r="F1954" s="22"/>
      <c r="G1954" s="22"/>
      <c r="J1954" s="24">
        <v>50000</v>
      </c>
      <c r="M1954" s="24">
        <v>50000</v>
      </c>
      <c r="O1954" s="48" t="s">
        <v>97</v>
      </c>
      <c r="P1954" s="48">
        <f>HEX2DEC(RIGHT(Table1323212714[[#This Row],[h1]],8))</f>
        <v>0</v>
      </c>
      <c r="Q1954" s="48" t="s">
        <v>97</v>
      </c>
      <c r="R1954" s="48">
        <f>HEX2DEC(RIGHT(Table1323212714[[#This Row],[h2]],8))</f>
        <v>0</v>
      </c>
    </row>
    <row r="1955" spans="1:18" x14ac:dyDescent="0.3">
      <c r="A1955" s="15" t="str">
        <f t="shared" si="35"/>
        <v>799</v>
      </c>
      <c r="B1955" s="15">
        <v>1945</v>
      </c>
      <c r="C1955" s="42"/>
      <c r="F1955" s="22"/>
      <c r="G1955" s="22"/>
      <c r="J1955" s="24">
        <v>50000</v>
      </c>
      <c r="M1955" s="24">
        <v>50000</v>
      </c>
      <c r="O1955" s="48" t="s">
        <v>97</v>
      </c>
      <c r="P1955" s="48">
        <f>HEX2DEC(RIGHT(Table1323212714[[#This Row],[h1]],8))</f>
        <v>0</v>
      </c>
      <c r="Q1955" s="48" t="s">
        <v>97</v>
      </c>
      <c r="R1955" s="48">
        <f>HEX2DEC(RIGHT(Table1323212714[[#This Row],[h2]],8))</f>
        <v>0</v>
      </c>
    </row>
    <row r="1956" spans="1:18" x14ac:dyDescent="0.3">
      <c r="A1956" s="15" t="str">
        <f t="shared" si="35"/>
        <v>79A</v>
      </c>
      <c r="B1956" s="15">
        <v>1946</v>
      </c>
      <c r="C1956" s="42"/>
      <c r="F1956" s="22"/>
      <c r="G1956" s="22"/>
      <c r="J1956" s="24">
        <v>50000</v>
      </c>
      <c r="M1956" s="24">
        <v>50000</v>
      </c>
      <c r="O1956" s="48" t="s">
        <v>97</v>
      </c>
      <c r="P1956" s="48">
        <f>HEX2DEC(RIGHT(Table1323212714[[#This Row],[h1]],8))</f>
        <v>0</v>
      </c>
      <c r="Q1956" s="48" t="s">
        <v>97</v>
      </c>
      <c r="R1956" s="48">
        <f>HEX2DEC(RIGHT(Table1323212714[[#This Row],[h2]],8))</f>
        <v>0</v>
      </c>
    </row>
    <row r="1957" spans="1:18" x14ac:dyDescent="0.3">
      <c r="A1957" s="15" t="str">
        <f t="shared" si="35"/>
        <v>79B</v>
      </c>
      <c r="B1957" s="15">
        <v>1947</v>
      </c>
      <c r="C1957" s="42"/>
      <c r="F1957" s="22"/>
      <c r="G1957" s="22"/>
      <c r="J1957" s="24">
        <v>50000</v>
      </c>
      <c r="M1957" s="24">
        <v>50000</v>
      </c>
      <c r="O1957" s="48" t="s">
        <v>97</v>
      </c>
      <c r="P1957" s="48">
        <f>HEX2DEC(RIGHT(Table1323212714[[#This Row],[h1]],8))</f>
        <v>0</v>
      </c>
      <c r="Q1957" s="48" t="s">
        <v>97</v>
      </c>
      <c r="R1957" s="48">
        <f>HEX2DEC(RIGHT(Table1323212714[[#This Row],[h2]],8))</f>
        <v>0</v>
      </c>
    </row>
    <row r="1958" spans="1:18" x14ac:dyDescent="0.3">
      <c r="A1958" s="15" t="str">
        <f t="shared" si="35"/>
        <v>79C</v>
      </c>
      <c r="B1958" s="15">
        <v>1948</v>
      </c>
      <c r="C1958" s="42"/>
      <c r="F1958" s="22"/>
      <c r="G1958" s="22"/>
      <c r="J1958" s="24">
        <v>50000</v>
      </c>
      <c r="M1958" s="24">
        <v>50000</v>
      </c>
      <c r="O1958" s="48" t="s">
        <v>97</v>
      </c>
      <c r="P1958" s="48">
        <f>HEX2DEC(RIGHT(Table1323212714[[#This Row],[h1]],8))</f>
        <v>0</v>
      </c>
      <c r="Q1958" s="48" t="s">
        <v>97</v>
      </c>
      <c r="R1958" s="48">
        <f>HEX2DEC(RIGHT(Table1323212714[[#This Row],[h2]],8))</f>
        <v>0</v>
      </c>
    </row>
    <row r="1959" spans="1:18" x14ac:dyDescent="0.3">
      <c r="A1959" s="15" t="str">
        <f t="shared" si="35"/>
        <v>79D</v>
      </c>
      <c r="B1959" s="15">
        <v>1949</v>
      </c>
      <c r="C1959" s="42"/>
      <c r="F1959" s="22"/>
      <c r="G1959" s="22"/>
      <c r="J1959" s="24">
        <v>50000</v>
      </c>
      <c r="M1959" s="24">
        <v>50000</v>
      </c>
      <c r="O1959" s="48" t="s">
        <v>97</v>
      </c>
      <c r="P1959" s="48">
        <f>HEX2DEC(RIGHT(Table1323212714[[#This Row],[h1]],8))</f>
        <v>0</v>
      </c>
      <c r="Q1959" s="48" t="s">
        <v>97</v>
      </c>
      <c r="R1959" s="48">
        <f>HEX2DEC(RIGHT(Table1323212714[[#This Row],[h2]],8))</f>
        <v>0</v>
      </c>
    </row>
    <row r="1960" spans="1:18" x14ac:dyDescent="0.3">
      <c r="A1960" s="15" t="str">
        <f t="shared" si="35"/>
        <v>79E</v>
      </c>
      <c r="B1960" s="15">
        <v>1950</v>
      </c>
      <c r="C1960" s="42"/>
      <c r="F1960" s="22"/>
      <c r="G1960" s="22"/>
      <c r="J1960" s="24">
        <v>50000</v>
      </c>
      <c r="M1960" s="24">
        <v>50000</v>
      </c>
      <c r="O1960" s="48" t="s">
        <v>97</v>
      </c>
      <c r="P1960" s="48">
        <f>HEX2DEC(RIGHT(Table1323212714[[#This Row],[h1]],8))</f>
        <v>0</v>
      </c>
      <c r="Q1960" s="48" t="s">
        <v>97</v>
      </c>
      <c r="R1960" s="48">
        <f>HEX2DEC(RIGHT(Table1323212714[[#This Row],[h2]],8))</f>
        <v>0</v>
      </c>
    </row>
    <row r="1961" spans="1:18" x14ac:dyDescent="0.3">
      <c r="A1961" s="15" t="str">
        <f t="shared" si="35"/>
        <v>79F</v>
      </c>
      <c r="B1961" s="15">
        <v>1951</v>
      </c>
      <c r="C1961" s="42"/>
      <c r="F1961" s="22"/>
      <c r="G1961" s="22"/>
      <c r="J1961" s="24">
        <v>50000</v>
      </c>
      <c r="M1961" s="24">
        <v>50000</v>
      </c>
      <c r="O1961" s="48" t="s">
        <v>97</v>
      </c>
      <c r="P1961" s="48">
        <f>HEX2DEC(RIGHT(Table1323212714[[#This Row],[h1]],8))</f>
        <v>0</v>
      </c>
      <c r="Q1961" s="48" t="s">
        <v>97</v>
      </c>
      <c r="R1961" s="48">
        <f>HEX2DEC(RIGHT(Table1323212714[[#This Row],[h2]],8))</f>
        <v>0</v>
      </c>
    </row>
    <row r="1962" spans="1:18" x14ac:dyDescent="0.3">
      <c r="A1962" s="15" t="str">
        <f t="shared" si="35"/>
        <v>7A0</v>
      </c>
      <c r="B1962" s="15">
        <v>1952</v>
      </c>
      <c r="C1962" s="42"/>
      <c r="F1962" s="22"/>
      <c r="G1962" s="22"/>
      <c r="J1962" s="24">
        <v>50000</v>
      </c>
      <c r="M1962" s="24">
        <v>50000</v>
      </c>
      <c r="O1962" s="48" t="s">
        <v>97</v>
      </c>
      <c r="P1962" s="48">
        <f>HEX2DEC(RIGHT(Table1323212714[[#This Row],[h1]],8))</f>
        <v>0</v>
      </c>
      <c r="Q1962" s="48" t="s">
        <v>97</v>
      </c>
      <c r="R1962" s="48">
        <f>HEX2DEC(RIGHT(Table1323212714[[#This Row],[h2]],8))</f>
        <v>0</v>
      </c>
    </row>
    <row r="1963" spans="1:18" x14ac:dyDescent="0.3">
      <c r="A1963" s="15" t="str">
        <f t="shared" si="35"/>
        <v>7A1</v>
      </c>
      <c r="B1963" s="15">
        <v>1953</v>
      </c>
      <c r="C1963" s="42"/>
      <c r="F1963" s="22"/>
      <c r="G1963" s="22"/>
      <c r="J1963" s="24">
        <v>50000</v>
      </c>
      <c r="M1963" s="24">
        <v>50000</v>
      </c>
      <c r="O1963" s="48" t="s">
        <v>97</v>
      </c>
      <c r="P1963" s="48">
        <f>HEX2DEC(RIGHT(Table1323212714[[#This Row],[h1]],8))</f>
        <v>0</v>
      </c>
      <c r="Q1963" s="48" t="s">
        <v>97</v>
      </c>
      <c r="R1963" s="48">
        <f>HEX2DEC(RIGHT(Table1323212714[[#This Row],[h2]],8))</f>
        <v>0</v>
      </c>
    </row>
    <row r="1964" spans="1:18" x14ac:dyDescent="0.3">
      <c r="A1964" s="15" t="str">
        <f t="shared" si="35"/>
        <v>7A2</v>
      </c>
      <c r="B1964" s="15">
        <v>1954</v>
      </c>
      <c r="C1964" s="42"/>
      <c r="F1964" s="22"/>
      <c r="G1964" s="22"/>
      <c r="J1964" s="24">
        <v>50000</v>
      </c>
      <c r="M1964" s="24">
        <v>50000</v>
      </c>
      <c r="O1964" s="48" t="s">
        <v>97</v>
      </c>
      <c r="P1964" s="48">
        <f>HEX2DEC(RIGHT(Table1323212714[[#This Row],[h1]],8))</f>
        <v>0</v>
      </c>
      <c r="Q1964" s="48" t="s">
        <v>97</v>
      </c>
      <c r="R1964" s="48">
        <f>HEX2DEC(RIGHT(Table1323212714[[#This Row],[h2]],8))</f>
        <v>0</v>
      </c>
    </row>
    <row r="1965" spans="1:18" x14ac:dyDescent="0.3">
      <c r="A1965" s="15" t="str">
        <f t="shared" si="35"/>
        <v>7A3</v>
      </c>
      <c r="B1965" s="15">
        <v>1955</v>
      </c>
      <c r="C1965" s="42"/>
      <c r="F1965" s="22"/>
      <c r="G1965" s="22"/>
      <c r="J1965" s="24">
        <v>50000</v>
      </c>
      <c r="M1965" s="24">
        <v>50000</v>
      </c>
      <c r="O1965" s="48" t="s">
        <v>97</v>
      </c>
      <c r="P1965" s="48">
        <f>HEX2DEC(RIGHT(Table1323212714[[#This Row],[h1]],8))</f>
        <v>0</v>
      </c>
      <c r="Q1965" s="48" t="s">
        <v>97</v>
      </c>
      <c r="R1965" s="48">
        <f>HEX2DEC(RIGHT(Table1323212714[[#This Row],[h2]],8))</f>
        <v>0</v>
      </c>
    </row>
    <row r="1966" spans="1:18" x14ac:dyDescent="0.3">
      <c r="A1966" s="15" t="str">
        <f t="shared" si="35"/>
        <v>7A4</v>
      </c>
      <c r="B1966" s="15">
        <v>1956</v>
      </c>
      <c r="C1966" s="42"/>
      <c r="F1966" s="22"/>
      <c r="G1966" s="22"/>
      <c r="J1966" s="24">
        <v>50000</v>
      </c>
      <c r="M1966" s="24">
        <v>50000</v>
      </c>
      <c r="O1966" s="48" t="s">
        <v>97</v>
      </c>
      <c r="P1966" s="48">
        <f>HEX2DEC(RIGHT(Table1323212714[[#This Row],[h1]],8))</f>
        <v>0</v>
      </c>
      <c r="Q1966" s="48" t="s">
        <v>97</v>
      </c>
      <c r="R1966" s="48">
        <f>HEX2DEC(RIGHT(Table1323212714[[#This Row],[h2]],8))</f>
        <v>0</v>
      </c>
    </row>
    <row r="1967" spans="1:18" x14ac:dyDescent="0.3">
      <c r="A1967" s="15" t="str">
        <f t="shared" si="35"/>
        <v>7A5</v>
      </c>
      <c r="B1967" s="15">
        <v>1957</v>
      </c>
      <c r="C1967" s="42"/>
      <c r="F1967" s="22"/>
      <c r="G1967" s="22"/>
      <c r="J1967" s="24">
        <v>50000</v>
      </c>
      <c r="M1967" s="24">
        <v>50000</v>
      </c>
      <c r="O1967" s="48" t="s">
        <v>97</v>
      </c>
      <c r="P1967" s="48">
        <f>HEX2DEC(RIGHT(Table1323212714[[#This Row],[h1]],8))</f>
        <v>0</v>
      </c>
      <c r="Q1967" s="48" t="s">
        <v>97</v>
      </c>
      <c r="R1967" s="48">
        <f>HEX2DEC(RIGHT(Table1323212714[[#This Row],[h2]],8))</f>
        <v>0</v>
      </c>
    </row>
    <row r="1968" spans="1:18" x14ac:dyDescent="0.3">
      <c r="A1968" s="15" t="str">
        <f t="shared" si="35"/>
        <v>7A6</v>
      </c>
      <c r="B1968" s="15">
        <v>1958</v>
      </c>
      <c r="C1968" s="42"/>
      <c r="F1968" s="22"/>
      <c r="G1968" s="22"/>
      <c r="J1968" s="24">
        <v>50000</v>
      </c>
      <c r="M1968" s="24">
        <v>50000</v>
      </c>
      <c r="O1968" s="48" t="s">
        <v>97</v>
      </c>
      <c r="P1968" s="48">
        <f>HEX2DEC(RIGHT(Table1323212714[[#This Row],[h1]],8))</f>
        <v>0</v>
      </c>
      <c r="Q1968" s="48" t="s">
        <v>97</v>
      </c>
      <c r="R1968" s="48">
        <f>HEX2DEC(RIGHT(Table1323212714[[#This Row],[h2]],8))</f>
        <v>0</v>
      </c>
    </row>
    <row r="1969" spans="1:18" x14ac:dyDescent="0.3">
      <c r="A1969" s="15" t="str">
        <f t="shared" si="35"/>
        <v>7A7</v>
      </c>
      <c r="B1969" s="15">
        <v>1959</v>
      </c>
      <c r="C1969" s="42"/>
      <c r="F1969" s="22"/>
      <c r="G1969" s="22"/>
      <c r="J1969" s="24">
        <v>50000</v>
      </c>
      <c r="M1969" s="24">
        <v>50000</v>
      </c>
      <c r="O1969" s="48" t="s">
        <v>97</v>
      </c>
      <c r="P1969" s="48">
        <f>HEX2DEC(RIGHT(Table1323212714[[#This Row],[h1]],8))</f>
        <v>0</v>
      </c>
      <c r="Q1969" s="48" t="s">
        <v>97</v>
      </c>
      <c r="R1969" s="48">
        <f>HEX2DEC(RIGHT(Table1323212714[[#This Row],[h2]],8))</f>
        <v>0</v>
      </c>
    </row>
    <row r="1970" spans="1:18" x14ac:dyDescent="0.3">
      <c r="A1970" s="15" t="str">
        <f t="shared" si="35"/>
        <v>7A8</v>
      </c>
      <c r="B1970" s="15">
        <v>1960</v>
      </c>
      <c r="C1970" s="42"/>
      <c r="F1970" s="22"/>
      <c r="G1970" s="22"/>
      <c r="J1970" s="24">
        <v>50000</v>
      </c>
      <c r="M1970" s="24">
        <v>50000</v>
      </c>
      <c r="O1970" s="48" t="s">
        <v>97</v>
      </c>
      <c r="P1970" s="48">
        <f>HEX2DEC(RIGHT(Table1323212714[[#This Row],[h1]],8))</f>
        <v>0</v>
      </c>
      <c r="Q1970" s="48" t="s">
        <v>97</v>
      </c>
      <c r="R1970" s="48">
        <f>HEX2DEC(RIGHT(Table1323212714[[#This Row],[h2]],8))</f>
        <v>0</v>
      </c>
    </row>
    <row r="1971" spans="1:18" x14ac:dyDescent="0.3">
      <c r="A1971" s="15" t="str">
        <f t="shared" si="35"/>
        <v>7A9</v>
      </c>
      <c r="B1971" s="15">
        <v>1961</v>
      </c>
      <c r="C1971" s="42"/>
      <c r="F1971" s="22"/>
      <c r="G1971" s="22"/>
      <c r="J1971" s="24">
        <v>50000</v>
      </c>
      <c r="M1971" s="24">
        <v>50000</v>
      </c>
      <c r="O1971" s="48" t="s">
        <v>97</v>
      </c>
      <c r="P1971" s="48">
        <f>HEX2DEC(RIGHT(Table1323212714[[#This Row],[h1]],8))</f>
        <v>0</v>
      </c>
      <c r="Q1971" s="48" t="s">
        <v>97</v>
      </c>
      <c r="R1971" s="48">
        <f>HEX2DEC(RIGHT(Table1323212714[[#This Row],[h2]],8))</f>
        <v>0</v>
      </c>
    </row>
    <row r="1972" spans="1:18" x14ac:dyDescent="0.3">
      <c r="A1972" s="15" t="str">
        <f t="shared" si="35"/>
        <v>7AA</v>
      </c>
      <c r="B1972" s="15">
        <v>1962</v>
      </c>
      <c r="C1972" s="42"/>
      <c r="F1972" s="22"/>
      <c r="G1972" s="22"/>
      <c r="J1972" s="24">
        <v>50000</v>
      </c>
      <c r="M1972" s="24">
        <v>50000</v>
      </c>
      <c r="O1972" s="48" t="s">
        <v>97</v>
      </c>
      <c r="P1972" s="48">
        <f>HEX2DEC(RIGHT(Table1323212714[[#This Row],[h1]],8))</f>
        <v>0</v>
      </c>
      <c r="Q1972" s="48" t="s">
        <v>97</v>
      </c>
      <c r="R1972" s="48">
        <f>HEX2DEC(RIGHT(Table1323212714[[#This Row],[h2]],8))</f>
        <v>0</v>
      </c>
    </row>
    <row r="1973" spans="1:18" x14ac:dyDescent="0.3">
      <c r="A1973" s="15" t="str">
        <f t="shared" si="35"/>
        <v>7AB</v>
      </c>
      <c r="B1973" s="15">
        <v>1963</v>
      </c>
      <c r="C1973" s="42"/>
      <c r="F1973" s="22"/>
      <c r="G1973" s="22"/>
      <c r="J1973" s="24">
        <v>50000</v>
      </c>
      <c r="M1973" s="24">
        <v>50000</v>
      </c>
      <c r="O1973" s="48" t="s">
        <v>97</v>
      </c>
      <c r="P1973" s="48">
        <f>HEX2DEC(RIGHT(Table1323212714[[#This Row],[h1]],8))</f>
        <v>0</v>
      </c>
      <c r="Q1973" s="48" t="s">
        <v>97</v>
      </c>
      <c r="R1973" s="48">
        <f>HEX2DEC(RIGHT(Table1323212714[[#This Row],[h2]],8))</f>
        <v>0</v>
      </c>
    </row>
    <row r="1974" spans="1:18" x14ac:dyDescent="0.3">
      <c r="A1974" s="15" t="str">
        <f t="shared" si="35"/>
        <v>7AC</v>
      </c>
      <c r="B1974" s="15">
        <v>1964</v>
      </c>
      <c r="C1974" s="42"/>
      <c r="F1974" s="22"/>
      <c r="G1974" s="22"/>
      <c r="J1974" s="24">
        <v>50000</v>
      </c>
      <c r="M1974" s="24">
        <v>50000</v>
      </c>
      <c r="O1974" s="48" t="s">
        <v>97</v>
      </c>
      <c r="P1974" s="48">
        <f>HEX2DEC(RIGHT(Table1323212714[[#This Row],[h1]],8))</f>
        <v>0</v>
      </c>
      <c r="Q1974" s="48" t="s">
        <v>97</v>
      </c>
      <c r="R1974" s="48">
        <f>HEX2DEC(RIGHT(Table1323212714[[#This Row],[h2]],8))</f>
        <v>0</v>
      </c>
    </row>
    <row r="1975" spans="1:18" x14ac:dyDescent="0.3">
      <c r="A1975" s="15" t="str">
        <f t="shared" si="35"/>
        <v>7AD</v>
      </c>
      <c r="B1975" s="15">
        <v>1965</v>
      </c>
      <c r="C1975" s="42"/>
      <c r="F1975" s="22"/>
      <c r="G1975" s="22"/>
      <c r="J1975" s="24">
        <v>50000</v>
      </c>
      <c r="M1975" s="24">
        <v>50000</v>
      </c>
      <c r="O1975" s="48" t="s">
        <v>97</v>
      </c>
      <c r="P1975" s="48">
        <f>HEX2DEC(RIGHT(Table1323212714[[#This Row],[h1]],8))</f>
        <v>0</v>
      </c>
      <c r="Q1975" s="48" t="s">
        <v>97</v>
      </c>
      <c r="R1975" s="48">
        <f>HEX2DEC(RIGHT(Table1323212714[[#This Row],[h2]],8))</f>
        <v>0</v>
      </c>
    </row>
    <row r="1976" spans="1:18" x14ac:dyDescent="0.3">
      <c r="A1976" s="15" t="str">
        <f t="shared" si="35"/>
        <v>7AE</v>
      </c>
      <c r="B1976" s="15">
        <v>1966</v>
      </c>
      <c r="C1976" s="42"/>
      <c r="F1976" s="22"/>
      <c r="G1976" s="22"/>
      <c r="J1976" s="24">
        <v>50000</v>
      </c>
      <c r="M1976" s="24">
        <v>50000</v>
      </c>
      <c r="O1976" s="48" t="s">
        <v>97</v>
      </c>
      <c r="P1976" s="48">
        <f>HEX2DEC(RIGHT(Table1323212714[[#This Row],[h1]],8))</f>
        <v>0</v>
      </c>
      <c r="Q1976" s="48" t="s">
        <v>97</v>
      </c>
      <c r="R1976" s="48">
        <f>HEX2DEC(RIGHT(Table1323212714[[#This Row],[h2]],8))</f>
        <v>0</v>
      </c>
    </row>
    <row r="1977" spans="1:18" x14ac:dyDescent="0.3">
      <c r="A1977" s="15" t="str">
        <f t="shared" si="35"/>
        <v>7AF</v>
      </c>
      <c r="B1977" s="15">
        <v>1967</v>
      </c>
      <c r="C1977" s="42"/>
      <c r="F1977" s="22"/>
      <c r="G1977" s="22"/>
      <c r="J1977" s="24">
        <v>50000</v>
      </c>
      <c r="M1977" s="24">
        <v>50000</v>
      </c>
      <c r="O1977" s="48" t="s">
        <v>97</v>
      </c>
      <c r="P1977" s="48">
        <f>HEX2DEC(RIGHT(Table1323212714[[#This Row],[h1]],8))</f>
        <v>0</v>
      </c>
      <c r="Q1977" s="48" t="s">
        <v>97</v>
      </c>
      <c r="R1977" s="48">
        <f>HEX2DEC(RIGHT(Table1323212714[[#This Row],[h2]],8))</f>
        <v>0</v>
      </c>
    </row>
    <row r="1978" spans="1:18" x14ac:dyDescent="0.3">
      <c r="A1978" s="15" t="str">
        <f t="shared" si="35"/>
        <v>7B0</v>
      </c>
      <c r="B1978" s="15">
        <v>1968</v>
      </c>
      <c r="C1978" s="42"/>
      <c r="F1978" s="22"/>
      <c r="G1978" s="22"/>
      <c r="J1978" s="24">
        <v>50000</v>
      </c>
      <c r="M1978" s="24">
        <v>50000</v>
      </c>
      <c r="O1978" s="48" t="s">
        <v>97</v>
      </c>
      <c r="P1978" s="48">
        <f>HEX2DEC(RIGHT(Table1323212714[[#This Row],[h1]],8))</f>
        <v>0</v>
      </c>
      <c r="Q1978" s="48" t="s">
        <v>97</v>
      </c>
      <c r="R1978" s="48">
        <f>HEX2DEC(RIGHT(Table1323212714[[#This Row],[h2]],8))</f>
        <v>0</v>
      </c>
    </row>
    <row r="1979" spans="1:18" x14ac:dyDescent="0.3">
      <c r="A1979" s="15" t="str">
        <f t="shared" si="35"/>
        <v>7B1</v>
      </c>
      <c r="B1979" s="15">
        <v>1969</v>
      </c>
      <c r="C1979" s="42"/>
      <c r="F1979" s="22"/>
      <c r="G1979" s="22"/>
      <c r="J1979" s="24">
        <v>50000</v>
      </c>
      <c r="M1979" s="24">
        <v>50000</v>
      </c>
      <c r="O1979" s="48" t="s">
        <v>97</v>
      </c>
      <c r="P1979" s="48">
        <f>HEX2DEC(RIGHT(Table1323212714[[#This Row],[h1]],8))</f>
        <v>0</v>
      </c>
      <c r="Q1979" s="48" t="s">
        <v>97</v>
      </c>
      <c r="R1979" s="48">
        <f>HEX2DEC(RIGHT(Table1323212714[[#This Row],[h2]],8))</f>
        <v>0</v>
      </c>
    </row>
    <row r="1980" spans="1:18" x14ac:dyDescent="0.3">
      <c r="A1980" s="15" t="str">
        <f t="shared" si="35"/>
        <v>7B2</v>
      </c>
      <c r="B1980" s="15">
        <v>1970</v>
      </c>
      <c r="C1980" s="42"/>
      <c r="F1980" s="22"/>
      <c r="G1980" s="22"/>
      <c r="J1980" s="24">
        <v>50000</v>
      </c>
      <c r="M1980" s="24">
        <v>50000</v>
      </c>
      <c r="O1980" s="48" t="s">
        <v>97</v>
      </c>
      <c r="P1980" s="48">
        <f>HEX2DEC(RIGHT(Table1323212714[[#This Row],[h1]],8))</f>
        <v>0</v>
      </c>
      <c r="Q1980" s="48" t="s">
        <v>97</v>
      </c>
      <c r="R1980" s="48">
        <f>HEX2DEC(RIGHT(Table1323212714[[#This Row],[h2]],8))</f>
        <v>0</v>
      </c>
    </row>
    <row r="1981" spans="1:18" x14ac:dyDescent="0.3">
      <c r="A1981" s="15" t="str">
        <f t="shared" si="35"/>
        <v>7B3</v>
      </c>
      <c r="B1981" s="15">
        <v>1971</v>
      </c>
      <c r="C1981" s="42"/>
      <c r="F1981" s="22"/>
      <c r="G1981" s="22"/>
      <c r="J1981" s="24">
        <v>50000</v>
      </c>
      <c r="M1981" s="24">
        <v>50000</v>
      </c>
      <c r="O1981" s="48" t="s">
        <v>97</v>
      </c>
      <c r="P1981" s="48">
        <f>HEX2DEC(RIGHT(Table1323212714[[#This Row],[h1]],8))</f>
        <v>0</v>
      </c>
      <c r="Q1981" s="48" t="s">
        <v>97</v>
      </c>
      <c r="R1981" s="48">
        <f>HEX2DEC(RIGHT(Table1323212714[[#This Row],[h2]],8))</f>
        <v>0</v>
      </c>
    </row>
    <row r="1982" spans="1:18" x14ac:dyDescent="0.3">
      <c r="A1982" s="15" t="str">
        <f t="shared" si="35"/>
        <v>7B4</v>
      </c>
      <c r="B1982" s="15">
        <v>1972</v>
      </c>
      <c r="C1982" s="42"/>
      <c r="F1982" s="22"/>
      <c r="G1982" s="22"/>
      <c r="J1982" s="24">
        <v>50000</v>
      </c>
      <c r="M1982" s="24">
        <v>50000</v>
      </c>
      <c r="O1982" s="48" t="s">
        <v>97</v>
      </c>
      <c r="P1982" s="48">
        <f>HEX2DEC(RIGHT(Table1323212714[[#This Row],[h1]],8))</f>
        <v>0</v>
      </c>
      <c r="Q1982" s="48" t="s">
        <v>97</v>
      </c>
      <c r="R1982" s="48">
        <f>HEX2DEC(RIGHT(Table1323212714[[#This Row],[h2]],8))</f>
        <v>0</v>
      </c>
    </row>
    <row r="1983" spans="1:18" x14ac:dyDescent="0.3">
      <c r="A1983" s="15" t="str">
        <f t="shared" si="35"/>
        <v>7B5</v>
      </c>
      <c r="B1983" s="15">
        <v>1973</v>
      </c>
      <c r="C1983" s="42"/>
      <c r="F1983" s="22"/>
      <c r="G1983" s="22"/>
      <c r="J1983" s="24">
        <v>50000</v>
      </c>
      <c r="M1983" s="24">
        <v>50000</v>
      </c>
      <c r="O1983" s="48" t="s">
        <v>97</v>
      </c>
      <c r="P1983" s="48">
        <f>HEX2DEC(RIGHT(Table1323212714[[#This Row],[h1]],8))</f>
        <v>0</v>
      </c>
      <c r="Q1983" s="48" t="s">
        <v>97</v>
      </c>
      <c r="R1983" s="48">
        <f>HEX2DEC(RIGHT(Table1323212714[[#This Row],[h2]],8))</f>
        <v>0</v>
      </c>
    </row>
    <row r="1984" spans="1:18" x14ac:dyDescent="0.3">
      <c r="A1984" s="15" t="str">
        <f t="shared" si="35"/>
        <v>7B6</v>
      </c>
      <c r="B1984" s="15">
        <v>1974</v>
      </c>
      <c r="C1984" s="42"/>
      <c r="F1984" s="22"/>
      <c r="G1984" s="22"/>
      <c r="J1984" s="24">
        <v>50000</v>
      </c>
      <c r="M1984" s="24">
        <v>50000</v>
      </c>
      <c r="O1984" s="48" t="s">
        <v>97</v>
      </c>
      <c r="P1984" s="48">
        <f>HEX2DEC(RIGHT(Table1323212714[[#This Row],[h1]],8))</f>
        <v>0</v>
      </c>
      <c r="Q1984" s="48" t="s">
        <v>97</v>
      </c>
      <c r="R1984" s="48">
        <f>HEX2DEC(RIGHT(Table1323212714[[#This Row],[h2]],8))</f>
        <v>0</v>
      </c>
    </row>
    <row r="1985" spans="1:18" x14ac:dyDescent="0.3">
      <c r="A1985" s="15" t="str">
        <f t="shared" si="35"/>
        <v>7B7</v>
      </c>
      <c r="B1985" s="15">
        <v>1975</v>
      </c>
      <c r="C1985" s="42"/>
      <c r="F1985" s="22"/>
      <c r="G1985" s="22"/>
      <c r="J1985" s="24">
        <v>50000</v>
      </c>
      <c r="M1985" s="24">
        <v>50000</v>
      </c>
      <c r="O1985" s="48" t="s">
        <v>97</v>
      </c>
      <c r="P1985" s="48">
        <f>HEX2DEC(RIGHT(Table1323212714[[#This Row],[h1]],8))</f>
        <v>0</v>
      </c>
      <c r="Q1985" s="48" t="s">
        <v>97</v>
      </c>
      <c r="R1985" s="48">
        <f>HEX2DEC(RIGHT(Table1323212714[[#This Row],[h2]],8))</f>
        <v>0</v>
      </c>
    </row>
    <row r="1986" spans="1:18" x14ac:dyDescent="0.3">
      <c r="A1986" s="15" t="str">
        <f t="shared" si="35"/>
        <v>7B8</v>
      </c>
      <c r="B1986" s="15">
        <v>1976</v>
      </c>
      <c r="C1986" s="42"/>
      <c r="F1986" s="22"/>
      <c r="G1986" s="22"/>
      <c r="J1986" s="24">
        <v>50000</v>
      </c>
      <c r="M1986" s="24">
        <v>50000</v>
      </c>
      <c r="O1986" s="48" t="s">
        <v>97</v>
      </c>
      <c r="P1986" s="48">
        <f>HEX2DEC(RIGHT(Table1323212714[[#This Row],[h1]],8))</f>
        <v>0</v>
      </c>
      <c r="Q1986" s="48" t="s">
        <v>97</v>
      </c>
      <c r="R1986" s="48">
        <f>HEX2DEC(RIGHT(Table1323212714[[#This Row],[h2]],8))</f>
        <v>0</v>
      </c>
    </row>
    <row r="1987" spans="1:18" x14ac:dyDescent="0.3">
      <c r="A1987" s="15" t="str">
        <f t="shared" si="35"/>
        <v>7B9</v>
      </c>
      <c r="B1987" s="15">
        <v>1977</v>
      </c>
      <c r="C1987" s="42"/>
      <c r="F1987" s="22"/>
      <c r="G1987" s="22"/>
      <c r="J1987" s="24">
        <v>50000</v>
      </c>
      <c r="M1987" s="24">
        <v>50000</v>
      </c>
      <c r="O1987" s="48" t="s">
        <v>97</v>
      </c>
      <c r="P1987" s="48">
        <f>HEX2DEC(RIGHT(Table1323212714[[#This Row],[h1]],8))</f>
        <v>0</v>
      </c>
      <c r="Q1987" s="48" t="s">
        <v>97</v>
      </c>
      <c r="R1987" s="48">
        <f>HEX2DEC(RIGHT(Table1323212714[[#This Row],[h2]],8))</f>
        <v>0</v>
      </c>
    </row>
    <row r="1988" spans="1:18" x14ac:dyDescent="0.3">
      <c r="A1988" s="15" t="str">
        <f t="shared" si="35"/>
        <v>7BA</v>
      </c>
      <c r="B1988" s="15">
        <v>1978</v>
      </c>
      <c r="C1988" s="42"/>
      <c r="F1988" s="22"/>
      <c r="G1988" s="22"/>
      <c r="J1988" s="24">
        <v>50000</v>
      </c>
      <c r="M1988" s="24">
        <v>50000</v>
      </c>
      <c r="O1988" s="48" t="s">
        <v>97</v>
      </c>
      <c r="P1988" s="48">
        <f>HEX2DEC(RIGHT(Table1323212714[[#This Row],[h1]],8))</f>
        <v>0</v>
      </c>
      <c r="Q1988" s="48" t="s">
        <v>97</v>
      </c>
      <c r="R1988" s="48">
        <f>HEX2DEC(RIGHT(Table1323212714[[#This Row],[h2]],8))</f>
        <v>0</v>
      </c>
    </row>
    <row r="1989" spans="1:18" x14ac:dyDescent="0.3">
      <c r="A1989" s="15" t="str">
        <f t="shared" si="35"/>
        <v>7BB</v>
      </c>
      <c r="B1989" s="15">
        <v>1979</v>
      </c>
      <c r="C1989" s="42"/>
      <c r="F1989" s="22"/>
      <c r="G1989" s="22"/>
      <c r="J1989" s="24">
        <v>50000</v>
      </c>
      <c r="M1989" s="24">
        <v>50000</v>
      </c>
      <c r="O1989" s="48" t="s">
        <v>97</v>
      </c>
      <c r="P1989" s="48">
        <f>HEX2DEC(RIGHT(Table1323212714[[#This Row],[h1]],8))</f>
        <v>0</v>
      </c>
      <c r="Q1989" s="48" t="s">
        <v>97</v>
      </c>
      <c r="R1989" s="48">
        <f>HEX2DEC(RIGHT(Table1323212714[[#This Row],[h2]],8))</f>
        <v>0</v>
      </c>
    </row>
    <row r="1990" spans="1:18" x14ac:dyDescent="0.3">
      <c r="A1990" s="15" t="str">
        <f t="shared" si="35"/>
        <v>7BC</v>
      </c>
      <c r="B1990" s="15">
        <v>1980</v>
      </c>
      <c r="C1990" s="42"/>
      <c r="F1990" s="22"/>
      <c r="G1990" s="22"/>
      <c r="J1990" s="24">
        <v>50000</v>
      </c>
      <c r="M1990" s="24">
        <v>50000</v>
      </c>
      <c r="O1990" s="48" t="s">
        <v>97</v>
      </c>
      <c r="P1990" s="48">
        <f>HEX2DEC(RIGHT(Table1323212714[[#This Row],[h1]],8))</f>
        <v>0</v>
      </c>
      <c r="Q1990" s="48" t="s">
        <v>97</v>
      </c>
      <c r="R1990" s="48">
        <f>HEX2DEC(RIGHT(Table1323212714[[#This Row],[h2]],8))</f>
        <v>0</v>
      </c>
    </row>
    <row r="1991" spans="1:18" x14ac:dyDescent="0.3">
      <c r="A1991" s="15" t="str">
        <f t="shared" si="35"/>
        <v>7BD</v>
      </c>
      <c r="B1991" s="15">
        <v>1981</v>
      </c>
      <c r="C1991" s="42"/>
      <c r="F1991" s="22"/>
      <c r="G1991" s="22"/>
      <c r="J1991" s="24">
        <v>50000</v>
      </c>
      <c r="M1991" s="24">
        <v>50000</v>
      </c>
      <c r="O1991" s="48" t="s">
        <v>97</v>
      </c>
      <c r="P1991" s="48">
        <f>HEX2DEC(RIGHT(Table1323212714[[#This Row],[h1]],8))</f>
        <v>0</v>
      </c>
      <c r="Q1991" s="48" t="s">
        <v>97</v>
      </c>
      <c r="R1991" s="48">
        <f>HEX2DEC(RIGHT(Table1323212714[[#This Row],[h2]],8))</f>
        <v>0</v>
      </c>
    </row>
    <row r="1992" spans="1:18" x14ac:dyDescent="0.3">
      <c r="A1992" s="15" t="str">
        <f t="shared" si="35"/>
        <v>7BE</v>
      </c>
      <c r="B1992" s="15">
        <v>1982</v>
      </c>
      <c r="C1992" s="42"/>
      <c r="F1992" s="22"/>
      <c r="G1992" s="22"/>
      <c r="J1992" s="24">
        <v>50000</v>
      </c>
      <c r="M1992" s="24">
        <v>50000</v>
      </c>
      <c r="O1992" s="48" t="s">
        <v>97</v>
      </c>
      <c r="P1992" s="48">
        <f>HEX2DEC(RIGHT(Table1323212714[[#This Row],[h1]],8))</f>
        <v>0</v>
      </c>
      <c r="Q1992" s="48" t="s">
        <v>97</v>
      </c>
      <c r="R1992" s="48">
        <f>HEX2DEC(RIGHT(Table1323212714[[#This Row],[h2]],8))</f>
        <v>0</v>
      </c>
    </row>
    <row r="1993" spans="1:18" x14ac:dyDescent="0.3">
      <c r="A1993" s="15" t="str">
        <f t="shared" si="35"/>
        <v>7BF</v>
      </c>
      <c r="B1993" s="15">
        <v>1983</v>
      </c>
      <c r="C1993" s="42"/>
      <c r="F1993" s="22"/>
      <c r="G1993" s="22"/>
      <c r="J1993" s="24">
        <v>50000</v>
      </c>
      <c r="M1993" s="24">
        <v>50000</v>
      </c>
      <c r="O1993" s="48" t="s">
        <v>97</v>
      </c>
      <c r="P1993" s="48">
        <f>HEX2DEC(RIGHT(Table1323212714[[#This Row],[h1]],8))</f>
        <v>0</v>
      </c>
      <c r="Q1993" s="48" t="s">
        <v>97</v>
      </c>
      <c r="R1993" s="48">
        <f>HEX2DEC(RIGHT(Table1323212714[[#This Row],[h2]],8))</f>
        <v>0</v>
      </c>
    </row>
    <row r="1994" spans="1:18" x14ac:dyDescent="0.3">
      <c r="A1994" s="15" t="str">
        <f t="shared" si="35"/>
        <v>7C0</v>
      </c>
      <c r="B1994" s="15">
        <v>1984</v>
      </c>
      <c r="C1994" s="42"/>
      <c r="F1994" s="22"/>
      <c r="G1994" s="22"/>
      <c r="J1994" s="24">
        <v>50000</v>
      </c>
      <c r="M1994" s="24">
        <v>50000</v>
      </c>
      <c r="O1994" s="48" t="s">
        <v>97</v>
      </c>
      <c r="P1994" s="48">
        <f>HEX2DEC(RIGHT(Table1323212714[[#This Row],[h1]],8))</f>
        <v>0</v>
      </c>
      <c r="Q1994" s="48" t="s">
        <v>97</v>
      </c>
      <c r="R1994" s="48">
        <f>HEX2DEC(RIGHT(Table1323212714[[#This Row],[h2]],8))</f>
        <v>0</v>
      </c>
    </row>
    <row r="1995" spans="1:18" x14ac:dyDescent="0.3">
      <c r="A1995" s="15" t="str">
        <f t="shared" ref="A1995:A2057" si="36">DEC2HEX(B1995,3)</f>
        <v>7C1</v>
      </c>
      <c r="B1995" s="15">
        <v>1985</v>
      </c>
      <c r="C1995" s="42"/>
      <c r="F1995" s="22"/>
      <c r="G1995" s="22"/>
      <c r="J1995" s="24">
        <v>50000</v>
      </c>
      <c r="M1995" s="24">
        <v>50000</v>
      </c>
      <c r="O1995" s="48" t="s">
        <v>97</v>
      </c>
      <c r="P1995" s="48">
        <f>HEX2DEC(RIGHT(Table1323212714[[#This Row],[h1]],8))</f>
        <v>0</v>
      </c>
      <c r="Q1995" s="48" t="s">
        <v>97</v>
      </c>
      <c r="R1995" s="48">
        <f>HEX2DEC(RIGHT(Table1323212714[[#This Row],[h2]],8))</f>
        <v>0</v>
      </c>
    </row>
    <row r="1996" spans="1:18" x14ac:dyDescent="0.3">
      <c r="A1996" s="15" t="str">
        <f t="shared" si="36"/>
        <v>7C2</v>
      </c>
      <c r="B1996" s="15">
        <v>1986</v>
      </c>
      <c r="C1996" s="42"/>
      <c r="F1996" s="22"/>
      <c r="G1996" s="22"/>
      <c r="J1996" s="24">
        <v>50000</v>
      </c>
      <c r="M1996" s="24">
        <v>50000</v>
      </c>
      <c r="O1996" s="48" t="s">
        <v>97</v>
      </c>
      <c r="P1996" s="48">
        <f>HEX2DEC(RIGHT(Table1323212714[[#This Row],[h1]],8))</f>
        <v>0</v>
      </c>
      <c r="Q1996" s="48" t="s">
        <v>97</v>
      </c>
      <c r="R1996" s="48">
        <f>HEX2DEC(RIGHT(Table1323212714[[#This Row],[h2]],8))</f>
        <v>0</v>
      </c>
    </row>
    <row r="1997" spans="1:18" x14ac:dyDescent="0.3">
      <c r="A1997" s="15" t="str">
        <f t="shared" si="36"/>
        <v>7C3</v>
      </c>
      <c r="B1997" s="15">
        <v>1987</v>
      </c>
      <c r="C1997" s="42"/>
      <c r="F1997" s="22"/>
      <c r="G1997" s="22"/>
      <c r="J1997" s="24">
        <v>50000</v>
      </c>
      <c r="M1997" s="24">
        <v>50000</v>
      </c>
      <c r="O1997" s="48" t="s">
        <v>97</v>
      </c>
      <c r="P1997" s="48">
        <f>HEX2DEC(RIGHT(Table1323212714[[#This Row],[h1]],8))</f>
        <v>0</v>
      </c>
      <c r="Q1997" s="48" t="s">
        <v>97</v>
      </c>
      <c r="R1997" s="48">
        <f>HEX2DEC(RIGHT(Table1323212714[[#This Row],[h2]],8))</f>
        <v>0</v>
      </c>
    </row>
    <row r="1998" spans="1:18" x14ac:dyDescent="0.3">
      <c r="A1998" s="15" t="str">
        <f t="shared" si="36"/>
        <v>7C4</v>
      </c>
      <c r="B1998" s="15">
        <v>1988</v>
      </c>
      <c r="C1998" s="42"/>
      <c r="F1998" s="22"/>
      <c r="G1998" s="22"/>
      <c r="J1998" s="24">
        <v>50000</v>
      </c>
      <c r="M1998" s="24">
        <v>50000</v>
      </c>
      <c r="O1998" s="48" t="s">
        <v>97</v>
      </c>
      <c r="P1998" s="48">
        <f>HEX2DEC(RIGHT(Table1323212714[[#This Row],[h1]],8))</f>
        <v>0</v>
      </c>
      <c r="Q1998" s="48" t="s">
        <v>97</v>
      </c>
      <c r="R1998" s="48">
        <f>HEX2DEC(RIGHT(Table1323212714[[#This Row],[h2]],8))</f>
        <v>0</v>
      </c>
    </row>
    <row r="1999" spans="1:18" x14ac:dyDescent="0.3">
      <c r="A1999" s="15" t="str">
        <f t="shared" si="36"/>
        <v>7C5</v>
      </c>
      <c r="B1999" s="15">
        <v>1989</v>
      </c>
      <c r="C1999" s="42"/>
      <c r="F1999" s="22"/>
      <c r="G1999" s="22"/>
      <c r="J1999" s="24">
        <v>50000</v>
      </c>
      <c r="M1999" s="24">
        <v>50000</v>
      </c>
      <c r="O1999" s="48" t="s">
        <v>97</v>
      </c>
      <c r="P1999" s="48">
        <f>HEX2DEC(RIGHT(Table1323212714[[#This Row],[h1]],8))</f>
        <v>0</v>
      </c>
      <c r="Q1999" s="48" t="s">
        <v>97</v>
      </c>
      <c r="R1999" s="48">
        <f>HEX2DEC(RIGHT(Table1323212714[[#This Row],[h2]],8))</f>
        <v>0</v>
      </c>
    </row>
    <row r="2000" spans="1:18" x14ac:dyDescent="0.3">
      <c r="A2000" s="15" t="str">
        <f t="shared" si="36"/>
        <v>7C6</v>
      </c>
      <c r="B2000" s="15">
        <v>1990</v>
      </c>
      <c r="C2000" s="42"/>
      <c r="F2000" s="22"/>
      <c r="G2000" s="22"/>
      <c r="J2000" s="24">
        <v>50000</v>
      </c>
      <c r="M2000" s="24">
        <v>50000</v>
      </c>
      <c r="O2000" s="48" t="s">
        <v>97</v>
      </c>
      <c r="P2000" s="48">
        <f>HEX2DEC(RIGHT(Table1323212714[[#This Row],[h1]],8))</f>
        <v>0</v>
      </c>
      <c r="Q2000" s="48" t="s">
        <v>97</v>
      </c>
      <c r="R2000" s="48">
        <f>HEX2DEC(RIGHT(Table1323212714[[#This Row],[h2]],8))</f>
        <v>0</v>
      </c>
    </row>
    <row r="2001" spans="1:18" x14ac:dyDescent="0.3">
      <c r="A2001" s="15" t="str">
        <f t="shared" si="36"/>
        <v>7C7</v>
      </c>
      <c r="B2001" s="15">
        <v>1991</v>
      </c>
      <c r="C2001" s="42"/>
      <c r="F2001" s="22"/>
      <c r="G2001" s="22"/>
      <c r="J2001" s="24">
        <v>50000</v>
      </c>
      <c r="M2001" s="24">
        <v>50000</v>
      </c>
      <c r="O2001" s="48" t="s">
        <v>97</v>
      </c>
      <c r="P2001" s="48">
        <f>HEX2DEC(RIGHT(Table1323212714[[#This Row],[h1]],8))</f>
        <v>0</v>
      </c>
      <c r="Q2001" s="48" t="s">
        <v>97</v>
      </c>
      <c r="R2001" s="48">
        <f>HEX2DEC(RIGHT(Table1323212714[[#This Row],[h2]],8))</f>
        <v>0</v>
      </c>
    </row>
    <row r="2002" spans="1:18" x14ac:dyDescent="0.3">
      <c r="A2002" s="15" t="str">
        <f t="shared" si="36"/>
        <v>7C8</v>
      </c>
      <c r="B2002" s="15">
        <v>1992</v>
      </c>
      <c r="C2002" s="42"/>
      <c r="F2002" s="22"/>
      <c r="G2002" s="22"/>
      <c r="J2002" s="24">
        <v>50000</v>
      </c>
      <c r="M2002" s="24">
        <v>50000</v>
      </c>
      <c r="O2002" s="48" t="s">
        <v>97</v>
      </c>
      <c r="P2002" s="48">
        <f>HEX2DEC(RIGHT(Table1323212714[[#This Row],[h1]],8))</f>
        <v>0</v>
      </c>
      <c r="Q2002" s="48" t="s">
        <v>97</v>
      </c>
      <c r="R2002" s="48">
        <f>HEX2DEC(RIGHT(Table1323212714[[#This Row],[h2]],8))</f>
        <v>0</v>
      </c>
    </row>
    <row r="2003" spans="1:18" x14ac:dyDescent="0.3">
      <c r="A2003" s="15" t="str">
        <f t="shared" si="36"/>
        <v>7C9</v>
      </c>
      <c r="B2003" s="15">
        <v>1993</v>
      </c>
      <c r="C2003" s="42"/>
      <c r="F2003" s="22"/>
      <c r="G2003" s="22"/>
      <c r="J2003" s="24">
        <v>50000</v>
      </c>
      <c r="M2003" s="24">
        <v>50000</v>
      </c>
      <c r="O2003" s="48" t="s">
        <v>97</v>
      </c>
      <c r="P2003" s="48">
        <f>HEX2DEC(RIGHT(Table1323212714[[#This Row],[h1]],8))</f>
        <v>0</v>
      </c>
      <c r="Q2003" s="48" t="s">
        <v>97</v>
      </c>
      <c r="R2003" s="48">
        <f>HEX2DEC(RIGHT(Table1323212714[[#This Row],[h2]],8))</f>
        <v>0</v>
      </c>
    </row>
    <row r="2004" spans="1:18" x14ac:dyDescent="0.3">
      <c r="A2004" s="15" t="str">
        <f t="shared" si="36"/>
        <v>7CA</v>
      </c>
      <c r="B2004" s="15">
        <v>1994</v>
      </c>
      <c r="C2004" s="42"/>
      <c r="F2004" s="22"/>
      <c r="G2004" s="22"/>
      <c r="J2004" s="24">
        <v>50000</v>
      </c>
      <c r="M2004" s="24">
        <v>50000</v>
      </c>
      <c r="O2004" s="48" t="s">
        <v>97</v>
      </c>
      <c r="P2004" s="48">
        <f>HEX2DEC(RIGHT(Table1323212714[[#This Row],[h1]],8))</f>
        <v>0</v>
      </c>
      <c r="Q2004" s="48" t="s">
        <v>97</v>
      </c>
      <c r="R2004" s="48">
        <f>HEX2DEC(RIGHT(Table1323212714[[#This Row],[h2]],8))</f>
        <v>0</v>
      </c>
    </row>
    <row r="2005" spans="1:18" x14ac:dyDescent="0.3">
      <c r="A2005" s="15" t="str">
        <f t="shared" si="36"/>
        <v>7CB</v>
      </c>
      <c r="B2005" s="15">
        <v>1995</v>
      </c>
      <c r="C2005" s="42"/>
      <c r="F2005" s="22"/>
      <c r="G2005" s="22"/>
      <c r="J2005" s="24">
        <v>50000</v>
      </c>
      <c r="M2005" s="24">
        <v>50000</v>
      </c>
      <c r="O2005" s="48" t="s">
        <v>97</v>
      </c>
      <c r="P2005" s="48">
        <f>HEX2DEC(RIGHT(Table1323212714[[#This Row],[h1]],8))</f>
        <v>0</v>
      </c>
      <c r="Q2005" s="48" t="s">
        <v>97</v>
      </c>
      <c r="R2005" s="48">
        <f>HEX2DEC(RIGHT(Table1323212714[[#This Row],[h2]],8))</f>
        <v>0</v>
      </c>
    </row>
    <row r="2006" spans="1:18" x14ac:dyDescent="0.3">
      <c r="A2006" s="15" t="str">
        <f t="shared" si="36"/>
        <v>7CC</v>
      </c>
      <c r="B2006" s="15">
        <v>1996</v>
      </c>
      <c r="C2006" s="42"/>
      <c r="F2006" s="22"/>
      <c r="G2006" s="22"/>
      <c r="J2006" s="24">
        <v>50000</v>
      </c>
      <c r="M2006" s="24">
        <v>50000</v>
      </c>
      <c r="O2006" s="48" t="s">
        <v>97</v>
      </c>
      <c r="P2006" s="48">
        <f>HEX2DEC(RIGHT(Table1323212714[[#This Row],[h1]],8))</f>
        <v>0</v>
      </c>
      <c r="Q2006" s="48" t="s">
        <v>97</v>
      </c>
      <c r="R2006" s="48">
        <f>HEX2DEC(RIGHT(Table1323212714[[#This Row],[h2]],8))</f>
        <v>0</v>
      </c>
    </row>
    <row r="2007" spans="1:18" x14ac:dyDescent="0.3">
      <c r="A2007" s="15" t="str">
        <f t="shared" si="36"/>
        <v>7CD</v>
      </c>
      <c r="B2007" s="15">
        <v>1997</v>
      </c>
      <c r="C2007" s="42"/>
      <c r="F2007" s="22"/>
      <c r="G2007" s="22"/>
      <c r="J2007" s="24">
        <v>50000</v>
      </c>
      <c r="M2007" s="24">
        <v>50000</v>
      </c>
      <c r="O2007" s="48" t="s">
        <v>97</v>
      </c>
      <c r="P2007" s="48">
        <f>HEX2DEC(RIGHT(Table1323212714[[#This Row],[h1]],8))</f>
        <v>0</v>
      </c>
      <c r="Q2007" s="48" t="s">
        <v>97</v>
      </c>
      <c r="R2007" s="48">
        <f>HEX2DEC(RIGHT(Table1323212714[[#This Row],[h2]],8))</f>
        <v>0</v>
      </c>
    </row>
    <row r="2008" spans="1:18" x14ac:dyDescent="0.3">
      <c r="A2008" s="15" t="str">
        <f t="shared" si="36"/>
        <v>7CE</v>
      </c>
      <c r="B2008" s="15">
        <v>1998</v>
      </c>
      <c r="C2008" s="42"/>
      <c r="F2008" s="22"/>
      <c r="G2008" s="22"/>
      <c r="J2008" s="24">
        <v>50000</v>
      </c>
      <c r="M2008" s="24">
        <v>50000</v>
      </c>
      <c r="O2008" s="48" t="s">
        <v>97</v>
      </c>
      <c r="P2008" s="48">
        <f>HEX2DEC(RIGHT(Table1323212714[[#This Row],[h1]],8))</f>
        <v>0</v>
      </c>
      <c r="Q2008" s="48" t="s">
        <v>97</v>
      </c>
      <c r="R2008" s="48">
        <f>HEX2DEC(RIGHT(Table1323212714[[#This Row],[h2]],8))</f>
        <v>0</v>
      </c>
    </row>
    <row r="2009" spans="1:18" x14ac:dyDescent="0.3">
      <c r="A2009" s="15" t="str">
        <f t="shared" si="36"/>
        <v>7CF</v>
      </c>
      <c r="B2009" s="15">
        <v>1999</v>
      </c>
      <c r="C2009" s="42"/>
      <c r="F2009" s="22"/>
      <c r="G2009" s="22"/>
      <c r="J2009" s="24">
        <v>50000</v>
      </c>
      <c r="M2009" s="24">
        <v>50000</v>
      </c>
      <c r="O2009" s="48" t="s">
        <v>97</v>
      </c>
      <c r="P2009" s="48">
        <f>HEX2DEC(RIGHT(Table1323212714[[#This Row],[h1]],8))</f>
        <v>0</v>
      </c>
      <c r="Q2009" s="48" t="s">
        <v>97</v>
      </c>
      <c r="R2009" s="48">
        <f>HEX2DEC(RIGHT(Table1323212714[[#This Row],[h2]],8))</f>
        <v>0</v>
      </c>
    </row>
    <row r="2010" spans="1:18" x14ac:dyDescent="0.3">
      <c r="A2010" s="15" t="str">
        <f t="shared" si="36"/>
        <v>7D0</v>
      </c>
      <c r="B2010" s="15">
        <v>2000</v>
      </c>
      <c r="C2010" s="42"/>
      <c r="F2010" s="22"/>
      <c r="G2010" s="22"/>
      <c r="J2010" s="24">
        <v>50000</v>
      </c>
      <c r="M2010" s="24">
        <v>50000</v>
      </c>
      <c r="O2010" s="48" t="s">
        <v>97</v>
      </c>
      <c r="P2010" s="48">
        <f>HEX2DEC(RIGHT(Table1323212714[[#This Row],[h1]],8))</f>
        <v>0</v>
      </c>
      <c r="Q2010" s="48" t="s">
        <v>97</v>
      </c>
      <c r="R2010" s="48">
        <f>HEX2DEC(RIGHT(Table1323212714[[#This Row],[h2]],8))</f>
        <v>0</v>
      </c>
    </row>
    <row r="2011" spans="1:18" x14ac:dyDescent="0.3">
      <c r="A2011" s="15" t="str">
        <f t="shared" si="36"/>
        <v>7D1</v>
      </c>
      <c r="B2011" s="15">
        <v>2001</v>
      </c>
      <c r="C2011" s="42"/>
      <c r="F2011" s="22"/>
      <c r="G2011" s="22"/>
      <c r="J2011" s="24">
        <v>50000</v>
      </c>
      <c r="M2011" s="24">
        <v>50000</v>
      </c>
      <c r="O2011" s="48" t="s">
        <v>97</v>
      </c>
      <c r="P2011" s="48">
        <f>HEX2DEC(RIGHT(Table1323212714[[#This Row],[h1]],8))</f>
        <v>0</v>
      </c>
      <c r="Q2011" s="48" t="s">
        <v>97</v>
      </c>
      <c r="R2011" s="48">
        <f>HEX2DEC(RIGHT(Table1323212714[[#This Row],[h2]],8))</f>
        <v>0</v>
      </c>
    </row>
    <row r="2012" spans="1:18" x14ac:dyDescent="0.3">
      <c r="A2012" s="15" t="str">
        <f t="shared" si="36"/>
        <v>7D2</v>
      </c>
      <c r="B2012" s="15">
        <v>2002</v>
      </c>
      <c r="C2012" s="42"/>
      <c r="F2012" s="22"/>
      <c r="G2012" s="22"/>
      <c r="J2012" s="24">
        <v>50000</v>
      </c>
      <c r="M2012" s="24">
        <v>50000</v>
      </c>
      <c r="O2012" s="48" t="s">
        <v>97</v>
      </c>
      <c r="P2012" s="48">
        <f>HEX2DEC(RIGHT(Table1323212714[[#This Row],[h1]],8))</f>
        <v>0</v>
      </c>
      <c r="Q2012" s="48" t="s">
        <v>97</v>
      </c>
      <c r="R2012" s="48">
        <f>HEX2DEC(RIGHT(Table1323212714[[#This Row],[h2]],8))</f>
        <v>0</v>
      </c>
    </row>
    <row r="2013" spans="1:18" x14ac:dyDescent="0.3">
      <c r="A2013" s="15" t="str">
        <f t="shared" si="36"/>
        <v>7D3</v>
      </c>
      <c r="B2013" s="15">
        <v>2003</v>
      </c>
      <c r="C2013" s="42"/>
      <c r="F2013" s="22"/>
      <c r="G2013" s="22"/>
      <c r="J2013" s="24">
        <v>50000</v>
      </c>
      <c r="M2013" s="24">
        <v>50000</v>
      </c>
      <c r="O2013" s="48" t="s">
        <v>97</v>
      </c>
      <c r="P2013" s="48">
        <f>HEX2DEC(RIGHT(Table1323212714[[#This Row],[h1]],8))</f>
        <v>0</v>
      </c>
      <c r="Q2013" s="48" t="s">
        <v>97</v>
      </c>
      <c r="R2013" s="48">
        <f>HEX2DEC(RIGHT(Table1323212714[[#This Row],[h2]],8))</f>
        <v>0</v>
      </c>
    </row>
    <row r="2014" spans="1:18" x14ac:dyDescent="0.3">
      <c r="A2014" s="15" t="str">
        <f t="shared" si="36"/>
        <v>7D4</v>
      </c>
      <c r="B2014" s="15">
        <v>2004</v>
      </c>
      <c r="C2014" s="42"/>
      <c r="F2014" s="22"/>
      <c r="G2014" s="22"/>
      <c r="J2014" s="24">
        <v>50000</v>
      </c>
      <c r="M2014" s="24">
        <v>50000</v>
      </c>
      <c r="O2014" s="48" t="s">
        <v>97</v>
      </c>
      <c r="P2014" s="48">
        <f>HEX2DEC(RIGHT(Table1323212714[[#This Row],[h1]],8))</f>
        <v>0</v>
      </c>
      <c r="Q2014" s="48" t="s">
        <v>97</v>
      </c>
      <c r="R2014" s="48">
        <f>HEX2DEC(RIGHT(Table1323212714[[#This Row],[h2]],8))</f>
        <v>0</v>
      </c>
    </row>
    <row r="2015" spans="1:18" x14ac:dyDescent="0.3">
      <c r="A2015" s="15" t="str">
        <f t="shared" si="36"/>
        <v>7D5</v>
      </c>
      <c r="B2015" s="15">
        <v>2005</v>
      </c>
      <c r="C2015" s="42"/>
      <c r="F2015" s="22"/>
      <c r="G2015" s="22"/>
      <c r="J2015" s="24">
        <v>50000</v>
      </c>
      <c r="M2015" s="24">
        <v>50000</v>
      </c>
      <c r="O2015" s="48" t="s">
        <v>97</v>
      </c>
      <c r="P2015" s="48">
        <f>HEX2DEC(RIGHT(Table1323212714[[#This Row],[h1]],8))</f>
        <v>0</v>
      </c>
      <c r="Q2015" s="48" t="s">
        <v>97</v>
      </c>
      <c r="R2015" s="48">
        <f>HEX2DEC(RIGHT(Table1323212714[[#This Row],[h2]],8))</f>
        <v>0</v>
      </c>
    </row>
    <row r="2016" spans="1:18" x14ac:dyDescent="0.3">
      <c r="A2016" s="15" t="str">
        <f t="shared" si="36"/>
        <v>7D6</v>
      </c>
      <c r="B2016" s="15">
        <v>2006</v>
      </c>
      <c r="C2016" s="42"/>
      <c r="F2016" s="22"/>
      <c r="G2016" s="22"/>
      <c r="J2016" s="24">
        <v>50000</v>
      </c>
      <c r="M2016" s="24">
        <v>50000</v>
      </c>
      <c r="O2016" s="48" t="s">
        <v>97</v>
      </c>
      <c r="P2016" s="48">
        <f>HEX2DEC(RIGHT(Table1323212714[[#This Row],[h1]],8))</f>
        <v>0</v>
      </c>
      <c r="Q2016" s="48" t="s">
        <v>97</v>
      </c>
      <c r="R2016" s="48">
        <f>HEX2DEC(RIGHT(Table1323212714[[#This Row],[h2]],8))</f>
        <v>0</v>
      </c>
    </row>
    <row r="2017" spans="1:18" x14ac:dyDescent="0.3">
      <c r="A2017" s="15" t="str">
        <f t="shared" si="36"/>
        <v>7D7</v>
      </c>
      <c r="B2017" s="15">
        <v>2007</v>
      </c>
      <c r="C2017" s="42"/>
      <c r="F2017" s="22"/>
      <c r="G2017" s="22"/>
      <c r="J2017" s="24">
        <v>50000</v>
      </c>
      <c r="M2017" s="24">
        <v>50000</v>
      </c>
      <c r="O2017" s="48" t="s">
        <v>97</v>
      </c>
      <c r="P2017" s="48">
        <f>HEX2DEC(RIGHT(Table1323212714[[#This Row],[h1]],8))</f>
        <v>0</v>
      </c>
      <c r="Q2017" s="48" t="s">
        <v>97</v>
      </c>
      <c r="R2017" s="48">
        <f>HEX2DEC(RIGHT(Table1323212714[[#This Row],[h2]],8))</f>
        <v>0</v>
      </c>
    </row>
    <row r="2018" spans="1:18" x14ac:dyDescent="0.3">
      <c r="A2018" s="15" t="str">
        <f t="shared" si="36"/>
        <v>7D8</v>
      </c>
      <c r="B2018" s="15">
        <v>2008</v>
      </c>
      <c r="C2018" s="42"/>
      <c r="F2018" s="22"/>
      <c r="G2018" s="22"/>
      <c r="J2018" s="24">
        <v>50000</v>
      </c>
      <c r="M2018" s="24">
        <v>50000</v>
      </c>
      <c r="O2018" s="48" t="s">
        <v>97</v>
      </c>
      <c r="P2018" s="48">
        <f>HEX2DEC(RIGHT(Table1323212714[[#This Row],[h1]],8))</f>
        <v>0</v>
      </c>
      <c r="Q2018" s="48" t="s">
        <v>97</v>
      </c>
      <c r="R2018" s="48">
        <f>HEX2DEC(RIGHT(Table1323212714[[#This Row],[h2]],8))</f>
        <v>0</v>
      </c>
    </row>
    <row r="2019" spans="1:18" x14ac:dyDescent="0.3">
      <c r="A2019" s="15" t="str">
        <f t="shared" si="36"/>
        <v>7D9</v>
      </c>
      <c r="B2019" s="15">
        <v>2009</v>
      </c>
      <c r="C2019" s="42"/>
      <c r="F2019" s="22"/>
      <c r="G2019" s="22"/>
      <c r="J2019" s="24">
        <v>50000</v>
      </c>
      <c r="M2019" s="24">
        <v>50000</v>
      </c>
      <c r="O2019" s="48" t="s">
        <v>97</v>
      </c>
      <c r="P2019" s="48">
        <f>HEX2DEC(RIGHT(Table1323212714[[#This Row],[h1]],8))</f>
        <v>0</v>
      </c>
      <c r="Q2019" s="48" t="s">
        <v>97</v>
      </c>
      <c r="R2019" s="48">
        <f>HEX2DEC(RIGHT(Table1323212714[[#This Row],[h2]],8))</f>
        <v>0</v>
      </c>
    </row>
    <row r="2020" spans="1:18" x14ac:dyDescent="0.3">
      <c r="A2020" s="15" t="str">
        <f t="shared" si="36"/>
        <v>7DA</v>
      </c>
      <c r="B2020" s="15">
        <v>2010</v>
      </c>
      <c r="C2020" s="42"/>
      <c r="F2020" s="22"/>
      <c r="G2020" s="22"/>
      <c r="J2020" s="24">
        <v>50000</v>
      </c>
      <c r="M2020" s="24">
        <v>50000</v>
      </c>
      <c r="O2020" s="48" t="s">
        <v>97</v>
      </c>
      <c r="P2020" s="48">
        <f>HEX2DEC(RIGHT(Table1323212714[[#This Row],[h1]],8))</f>
        <v>0</v>
      </c>
      <c r="Q2020" s="48" t="s">
        <v>97</v>
      </c>
      <c r="R2020" s="48">
        <f>HEX2DEC(RIGHT(Table1323212714[[#This Row],[h2]],8))</f>
        <v>0</v>
      </c>
    </row>
    <row r="2021" spans="1:18" x14ac:dyDescent="0.3">
      <c r="A2021" s="15" t="str">
        <f t="shared" si="36"/>
        <v>7DB</v>
      </c>
      <c r="B2021" s="15">
        <v>2011</v>
      </c>
      <c r="C2021" s="42"/>
      <c r="F2021" s="22"/>
      <c r="G2021" s="22"/>
      <c r="J2021" s="24">
        <v>50000</v>
      </c>
      <c r="M2021" s="24">
        <v>50000</v>
      </c>
      <c r="O2021" s="48" t="s">
        <v>97</v>
      </c>
      <c r="P2021" s="48">
        <f>HEX2DEC(RIGHT(Table1323212714[[#This Row],[h1]],8))</f>
        <v>0</v>
      </c>
      <c r="Q2021" s="48" t="s">
        <v>97</v>
      </c>
      <c r="R2021" s="48">
        <f>HEX2DEC(RIGHT(Table1323212714[[#This Row],[h2]],8))</f>
        <v>0</v>
      </c>
    </row>
    <row r="2022" spans="1:18" x14ac:dyDescent="0.3">
      <c r="A2022" s="15" t="str">
        <f t="shared" si="36"/>
        <v>7DC</v>
      </c>
      <c r="B2022" s="15">
        <v>2012</v>
      </c>
      <c r="C2022" s="42"/>
      <c r="F2022" s="22"/>
      <c r="G2022" s="22"/>
      <c r="J2022" s="24">
        <v>50000</v>
      </c>
      <c r="M2022" s="24">
        <v>50000</v>
      </c>
      <c r="O2022" s="48" t="s">
        <v>97</v>
      </c>
      <c r="P2022" s="48">
        <f>HEX2DEC(RIGHT(Table1323212714[[#This Row],[h1]],8))</f>
        <v>0</v>
      </c>
      <c r="Q2022" s="48" t="s">
        <v>97</v>
      </c>
      <c r="R2022" s="48">
        <f>HEX2DEC(RIGHT(Table1323212714[[#This Row],[h2]],8))</f>
        <v>0</v>
      </c>
    </row>
    <row r="2023" spans="1:18" x14ac:dyDescent="0.3">
      <c r="A2023" s="15" t="str">
        <f t="shared" si="36"/>
        <v>7DD</v>
      </c>
      <c r="B2023" s="15">
        <v>2013</v>
      </c>
      <c r="C2023" s="42"/>
      <c r="F2023" s="22"/>
      <c r="G2023" s="22"/>
      <c r="J2023" s="24">
        <v>50000</v>
      </c>
      <c r="M2023" s="24">
        <v>50000</v>
      </c>
      <c r="O2023" s="48" t="s">
        <v>97</v>
      </c>
      <c r="P2023" s="48">
        <f>HEX2DEC(RIGHT(Table1323212714[[#This Row],[h1]],8))</f>
        <v>0</v>
      </c>
      <c r="Q2023" s="48" t="s">
        <v>97</v>
      </c>
      <c r="R2023" s="48">
        <f>HEX2DEC(RIGHT(Table1323212714[[#This Row],[h2]],8))</f>
        <v>0</v>
      </c>
    </row>
    <row r="2024" spans="1:18" x14ac:dyDescent="0.3">
      <c r="A2024" s="15" t="str">
        <f t="shared" si="36"/>
        <v>7DE</v>
      </c>
      <c r="B2024" s="15">
        <v>2014</v>
      </c>
      <c r="C2024" s="42"/>
      <c r="F2024" s="22"/>
      <c r="G2024" s="22"/>
      <c r="J2024" s="24">
        <v>50000</v>
      </c>
      <c r="M2024" s="24">
        <v>50000</v>
      </c>
      <c r="O2024" s="48" t="s">
        <v>97</v>
      </c>
      <c r="P2024" s="48">
        <f>HEX2DEC(RIGHT(Table1323212714[[#This Row],[h1]],8))</f>
        <v>0</v>
      </c>
      <c r="Q2024" s="48" t="s">
        <v>97</v>
      </c>
      <c r="R2024" s="48">
        <f>HEX2DEC(RIGHT(Table1323212714[[#This Row],[h2]],8))</f>
        <v>0</v>
      </c>
    </row>
    <row r="2025" spans="1:18" x14ac:dyDescent="0.3">
      <c r="A2025" s="15" t="str">
        <f t="shared" si="36"/>
        <v>7DF</v>
      </c>
      <c r="B2025" s="15">
        <v>2015</v>
      </c>
      <c r="C2025" s="42"/>
      <c r="F2025" s="22"/>
      <c r="G2025" s="22"/>
      <c r="J2025" s="24">
        <v>50000</v>
      </c>
      <c r="M2025" s="24">
        <v>50000</v>
      </c>
      <c r="O2025" s="48" t="s">
        <v>97</v>
      </c>
      <c r="P2025" s="48">
        <f>HEX2DEC(RIGHT(Table1323212714[[#This Row],[h1]],8))</f>
        <v>0</v>
      </c>
      <c r="Q2025" s="48" t="s">
        <v>97</v>
      </c>
      <c r="R2025" s="48">
        <f>HEX2DEC(RIGHT(Table1323212714[[#This Row],[h2]],8))</f>
        <v>0</v>
      </c>
    </row>
    <row r="2026" spans="1:18" x14ac:dyDescent="0.3">
      <c r="A2026" s="15" t="str">
        <f t="shared" si="36"/>
        <v>7E0</v>
      </c>
      <c r="B2026" s="15">
        <v>2016</v>
      </c>
      <c r="C2026" s="42"/>
      <c r="F2026" s="22"/>
      <c r="G2026" s="22"/>
      <c r="J2026" s="24">
        <v>50000</v>
      </c>
      <c r="M2026" s="24">
        <v>50000</v>
      </c>
      <c r="O2026" s="48" t="s">
        <v>97</v>
      </c>
      <c r="P2026" s="48">
        <f>HEX2DEC(RIGHT(Table1323212714[[#This Row],[h1]],8))</f>
        <v>0</v>
      </c>
      <c r="Q2026" s="48" t="s">
        <v>97</v>
      </c>
      <c r="R2026" s="48">
        <f>HEX2DEC(RIGHT(Table1323212714[[#This Row],[h2]],8))</f>
        <v>0</v>
      </c>
    </row>
    <row r="2027" spans="1:18" x14ac:dyDescent="0.3">
      <c r="A2027" s="15" t="str">
        <f t="shared" si="36"/>
        <v>7E1</v>
      </c>
      <c r="B2027" s="15">
        <v>2017</v>
      </c>
      <c r="C2027" s="42"/>
      <c r="F2027" s="22"/>
      <c r="G2027" s="22"/>
      <c r="J2027" s="24">
        <v>50000</v>
      </c>
      <c r="M2027" s="24">
        <v>50000</v>
      </c>
      <c r="O2027" s="48" t="s">
        <v>97</v>
      </c>
      <c r="P2027" s="48">
        <f>HEX2DEC(RIGHT(Table1323212714[[#This Row],[h1]],8))</f>
        <v>0</v>
      </c>
      <c r="Q2027" s="48" t="s">
        <v>97</v>
      </c>
      <c r="R2027" s="48">
        <f>HEX2DEC(RIGHT(Table1323212714[[#This Row],[h2]],8))</f>
        <v>0</v>
      </c>
    </row>
    <row r="2028" spans="1:18" x14ac:dyDescent="0.3">
      <c r="A2028" s="15" t="str">
        <f t="shared" si="36"/>
        <v>7E2</v>
      </c>
      <c r="B2028" s="15">
        <v>2018</v>
      </c>
      <c r="C2028" s="42"/>
      <c r="F2028" s="22"/>
      <c r="G2028" s="22"/>
      <c r="J2028" s="24">
        <v>50000</v>
      </c>
      <c r="M2028" s="24">
        <v>50000</v>
      </c>
      <c r="O2028" s="48" t="s">
        <v>97</v>
      </c>
      <c r="P2028" s="48">
        <f>HEX2DEC(RIGHT(Table1323212714[[#This Row],[h1]],8))</f>
        <v>0</v>
      </c>
      <c r="Q2028" s="48" t="s">
        <v>97</v>
      </c>
      <c r="R2028" s="48">
        <f>HEX2DEC(RIGHT(Table1323212714[[#This Row],[h2]],8))</f>
        <v>0</v>
      </c>
    </row>
    <row r="2029" spans="1:18" x14ac:dyDescent="0.3">
      <c r="A2029" s="15" t="str">
        <f t="shared" si="36"/>
        <v>7E3</v>
      </c>
      <c r="B2029" s="15">
        <v>2019</v>
      </c>
      <c r="C2029" s="42"/>
      <c r="F2029" s="22"/>
      <c r="G2029" s="22"/>
      <c r="J2029" s="24">
        <v>50000</v>
      </c>
      <c r="M2029" s="24">
        <v>50000</v>
      </c>
      <c r="O2029" s="48" t="s">
        <v>97</v>
      </c>
      <c r="P2029" s="48">
        <f>HEX2DEC(RIGHT(Table1323212714[[#This Row],[h1]],8))</f>
        <v>0</v>
      </c>
      <c r="Q2029" s="48" t="s">
        <v>97</v>
      </c>
      <c r="R2029" s="48">
        <f>HEX2DEC(RIGHT(Table1323212714[[#This Row],[h2]],8))</f>
        <v>0</v>
      </c>
    </row>
    <row r="2030" spans="1:18" x14ac:dyDescent="0.3">
      <c r="A2030" s="15" t="str">
        <f t="shared" si="36"/>
        <v>7E4</v>
      </c>
      <c r="B2030" s="15">
        <v>2020</v>
      </c>
      <c r="C2030" s="42"/>
      <c r="F2030" s="22"/>
      <c r="G2030" s="22"/>
      <c r="J2030" s="24">
        <v>50000</v>
      </c>
      <c r="M2030" s="24">
        <v>50000</v>
      </c>
      <c r="O2030" s="48" t="s">
        <v>97</v>
      </c>
      <c r="P2030" s="48">
        <f>HEX2DEC(RIGHT(Table1323212714[[#This Row],[h1]],8))</f>
        <v>0</v>
      </c>
      <c r="Q2030" s="48" t="s">
        <v>97</v>
      </c>
      <c r="R2030" s="48">
        <f>HEX2DEC(RIGHT(Table1323212714[[#This Row],[h2]],8))</f>
        <v>0</v>
      </c>
    </row>
    <row r="2031" spans="1:18" x14ac:dyDescent="0.3">
      <c r="A2031" s="15" t="str">
        <f t="shared" si="36"/>
        <v>7E5</v>
      </c>
      <c r="B2031" s="15">
        <v>2021</v>
      </c>
      <c r="C2031" s="42"/>
      <c r="F2031" s="22"/>
      <c r="G2031" s="22"/>
      <c r="J2031" s="24">
        <v>50000</v>
      </c>
      <c r="M2031" s="24">
        <v>50000</v>
      </c>
      <c r="O2031" s="48" t="s">
        <v>97</v>
      </c>
      <c r="P2031" s="48">
        <f>HEX2DEC(RIGHT(Table1323212714[[#This Row],[h1]],8))</f>
        <v>0</v>
      </c>
      <c r="Q2031" s="48" t="s">
        <v>97</v>
      </c>
      <c r="R2031" s="48">
        <f>HEX2DEC(RIGHT(Table1323212714[[#This Row],[h2]],8))</f>
        <v>0</v>
      </c>
    </row>
    <row r="2032" spans="1:18" x14ac:dyDescent="0.3">
      <c r="A2032" s="15" t="str">
        <f t="shared" si="36"/>
        <v>7E6</v>
      </c>
      <c r="B2032" s="15">
        <v>2022</v>
      </c>
      <c r="C2032" s="42"/>
      <c r="F2032" s="22"/>
      <c r="G2032" s="22"/>
      <c r="J2032" s="24">
        <v>50000</v>
      </c>
      <c r="M2032" s="24">
        <v>50000</v>
      </c>
      <c r="O2032" s="48" t="s">
        <v>97</v>
      </c>
      <c r="P2032" s="48">
        <f>HEX2DEC(RIGHT(Table1323212714[[#This Row],[h1]],8))</f>
        <v>0</v>
      </c>
      <c r="Q2032" s="48" t="s">
        <v>97</v>
      </c>
      <c r="R2032" s="48">
        <f>HEX2DEC(RIGHT(Table1323212714[[#This Row],[h2]],8))</f>
        <v>0</v>
      </c>
    </row>
    <row r="2033" spans="1:18" x14ac:dyDescent="0.3">
      <c r="A2033" s="15" t="str">
        <f t="shared" si="36"/>
        <v>7E7</v>
      </c>
      <c r="B2033" s="15">
        <v>2023</v>
      </c>
      <c r="C2033" s="42"/>
      <c r="F2033" s="22"/>
      <c r="G2033" s="22"/>
      <c r="J2033" s="24">
        <v>50000</v>
      </c>
      <c r="M2033" s="24">
        <v>50000</v>
      </c>
      <c r="O2033" s="48" t="s">
        <v>97</v>
      </c>
      <c r="P2033" s="48">
        <f>HEX2DEC(RIGHT(Table1323212714[[#This Row],[h1]],8))</f>
        <v>0</v>
      </c>
      <c r="Q2033" s="48" t="s">
        <v>97</v>
      </c>
      <c r="R2033" s="48">
        <f>HEX2DEC(RIGHT(Table1323212714[[#This Row],[h2]],8))</f>
        <v>0</v>
      </c>
    </row>
    <row r="2034" spans="1:18" x14ac:dyDescent="0.3">
      <c r="A2034" s="15" t="str">
        <f t="shared" si="36"/>
        <v>7E8</v>
      </c>
      <c r="B2034" s="15">
        <v>2024</v>
      </c>
      <c r="C2034" s="42"/>
      <c r="F2034" s="22"/>
      <c r="G2034" s="22"/>
      <c r="J2034" s="24">
        <v>50000</v>
      </c>
      <c r="M2034" s="24">
        <v>50000</v>
      </c>
      <c r="O2034" s="48" t="s">
        <v>97</v>
      </c>
      <c r="P2034" s="48">
        <f>HEX2DEC(RIGHT(Table1323212714[[#This Row],[h1]],8))</f>
        <v>0</v>
      </c>
      <c r="Q2034" s="48" t="s">
        <v>97</v>
      </c>
      <c r="R2034" s="48">
        <f>HEX2DEC(RIGHT(Table1323212714[[#This Row],[h2]],8))</f>
        <v>0</v>
      </c>
    </row>
    <row r="2035" spans="1:18" x14ac:dyDescent="0.3">
      <c r="A2035" s="15" t="str">
        <f t="shared" si="36"/>
        <v>7E9</v>
      </c>
      <c r="B2035" s="15">
        <v>2025</v>
      </c>
      <c r="C2035" s="42"/>
      <c r="F2035" s="22"/>
      <c r="G2035" s="22"/>
      <c r="J2035" s="24">
        <v>50000</v>
      </c>
      <c r="M2035" s="24">
        <v>50000</v>
      </c>
      <c r="O2035" s="48" t="s">
        <v>97</v>
      </c>
      <c r="P2035" s="48">
        <f>HEX2DEC(RIGHT(Table1323212714[[#This Row],[h1]],8))</f>
        <v>0</v>
      </c>
      <c r="Q2035" s="48" t="s">
        <v>97</v>
      </c>
      <c r="R2035" s="48">
        <f>HEX2DEC(RIGHT(Table1323212714[[#This Row],[h2]],8))</f>
        <v>0</v>
      </c>
    </row>
    <row r="2036" spans="1:18" x14ac:dyDescent="0.3">
      <c r="A2036" s="15" t="str">
        <f t="shared" si="36"/>
        <v>7EA</v>
      </c>
      <c r="B2036" s="15">
        <v>2026</v>
      </c>
      <c r="C2036" s="42"/>
      <c r="F2036" s="22"/>
      <c r="G2036" s="22"/>
      <c r="J2036" s="24">
        <v>50000</v>
      </c>
      <c r="M2036" s="24">
        <v>50000</v>
      </c>
      <c r="O2036" s="48" t="s">
        <v>97</v>
      </c>
      <c r="P2036" s="48">
        <f>HEX2DEC(RIGHT(Table1323212714[[#This Row],[h1]],8))</f>
        <v>0</v>
      </c>
      <c r="Q2036" s="48" t="s">
        <v>97</v>
      </c>
      <c r="R2036" s="48">
        <f>HEX2DEC(RIGHT(Table1323212714[[#This Row],[h2]],8))</f>
        <v>0</v>
      </c>
    </row>
    <row r="2037" spans="1:18" x14ac:dyDescent="0.3">
      <c r="A2037" s="15" t="str">
        <f t="shared" si="36"/>
        <v>7EB</v>
      </c>
      <c r="B2037" s="15">
        <v>2027</v>
      </c>
      <c r="C2037" s="42"/>
      <c r="F2037" s="22"/>
      <c r="G2037" s="22"/>
      <c r="J2037" s="24">
        <v>50000</v>
      </c>
      <c r="M2037" s="24">
        <v>50000</v>
      </c>
      <c r="O2037" s="48" t="s">
        <v>97</v>
      </c>
      <c r="P2037" s="48">
        <f>HEX2DEC(RIGHT(Table1323212714[[#This Row],[h1]],8))</f>
        <v>0</v>
      </c>
      <c r="Q2037" s="48" t="s">
        <v>97</v>
      </c>
      <c r="R2037" s="48">
        <f>HEX2DEC(RIGHT(Table1323212714[[#This Row],[h2]],8))</f>
        <v>0</v>
      </c>
    </row>
    <row r="2038" spans="1:18" x14ac:dyDescent="0.3">
      <c r="A2038" s="15" t="str">
        <f t="shared" si="36"/>
        <v>7EC</v>
      </c>
      <c r="B2038" s="15">
        <v>2028</v>
      </c>
      <c r="C2038" s="42"/>
      <c r="F2038" s="22"/>
      <c r="G2038" s="22"/>
      <c r="J2038" s="24">
        <v>50000</v>
      </c>
      <c r="M2038" s="24">
        <v>50000</v>
      </c>
      <c r="O2038" s="48" t="s">
        <v>97</v>
      </c>
      <c r="P2038" s="48">
        <f>HEX2DEC(RIGHT(Table1323212714[[#This Row],[h1]],8))</f>
        <v>0</v>
      </c>
      <c r="Q2038" s="48" t="s">
        <v>97</v>
      </c>
      <c r="R2038" s="48">
        <f>HEX2DEC(RIGHT(Table1323212714[[#This Row],[h2]],8))</f>
        <v>0</v>
      </c>
    </row>
    <row r="2039" spans="1:18" x14ac:dyDescent="0.3">
      <c r="A2039" s="15" t="str">
        <f t="shared" si="36"/>
        <v>7ED</v>
      </c>
      <c r="B2039" s="15">
        <v>2029</v>
      </c>
      <c r="C2039" s="42"/>
      <c r="F2039" s="22"/>
      <c r="G2039" s="22"/>
      <c r="J2039" s="24">
        <v>50000</v>
      </c>
      <c r="M2039" s="24">
        <v>50000</v>
      </c>
      <c r="O2039" s="48" t="s">
        <v>97</v>
      </c>
      <c r="P2039" s="48">
        <f>HEX2DEC(RIGHT(Table1323212714[[#This Row],[h1]],8))</f>
        <v>0</v>
      </c>
      <c r="Q2039" s="48" t="s">
        <v>97</v>
      </c>
      <c r="R2039" s="48">
        <f>HEX2DEC(RIGHT(Table1323212714[[#This Row],[h2]],8))</f>
        <v>0</v>
      </c>
    </row>
    <row r="2040" spans="1:18" x14ac:dyDescent="0.3">
      <c r="A2040" s="15" t="str">
        <f t="shared" si="36"/>
        <v>7EE</v>
      </c>
      <c r="B2040" s="15">
        <v>2030</v>
      </c>
      <c r="C2040" s="42"/>
      <c r="F2040" s="22"/>
      <c r="G2040" s="22"/>
      <c r="J2040" s="24">
        <v>50000</v>
      </c>
      <c r="M2040" s="24">
        <v>50000</v>
      </c>
      <c r="O2040" s="48" t="s">
        <v>97</v>
      </c>
      <c r="P2040" s="48">
        <f>HEX2DEC(RIGHT(Table1323212714[[#This Row],[h1]],8))</f>
        <v>0</v>
      </c>
      <c r="Q2040" s="48" t="s">
        <v>97</v>
      </c>
      <c r="R2040" s="48">
        <f>HEX2DEC(RIGHT(Table1323212714[[#This Row],[h2]],8))</f>
        <v>0</v>
      </c>
    </row>
    <row r="2041" spans="1:18" x14ac:dyDescent="0.3">
      <c r="A2041" s="15" t="str">
        <f t="shared" si="36"/>
        <v>7EF</v>
      </c>
      <c r="B2041" s="15">
        <v>2031</v>
      </c>
      <c r="C2041" s="42"/>
      <c r="F2041" s="22"/>
      <c r="G2041" s="22"/>
      <c r="J2041" s="24">
        <v>50000</v>
      </c>
      <c r="M2041" s="24">
        <v>50000</v>
      </c>
      <c r="O2041" s="48" t="s">
        <v>97</v>
      </c>
      <c r="P2041" s="48">
        <f>HEX2DEC(RIGHT(Table1323212714[[#This Row],[h1]],8))</f>
        <v>0</v>
      </c>
      <c r="Q2041" s="48" t="s">
        <v>97</v>
      </c>
      <c r="R2041" s="48">
        <f>HEX2DEC(RIGHT(Table1323212714[[#This Row],[h2]],8))</f>
        <v>0</v>
      </c>
    </row>
    <row r="2042" spans="1:18" x14ac:dyDescent="0.3">
      <c r="A2042" s="15" t="str">
        <f t="shared" si="36"/>
        <v>7F0</v>
      </c>
      <c r="B2042" s="15">
        <v>2032</v>
      </c>
      <c r="C2042" s="42"/>
      <c r="F2042" s="22"/>
      <c r="G2042" s="22"/>
      <c r="J2042" s="24">
        <v>50000</v>
      </c>
      <c r="M2042" s="24">
        <v>50000</v>
      </c>
      <c r="O2042" s="48" t="s">
        <v>27</v>
      </c>
      <c r="Q2042" s="48" t="s">
        <v>27</v>
      </c>
    </row>
    <row r="2043" spans="1:18" x14ac:dyDescent="0.3">
      <c r="A2043" s="15" t="str">
        <f t="shared" si="36"/>
        <v>7F1</v>
      </c>
      <c r="B2043" s="15">
        <v>2033</v>
      </c>
      <c r="C2043" s="42"/>
      <c r="F2043" s="22"/>
      <c r="G2043" s="22"/>
      <c r="J2043" s="24">
        <v>50000</v>
      </c>
      <c r="M2043" s="24">
        <v>50000</v>
      </c>
    </row>
    <row r="2044" spans="1:18" x14ac:dyDescent="0.3">
      <c r="A2044" s="15" t="str">
        <f t="shared" si="36"/>
        <v>7F2</v>
      </c>
      <c r="B2044" s="15">
        <v>2034</v>
      </c>
      <c r="C2044" s="42"/>
      <c r="F2044" s="22"/>
      <c r="G2044" s="22"/>
      <c r="J2044" s="24">
        <v>50000</v>
      </c>
      <c r="M2044" s="24">
        <v>50000</v>
      </c>
    </row>
    <row r="2045" spans="1:18" x14ac:dyDescent="0.3">
      <c r="A2045" s="15" t="str">
        <f t="shared" si="36"/>
        <v>7F3</v>
      </c>
      <c r="B2045" s="15">
        <v>2035</v>
      </c>
      <c r="C2045" s="42"/>
      <c r="F2045" s="22"/>
      <c r="G2045" s="22"/>
      <c r="J2045" s="24">
        <v>50000</v>
      </c>
      <c r="M2045" s="24">
        <v>50000</v>
      </c>
    </row>
    <row r="2046" spans="1:18" x14ac:dyDescent="0.3">
      <c r="A2046" s="15" t="str">
        <f t="shared" si="36"/>
        <v>7F4</v>
      </c>
      <c r="B2046" s="15">
        <v>2036</v>
      </c>
      <c r="C2046" s="42"/>
      <c r="F2046" s="22"/>
      <c r="G2046" s="22"/>
      <c r="J2046" s="24">
        <v>50000</v>
      </c>
      <c r="M2046" s="24">
        <v>50000</v>
      </c>
    </row>
    <row r="2047" spans="1:18" x14ac:dyDescent="0.3">
      <c r="A2047" s="15" t="str">
        <f t="shared" si="36"/>
        <v>7F5</v>
      </c>
      <c r="B2047" s="15">
        <v>2037</v>
      </c>
      <c r="C2047" s="42"/>
      <c r="F2047" s="22"/>
      <c r="G2047" s="22"/>
      <c r="J2047" s="24">
        <v>50000</v>
      </c>
      <c r="M2047" s="24">
        <v>50000</v>
      </c>
    </row>
    <row r="2048" spans="1:18" x14ac:dyDescent="0.3">
      <c r="A2048" s="15" t="str">
        <f t="shared" si="36"/>
        <v>7F6</v>
      </c>
      <c r="B2048" s="15">
        <v>2038</v>
      </c>
      <c r="C2048" s="42"/>
      <c r="F2048" s="22"/>
      <c r="G2048" s="22"/>
      <c r="J2048" s="24">
        <v>50000</v>
      </c>
      <c r="M2048" s="24">
        <v>50000</v>
      </c>
    </row>
    <row r="2049" spans="1:20" x14ac:dyDescent="0.3">
      <c r="A2049" s="15" t="str">
        <f t="shared" si="36"/>
        <v>7F7</v>
      </c>
      <c r="B2049" s="15">
        <v>2039</v>
      </c>
      <c r="C2049" s="42"/>
      <c r="F2049" s="22"/>
      <c r="G2049" s="22"/>
      <c r="J2049" s="24">
        <v>50000</v>
      </c>
      <c r="M2049" s="24">
        <v>50000</v>
      </c>
    </row>
    <row r="2050" spans="1:20" x14ac:dyDescent="0.3">
      <c r="A2050" s="15" t="str">
        <f t="shared" si="36"/>
        <v>7F8</v>
      </c>
      <c r="B2050" s="15">
        <v>2040</v>
      </c>
      <c r="C2050" s="42"/>
      <c r="F2050" s="22"/>
      <c r="G2050" s="22"/>
      <c r="J2050" s="24">
        <v>50000</v>
      </c>
      <c r="M2050" s="24">
        <v>50000</v>
      </c>
    </row>
    <row r="2051" spans="1:20" x14ac:dyDescent="0.3">
      <c r="A2051" s="15" t="str">
        <f t="shared" si="36"/>
        <v>7F9</v>
      </c>
      <c r="B2051" s="15">
        <v>2041</v>
      </c>
      <c r="C2051" s="42"/>
      <c r="F2051" s="22"/>
      <c r="G2051" s="22"/>
      <c r="J2051" s="24">
        <v>50000</v>
      </c>
      <c r="M2051" s="24">
        <v>50000</v>
      </c>
    </row>
    <row r="2052" spans="1:20" x14ac:dyDescent="0.3">
      <c r="A2052" s="15" t="str">
        <f t="shared" si="36"/>
        <v>7FA</v>
      </c>
      <c r="B2052" s="15">
        <v>2042</v>
      </c>
      <c r="C2052" s="42"/>
      <c r="F2052" s="22"/>
      <c r="G2052" s="22"/>
      <c r="J2052" s="24">
        <v>50000</v>
      </c>
      <c r="M2052" s="24">
        <v>50000</v>
      </c>
    </row>
    <row r="2053" spans="1:20" x14ac:dyDescent="0.3">
      <c r="A2053" s="15" t="str">
        <f t="shared" si="36"/>
        <v>7FB</v>
      </c>
      <c r="B2053" s="15">
        <v>2043</v>
      </c>
      <c r="C2053" s="42"/>
      <c r="F2053" s="22"/>
      <c r="G2053" s="22"/>
      <c r="J2053" s="24">
        <v>50000</v>
      </c>
      <c r="M2053" s="24">
        <v>50000</v>
      </c>
    </row>
    <row r="2054" spans="1:20" x14ac:dyDescent="0.3">
      <c r="A2054" s="15" t="str">
        <f t="shared" si="36"/>
        <v>7FC</v>
      </c>
      <c r="B2054" s="15">
        <v>2044</v>
      </c>
      <c r="C2054" s="42"/>
      <c r="F2054" s="22"/>
      <c r="G2054" s="22"/>
      <c r="J2054" s="24">
        <v>50000</v>
      </c>
      <c r="M2054" s="24">
        <v>50000</v>
      </c>
    </row>
    <row r="2055" spans="1:20" x14ac:dyDescent="0.3">
      <c r="A2055" s="15" t="str">
        <f t="shared" si="36"/>
        <v>7FD</v>
      </c>
      <c r="B2055" s="15">
        <v>2045</v>
      </c>
      <c r="C2055" s="42"/>
      <c r="F2055" s="22"/>
      <c r="G2055" s="22"/>
      <c r="J2055" s="24">
        <v>50000</v>
      </c>
      <c r="M2055" s="24">
        <v>50000</v>
      </c>
    </row>
    <row r="2056" spans="1:20" x14ac:dyDescent="0.3">
      <c r="A2056" s="15" t="str">
        <f t="shared" si="36"/>
        <v>7FE</v>
      </c>
      <c r="B2056" s="15">
        <v>2046</v>
      </c>
      <c r="C2056" s="42"/>
      <c r="F2056" s="22"/>
      <c r="G2056" s="22"/>
      <c r="J2056" s="24">
        <v>50000</v>
      </c>
      <c r="M2056" s="24">
        <v>50000</v>
      </c>
    </row>
    <row r="2057" spans="1:20" x14ac:dyDescent="0.3">
      <c r="A2057" s="15" t="str">
        <f t="shared" si="36"/>
        <v>7FF</v>
      </c>
      <c r="B2057" s="15">
        <v>2047</v>
      </c>
      <c r="C2057" s="42"/>
      <c r="F2057" s="22"/>
      <c r="G2057" s="22"/>
      <c r="I2057" s="20">
        <v>32768</v>
      </c>
      <c r="J2057" s="24">
        <v>50000</v>
      </c>
      <c r="L2057" s="20">
        <v>32768</v>
      </c>
      <c r="M2057" s="24">
        <v>50000</v>
      </c>
    </row>
    <row r="2058" spans="1:20" x14ac:dyDescent="0.3">
      <c r="C2058" s="42"/>
      <c r="F2058" s="22"/>
      <c r="G2058" s="22"/>
      <c r="T2058" s="48" t="s">
        <v>27</v>
      </c>
    </row>
    <row r="2059" spans="1:20" x14ac:dyDescent="0.3">
      <c r="C2059" s="42"/>
      <c r="F2059" s="22"/>
      <c r="G2059" s="22"/>
    </row>
    <row r="2060" spans="1:20" x14ac:dyDescent="0.3">
      <c r="C2060" s="42"/>
      <c r="F2060" s="22"/>
      <c r="G2060" s="22"/>
    </row>
    <row r="2061" spans="1:20" x14ac:dyDescent="0.3">
      <c r="C2061" s="42"/>
      <c r="F2061" s="22"/>
      <c r="G2061" s="22"/>
      <c r="I2061" s="20"/>
    </row>
    <row r="2062" spans="1:20" x14ac:dyDescent="0.3">
      <c r="C2062" s="42"/>
      <c r="F2062" s="22"/>
      <c r="G2062" s="22"/>
    </row>
    <row r="2063" spans="1:20" x14ac:dyDescent="0.3">
      <c r="C2063" s="42"/>
      <c r="F2063" s="22"/>
      <c r="G2063" s="22"/>
    </row>
    <row r="2064" spans="1:20" x14ac:dyDescent="0.3">
      <c r="C2064" s="42"/>
      <c r="F2064" s="22"/>
      <c r="G2064" s="22"/>
    </row>
    <row r="2065" spans="3:7" x14ac:dyDescent="0.3">
      <c r="C2065" s="42"/>
      <c r="F2065" s="22"/>
      <c r="G2065" s="22"/>
    </row>
    <row r="2066" spans="3:7" x14ac:dyDescent="0.3">
      <c r="C2066" s="42"/>
      <c r="F2066" s="22"/>
      <c r="G2066" s="22"/>
    </row>
    <row r="2067" spans="3:7" x14ac:dyDescent="0.3">
      <c r="C2067" s="42"/>
      <c r="F2067" s="22"/>
      <c r="G2067" s="22"/>
    </row>
    <row r="2068" spans="3:7" x14ac:dyDescent="0.3">
      <c r="C2068" s="42"/>
      <c r="F2068" s="22"/>
      <c r="G2068" s="22"/>
    </row>
    <row r="2069" spans="3:7" x14ac:dyDescent="0.3">
      <c r="C2069" s="42"/>
      <c r="F2069" s="22"/>
      <c r="G2069" s="22"/>
    </row>
    <row r="2070" spans="3:7" x14ac:dyDescent="0.3">
      <c r="C2070" s="42"/>
      <c r="F2070" s="22"/>
      <c r="G2070" s="22"/>
    </row>
    <row r="2071" spans="3:7" x14ac:dyDescent="0.3">
      <c r="C2071" s="42"/>
      <c r="F2071" s="22"/>
      <c r="G2071" s="22"/>
    </row>
    <row r="2072" spans="3:7" x14ac:dyDescent="0.3">
      <c r="C2072" s="42"/>
      <c r="F2072" s="22"/>
      <c r="G2072" s="22"/>
    </row>
    <row r="2073" spans="3:7" x14ac:dyDescent="0.3">
      <c r="C2073" s="42"/>
      <c r="F2073" s="22"/>
      <c r="G2073" s="22"/>
    </row>
    <row r="2074" spans="3:7" x14ac:dyDescent="0.3">
      <c r="C2074" s="42"/>
      <c r="F2074" s="22"/>
      <c r="G2074" s="22"/>
    </row>
    <row r="2075" spans="3:7" x14ac:dyDescent="0.3">
      <c r="C2075" s="42"/>
      <c r="F2075" s="22"/>
      <c r="G2075" s="22"/>
    </row>
    <row r="2076" spans="3:7" x14ac:dyDescent="0.3">
      <c r="C2076" s="42"/>
      <c r="F2076" s="22"/>
      <c r="G2076" s="22"/>
    </row>
    <row r="2077" spans="3:7" x14ac:dyDescent="0.3">
      <c r="C2077" s="42"/>
      <c r="F2077" s="22"/>
      <c r="G2077" s="22"/>
    </row>
    <row r="2078" spans="3:7" x14ac:dyDescent="0.3">
      <c r="C2078" s="42"/>
      <c r="F2078" s="22"/>
      <c r="G2078" s="22"/>
    </row>
    <row r="2079" spans="3:7" x14ac:dyDescent="0.3">
      <c r="C2079" s="42"/>
      <c r="F2079" s="22"/>
      <c r="G2079" s="22"/>
    </row>
    <row r="2080" spans="3:7" x14ac:dyDescent="0.3">
      <c r="C2080" s="42"/>
      <c r="F2080" s="22"/>
      <c r="G2080" s="22"/>
    </row>
    <row r="2081" spans="3:7" x14ac:dyDescent="0.3">
      <c r="C2081" s="42"/>
      <c r="F2081" s="22"/>
      <c r="G2081" s="22"/>
    </row>
    <row r="2082" spans="3:7" x14ac:dyDescent="0.3">
      <c r="C2082" s="42"/>
      <c r="F2082" s="22"/>
      <c r="G2082" s="22"/>
    </row>
    <row r="2083" spans="3:7" x14ac:dyDescent="0.3">
      <c r="C2083" s="42"/>
      <c r="F2083" s="22"/>
      <c r="G2083" s="22"/>
    </row>
    <row r="2084" spans="3:7" x14ac:dyDescent="0.3">
      <c r="C2084" s="42"/>
      <c r="F2084" s="22"/>
      <c r="G2084" s="22"/>
    </row>
    <row r="2085" spans="3:7" x14ac:dyDescent="0.3">
      <c r="C2085" s="42"/>
      <c r="D2085" s="15" t="s">
        <v>27</v>
      </c>
      <c r="F2085" s="22"/>
      <c r="G2085" s="22"/>
    </row>
    <row r="2086" spans="3:7" x14ac:dyDescent="0.3">
      <c r="C2086" s="42"/>
      <c r="F2086" s="22"/>
      <c r="G2086" s="22"/>
    </row>
    <row r="2087" spans="3:7" x14ac:dyDescent="0.3">
      <c r="C2087" s="42"/>
      <c r="F2087" s="22"/>
      <c r="G2087" s="22"/>
    </row>
    <row r="2088" spans="3:7" x14ac:dyDescent="0.3">
      <c r="C2088" s="42"/>
      <c r="F2088" s="22"/>
      <c r="G2088" s="22"/>
    </row>
    <row r="2089" spans="3:7" x14ac:dyDescent="0.3">
      <c r="C2089" s="42"/>
      <c r="F2089" s="22"/>
      <c r="G2089" s="22"/>
    </row>
    <row r="2090" spans="3:7" x14ac:dyDescent="0.3">
      <c r="C2090" s="42"/>
      <c r="F2090" s="22"/>
      <c r="G2090" s="22"/>
    </row>
    <row r="2091" spans="3:7" x14ac:dyDescent="0.3">
      <c r="C2091" s="42"/>
      <c r="F2091" s="22"/>
      <c r="G2091" s="22"/>
    </row>
    <row r="2092" spans="3:7" x14ac:dyDescent="0.3">
      <c r="C2092" s="42"/>
      <c r="F2092" s="22"/>
      <c r="G2092" s="22"/>
    </row>
    <row r="2094" spans="3:7" x14ac:dyDescent="0.3">
      <c r="D2094" s="27"/>
      <c r="E2094" s="27"/>
    </row>
  </sheetData>
  <mergeCells count="5">
    <mergeCell ref="D2:G2"/>
    <mergeCell ref="I2:J2"/>
    <mergeCell ref="L2:M2"/>
    <mergeCell ref="O2:R2"/>
    <mergeCell ref="T2:W2"/>
  </mergeCells>
  <phoneticPr fontId="1" type="noConversion"/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6">
        <x14:dataValidation type="list" allowBlank="1" showInputMessage="1" showErrorMessage="1">
          <x14:formula1>
            <xm:f>org!$B$36:$B$43</xm:f>
          </x14:formula1>
          <xm:sqref>A5</xm:sqref>
        </x14:dataValidation>
        <x14:dataValidation type="list" allowBlank="1" showInputMessage="1" showErrorMessage="1">
          <x14:formula1>
            <xm:f>org!$B$25:$B$31</xm:f>
          </x14:formula1>
          <xm:sqref>D6:E6</xm:sqref>
        </x14:dataValidation>
        <x14:dataValidation type="list" allowBlank="1" showInputMessage="1" showErrorMessage="1">
          <x14:formula1>
            <xm:f>org!$B$25:$B$31</xm:f>
          </x14:formula1>
          <xm:sqref>T2061:U2064</xm:sqref>
        </x14:dataValidation>
        <x14:dataValidation type="list" allowBlank="1" showInputMessage="1" showErrorMessage="1">
          <x14:formula1>
            <xm:f>org!$B$25:$B$31</xm:f>
          </x14:formula1>
          <xm:sqref>G260:G261</xm:sqref>
        </x14:dataValidation>
        <x14:dataValidation type="list" allowBlank="1" showInputMessage="1" showErrorMessage="1">
          <x14:formula1>
            <xm:f>org!$B$25:$B$31</xm:f>
          </x14:formula1>
          <xm:sqref>D2089:E2092</xm:sqref>
        </x14:dataValidation>
        <x14:dataValidation type="list" allowBlank="1" showInputMessage="1" showErrorMessage="1">
          <x14:formula1>
            <xm:f>org!$B$25:$B$31</xm:f>
          </x14:formula1>
          <xm:sqref>S2059:S2062</xm:sqref>
        </x14:dataValidation>
        <x14:dataValidation type="list" allowBlank="1" showInputMessage="1" showErrorMessage="1">
          <x14:formula1>
            <xm:f>org!$B$25:$B$31</xm:f>
          </x14:formula1>
          <xm:sqref>O2061:R2064</xm:sqref>
        </x14:dataValidation>
        <x14:dataValidation type="list" allowBlank="1" showInputMessage="1" showErrorMessage="1">
          <x14:formula1>
            <xm:f>org!$B$11:$B$22</xm:f>
          </x14:formula1>
          <xm:sqref>E180:E187</xm:sqref>
        </x14:dataValidation>
        <x14:dataValidation type="list" allowBlank="1" showInputMessage="1" showErrorMessage="1">
          <x14:formula1>
            <xm:f>org!$B$11:$B$22</xm:f>
          </x14:formula1>
          <xm:sqref>F6</xm:sqref>
        </x14:dataValidation>
        <x14:dataValidation type="list" allowBlank="1" showInputMessage="1" showErrorMessage="1">
          <x14:formula1>
            <xm:f>org!$B$11:$B$22</xm:f>
          </x14:formula1>
          <xm:sqref>V2061:V2064</xm:sqref>
        </x14:dataValidation>
        <x14:dataValidation type="list" allowBlank="1" showInputMessage="1" showErrorMessage="1">
          <x14:formula1>
            <xm:f>org!$B$11:$B$22</xm:f>
          </x14:formula1>
          <xm:sqref>L2061:L2064</xm:sqref>
        </x14:dataValidation>
        <x14:dataValidation type="list" allowBlank="1" showInputMessage="1" showErrorMessage="1">
          <x14:formula1>
            <xm:f>org!$B$11:$B$22</xm:f>
          </x14:formula1>
          <xm:sqref>E189:E219</xm:sqref>
        </x14:dataValidation>
        <x14:dataValidation type="list" allowBlank="1" showInputMessage="1" showErrorMessage="1">
          <x14:formula1>
            <xm:f>org!$B$11:$B$22</xm:f>
          </x14:formula1>
          <xm:sqref>G180:G187</xm:sqref>
        </x14:dataValidation>
        <x14:dataValidation type="list" allowBlank="1" showInputMessage="1" showErrorMessage="1">
          <x14:formula1>
            <xm:f>org!$B$11:$B$22</xm:f>
          </x14:formula1>
          <xm:sqref>I2062:I2064</xm:sqref>
        </x14:dataValidation>
        <x14:dataValidation type="list" allowBlank="1" showInputMessage="1" showErrorMessage="1">
          <x14:formula1>
            <xm:f>org!$B$11:$B$22</xm:f>
          </x14:formula1>
          <xm:sqref>F2089:F2092</xm:sqref>
        </x14:dataValidation>
        <x14:dataValidation type="list" allowBlank="1" showInputMessage="1" showErrorMessage="1">
          <x14:formula1>
            <xm:f>org!$B$11:$B$22</xm:f>
          </x14:formula1>
          <xm:sqref>G189:G219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org</vt:lpstr>
      <vt:lpstr>EVS001</vt:lpstr>
      <vt:lpstr>EVG001</vt:lpstr>
      <vt:lpstr>EVR001</vt:lpstr>
      <vt:lpstr>EVRUP001</vt:lpstr>
      <vt:lpstr>EVF001</vt:lpstr>
      <vt:lpstr>ZQ9R001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2021-12-21T08:41:13Z</dcterms:modified>
</cp:coreProperties>
</file>